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507" codeName="{A63ED3A1-9429-3D75-F2AA-CA7E51A8F3A1}"/>
  <workbookPr codeName="ThisWorkbook"/>
  <mc:AlternateContent xmlns:mc="http://schemas.openxmlformats.org/markup-compatibility/2006">
    <mc:Choice Requires="x15">
      <x15ac:absPath xmlns:x15ac="http://schemas.microsoft.com/office/spreadsheetml/2010/11/ac" url="/Users/markmukherjee/Documents/PythonProjects/PortfolioManagement/Trading_Excel_Files/04_Filtering_Process/"/>
    </mc:Choice>
  </mc:AlternateContent>
  <xr:revisionPtr revIDLastSave="0" documentId="13_ncr:1_{750F8477-DD1A-D846-8A3C-30A25CBB3FB0}" xr6:coauthVersionLast="47" xr6:coauthVersionMax="47" xr10:uidLastSave="{00000000-0000-0000-0000-000000000000}"/>
  <bookViews>
    <workbookView xWindow="-42400" yWindow="500" windowWidth="31800" windowHeight="26860" activeTab="4" xr2:uid="{00000000-000D-0000-FFFF-FFFF00000000}"/>
  </bookViews>
  <sheets>
    <sheet name="Note" sheetId="1" r:id="rId1"/>
    <sheet name="Database S&amp;P500" sheetId="2" r:id="rId2"/>
    <sheet name="Database Sectors" sheetId="3" r:id="rId3"/>
    <sheet name="Database US Companies" sheetId="4" r:id="rId4"/>
    <sheet name="Data S&amp;P 500" sheetId="5" r:id="rId5"/>
    <sheet name="Sales Growth" sheetId="6" r:id="rId6"/>
    <sheet name="Earnings Growth" sheetId="7" r:id="rId7"/>
    <sheet name="Dividend Yield" sheetId="8" r:id="rId8"/>
    <sheet name="Margins" sheetId="9" r:id="rId9"/>
    <sheet name="Debt  Balance-Sheet" sheetId="10" r:id="rId10"/>
    <sheet name="Value" sheetId="11" r:id="rId11"/>
    <sheet name="LULU" sheetId="12" r:id="rId12"/>
    <sheet name="GOOS" sheetId="13" r:id="rId13"/>
    <sheet name="RL" sheetId="14" r:id="rId14"/>
    <sheet name="AMZN" sheetId="15" r:id="rId15"/>
    <sheet name="OMC" sheetId="16" r:id="rId16"/>
    <sheet name="KR" sheetId="17" r:id="rId17"/>
    <sheet name="WMT" sheetId="18" r:id="rId18"/>
    <sheet name="XOM" sheetId="19" r:id="rId19"/>
    <sheet name="GE" sheetId="20" r:id="rId20"/>
  </sheets>
  <functionGroups builtInGroupCount="19"/>
  <externalReferences>
    <externalReference r:id="rId21"/>
  </externalReferences>
  <definedNames>
    <definedName name="_xlnm._FilterDatabase" localSheetId="6" hidden="1">'Earnings Growth'!$B$3:$G$3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O25" i="20" l="1"/>
  <c r="O18" i="20"/>
  <c r="AE24" i="19"/>
  <c r="AD24" i="19"/>
  <c r="AC24" i="19"/>
  <c r="AB24" i="19"/>
  <c r="AE23" i="19"/>
  <c r="AD23" i="19"/>
  <c r="AC23" i="19"/>
  <c r="AB23" i="19"/>
  <c r="Q2" i="19"/>
  <c r="H47" i="18"/>
  <c r="G47" i="18"/>
  <c r="D47" i="18"/>
  <c r="C47" i="18"/>
  <c r="H46" i="18"/>
  <c r="G46" i="18"/>
  <c r="D46" i="18"/>
  <c r="C46" i="18"/>
  <c r="H45" i="18"/>
  <c r="G45" i="18"/>
  <c r="D45" i="18"/>
  <c r="C45" i="18"/>
  <c r="J44" i="18"/>
  <c r="H44" i="18"/>
  <c r="G44" i="18"/>
  <c r="D44" i="18"/>
  <c r="C44" i="18"/>
  <c r="AE24" i="18"/>
  <c r="AD24" i="18"/>
  <c r="AC24" i="18"/>
  <c r="AB24" i="18"/>
  <c r="AE23" i="18"/>
  <c r="AD23" i="18"/>
  <c r="AC23" i="18"/>
  <c r="AB23" i="18"/>
  <c r="Q2" i="18"/>
  <c r="O25" i="17"/>
  <c r="AE24" i="17"/>
  <c r="AD24" i="17"/>
  <c r="AC24" i="17"/>
  <c r="AB24" i="17"/>
  <c r="O24" i="17"/>
  <c r="AE23" i="17"/>
  <c r="AD23" i="17"/>
  <c r="AC23" i="17"/>
  <c r="AB23" i="17"/>
  <c r="O23" i="17"/>
  <c r="O22" i="17"/>
  <c r="O21" i="17"/>
  <c r="O20" i="17"/>
  <c r="O19" i="17"/>
  <c r="O18" i="17"/>
  <c r="Q2" i="17"/>
  <c r="O27" i="15"/>
  <c r="O25" i="15"/>
  <c r="O24" i="15"/>
  <c r="O23" i="15"/>
  <c r="O22" i="15"/>
  <c r="O21" i="15"/>
  <c r="O20" i="15"/>
  <c r="O19" i="15"/>
  <c r="O18" i="15"/>
  <c r="O17" i="15"/>
  <c r="O16" i="15"/>
  <c r="D7" i="15"/>
  <c r="D6" i="15"/>
  <c r="M27" i="14"/>
  <c r="L27" i="14"/>
  <c r="K27" i="14"/>
  <c r="O27" i="14" s="1"/>
  <c r="L26" i="14"/>
  <c r="K26" i="14"/>
  <c r="O26" i="14" s="1"/>
  <c r="M25" i="14"/>
  <c r="K25" i="14"/>
  <c r="O25" i="14" s="1"/>
  <c r="AE24" i="14"/>
  <c r="AD24" i="14"/>
  <c r="AC24" i="14"/>
  <c r="AB24" i="14"/>
  <c r="M24" i="14"/>
  <c r="L24" i="14"/>
  <c r="K24" i="14"/>
  <c r="O24" i="14" s="1"/>
  <c r="AE23" i="14"/>
  <c r="AD23" i="14"/>
  <c r="AC23" i="14"/>
  <c r="AB23" i="14"/>
  <c r="M23" i="14"/>
  <c r="K23" i="14"/>
  <c r="O23" i="14" s="1"/>
  <c r="M22" i="14"/>
  <c r="O22" i="14" s="1"/>
  <c r="L22" i="14"/>
  <c r="K22" i="14"/>
  <c r="M21" i="14"/>
  <c r="K21" i="14"/>
  <c r="O21" i="14" s="1"/>
  <c r="M20" i="14"/>
  <c r="K20" i="14"/>
  <c r="O20" i="14" s="1"/>
  <c r="O19" i="14"/>
  <c r="M18" i="14"/>
  <c r="K18" i="14"/>
  <c r="O18" i="14" s="1"/>
  <c r="M17" i="14"/>
  <c r="L17" i="14"/>
  <c r="K17" i="14"/>
  <c r="O17" i="14" s="1"/>
  <c r="M16" i="14"/>
  <c r="L16" i="14"/>
  <c r="K16" i="14"/>
  <c r="O16" i="14" s="1"/>
  <c r="M27" i="13"/>
  <c r="L27" i="13"/>
  <c r="K27" i="13"/>
  <c r="O27" i="13" s="1"/>
  <c r="L26" i="13"/>
  <c r="K26" i="13"/>
  <c r="O26" i="13" s="1"/>
  <c r="M25" i="13"/>
  <c r="K25" i="13"/>
  <c r="O25" i="13" s="1"/>
  <c r="AE24" i="13"/>
  <c r="AD24" i="13"/>
  <c r="AC24" i="13"/>
  <c r="AB24" i="13"/>
  <c r="M24" i="13"/>
  <c r="L24" i="13"/>
  <c r="K24" i="13"/>
  <c r="O24" i="13" s="1"/>
  <c r="AE23" i="13"/>
  <c r="AD23" i="13"/>
  <c r="AC23" i="13"/>
  <c r="AB23" i="13"/>
  <c r="M23" i="13"/>
  <c r="K23" i="13"/>
  <c r="O23" i="13" s="1"/>
  <c r="M22" i="13"/>
  <c r="L22" i="13"/>
  <c r="O22" i="13" s="1"/>
  <c r="K22" i="13"/>
  <c r="M21" i="13"/>
  <c r="K21" i="13"/>
  <c r="O21" i="13" s="1"/>
  <c r="M20" i="13"/>
  <c r="K20" i="13"/>
  <c r="O20" i="13" s="1"/>
  <c r="O19" i="13"/>
  <c r="O18" i="13"/>
  <c r="M18" i="13"/>
  <c r="K18" i="13"/>
  <c r="M17" i="13"/>
  <c r="L17" i="13"/>
  <c r="K17" i="13"/>
  <c r="O17" i="13" s="1"/>
  <c r="O16" i="13"/>
  <c r="M16" i="13"/>
  <c r="L16" i="13"/>
  <c r="K16" i="13"/>
  <c r="H39" i="12"/>
  <c r="H38" i="12"/>
  <c r="H34" i="12"/>
  <c r="G34" i="12"/>
  <c r="F34" i="12"/>
  <c r="E34" i="12"/>
  <c r="D34" i="12"/>
  <c r="C34" i="12"/>
  <c r="H33" i="12"/>
  <c r="G33" i="12"/>
  <c r="F33" i="12"/>
  <c r="E33" i="12"/>
  <c r="D33" i="12"/>
  <c r="C33" i="12"/>
  <c r="H30" i="12"/>
  <c r="G30" i="12"/>
  <c r="F30" i="12"/>
  <c r="E30" i="12"/>
  <c r="D30" i="12"/>
  <c r="C30" i="12"/>
  <c r="H29" i="12"/>
  <c r="G29" i="12"/>
  <c r="F29" i="12"/>
  <c r="E29" i="12"/>
  <c r="D29" i="12"/>
  <c r="C29" i="12"/>
  <c r="H28" i="12"/>
  <c r="G28" i="12"/>
  <c r="F28" i="12"/>
  <c r="E28" i="12"/>
  <c r="D28" i="12"/>
  <c r="C28" i="12"/>
  <c r="N27" i="12"/>
  <c r="M27" i="12"/>
  <c r="L27" i="12"/>
  <c r="K27" i="12"/>
  <c r="O27" i="12" s="1"/>
  <c r="H27" i="12"/>
  <c r="G27" i="12"/>
  <c r="F27" i="12"/>
  <c r="E27" i="12"/>
  <c r="D27" i="12"/>
  <c r="N26" i="12"/>
  <c r="L26" i="12"/>
  <c r="O26" i="12" s="1"/>
  <c r="K26" i="12"/>
  <c r="N25" i="12"/>
  <c r="M25" i="12"/>
  <c r="K25" i="12"/>
  <c r="O25" i="12" s="1"/>
  <c r="AE24" i="12"/>
  <c r="AD24" i="12"/>
  <c r="AC24" i="12"/>
  <c r="AB24" i="12"/>
  <c r="N24" i="12"/>
  <c r="M24" i="12"/>
  <c r="L24" i="12"/>
  <c r="K24" i="12"/>
  <c r="O24" i="12" s="1"/>
  <c r="H24" i="12"/>
  <c r="G24" i="12"/>
  <c r="F24" i="12"/>
  <c r="E24" i="12"/>
  <c r="D24" i="12"/>
  <c r="AE23" i="12"/>
  <c r="AD23" i="12"/>
  <c r="AC23" i="12"/>
  <c r="AB23" i="12"/>
  <c r="O23" i="12"/>
  <c r="N23" i="12"/>
  <c r="M23" i="12"/>
  <c r="K23" i="12"/>
  <c r="H23" i="12"/>
  <c r="G23" i="12"/>
  <c r="F23" i="12"/>
  <c r="E23" i="12"/>
  <c r="D23" i="12"/>
  <c r="C23" i="12"/>
  <c r="N22" i="12"/>
  <c r="M22" i="12"/>
  <c r="L22" i="12"/>
  <c r="K22" i="12"/>
  <c r="O22" i="12" s="1"/>
  <c r="M21" i="12"/>
  <c r="O21" i="12" s="1"/>
  <c r="K21" i="12"/>
  <c r="H21" i="12"/>
  <c r="G21" i="12"/>
  <c r="F21" i="12"/>
  <c r="E21" i="12"/>
  <c r="D21" i="12"/>
  <c r="C21" i="12"/>
  <c r="O20" i="12"/>
  <c r="M20" i="12"/>
  <c r="K20" i="12"/>
  <c r="O19" i="12"/>
  <c r="H19" i="12"/>
  <c r="G19" i="12"/>
  <c r="F19" i="12"/>
  <c r="E19" i="12"/>
  <c r="D19" i="12"/>
  <c r="C19" i="12"/>
  <c r="N18" i="12"/>
  <c r="M18" i="12"/>
  <c r="K18" i="12"/>
  <c r="O18" i="12" s="1"/>
  <c r="M17" i="12"/>
  <c r="L17" i="12"/>
  <c r="O17" i="12" s="1"/>
  <c r="K17" i="12"/>
  <c r="H17" i="12"/>
  <c r="G17" i="12"/>
  <c r="F17" i="12"/>
  <c r="E17" i="12"/>
  <c r="D17" i="12"/>
  <c r="M16" i="12"/>
  <c r="O16" i="12" s="1"/>
  <c r="L16" i="12"/>
  <c r="K16" i="12"/>
  <c r="H10" i="12"/>
  <c r="F10" i="12"/>
  <c r="D10" i="12"/>
  <c r="H9" i="12"/>
  <c r="H8" i="12"/>
  <c r="F7" i="12"/>
  <c r="D7" i="12"/>
  <c r="H6" i="12"/>
  <c r="F6" i="12"/>
  <c r="D6" i="12"/>
  <c r="D18" i="5"/>
  <c r="D16" i="5"/>
  <c r="I10" i="5"/>
  <c r="G10" i="5"/>
  <c r="I8" i="5"/>
  <c r="G8" i="5"/>
  <c r="I7" i="5"/>
  <c r="G7" i="5"/>
</calcChain>
</file>

<file path=xl/sharedStrings.xml><?xml version="1.0" encoding="utf-8"?>
<sst xmlns="http://schemas.openxmlformats.org/spreadsheetml/2006/main" count="31351" uniqueCount="4756">
  <si>
    <t>The Quantitative Analysis</t>
  </si>
  <si>
    <t>DATA</t>
  </si>
  <si>
    <t>WEBSITES</t>
  </si>
  <si>
    <t>Spend 5-20 hours building your own quantitative analysis infrastructure. Either through quick copy and paste but I strongly recommend to do some macro to automatically get the data from different websites.</t>
  </si>
  <si>
    <t>https://finance.yahoo.com/</t>
  </si>
  <si>
    <t>https://www.reuters.com</t>
  </si>
  <si>
    <t>https://www.marketwatch.com/</t>
  </si>
  <si>
    <t>https://finviz.com/</t>
  </si>
  <si>
    <t>https://www.marketscreener.com/</t>
  </si>
  <si>
    <t>https://stockrow.com/</t>
  </si>
  <si>
    <t>DATE</t>
  </si>
  <si>
    <t xml:space="preserve">Last </t>
  </si>
  <si>
    <t>2018  EPS</t>
  </si>
  <si>
    <t>2018  P/E</t>
  </si>
  <si>
    <t>2019E EPS</t>
  </si>
  <si>
    <t>2019E  P/E</t>
  </si>
  <si>
    <t>2020E EPS</t>
  </si>
  <si>
    <t>2020E P/E</t>
  </si>
  <si>
    <t>S&amp;P 500</t>
  </si>
  <si>
    <t>Earnings Growth</t>
  </si>
  <si>
    <t>Sales Growth</t>
  </si>
  <si>
    <t>Dividend Yield</t>
  </si>
  <si>
    <t>Book Value per share</t>
  </si>
  <si>
    <t>Price to Book - P/B</t>
  </si>
  <si>
    <t>Price to Sales -P/S</t>
  </si>
  <si>
    <t>Company Name</t>
  </si>
  <si>
    <t>Ticker</t>
  </si>
  <si>
    <t>Sector</t>
  </si>
  <si>
    <t>Industry</t>
  </si>
  <si>
    <t>5 Yr Historical Sales Growth</t>
  </si>
  <si>
    <t>Sales Growth F1</t>
  </si>
  <si>
    <t>Growing 5% to 10%+</t>
  </si>
  <si>
    <t>Agilent Technologies, Inc.</t>
  </si>
  <si>
    <t>A</t>
  </si>
  <si>
    <t>Computer and Technology</t>
  </si>
  <si>
    <t>Electronics - Testing Equipment</t>
  </si>
  <si>
    <t>Higher than S&amp;P</t>
  </si>
  <si>
    <t>Alcoa Corp.</t>
  </si>
  <si>
    <t>AA</t>
  </si>
  <si>
    <t>Industrial Products</t>
  </si>
  <si>
    <t>Metal Products - Distribution</t>
  </si>
  <si>
    <t>or</t>
  </si>
  <si>
    <t>AAC Technologies Holdings Inc.</t>
  </si>
  <si>
    <t>AACAY</t>
  </si>
  <si>
    <t>Electronics - Miscellaneous Components</t>
  </si>
  <si>
    <t>Higher than Sector / Industry</t>
  </si>
  <si>
    <t>American Airlines Group Inc.</t>
  </si>
  <si>
    <t>AAL</t>
  </si>
  <si>
    <t>Transportation</t>
  </si>
  <si>
    <t>Transportation - Airline</t>
  </si>
  <si>
    <t>Aaron's,  Inc.</t>
  </si>
  <si>
    <t>AAN</t>
  </si>
  <si>
    <t>Retail-Wholesale</t>
  </si>
  <si>
    <t>Retail - Consumer Electronics</t>
  </si>
  <si>
    <t>Advance Auto Parts, Inc.</t>
  </si>
  <si>
    <t>AAP</t>
  </si>
  <si>
    <t>Automotive - Retail and Wholesale - Parts</t>
  </si>
  <si>
    <t>Apple Inc.</t>
  </si>
  <si>
    <t>AAPL</t>
  </si>
  <si>
    <t>Computer - Mini computers</t>
  </si>
  <si>
    <t>Axon Enterprise, Inc</t>
  </si>
  <si>
    <t>AAXN</t>
  </si>
  <si>
    <t>Security and Safety Services</t>
  </si>
  <si>
    <t>ABB Ltd</t>
  </si>
  <si>
    <t>ABB</t>
  </si>
  <si>
    <t>Manufacturing - Electronics</t>
  </si>
  <si>
    <t>AbbVie Inc.</t>
  </si>
  <si>
    <t>ABBV</t>
  </si>
  <si>
    <t>Medical</t>
  </si>
  <si>
    <t>Large Cap Pharmaceuticals</t>
  </si>
  <si>
    <t>AmerisourceBergen Corporation</t>
  </si>
  <si>
    <t>ABC</t>
  </si>
  <si>
    <t>Medical - Dental Supplies</t>
  </si>
  <si>
    <t>Abcam PLC Unsponsored ADR</t>
  </si>
  <si>
    <t>ABCZY</t>
  </si>
  <si>
    <t>Medical - Products</t>
  </si>
  <si>
    <t>Ambev S.A.</t>
  </si>
  <si>
    <t>ABEV</t>
  </si>
  <si>
    <t>Consumer Staples</t>
  </si>
  <si>
    <t>Beverages - Alcohol</t>
  </si>
  <si>
    <t>ABIOMED, Inc.</t>
  </si>
  <si>
    <t>ABMD</t>
  </si>
  <si>
    <t>Medical - Instruments</t>
  </si>
  <si>
    <t>Abbott Laboratories</t>
  </si>
  <si>
    <t>ABT</t>
  </si>
  <si>
    <t>ACADIA Pharmaceuticals Inc.</t>
  </si>
  <si>
    <t>ACAD</t>
  </si>
  <si>
    <t>Medical - Biomedical and Genetics</t>
  </si>
  <si>
    <t>Aurora Cannabis Inc.</t>
  </si>
  <si>
    <t>ACB</t>
  </si>
  <si>
    <t>American Campus Communities Inc</t>
  </si>
  <si>
    <t>ACC</t>
  </si>
  <si>
    <t>Finance</t>
  </si>
  <si>
    <t>REIT and Equity Trust - Residential</t>
  </si>
  <si>
    <t>Arch Capital Group Ltd.</t>
  </si>
  <si>
    <t>ACGL</t>
  </si>
  <si>
    <t>Insurance - Property and Casualty</t>
  </si>
  <si>
    <t>ACI Worldwide, Inc.</t>
  </si>
  <si>
    <t>ACIW</t>
  </si>
  <si>
    <t>Computer - Software</t>
  </si>
  <si>
    <t>AECOM</t>
  </si>
  <si>
    <t>ACM</t>
  </si>
  <si>
    <t>Construction</t>
  </si>
  <si>
    <t>Engineering - R and D Services</t>
  </si>
  <si>
    <t>Accenture PLC</t>
  </si>
  <si>
    <t>ACN</t>
  </si>
  <si>
    <t>Business Services</t>
  </si>
  <si>
    <t>Consulting Services</t>
  </si>
  <si>
    <t>Adobe Systems Incorporated</t>
  </si>
  <si>
    <t>ADBE</t>
  </si>
  <si>
    <t>Agree Realty Corporation</t>
  </si>
  <si>
    <t>ADC</t>
  </si>
  <si>
    <t>REIT and Equity Trust - Retail</t>
  </si>
  <si>
    <t>Adidas AG</t>
  </si>
  <si>
    <t>ADDYY</t>
  </si>
  <si>
    <t>Consumer Discretionary</t>
  </si>
  <si>
    <t xml:space="preserve">Shoes and Retail Apparel </t>
  </si>
  <si>
    <t>Analog Devices, Inc.</t>
  </si>
  <si>
    <t>ADI</t>
  </si>
  <si>
    <t>Semiconductor - Analog and Mixed</t>
  </si>
  <si>
    <t>Archer Daniels Midland Company</t>
  </si>
  <si>
    <t>ADM</t>
  </si>
  <si>
    <t>Agriculture - Operations</t>
  </si>
  <si>
    <t>Automatic Data Processing, Inc.</t>
  </si>
  <si>
    <t>ADP</t>
  </si>
  <si>
    <t>Outsourcing</t>
  </si>
  <si>
    <t>Ahold NV</t>
  </si>
  <si>
    <t>ADRNY</t>
  </si>
  <si>
    <t>Consumer Products - Staples</t>
  </si>
  <si>
    <t>Alliance Data Systems Corporation</t>
  </si>
  <si>
    <t>ADS</t>
  </si>
  <si>
    <t>Financial Transaction Services</t>
  </si>
  <si>
    <t>Autodesk, Inc.</t>
  </si>
  <si>
    <t>ADSK</t>
  </si>
  <si>
    <t>ADT Inc.</t>
  </si>
  <si>
    <t>ADT</t>
  </si>
  <si>
    <t>Ameren Corporation</t>
  </si>
  <si>
    <t>AEE</t>
  </si>
  <si>
    <t>Utilities</t>
  </si>
  <si>
    <t>Utility - Electric Power</t>
  </si>
  <si>
    <t>Aegon NV</t>
  </si>
  <si>
    <t>AEG</t>
  </si>
  <si>
    <t>Insurance - Multi line</t>
  </si>
  <si>
    <t>Agnico Eagle Mines Limited</t>
  </si>
  <si>
    <t>AEM</t>
  </si>
  <si>
    <t>Basic Materials</t>
  </si>
  <si>
    <t>Mining - Gold</t>
  </si>
  <si>
    <t>American Electric Power Company, Inc.</t>
  </si>
  <si>
    <t>AEP</t>
  </si>
  <si>
    <t>Aercap Holdings N.V.</t>
  </si>
  <si>
    <t>AER</t>
  </si>
  <si>
    <t>Financial - Leasing Companies</t>
  </si>
  <si>
    <t>The AES Corporation</t>
  </si>
  <si>
    <t>AES</t>
  </si>
  <si>
    <t>American Financial Group, Inc.</t>
  </si>
  <si>
    <t>AFG</t>
  </si>
  <si>
    <t>Aflac Incorporated</t>
  </si>
  <si>
    <t>AFL</t>
  </si>
  <si>
    <t>Insurance - Accident and Health</t>
  </si>
  <si>
    <t>Air France-KLM SA</t>
  </si>
  <si>
    <t>AFLYY</t>
  </si>
  <si>
    <t>AGCO Corporation</t>
  </si>
  <si>
    <t>AGCO</t>
  </si>
  <si>
    <t>Manufacturing - Farm Equipment</t>
  </si>
  <si>
    <t>Ageas SA</t>
  </si>
  <si>
    <t>AGESY</t>
  </si>
  <si>
    <t>Allergan plc</t>
  </si>
  <si>
    <t>AGN</t>
  </si>
  <si>
    <t>Medical - Generic Drugs</t>
  </si>
  <si>
    <t>AGNC Investment Corp.</t>
  </si>
  <si>
    <t>AGNC</t>
  </si>
  <si>
    <t>REIT and Equity Trust</t>
  </si>
  <si>
    <t>Avangrid, Inc.</t>
  </si>
  <si>
    <t>AGR</t>
  </si>
  <si>
    <t>Anhui Conch Cement Co.</t>
  </si>
  <si>
    <t>AHCHY</t>
  </si>
  <si>
    <t>Building Products - Concrete and Aggregates</t>
  </si>
  <si>
    <t>Asahi Kasei Corp.</t>
  </si>
  <si>
    <t>AHKSY</t>
  </si>
  <si>
    <t xml:space="preserve">Chemical - Diversified </t>
  </si>
  <si>
    <t>American International Group, Inc.</t>
  </si>
  <si>
    <t>AIG</t>
  </si>
  <si>
    <t>Air Liquide</t>
  </si>
  <si>
    <t>AIQUY</t>
  </si>
  <si>
    <t>Air China Ltd.</t>
  </si>
  <si>
    <t>AIRYY</t>
  </si>
  <si>
    <t>Apartment Investment and Management Company</t>
  </si>
  <si>
    <t>AIV</t>
  </si>
  <si>
    <t>Assurant, Inc.</t>
  </si>
  <si>
    <t>AIZ</t>
  </si>
  <si>
    <t>Arthur J. Gallagher &amp; Co.</t>
  </si>
  <si>
    <t>AJG</t>
  </si>
  <si>
    <t>Insurance - Brokerage</t>
  </si>
  <si>
    <t>ASHMORE GROUP</t>
  </si>
  <si>
    <t>AJMPF</t>
  </si>
  <si>
    <t>Financial - Investment Management</t>
  </si>
  <si>
    <t>Aerojet Rocketdyne Holdings, Inc.</t>
  </si>
  <si>
    <t>AJRD</t>
  </si>
  <si>
    <t>Aerospace</t>
  </si>
  <si>
    <t>Aerospace - Defense Equipment</t>
  </si>
  <si>
    <t>Akamai Technologies, Inc.</t>
  </si>
  <si>
    <t>AKAM</t>
  </si>
  <si>
    <t>Internet - Services</t>
  </si>
  <si>
    <t>Akzo Nobel NV</t>
  </si>
  <si>
    <t>AKZOY</t>
  </si>
  <si>
    <t>Air Lease Corporation</t>
  </si>
  <si>
    <t>AL</t>
  </si>
  <si>
    <t>Transportation - Equipment and Leasing</t>
  </si>
  <si>
    <t>Albemarle Corporation</t>
  </si>
  <si>
    <t>ALB</t>
  </si>
  <si>
    <t>Allete, Inc.</t>
  </si>
  <si>
    <t>ALE</t>
  </si>
  <si>
    <t>Align Technology, Inc.</t>
  </si>
  <si>
    <t>ALGN</t>
  </si>
  <si>
    <t>Alaska Air Group, Inc.</t>
  </si>
  <si>
    <t>ALK</t>
  </si>
  <si>
    <t>Alkermes plc</t>
  </si>
  <si>
    <t>ALKS</t>
  </si>
  <si>
    <t>The Allstate Corporation</t>
  </si>
  <si>
    <t>ALL</t>
  </si>
  <si>
    <t>Allegion PLC</t>
  </si>
  <si>
    <t>ALLE</t>
  </si>
  <si>
    <t>Allakos Inc.</t>
  </si>
  <si>
    <t>ALLK</t>
  </si>
  <si>
    <t>Allogene Therapeutics, Inc.</t>
  </si>
  <si>
    <t>ALLO</t>
  </si>
  <si>
    <t>Ally Financial Inc.</t>
  </si>
  <si>
    <t>ALLY</t>
  </si>
  <si>
    <t>Financial - Consumer Loans</t>
  </si>
  <si>
    <t>Alnylam Pharmaceuticals, Inc.</t>
  </si>
  <si>
    <t>ALNY</t>
  </si>
  <si>
    <t>Allison Transmission Holdings, Inc.</t>
  </si>
  <si>
    <t>ALSN</t>
  </si>
  <si>
    <t>Auto-Tires-Trucks</t>
  </si>
  <si>
    <t>Automotive - Original Equipment</t>
  </si>
  <si>
    <t>Autoliv, Inc.</t>
  </si>
  <si>
    <t>ALV</t>
  </si>
  <si>
    <t>Alexion Pharmaceuticals, Inc.</t>
  </si>
  <si>
    <t>ALXN</t>
  </si>
  <si>
    <t>Antero Midstrm</t>
  </si>
  <si>
    <t>AM</t>
  </si>
  <si>
    <t>Oils-Energy</t>
  </si>
  <si>
    <t>Oil and Gas - Integrated - United States</t>
  </si>
  <si>
    <t>Amadeus IT Group SA</t>
  </si>
  <si>
    <t>AMADY</t>
  </si>
  <si>
    <t>Computers - IT Services</t>
  </si>
  <si>
    <t>Applied Materials, Inc.</t>
  </si>
  <si>
    <t>AMAT</t>
  </si>
  <si>
    <t>Semiconductor Equipment - Wafer Fabrication</t>
  </si>
  <si>
    <t>Advanced Micro Devices, Inc.</t>
  </si>
  <si>
    <t>AMD</t>
  </si>
  <si>
    <t>Electronics - Semiconductors</t>
  </si>
  <si>
    <t>AMETEK, Inc.</t>
  </si>
  <si>
    <t>AME</t>
  </si>
  <si>
    <t>Amedisys, Inc.</t>
  </si>
  <si>
    <t>AMED</t>
  </si>
  <si>
    <t>Medical - Outpatient and Home Healthcare</t>
  </si>
  <si>
    <t>Affiliated Managers Group, Inc.</t>
  </si>
  <si>
    <t>AMG</t>
  </si>
  <si>
    <t>Amgen Inc.</t>
  </si>
  <si>
    <t>AMGN</t>
  </si>
  <si>
    <t>American Homes 4 Rent</t>
  </si>
  <si>
    <t>AMH</t>
  </si>
  <si>
    <t>A P MOLLAR-MRSK</t>
  </si>
  <si>
    <t>AMKBY</t>
  </si>
  <si>
    <t>Transportation - Shipping</t>
  </si>
  <si>
    <t>Ameriprise Financial, Inc.</t>
  </si>
  <si>
    <t>AMP</t>
  </si>
  <si>
    <t>Amarin Corporation PLC</t>
  </si>
  <si>
    <t>AMRN</t>
  </si>
  <si>
    <t>American Tower Corporation (REIT)</t>
  </si>
  <si>
    <t>AMT</t>
  </si>
  <si>
    <t>REIT and Equity Trust - Other</t>
  </si>
  <si>
    <t>TD Ameritrade Holding Corporation</t>
  </si>
  <si>
    <t>AMTD</t>
  </si>
  <si>
    <t>Financial - Investment Bank</t>
  </si>
  <si>
    <t>America Movil, S.A.B. de C.V.</t>
  </si>
  <si>
    <t>AMX</t>
  </si>
  <si>
    <t xml:space="preserve">Wireless Non-US </t>
  </si>
  <si>
    <t>Amazon.com, Inc.</t>
  </si>
  <si>
    <t>AMZN</t>
  </si>
  <si>
    <t>Internet - Commerce</t>
  </si>
  <si>
    <t>AutoNation, Inc.</t>
  </si>
  <si>
    <t>AN</t>
  </si>
  <si>
    <t>Automotive - Retail and Whole Sales</t>
  </si>
  <si>
    <t>Arista Networks, Inc.</t>
  </si>
  <si>
    <t>ANET</t>
  </si>
  <si>
    <t>Communication - Components</t>
  </si>
  <si>
    <t>ANGI Homeservices Inc.</t>
  </si>
  <si>
    <t>ANGI</t>
  </si>
  <si>
    <t>Anta Sports Products Ltd.</t>
  </si>
  <si>
    <t>ANPDF</t>
  </si>
  <si>
    <t>ANSYS, Inc.</t>
  </si>
  <si>
    <t>ANSS</t>
  </si>
  <si>
    <t>Anthem, Inc.</t>
  </si>
  <si>
    <t>ANTM</t>
  </si>
  <si>
    <t>Medical - HMOs</t>
  </si>
  <si>
    <t>Australia &amp; New Zealand Banking Group Ltd.</t>
  </si>
  <si>
    <t>ANZBY</t>
  </si>
  <si>
    <t>Banks - Foreign</t>
  </si>
  <si>
    <t>Aon plc</t>
  </si>
  <si>
    <t>AON</t>
  </si>
  <si>
    <t>A. O. Smith Corporation</t>
  </si>
  <si>
    <t>AOS</t>
  </si>
  <si>
    <t>Apache Corporation</t>
  </si>
  <si>
    <t>APA</t>
  </si>
  <si>
    <t>Oil and Gas - Exploration and Production - United States</t>
  </si>
  <si>
    <t>Air Products and Chemicals, Inc.</t>
  </si>
  <si>
    <t>APD</t>
  </si>
  <si>
    <t>Alps Electric</t>
  </si>
  <si>
    <t>APELY</t>
  </si>
  <si>
    <t>Computer - Peripheral Equipment</t>
  </si>
  <si>
    <t>Amphenol Corporation</t>
  </si>
  <si>
    <t>APH</t>
  </si>
  <si>
    <t>Electronics - Connectors</t>
  </si>
  <si>
    <t>Apollo Global Management, LLC</t>
  </si>
  <si>
    <t>APO</t>
  </si>
  <si>
    <t>AppFolio, Inc.</t>
  </si>
  <si>
    <t>APPF</t>
  </si>
  <si>
    <t>Internet - Software</t>
  </si>
  <si>
    <t>Appian Corporation</t>
  </si>
  <si>
    <t>APPN</t>
  </si>
  <si>
    <t>Aptiv PLC</t>
  </si>
  <si>
    <t>APTV</t>
  </si>
  <si>
    <t>Technology Services</t>
  </si>
  <si>
    <t>Algonquin Power &amp; Utilities Corp.</t>
  </si>
  <si>
    <t>AQN</t>
  </si>
  <si>
    <t>Ares Capital Corporation</t>
  </si>
  <si>
    <t>ARCC</t>
  </si>
  <si>
    <t>Financial - SBIC &amp; Commercial Industry</t>
  </si>
  <si>
    <t>Alexandria Real Estate Equities, Inc.</t>
  </si>
  <si>
    <t>ARE</t>
  </si>
  <si>
    <t>Ares Management L.P.</t>
  </si>
  <si>
    <t>ARES</t>
  </si>
  <si>
    <t>ARGENX SE-ADR</t>
  </si>
  <si>
    <t>ARGX</t>
  </si>
  <si>
    <t>Arkema SA</t>
  </si>
  <si>
    <t>ARKAY</t>
  </si>
  <si>
    <t>Aramark</t>
  </si>
  <si>
    <t>ARMK</t>
  </si>
  <si>
    <t>Food - Miscellaneous</t>
  </si>
  <si>
    <t>Arconic Inc.</t>
  </si>
  <si>
    <t>ARNC</t>
  </si>
  <si>
    <t>Mining - Non Ferrous</t>
  </si>
  <si>
    <t>Arrow Electronics, Inc.</t>
  </si>
  <si>
    <t>ARW</t>
  </si>
  <si>
    <t>Electronics - Parts Distribution</t>
  </si>
  <si>
    <t>Assa Abloy AB</t>
  </si>
  <si>
    <t>ASAZY</t>
  </si>
  <si>
    <t>Associated Banc-Corp</t>
  </si>
  <si>
    <t>ASB</t>
  </si>
  <si>
    <t>Banks - Midwest</t>
  </si>
  <si>
    <t>Associated British Foods PLC</t>
  </si>
  <si>
    <t>ASBFY</t>
  </si>
  <si>
    <t>Aisin Seiki Co. Ltd. Unsponsored ADR</t>
  </si>
  <si>
    <t>ASEKY</t>
  </si>
  <si>
    <t>ASGN Incorporated</t>
  </si>
  <si>
    <t>ASGN</t>
  </si>
  <si>
    <t>Ashland Global Holdings Inc.</t>
  </si>
  <si>
    <t>ASH</t>
  </si>
  <si>
    <t>Chemical - Specialty</t>
  </si>
  <si>
    <t>Ashtead Group PLC</t>
  </si>
  <si>
    <t>ASHTY</t>
  </si>
  <si>
    <t>Industrial Services</t>
  </si>
  <si>
    <t>ASML Holding N.V.</t>
  </si>
  <si>
    <t>ASML</t>
  </si>
  <si>
    <t>Ascendis Pharma A/S</t>
  </si>
  <si>
    <t>ASND</t>
  </si>
  <si>
    <t>Grupo Aeroportuario del Sureste, S.A. de C.V.</t>
  </si>
  <si>
    <t>ASR</t>
  </si>
  <si>
    <t>Transportation - Services</t>
  </si>
  <si>
    <t>Advanced Semiconductor Engineering, Inc.</t>
  </si>
  <si>
    <t>ASX</t>
  </si>
  <si>
    <t>Advantest Corp.</t>
  </si>
  <si>
    <t>ATEYY</t>
  </si>
  <si>
    <t>Electronics - Measuring Instruments</t>
  </si>
  <si>
    <t>Athene Holding Ltd.</t>
  </si>
  <si>
    <t>ATH</t>
  </si>
  <si>
    <t>Insurance - Life Insurance</t>
  </si>
  <si>
    <t>Autohome Inc.</t>
  </si>
  <si>
    <t>ATHM</t>
  </si>
  <si>
    <t>Atlas Copco AB</t>
  </si>
  <si>
    <t>ATLKY</t>
  </si>
  <si>
    <t xml:space="preserve">Manufacturing - General Industrial </t>
  </si>
  <si>
    <t>Atmos Energy Corporation</t>
  </si>
  <si>
    <t>ATO</t>
  </si>
  <si>
    <t>Utility - Gas Distribution</t>
  </si>
  <si>
    <t>AptarGroup, Inc.</t>
  </si>
  <si>
    <t>ATR</t>
  </si>
  <si>
    <t>Containers - Paper and Packaging</t>
  </si>
  <si>
    <t>Altice USA, Inc.</t>
  </si>
  <si>
    <t>ATUS</t>
  </si>
  <si>
    <t>Activision Blizzard, Inc</t>
  </si>
  <si>
    <t>ATVI</t>
  </si>
  <si>
    <t>Toys - Games - Hobbies</t>
  </si>
  <si>
    <t>AngloGold Ashanti Limited</t>
  </si>
  <si>
    <t>AU</t>
  </si>
  <si>
    <t>Atlantic Union Bankshares Corporation</t>
  </si>
  <si>
    <t>AUB</t>
  </si>
  <si>
    <t>Banks - Northeast</t>
  </si>
  <si>
    <t>Polymetal International PLC Sponsored ADR</t>
  </si>
  <si>
    <t>AUCOY</t>
  </si>
  <si>
    <t>Mining - Miscellaneous</t>
  </si>
  <si>
    <t>Yamana Gold Inc.</t>
  </si>
  <si>
    <t>AUY</t>
  </si>
  <si>
    <t>Avista Corporation</t>
  </si>
  <si>
    <t>AVA</t>
  </si>
  <si>
    <t>Grupo Aval Acciones y Valores S.A.</t>
  </si>
  <si>
    <t>AVAL</t>
  </si>
  <si>
    <t>AvalonBay Communities, Inc.</t>
  </si>
  <si>
    <t>AVB</t>
  </si>
  <si>
    <t>Broadcom Inc.</t>
  </si>
  <si>
    <t>AVGO</t>
  </si>
  <si>
    <t>Avalara, Inc.</t>
  </si>
  <si>
    <t>AVLR</t>
  </si>
  <si>
    <t>Avnet, Inc.</t>
  </si>
  <si>
    <t>AVT</t>
  </si>
  <si>
    <t>Aviva PLC</t>
  </si>
  <si>
    <t>AVVIY</t>
  </si>
  <si>
    <t>Avery Dennison Corporation</t>
  </si>
  <si>
    <t>AVY</t>
  </si>
  <si>
    <t>Office Supplies</t>
  </si>
  <si>
    <t>Armstrong World Industries, Inc.</t>
  </si>
  <si>
    <t>AWI</t>
  </si>
  <si>
    <t>Building Products - Miscellaneous</t>
  </si>
  <si>
    <t>American Water Works Company, Inc.</t>
  </si>
  <si>
    <t>AWK</t>
  </si>
  <si>
    <t>Utility - Water Supply</t>
  </si>
  <si>
    <t>American States Water Company</t>
  </si>
  <si>
    <t>AWR</t>
  </si>
  <si>
    <t>Axa Sa</t>
  </si>
  <si>
    <t>AXAHY</t>
  </si>
  <si>
    <t>American Express Company</t>
  </si>
  <si>
    <t>AXP</t>
  </si>
  <si>
    <t>Financial - Miscellaneous Services</t>
  </si>
  <si>
    <t>Axis Capital Holdings Limited</t>
  </si>
  <si>
    <t>AXS</t>
  </si>
  <si>
    <t>Axalta Coating Systems Ltd.</t>
  </si>
  <si>
    <t>AXTA</t>
  </si>
  <si>
    <t>Acuity Brands Inc</t>
  </si>
  <si>
    <t>AYI</t>
  </si>
  <si>
    <t>Building Products - Lighting</t>
  </si>
  <si>
    <t>Alteryx, Inc.</t>
  </si>
  <si>
    <t>AYX</t>
  </si>
  <si>
    <t>AstraZeneca PLC</t>
  </si>
  <si>
    <t>AZN</t>
  </si>
  <si>
    <t>AutoZone, Inc.</t>
  </si>
  <si>
    <t>AZO</t>
  </si>
  <si>
    <t>Aspen Technology, Inc.</t>
  </si>
  <si>
    <t>AZPN</t>
  </si>
  <si>
    <t>Allianz SE</t>
  </si>
  <si>
    <t>AZSEY</t>
  </si>
  <si>
    <t>AZUL SA</t>
  </si>
  <si>
    <t>AZUL</t>
  </si>
  <si>
    <t>The Boeing Company</t>
  </si>
  <si>
    <t>BA</t>
  </si>
  <si>
    <t>Aerospace - Defense</t>
  </si>
  <si>
    <t>Alibaba Group Holding Limited</t>
  </si>
  <si>
    <t>BABA</t>
  </si>
  <si>
    <t>Bank of America Corporation</t>
  </si>
  <si>
    <t>BAC</t>
  </si>
  <si>
    <t>Banks - Major Regional</t>
  </si>
  <si>
    <t>Bae Systems PLC</t>
  </si>
  <si>
    <t>BAESY</t>
  </si>
  <si>
    <t>Booz Allen Hamilton Holding Corporation</t>
  </si>
  <si>
    <t>BAH</t>
  </si>
  <si>
    <t>Government Services</t>
  </si>
  <si>
    <t>Bayerische Motoren Werke AG</t>
  </si>
  <si>
    <t>BAMXF</t>
  </si>
  <si>
    <t>Automotive - Foreign</t>
  </si>
  <si>
    <t>Credicorp Ltd.</t>
  </si>
  <si>
    <t>BAP</t>
  </si>
  <si>
    <t>BASF SE</t>
  </si>
  <si>
    <t>BASFY</t>
  </si>
  <si>
    <t>Baxter International Inc.</t>
  </si>
  <si>
    <t>BAX</t>
  </si>
  <si>
    <t>Bayer Aktiengesellschaft</t>
  </si>
  <si>
    <t>BAYRY</t>
  </si>
  <si>
    <t>BlackBerry Limited</t>
  </si>
  <si>
    <t>BB</t>
  </si>
  <si>
    <t>BBA AVIATION</t>
  </si>
  <si>
    <t>BBAVY</t>
  </si>
  <si>
    <t>Banco Bradesco SA</t>
  </si>
  <si>
    <t>BBD</t>
  </si>
  <si>
    <t>BHP Billiton PLC</t>
  </si>
  <si>
    <t>BBL</t>
  </si>
  <si>
    <t>BB&amp;T Corporation</t>
  </si>
  <si>
    <t>BBT</t>
  </si>
  <si>
    <t>Banco Bilbao Viscaya Argentaria S.A.</t>
  </si>
  <si>
    <t>BBVA</t>
  </si>
  <si>
    <t>Best Buy Co., Inc.</t>
  </si>
  <si>
    <t>BBY</t>
  </si>
  <si>
    <t>Brunswick Corporation</t>
  </si>
  <si>
    <t>BC</t>
  </si>
  <si>
    <t>Leisure and Recreation Products</t>
  </si>
  <si>
    <t>Brilliance China Automotive Holdings Ltd. Unsponsored ADR</t>
  </si>
  <si>
    <t>BCAUY</t>
  </si>
  <si>
    <t>BCE, Inc.</t>
  </si>
  <si>
    <t>BCE</t>
  </si>
  <si>
    <t>Diversified Communication Services</t>
  </si>
  <si>
    <t>Banco De Chile</t>
  </si>
  <si>
    <t>BCH</t>
  </si>
  <si>
    <t>Babcock International Group PLC</t>
  </si>
  <si>
    <t>BCKIY</t>
  </si>
  <si>
    <t>Brink's Company (The)</t>
  </si>
  <si>
    <t>BCO</t>
  </si>
  <si>
    <t>Balchem Corporation</t>
  </si>
  <si>
    <t>BCPC</t>
  </si>
  <si>
    <t>Barclays PLC</t>
  </si>
  <si>
    <t>BCS</t>
  </si>
  <si>
    <t>Becton, Dickinson and Company</t>
  </si>
  <si>
    <t>BDX</t>
  </si>
  <si>
    <t>Franklin Resources, Inc.</t>
  </si>
  <si>
    <t>BEN</t>
  </si>
  <si>
    <t>Berry Global Group, Inc.</t>
  </si>
  <si>
    <t>BERY</t>
  </si>
  <si>
    <t>Brown Forman Corporation</t>
  </si>
  <si>
    <t>BF.A</t>
  </si>
  <si>
    <t>Brown-Forman Corporation</t>
  </si>
  <si>
    <t>BF.B</t>
  </si>
  <si>
    <t>Bright Horizons Family Solutions Inc.</t>
  </si>
  <si>
    <t>BFAM</t>
  </si>
  <si>
    <t>Schools</t>
  </si>
  <si>
    <t>Bunge Limited</t>
  </si>
  <si>
    <t>BG</t>
  </si>
  <si>
    <t>Agriculture - Products</t>
  </si>
  <si>
    <t>BeiGene, Ltd.</t>
  </si>
  <si>
    <t>BGNE</t>
  </si>
  <si>
    <t>Bausch Health Cos Inc.</t>
  </si>
  <si>
    <t>BHC</t>
  </si>
  <si>
    <t>Brighthouse Financial, Inc.</t>
  </si>
  <si>
    <t>BHF</t>
  </si>
  <si>
    <t>Baker Hughes, a GE company</t>
  </si>
  <si>
    <t>BHGE</t>
  </si>
  <si>
    <t>Oil and Gas - Field Services</t>
  </si>
  <si>
    <t>BOOHOO COM PLC</t>
  </si>
  <si>
    <t>BHOOY</t>
  </si>
  <si>
    <t>BHP Group Limited</t>
  </si>
  <si>
    <t>BHP</t>
  </si>
  <si>
    <t>Baidu, Inc.</t>
  </si>
  <si>
    <t>BIDU</t>
  </si>
  <si>
    <t>Biogen Inc.</t>
  </si>
  <si>
    <t>BIIB</t>
  </si>
  <si>
    <t>Bilibili Inc. Sponsored ADR</t>
  </si>
  <si>
    <t>BILI</t>
  </si>
  <si>
    <t>Bio-Rad Laboratories, Inc.</t>
  </si>
  <si>
    <t>BIO</t>
  </si>
  <si>
    <t>Brookfield Infrastructure Partners LP</t>
  </si>
  <si>
    <t>BIP</t>
  </si>
  <si>
    <t>BJ's Wholesale Club Holdings, Inc.</t>
  </si>
  <si>
    <t>BJ</t>
  </si>
  <si>
    <t>Consumer Services - Miscellaneous</t>
  </si>
  <si>
    <t>The Bank of New York Mellon Corporation</t>
  </si>
  <si>
    <t>BK</t>
  </si>
  <si>
    <t>The Bank of East Asia Ltd.</t>
  </si>
  <si>
    <t>BKEAY</t>
  </si>
  <si>
    <t>Berkeley Group Holdings PLC Unsponsored ADR</t>
  </si>
  <si>
    <t>BKGFY</t>
  </si>
  <si>
    <t>Real Estate - Development</t>
  </si>
  <si>
    <t>Black Hills Corporation</t>
  </si>
  <si>
    <t>BKH</t>
  </si>
  <si>
    <t>Black Knight Financial Services, Inc.</t>
  </si>
  <si>
    <t>BKI</t>
  </si>
  <si>
    <t>Business - Information Services</t>
  </si>
  <si>
    <t>Booking Holdings Inc.</t>
  </si>
  <si>
    <t>BKNG</t>
  </si>
  <si>
    <t>Bankinter SA</t>
  </si>
  <si>
    <t>BKNIY</t>
  </si>
  <si>
    <t>BankUnited, Inc.</t>
  </si>
  <si>
    <t>BKU</t>
  </si>
  <si>
    <t>TopBuild Corp.</t>
  </si>
  <si>
    <t>BLD</t>
  </si>
  <si>
    <t>BlackRock, Inc.</t>
  </si>
  <si>
    <t>BLK</t>
  </si>
  <si>
    <t>Blackbaud, Inc.</t>
  </si>
  <si>
    <t>BLKB</t>
  </si>
  <si>
    <t>Ball Corporation</t>
  </si>
  <si>
    <t>BLL</t>
  </si>
  <si>
    <t>Containers - Metal and Glass</t>
  </si>
  <si>
    <t>bluebird bio, Inc.</t>
  </si>
  <si>
    <t>BLUE</t>
  </si>
  <si>
    <t>Bank Of Montreal</t>
  </si>
  <si>
    <t>BMO</t>
  </si>
  <si>
    <t>BioMarin Pharmaceutical Inc.</t>
  </si>
  <si>
    <t>BMRN</t>
  </si>
  <si>
    <t>B&amp;M European Value Retail SA Unsponsored ADR</t>
  </si>
  <si>
    <t>BMRRY</t>
  </si>
  <si>
    <t>Consumer Products - Discretionary</t>
  </si>
  <si>
    <t>Bristol-Myers Squibb Company</t>
  </si>
  <si>
    <t>BMY</t>
  </si>
  <si>
    <t>BNP Paribas SA</t>
  </si>
  <si>
    <t>BNPQY</t>
  </si>
  <si>
    <t>Bank of Nova Scotia (The)</t>
  </si>
  <si>
    <t>BNS</t>
  </si>
  <si>
    <t>Brenntag AG</t>
  </si>
  <si>
    <t>BNTGY</t>
  </si>
  <si>
    <t>Bank of Hawaii Corporation</t>
  </si>
  <si>
    <t>BOH</t>
  </si>
  <si>
    <t>Banks - West</t>
  </si>
  <si>
    <t>BOK Financial Corporation</t>
  </si>
  <si>
    <t>BOKF</t>
  </si>
  <si>
    <t>Banks - Southwest</t>
  </si>
  <si>
    <t>BOUYGUES SA</t>
  </si>
  <si>
    <t>BOUYF</t>
  </si>
  <si>
    <t>BP p.l.c.</t>
  </si>
  <si>
    <t>BP</t>
  </si>
  <si>
    <t>Oil and Gas - Integrated - International</t>
  </si>
  <si>
    <t>Buckeye Partners L.P.</t>
  </si>
  <si>
    <t>BPL</t>
  </si>
  <si>
    <t>Oil and Gas - Production Pipeline - MLB</t>
  </si>
  <si>
    <t>Blueprint Medicines Corporation</t>
  </si>
  <si>
    <t>BPMC</t>
  </si>
  <si>
    <t>Popular, Inc.</t>
  </si>
  <si>
    <t>BPOP</t>
  </si>
  <si>
    <t>Banks - Southeast</t>
  </si>
  <si>
    <t>Broadridge Financial Solutions, Inc.</t>
  </si>
  <si>
    <t>BR</t>
  </si>
  <si>
    <t>Bridgestone Corp.</t>
  </si>
  <si>
    <t>BRDCY</t>
  </si>
  <si>
    <t>Rubber - Tires</t>
  </si>
  <si>
    <t>BRF S.A.</t>
  </si>
  <si>
    <t>BRFS</t>
  </si>
  <si>
    <t>Berkshire Hathaway Inc.</t>
  </si>
  <si>
    <t>BRK.B</t>
  </si>
  <si>
    <t>Braskem S.A.</t>
  </si>
  <si>
    <t>BRKMY</t>
  </si>
  <si>
    <t>Bruker Corporation</t>
  </si>
  <si>
    <t>BRKR</t>
  </si>
  <si>
    <t>Instruments - Scientific</t>
  </si>
  <si>
    <t>Brown &amp; Brown, Inc.</t>
  </si>
  <si>
    <t>BRO</t>
  </si>
  <si>
    <t>Brixmor Property Group Inc.</t>
  </si>
  <si>
    <t>BRX</t>
  </si>
  <si>
    <t>Banco Santander Chile</t>
  </si>
  <si>
    <t>BSAC</t>
  </si>
  <si>
    <t>Banco Santander Brasil SA</t>
  </si>
  <si>
    <t>BSBR</t>
  </si>
  <si>
    <t>Black Stone Minerals, L.P.</t>
  </si>
  <si>
    <t>BSM</t>
  </si>
  <si>
    <t>Energy and Pipeline - Master Limited Partnerships</t>
  </si>
  <si>
    <t>Grupo Financiero Santander Mexico S.A. B. de C.V.</t>
  </si>
  <si>
    <t>BSMX</t>
  </si>
  <si>
    <t>Boston Scientific Corporation</t>
  </si>
  <si>
    <t>BSX</t>
  </si>
  <si>
    <t>Barratt Developments PLC Unsponsored ADR</t>
  </si>
  <si>
    <t>BTDPY</t>
  </si>
  <si>
    <t>B2Gold Corp</t>
  </si>
  <si>
    <t>BTG</t>
  </si>
  <si>
    <t>British American Tobacco p.l.c.</t>
  </si>
  <si>
    <t>BTI</t>
  </si>
  <si>
    <t>Tobacco</t>
  </si>
  <si>
    <t>BT Group PLC</t>
  </si>
  <si>
    <t>BTTGY</t>
  </si>
  <si>
    <t>Anheuser-Busch InBev SA/NV</t>
  </si>
  <si>
    <t>BUD</t>
  </si>
  <si>
    <t>Burberry Group PLC</t>
  </si>
  <si>
    <t>BURBY</t>
  </si>
  <si>
    <t>Retail - Apparel and Shoes</t>
  </si>
  <si>
    <t>Burlington Stores, Inc.</t>
  </si>
  <si>
    <t>BURL</t>
  </si>
  <si>
    <t>Retail - Discount Stores</t>
  </si>
  <si>
    <t>Buenaventura Mining Company Inc.</t>
  </si>
  <si>
    <t>BVN</t>
  </si>
  <si>
    <t>Mining - Silver</t>
  </si>
  <si>
    <t>Bureau Veritas Registre International De Classification</t>
  </si>
  <si>
    <t>BVRDF</t>
  </si>
  <si>
    <t>BorgWarner Inc.</t>
  </si>
  <si>
    <t>BWA</t>
  </si>
  <si>
    <t>BWX Technologies, Inc.</t>
  </si>
  <si>
    <t>BWXT</t>
  </si>
  <si>
    <t>Blackstone Group Inc/The</t>
  </si>
  <si>
    <t>BX</t>
  </si>
  <si>
    <t>Capital Trust, Inc.</t>
  </si>
  <si>
    <t>BXMT</t>
  </si>
  <si>
    <t>Boston Properties, Inc.</t>
  </si>
  <si>
    <t>BXP</t>
  </si>
  <si>
    <t>Bunzl PLC</t>
  </si>
  <si>
    <t>BZLFY</t>
  </si>
  <si>
    <t>Conglomerates</t>
  </si>
  <si>
    <t>Diversified Operations</t>
  </si>
  <si>
    <t>Citigroup Inc.</t>
  </si>
  <si>
    <t>C</t>
  </si>
  <si>
    <t>Carlsberg AS</t>
  </si>
  <si>
    <t>CABGY</t>
  </si>
  <si>
    <t>Cable One, Inc.</t>
  </si>
  <si>
    <t>CABO</t>
  </si>
  <si>
    <t>Cable Television</t>
  </si>
  <si>
    <t>Credit Acceptance Corporation</t>
  </si>
  <si>
    <t>CACC</t>
  </si>
  <si>
    <t>CACI International, Inc.</t>
  </si>
  <si>
    <t>CACI</t>
  </si>
  <si>
    <t>Computer - Services</t>
  </si>
  <si>
    <t>CAE Inc</t>
  </si>
  <si>
    <t>CAE</t>
  </si>
  <si>
    <t>Conagra Brands Inc.</t>
  </si>
  <si>
    <t>CAG</t>
  </si>
  <si>
    <t>Cardinal Health, Inc.</t>
  </si>
  <si>
    <t>CAH</t>
  </si>
  <si>
    <t>Canon, Inc.</t>
  </si>
  <si>
    <t>CAJ</t>
  </si>
  <si>
    <t>Office Automation and Equipment</t>
  </si>
  <si>
    <t>CarGurus, Inc.</t>
  </si>
  <si>
    <t>CARG</t>
  </si>
  <si>
    <t>Automotive - Replacement Parts</t>
  </si>
  <si>
    <t>Casey's General Stores, Inc.</t>
  </si>
  <si>
    <t>CASY</t>
  </si>
  <si>
    <t>Retail - Convenience Stores</t>
  </si>
  <si>
    <t>Caterpillar Inc.</t>
  </si>
  <si>
    <t>CAT</t>
  </si>
  <si>
    <t>Manufacturing - Construction and Mining</t>
  </si>
  <si>
    <t>Chubb Limited</t>
  </si>
  <si>
    <t>CB</t>
  </si>
  <si>
    <t>Companhia Brasileira de Distribuicao</t>
  </si>
  <si>
    <t>CBD</t>
  </si>
  <si>
    <t>Retail - Supermarkets</t>
  </si>
  <si>
    <t>Cboe Global Markets, Inc.</t>
  </si>
  <si>
    <t>CBOE</t>
  </si>
  <si>
    <t>Securities and Exchanges</t>
  </si>
  <si>
    <t>China Biologic Products, Inc.</t>
  </si>
  <si>
    <t>CBPO</t>
  </si>
  <si>
    <t>CBRE Group, Inc.</t>
  </si>
  <si>
    <t>CBRE</t>
  </si>
  <si>
    <t>Real Estate - Operations</t>
  </si>
  <si>
    <t>Cracker Barrel Old Country Store, Inc.</t>
  </si>
  <si>
    <t>CBRL</t>
  </si>
  <si>
    <t>Retail - Restaurants</t>
  </si>
  <si>
    <t>CBS Corporation</t>
  </si>
  <si>
    <t>CBS</t>
  </si>
  <si>
    <t>Broadcast Radio and Television</t>
  </si>
  <si>
    <t>Community Bank System, Inc.</t>
  </si>
  <si>
    <t>CBU</t>
  </si>
  <si>
    <t>China Communications Construction Co.</t>
  </si>
  <si>
    <t>CCCGY</t>
  </si>
  <si>
    <t>Building Products - Heavy Construction</t>
  </si>
  <si>
    <t>Coca-Cola European Partners PLC</t>
  </si>
  <si>
    <t>CCEP</t>
  </si>
  <si>
    <t>Beverages - Soft drinks</t>
  </si>
  <si>
    <t>COCA-COLA HBC</t>
  </si>
  <si>
    <t>CCHGY</t>
  </si>
  <si>
    <t>Crown Castle International Corporation</t>
  </si>
  <si>
    <t>CCI</t>
  </si>
  <si>
    <t>Cameco Corporation</t>
  </si>
  <si>
    <t>CCJ</t>
  </si>
  <si>
    <t>Crown Holdings, Inc.</t>
  </si>
  <si>
    <t>CCK</t>
  </si>
  <si>
    <t>Carnival Corporation</t>
  </si>
  <si>
    <t>CCL</t>
  </si>
  <si>
    <t>Leisure and Recreation Services</t>
  </si>
  <si>
    <t>Coca-Cola Amatil Ltd.</t>
  </si>
  <si>
    <t>CCLAY</t>
  </si>
  <si>
    <t>Cabot Microelectronics Corporation</t>
  </si>
  <si>
    <t>CCMP</t>
  </si>
  <si>
    <t>China Coal Energy Co.</t>
  </si>
  <si>
    <t>CCOZY</t>
  </si>
  <si>
    <t>Coal</t>
  </si>
  <si>
    <t>Compania Cervecerias Unidas, S.A.</t>
  </si>
  <si>
    <t>CCU</t>
  </si>
  <si>
    <t>Ceridian HCM Holding Inc.</t>
  </si>
  <si>
    <t>CDAY</t>
  </si>
  <si>
    <t>City Developments Ltd.</t>
  </si>
  <si>
    <t>CDEVY</t>
  </si>
  <si>
    <t>CDK Global, Inc.</t>
  </si>
  <si>
    <t>CDK</t>
  </si>
  <si>
    <t>Cadence Design Systems, Inc.</t>
  </si>
  <si>
    <t>CDNS</t>
  </si>
  <si>
    <t>CDW Corporation</t>
  </si>
  <si>
    <t>CDW</t>
  </si>
  <si>
    <t>Celanese Corporation</t>
  </si>
  <si>
    <t>CE</t>
  </si>
  <si>
    <t>China Eastern Airlines Corporation Ltd.</t>
  </si>
  <si>
    <t>CEA</t>
  </si>
  <si>
    <t>Celgene Corporation</t>
  </si>
  <si>
    <t>CELG</t>
  </si>
  <si>
    <t>CNOOC Limited</t>
  </si>
  <si>
    <t>CEO</t>
  </si>
  <si>
    <t>Oil and Gas - Integrated - Emerging Markets</t>
  </si>
  <si>
    <t>Cerner Corporation</t>
  </si>
  <si>
    <t>CERN</t>
  </si>
  <si>
    <t>Medical Info Systems</t>
  </si>
  <si>
    <t>CF Industries Holdings, Inc.</t>
  </si>
  <si>
    <t>CF</t>
  </si>
  <si>
    <t>Fertilizers</t>
  </si>
  <si>
    <t>Citizens Financial Group, Inc.</t>
  </si>
  <si>
    <t>CFG</t>
  </si>
  <si>
    <t>Financial - Savings and Loan</t>
  </si>
  <si>
    <t>Colfax Corporation</t>
  </si>
  <si>
    <t>CFX</t>
  </si>
  <si>
    <t>Canopy Growth Corporation</t>
  </si>
  <si>
    <t>CGC</t>
  </si>
  <si>
    <t>Cognex Corporation</t>
  </si>
  <si>
    <t>CGNX</t>
  </si>
  <si>
    <t>China Telecom Corp Ltd</t>
  </si>
  <si>
    <t>CHA</t>
  </si>
  <si>
    <t>Wireline Non-US</t>
  </si>
  <si>
    <t>Church &amp; Dwight Co., Inc.</t>
  </si>
  <si>
    <t>CHD</t>
  </si>
  <si>
    <t>Soap and Cleaning Materials</t>
  </si>
  <si>
    <t>Churchill Downs, Incorporated</t>
  </si>
  <si>
    <t>CHDN</t>
  </si>
  <si>
    <t>Gaming</t>
  </si>
  <si>
    <t>Chemed Corporation</t>
  </si>
  <si>
    <t>CHE</t>
  </si>
  <si>
    <t>Chegg, Inc.</t>
  </si>
  <si>
    <t>CHGG</t>
  </si>
  <si>
    <t>Choice Hotels International, Inc.</t>
  </si>
  <si>
    <t>CHH</t>
  </si>
  <si>
    <t>Hotels and Motels</t>
  </si>
  <si>
    <t>Check Point Software Technologies Ltd.</t>
  </si>
  <si>
    <t>CHKP</t>
  </si>
  <si>
    <t>Security</t>
  </si>
  <si>
    <t>China Mobile (Hong Kong) Ltd.</t>
  </si>
  <si>
    <t>CHL</t>
  </si>
  <si>
    <t>C.H. Robinson Worldwide, Inc.</t>
  </si>
  <si>
    <t>CHRW</t>
  </si>
  <si>
    <t>Charter Communications, Inc.</t>
  </si>
  <si>
    <t>CHTR</t>
  </si>
  <si>
    <t>China Unicom (Hong Kong) Ltd</t>
  </si>
  <si>
    <t>CHU</t>
  </si>
  <si>
    <t>Cigna Corporation</t>
  </si>
  <si>
    <t>CI</t>
  </si>
  <si>
    <t>BanColombia S.A.</t>
  </si>
  <si>
    <t>CIB</t>
  </si>
  <si>
    <t>China Cosco Holdings Co.</t>
  </si>
  <si>
    <t>CICOY</t>
  </si>
  <si>
    <t>Ciena Corporation</t>
  </si>
  <si>
    <t>CIEN</t>
  </si>
  <si>
    <t>Fiber Optics</t>
  </si>
  <si>
    <t>Chimera Investment Corporation</t>
  </si>
  <si>
    <t>CIM</t>
  </si>
  <si>
    <t>Cincinnati Financial Corporation</t>
  </si>
  <si>
    <t>CINF</t>
  </si>
  <si>
    <t>CIT Group Inc.</t>
  </si>
  <si>
    <t>CIT</t>
  </si>
  <si>
    <t>Central Japan Railway Co.</t>
  </si>
  <si>
    <t>CJPRY</t>
  </si>
  <si>
    <t>Transportation - Rail</t>
  </si>
  <si>
    <t>Colgate-Palmolive Company</t>
  </si>
  <si>
    <t>CL</t>
  </si>
  <si>
    <t>CoreLogic, Inc.</t>
  </si>
  <si>
    <t>CLGX</t>
  </si>
  <si>
    <t>Clean Harbors, Inc.</t>
  </si>
  <si>
    <t>CLH</t>
  </si>
  <si>
    <t>Waste Removal Services</t>
  </si>
  <si>
    <t>CLP Holdings Ltd.</t>
  </si>
  <si>
    <t>CLPHY</t>
  </si>
  <si>
    <t>Continental Resources, Inc.</t>
  </si>
  <si>
    <t>CLR</t>
  </si>
  <si>
    <t>The Clorox Company</t>
  </si>
  <si>
    <t>CLX</t>
  </si>
  <si>
    <t>Canadian Imperial Bank of Commerce</t>
  </si>
  <si>
    <t>CM</t>
  </si>
  <si>
    <t>Comerica Incorporated</t>
  </si>
  <si>
    <t>CMA</t>
  </si>
  <si>
    <t>Comcast Corporation</t>
  </si>
  <si>
    <t>CMCSA</t>
  </si>
  <si>
    <t>Cantel Medical Corp.</t>
  </si>
  <si>
    <t>CMD</t>
  </si>
  <si>
    <t>CME Group Inc.</t>
  </si>
  <si>
    <t>CME</t>
  </si>
  <si>
    <t>Chipotle Mexican Grill, Inc.</t>
  </si>
  <si>
    <t>CMG</t>
  </si>
  <si>
    <t>Cummins Inc.</t>
  </si>
  <si>
    <t>CMI</t>
  </si>
  <si>
    <t>Automotive - Internal Combustion Engines</t>
  </si>
  <si>
    <t>Compass Group PLC</t>
  </si>
  <si>
    <t>CMPGY</t>
  </si>
  <si>
    <t>Cimpress N.V</t>
  </si>
  <si>
    <t>CMPR</t>
  </si>
  <si>
    <t>Commercial Printing</t>
  </si>
  <si>
    <t>CMS Energy Corporation</t>
  </si>
  <si>
    <t>CMS</t>
  </si>
  <si>
    <t>CNA Financial Corporation</t>
  </si>
  <si>
    <t>CNA</t>
  </si>
  <si>
    <t>Centene Corporation</t>
  </si>
  <si>
    <t>CNC</t>
  </si>
  <si>
    <t>CNH Industrial N.V.</t>
  </si>
  <si>
    <t>CNHI</t>
  </si>
  <si>
    <t>Canadian National Railway Company</t>
  </si>
  <si>
    <t>CNI</t>
  </si>
  <si>
    <t>Cinemark Holdings Inc</t>
  </si>
  <si>
    <t>CNK</t>
  </si>
  <si>
    <t>CenterPoint Energy, Inc.</t>
  </si>
  <si>
    <t>CNP</t>
  </si>
  <si>
    <t>Canadian Natural Resources Limited</t>
  </si>
  <si>
    <t>CNQ</t>
  </si>
  <si>
    <t>Oil and Gas - Exploration and Production - Canadian</t>
  </si>
  <si>
    <t>Capital One Financial Corporation</t>
  </si>
  <si>
    <t>COF</t>
  </si>
  <si>
    <t>Cabot Oil &amp; Gas Corporation</t>
  </si>
  <si>
    <t>COG</t>
  </si>
  <si>
    <t>Coherent, Inc.</t>
  </si>
  <si>
    <t>COHR</t>
  </si>
  <si>
    <t>Semiconductor Equipment - Wafer Components</t>
  </si>
  <si>
    <t>Croda International PLC Unsponsored ADR</t>
  </si>
  <si>
    <t>COIHY</t>
  </si>
  <si>
    <t>Americold Realty Trust</t>
  </si>
  <si>
    <t>COLD</t>
  </si>
  <si>
    <t>Columbia Sportswear Company</t>
  </si>
  <si>
    <t>COLM</t>
  </si>
  <si>
    <t>Textile - Apparel</t>
  </si>
  <si>
    <t>CyrusOne Inc</t>
  </si>
  <si>
    <t>CONE</t>
  </si>
  <si>
    <t>The Cooper Companies, Inc.</t>
  </si>
  <si>
    <t>COO</t>
  </si>
  <si>
    <t>ConocoPhillips</t>
  </si>
  <si>
    <t>COP</t>
  </si>
  <si>
    <t>CoreSite Realty Corporation</t>
  </si>
  <si>
    <t>COR</t>
  </si>
  <si>
    <t>Costco Wholesale Corporation</t>
  </si>
  <si>
    <t>COST</t>
  </si>
  <si>
    <t>Coty Inc.</t>
  </si>
  <si>
    <t>COTY</t>
  </si>
  <si>
    <t>Cosmetics</t>
  </si>
  <si>
    <t>COUPA SOFTWARE</t>
  </si>
  <si>
    <t>COUP</t>
  </si>
  <si>
    <t>Covestro AG Sponsored ADR</t>
  </si>
  <si>
    <t>COVTY</t>
  </si>
  <si>
    <t>Chemical - Plastic</t>
  </si>
  <si>
    <t>Canadian Pacific Railway Limited</t>
  </si>
  <si>
    <t>CP</t>
  </si>
  <si>
    <t>Copa Holdings, S.A.</t>
  </si>
  <si>
    <t>CPA</t>
  </si>
  <si>
    <t>Campbell Soup Company</t>
  </si>
  <si>
    <t>CPB</t>
  </si>
  <si>
    <t>Cathay Pacific Airways Ltd.</t>
  </si>
  <si>
    <t>CPCAY</t>
  </si>
  <si>
    <t>Capri Holdings Limited</t>
  </si>
  <si>
    <t>CPRI</t>
  </si>
  <si>
    <t>Copart, Inc.</t>
  </si>
  <si>
    <t>CPRT</t>
  </si>
  <si>
    <t>Auction and Valuation Services</t>
  </si>
  <si>
    <t>Camden Property Trust</t>
  </si>
  <si>
    <t>CPT</t>
  </si>
  <si>
    <t>Centrica PLC</t>
  </si>
  <si>
    <t>CPYYY</t>
  </si>
  <si>
    <t>Cheniere Energy Partners, LP</t>
  </si>
  <si>
    <t>CQP</t>
  </si>
  <si>
    <t>Oil and Gas - Production and Pipelines</t>
  </si>
  <si>
    <t>Crane Company</t>
  </si>
  <si>
    <t>CR</t>
  </si>
  <si>
    <t>Credit Agricole SA</t>
  </si>
  <si>
    <t>CRARY</t>
  </si>
  <si>
    <t>Cree, Inc.</t>
  </si>
  <si>
    <t>CREE</t>
  </si>
  <si>
    <t>Semiconductor - Discretes</t>
  </si>
  <si>
    <t>Carter's, Inc.</t>
  </si>
  <si>
    <t>CRI</t>
  </si>
  <si>
    <t>Charles River Laboratories International, Inc.</t>
  </si>
  <si>
    <t>CRL</t>
  </si>
  <si>
    <t>Medical Services</t>
  </si>
  <si>
    <t>salesforce.com, inc.</t>
  </si>
  <si>
    <t>CRM</t>
  </si>
  <si>
    <t>Cronos Group Inc.</t>
  </si>
  <si>
    <t>CRON</t>
  </si>
  <si>
    <t>China Resources Power Holdings Co.</t>
  </si>
  <si>
    <t>CRPJY</t>
  </si>
  <si>
    <t>Carrefour SA</t>
  </si>
  <si>
    <t>CRRFY</t>
  </si>
  <si>
    <t>Cirrus Logic, Inc.</t>
  </si>
  <si>
    <t>CRUS</t>
  </si>
  <si>
    <t>Credit Suisse Group</t>
  </si>
  <si>
    <t>CS</t>
  </si>
  <si>
    <t>Cisco Systems, Inc.</t>
  </si>
  <si>
    <t>CSCO</t>
  </si>
  <si>
    <t>Computer - Networking</t>
  </si>
  <si>
    <t>CenterState Bank Corporation</t>
  </si>
  <si>
    <t>CSFL</t>
  </si>
  <si>
    <t>CoStar Group, Inc.</t>
  </si>
  <si>
    <t>CSGP</t>
  </si>
  <si>
    <t>Carlisle Companies Incorporated</t>
  </si>
  <si>
    <t>CSL</t>
  </si>
  <si>
    <t>CSL Limited Sponsored ADR</t>
  </si>
  <si>
    <t>CSLLY</t>
  </si>
  <si>
    <t>Cornerstone OnDemand, Inc.</t>
  </si>
  <si>
    <t>CSOD</t>
  </si>
  <si>
    <t>CSX Corporation</t>
  </si>
  <si>
    <t>CSX</t>
  </si>
  <si>
    <t>Cintas Corporation</t>
  </si>
  <si>
    <t>CTAS</t>
  </si>
  <si>
    <t>Uniform and Related</t>
  </si>
  <si>
    <t>CenturyLink, Inc.</t>
  </si>
  <si>
    <t>CTL</t>
  </si>
  <si>
    <t>Wireless National</t>
  </si>
  <si>
    <t>Catalent, Inc.</t>
  </si>
  <si>
    <t>CTLT</t>
  </si>
  <si>
    <t>Medical - Drugs</t>
  </si>
  <si>
    <t>Ctrip.com International, Ltd.</t>
  </si>
  <si>
    <t>CTRP</t>
  </si>
  <si>
    <t>Cognizant Technology Solutions Corporation</t>
  </si>
  <si>
    <t>CTSH</t>
  </si>
  <si>
    <t>Business - Software Services</t>
  </si>
  <si>
    <t>Continental AG</t>
  </si>
  <si>
    <t>CTTAY</t>
  </si>
  <si>
    <t>Citrix Systems, Inc.</t>
  </si>
  <si>
    <t>CTXS</t>
  </si>
  <si>
    <t>CubeSmart</t>
  </si>
  <si>
    <t>CUBE</t>
  </si>
  <si>
    <t>Colruyt SA Unsponsored ADR</t>
  </si>
  <si>
    <t>CUYTY</t>
  </si>
  <si>
    <t>Cousins Properties Incorporated</t>
  </si>
  <si>
    <t>CUZ</t>
  </si>
  <si>
    <t>CVB Financial Corporation</t>
  </si>
  <si>
    <t>CVBF</t>
  </si>
  <si>
    <t>Cenovus Energy Inc</t>
  </si>
  <si>
    <t>CVE</t>
  </si>
  <si>
    <t>Oil and Gas - Integrated - Canadian</t>
  </si>
  <si>
    <t>Carvana Co.</t>
  </si>
  <si>
    <t>CVNA</t>
  </si>
  <si>
    <t>CVS Health Corporation</t>
  </si>
  <si>
    <t>CVS</t>
  </si>
  <si>
    <t>Retail - Pharmacies and Drug Stores</t>
  </si>
  <si>
    <t>Chevron Corporation</t>
  </si>
  <si>
    <t>CVX</t>
  </si>
  <si>
    <t>Curtiss-Wright Corporation</t>
  </si>
  <si>
    <t>CW</t>
  </si>
  <si>
    <t>Clearway Energy, Inc.</t>
  </si>
  <si>
    <t>CWEN</t>
  </si>
  <si>
    <t>Alternative Energy - Other</t>
  </si>
  <si>
    <t>Cushman &amp; Wakefield PLC</t>
  </si>
  <si>
    <t>CWK</t>
  </si>
  <si>
    <t>Cemex S.A.B. de C.V.</t>
  </si>
  <si>
    <t>CX</t>
  </si>
  <si>
    <t>Concho Resources Inc.</t>
  </si>
  <si>
    <t>CXO</t>
  </si>
  <si>
    <t>Cypress Semiconductor Corporation</t>
  </si>
  <si>
    <t>CY</t>
  </si>
  <si>
    <t xml:space="preserve">Semiconductor - Communications </t>
  </si>
  <si>
    <t>CyberArk Software Ltd.</t>
  </si>
  <si>
    <t>CYBR</t>
  </si>
  <si>
    <t>CYBER AGENT INC</t>
  </si>
  <si>
    <t>CYGIY</t>
  </si>
  <si>
    <t>Caesars Entertainment Corporation</t>
  </si>
  <si>
    <t>CZR</t>
  </si>
  <si>
    <t>Cosan Limited</t>
  </si>
  <si>
    <t>CZZ</t>
  </si>
  <si>
    <t>Dominion Energy Inc.</t>
  </si>
  <si>
    <t>D</t>
  </si>
  <si>
    <t>Delta Air Lines, Inc.</t>
  </si>
  <si>
    <t>DAL</t>
  </si>
  <si>
    <t>Danone</t>
  </si>
  <si>
    <t>DANOY</t>
  </si>
  <si>
    <t>Darling Ingredients Inc.</t>
  </si>
  <si>
    <t>DAR</t>
  </si>
  <si>
    <t>Dassault Systemes SA</t>
  </si>
  <si>
    <t>DASTY</t>
  </si>
  <si>
    <t>Deutsche Bank Aktiengesellschaft</t>
  </si>
  <si>
    <t>DB</t>
  </si>
  <si>
    <t>DBS Group Holdings Ltd</t>
  </si>
  <si>
    <t>DBSDY</t>
  </si>
  <si>
    <t>Dropbox, Inc.</t>
  </si>
  <si>
    <t>DBX</t>
  </si>
  <si>
    <t>DCC PLC SHS</t>
  </si>
  <si>
    <t>DCCPF</t>
  </si>
  <si>
    <t>Business - Services</t>
  </si>
  <si>
    <t>Donaldson Company, Inc.</t>
  </si>
  <si>
    <t>DCI</t>
  </si>
  <si>
    <t>Pollution Control</t>
  </si>
  <si>
    <t>DCP Midstream Partners, LP</t>
  </si>
  <si>
    <t>DCP</t>
  </si>
  <si>
    <t>DuPont de Nemours, Inc.</t>
  </si>
  <si>
    <t>DD</t>
  </si>
  <si>
    <t>Daimler AG</t>
  </si>
  <si>
    <t>DDAIF</t>
  </si>
  <si>
    <t>Deere &amp; Company</t>
  </si>
  <si>
    <t>DE</t>
  </si>
  <si>
    <t>Deckers Outdoor Corporation</t>
  </si>
  <si>
    <t>DECK</t>
  </si>
  <si>
    <t>Douglas Emmett, Inc.</t>
  </si>
  <si>
    <t>DEI</t>
  </si>
  <si>
    <t>Dell Technologies Inc.</t>
  </si>
  <si>
    <t>DELL</t>
  </si>
  <si>
    <t>Diageo plc</t>
  </si>
  <si>
    <t>DEO</t>
  </si>
  <si>
    <t>Discover Financial Services</t>
  </si>
  <si>
    <t>DFS</t>
  </si>
  <si>
    <t>Dollar General Corporation</t>
  </si>
  <si>
    <t>DG</t>
  </si>
  <si>
    <t>Quest Diagnostics Incorporated</t>
  </si>
  <si>
    <t>DGX</t>
  </si>
  <si>
    <t>D.R. Horton, Inc.</t>
  </si>
  <si>
    <t>DHI</t>
  </si>
  <si>
    <t>Building Products - Home Builders</t>
  </si>
  <si>
    <t>Danaher Corporation</t>
  </si>
  <si>
    <t>DHR</t>
  </si>
  <si>
    <t>The Walt Disney Company</t>
  </si>
  <si>
    <t>DIS</t>
  </si>
  <si>
    <t>Media Conglomerates</t>
  </si>
  <si>
    <t>Discovery, Inc.</t>
  </si>
  <si>
    <t>DISCA</t>
  </si>
  <si>
    <t>DISH Network Corporation</t>
  </si>
  <si>
    <t>DISH</t>
  </si>
  <si>
    <t>D S SMITH PLC</t>
  </si>
  <si>
    <t>DITHF</t>
  </si>
  <si>
    <t>Paper and Related Products</t>
  </si>
  <si>
    <t>DAIKIN INDS LTD</t>
  </si>
  <si>
    <t>DKILY</t>
  </si>
  <si>
    <t>Electronics - Miscellaneous Products</t>
  </si>
  <si>
    <t>DICK'S Sporting Goods, Inc.</t>
  </si>
  <si>
    <t>DKS</t>
  </si>
  <si>
    <t>Retail - Miscellaneous</t>
  </si>
  <si>
    <t>Dolby Laboratories</t>
  </si>
  <si>
    <t>DLB</t>
  </si>
  <si>
    <t>Audio Video Production</t>
  </si>
  <si>
    <t>Digital Realty Trust, Inc.</t>
  </si>
  <si>
    <t>DLR</t>
  </si>
  <si>
    <t>Dollar Tree, Inc.</t>
  </si>
  <si>
    <t>DLTR</t>
  </si>
  <si>
    <t>Dongfeng Motor Group Co.</t>
  </si>
  <si>
    <t>DNFGY</t>
  </si>
  <si>
    <t>Dunkin' Brands Group, Inc.</t>
  </si>
  <si>
    <t>DNKN</t>
  </si>
  <si>
    <t>Denso Corp.</t>
  </si>
  <si>
    <t>DNZOY</t>
  </si>
  <si>
    <t>Physicians Realty Trust</t>
  </si>
  <si>
    <t>DOC</t>
  </si>
  <si>
    <t>DocuSign Inc.</t>
  </si>
  <si>
    <t>DOCU</t>
  </si>
  <si>
    <t>BRP Inc.</t>
  </si>
  <si>
    <t>DOOO</t>
  </si>
  <si>
    <t>Dover Corporation</t>
  </si>
  <si>
    <t>DOV</t>
  </si>
  <si>
    <t>Amdocs Limited</t>
  </si>
  <si>
    <t>DOX</t>
  </si>
  <si>
    <t>Deutsche Post AG</t>
  </si>
  <si>
    <t>DPSGY</t>
  </si>
  <si>
    <t>Domino's Pizza Inc</t>
  </si>
  <si>
    <t>DPZ</t>
  </si>
  <si>
    <t>Duke Realty Corporation</t>
  </si>
  <si>
    <t>DRE</t>
  </si>
  <si>
    <t>Darden Restaurants, Inc.</t>
  </si>
  <si>
    <t>DRI</t>
  </si>
  <si>
    <t>DISCO CORP</t>
  </si>
  <si>
    <t>DSCSY</t>
  </si>
  <si>
    <t>Manufacturing - Material Handling</t>
  </si>
  <si>
    <t>DSV A/S UNS ADR</t>
  </si>
  <si>
    <t>DSDVY</t>
  </si>
  <si>
    <t>The Descartes Systems Group Inc.</t>
  </si>
  <si>
    <t>DSGX</t>
  </si>
  <si>
    <t>DTE Energy Company</t>
  </si>
  <si>
    <t>DTE</t>
  </si>
  <si>
    <t>Deutsche Telekom AG</t>
  </si>
  <si>
    <t>DTEGY</t>
  </si>
  <si>
    <t>Duke Energy Corporation</t>
  </si>
  <si>
    <t>DUK</t>
  </si>
  <si>
    <t>DaVita Inc.</t>
  </si>
  <si>
    <t>DVA</t>
  </si>
  <si>
    <t>Campari Group</t>
  </si>
  <si>
    <t>DVDCY</t>
  </si>
  <si>
    <t>Devon Energy Corporation</t>
  </si>
  <si>
    <t>DVN</t>
  </si>
  <si>
    <t>Derwent London Plc</t>
  </si>
  <si>
    <t>DWVYF</t>
  </si>
  <si>
    <t>DXC Technology Company.</t>
  </si>
  <si>
    <t>DXC</t>
  </si>
  <si>
    <t>DexCom, Inc.</t>
  </si>
  <si>
    <t>DXCM</t>
  </si>
  <si>
    <t>Eni SpA</t>
  </si>
  <si>
    <t>E</t>
  </si>
  <si>
    <t>Electronic Arts Inc.</t>
  </si>
  <si>
    <t>EA</t>
  </si>
  <si>
    <t>GrafTech International Ltd.</t>
  </si>
  <si>
    <t>EAF</t>
  </si>
  <si>
    <t>Metal Products - Procurement and Fabrication</t>
  </si>
  <si>
    <t>eBay Inc.</t>
  </si>
  <si>
    <t>EBAY</t>
  </si>
  <si>
    <t>Erste Group Bank AG</t>
  </si>
  <si>
    <t>EBKDY</t>
  </si>
  <si>
    <t>Ecopetrol S.A.</t>
  </si>
  <si>
    <t>EC</t>
  </si>
  <si>
    <t>Encana Corporation</t>
  </si>
  <si>
    <t>ECA</t>
  </si>
  <si>
    <t>Electricite de France SA</t>
  </si>
  <si>
    <t>ECIFY</t>
  </si>
  <si>
    <t>Ecolab Inc.</t>
  </si>
  <si>
    <t>ECL</t>
  </si>
  <si>
    <t>Consolidated Edison Inc</t>
  </si>
  <si>
    <t>ED</t>
  </si>
  <si>
    <t>New Oriental Education &amp; Technology Group, Inc.</t>
  </si>
  <si>
    <t>EDU</t>
  </si>
  <si>
    <t>Euronet Worldwide, Inc.</t>
  </si>
  <si>
    <t>EEFT</t>
  </si>
  <si>
    <t>Equifax, Inc.</t>
  </si>
  <si>
    <t>EFX</t>
  </si>
  <si>
    <t>EastGroup Properties, Inc.</t>
  </si>
  <si>
    <t>EGP</t>
  </si>
  <si>
    <t>Encompass Health Corporation</t>
  </si>
  <si>
    <t>EHC</t>
  </si>
  <si>
    <t>Edison International</t>
  </si>
  <si>
    <t>EIX</t>
  </si>
  <si>
    <t>easyjet PLC</t>
  </si>
  <si>
    <t>EJTTF</t>
  </si>
  <si>
    <t>Elekta AB</t>
  </si>
  <si>
    <t>EKTAY</t>
  </si>
  <si>
    <t>The Estee Lauder Companies Inc.</t>
  </si>
  <si>
    <t>EL</t>
  </si>
  <si>
    <t>Elanco Animal Health Incorporated</t>
  </si>
  <si>
    <t>ELAN</t>
  </si>
  <si>
    <t>Equity Lifestyle Properties, Inc.</t>
  </si>
  <si>
    <t>ELS</t>
  </si>
  <si>
    <t>Electrolux AB</t>
  </si>
  <si>
    <t>ELUXY</t>
  </si>
  <si>
    <t>Household Appliances</t>
  </si>
  <si>
    <t>EMCOR Group, Inc.</t>
  </si>
  <si>
    <t>EME</t>
  </si>
  <si>
    <t>Eastman Chemical Company</t>
  </si>
  <si>
    <t>EMN</t>
  </si>
  <si>
    <t>Emerson Electric Co.</t>
  </si>
  <si>
    <t>EMR</t>
  </si>
  <si>
    <t>Enbridge Inc</t>
  </si>
  <si>
    <t>ENB</t>
  </si>
  <si>
    <t>Enable Midstream Partners, LP</t>
  </si>
  <si>
    <t>ENBL</t>
  </si>
  <si>
    <t>Enel Americas S.A.</t>
  </si>
  <si>
    <t>ENIA</t>
  </si>
  <si>
    <t>EnLink Midstream, LLC</t>
  </si>
  <si>
    <t>ENLC</t>
  </si>
  <si>
    <t>Oil and Gas - Refining and Marketing</t>
  </si>
  <si>
    <t>Enphase Energy, Inc.</t>
  </si>
  <si>
    <t>ENPH</t>
  </si>
  <si>
    <t>Solar</t>
  </si>
  <si>
    <t>Entegris, Inc.</t>
  </si>
  <si>
    <t>ENTG</t>
  </si>
  <si>
    <t>Electronics - Manufacturing Machinery</t>
  </si>
  <si>
    <t>Envestnet, Inc</t>
  </si>
  <si>
    <t>ENV</t>
  </si>
  <si>
    <t>EOG Resources, Inc.</t>
  </si>
  <si>
    <t>EOG</t>
  </si>
  <si>
    <t>E.ON SE</t>
  </si>
  <si>
    <t>EONGY</t>
  </si>
  <si>
    <t>EPAM Systems, Inc.</t>
  </si>
  <si>
    <t>EPAM</t>
  </si>
  <si>
    <t>Enterprise Products Partners L.P.</t>
  </si>
  <si>
    <t>EPD</t>
  </si>
  <si>
    <t>EPR Properties</t>
  </si>
  <si>
    <t>EPR</t>
  </si>
  <si>
    <t>Equity Commonwealth</t>
  </si>
  <si>
    <t>EQC</t>
  </si>
  <si>
    <t>AXA Equitable Holdings, Inc.</t>
  </si>
  <si>
    <t>EQH</t>
  </si>
  <si>
    <t>Equinix, Inc.</t>
  </si>
  <si>
    <t>EQIX</t>
  </si>
  <si>
    <t>EQT Midstream Partners, LP</t>
  </si>
  <si>
    <t>EQM</t>
  </si>
  <si>
    <t>Statoil ASA</t>
  </si>
  <si>
    <t>EQNR</t>
  </si>
  <si>
    <t>Equity Residential</t>
  </si>
  <si>
    <t>EQR</t>
  </si>
  <si>
    <t>EQT Corporation</t>
  </si>
  <si>
    <t>EQT</t>
  </si>
  <si>
    <t>Eldorado Resorts, Inc.</t>
  </si>
  <si>
    <t>ERI</t>
  </si>
  <si>
    <t>Ericsson</t>
  </si>
  <si>
    <t>ERIC</t>
  </si>
  <si>
    <t>Wireless Equipment</t>
  </si>
  <si>
    <t>Embraer-Empresa Brasileira de Aeronautica</t>
  </si>
  <si>
    <t>ERJ</t>
  </si>
  <si>
    <t>Eversource Energy</t>
  </si>
  <si>
    <t>ES</t>
  </si>
  <si>
    <t>Eisai Co.</t>
  </si>
  <si>
    <t>ESALY</t>
  </si>
  <si>
    <t>Essent Group Ltd.</t>
  </si>
  <si>
    <t>ESNT</t>
  </si>
  <si>
    <t>Financial - Mortgage &amp; Related Services</t>
  </si>
  <si>
    <t>Essex Property Trust, Inc.</t>
  </si>
  <si>
    <t>ESS</t>
  </si>
  <si>
    <t>Elastic N.V.</t>
  </si>
  <si>
    <t>ESTC</t>
  </si>
  <si>
    <t>Energy Transfer LP</t>
  </si>
  <si>
    <t>ET</t>
  </si>
  <si>
    <t>E*TRADE Financial Corporation</t>
  </si>
  <si>
    <t>ETFC</t>
  </si>
  <si>
    <t>Eaton Corporation, PLC</t>
  </si>
  <si>
    <t>ETN</t>
  </si>
  <si>
    <t>Entergy Corporation</t>
  </si>
  <si>
    <t>ETR</t>
  </si>
  <si>
    <t>Equitrans Midstream Corporation</t>
  </si>
  <si>
    <t>ETRN</t>
  </si>
  <si>
    <t>Etsy, Inc.</t>
  </si>
  <si>
    <t>ETSY</t>
  </si>
  <si>
    <t>Eutelsat Communications</t>
  </si>
  <si>
    <t>EUTLF</t>
  </si>
  <si>
    <t>Satellite and Communication</t>
  </si>
  <si>
    <t>Eaton Vance Corporation</t>
  </si>
  <si>
    <t>EV</t>
  </si>
  <si>
    <t>Evercore Inc</t>
  </si>
  <si>
    <t>EVR</t>
  </si>
  <si>
    <t>Evergy Inc.</t>
  </si>
  <si>
    <t>EVRG</t>
  </si>
  <si>
    <t>Evotec AG</t>
  </si>
  <si>
    <t>EVTCY</t>
  </si>
  <si>
    <t>Edwards Lifesciences Corporation</t>
  </si>
  <si>
    <t>EW</t>
  </si>
  <si>
    <t>East West Bancorp, Inc.</t>
  </si>
  <si>
    <t>EWBC</t>
  </si>
  <si>
    <t>Exact Sciences Corporation</t>
  </si>
  <si>
    <t>EXAS</t>
  </si>
  <si>
    <t>Exelon Corporation</t>
  </si>
  <si>
    <t>EXC</t>
  </si>
  <si>
    <t>Exelixis, Inc.</t>
  </si>
  <si>
    <t>EXEL</t>
  </si>
  <si>
    <t>Eagle Materials Inc</t>
  </si>
  <si>
    <t>EXP</t>
  </si>
  <si>
    <t>Expeditors International of Washington, Inc.</t>
  </si>
  <si>
    <t>EXPD</t>
  </si>
  <si>
    <t>Expedia Group, Inc.</t>
  </si>
  <si>
    <t>EXPE</t>
  </si>
  <si>
    <t>Experian PLC</t>
  </si>
  <si>
    <t>EXPGY</t>
  </si>
  <si>
    <t>Exponent, Inc.</t>
  </si>
  <si>
    <t>EXPO</t>
  </si>
  <si>
    <t>Extra Space Storage Inc</t>
  </si>
  <si>
    <t>EXR</t>
  </si>
  <si>
    <t>Ford Motor Company</t>
  </si>
  <si>
    <t>F</t>
  </si>
  <si>
    <t>Automotive - Domestic</t>
  </si>
  <si>
    <t>First American Financial Corporation</t>
  </si>
  <si>
    <t>FAF</t>
  </si>
  <si>
    <t>Diamondback Energy, Inc.</t>
  </si>
  <si>
    <t>FANG</t>
  </si>
  <si>
    <t>Fanuc Corp.</t>
  </si>
  <si>
    <t>FANUY</t>
  </si>
  <si>
    <t>Industrial Automation and Robotics</t>
  </si>
  <si>
    <t>Fastenal Company</t>
  </si>
  <si>
    <t>FAST</t>
  </si>
  <si>
    <t>Building Products - Retail</t>
  </si>
  <si>
    <t>Facebook, Inc.</t>
  </si>
  <si>
    <t>FB</t>
  </si>
  <si>
    <t>Fortune Brands Home &amp; Security, Inc.</t>
  </si>
  <si>
    <t>FBHS</t>
  </si>
  <si>
    <t>Fiat Chrysler Automobiles N.V.</t>
  </si>
  <si>
    <t>FCAU</t>
  </si>
  <si>
    <t>First Cash, Inc.</t>
  </si>
  <si>
    <t>FCFS</t>
  </si>
  <si>
    <t>FTI Consulting, Inc.</t>
  </si>
  <si>
    <t>FCN</t>
  </si>
  <si>
    <t>Freeport-McMoRan Inc.</t>
  </si>
  <si>
    <t>FCX</t>
  </si>
  <si>
    <t>FactSet Research Systems Inc.</t>
  </si>
  <si>
    <t>FDS</t>
  </si>
  <si>
    <t>FedEx Corporation</t>
  </si>
  <si>
    <t>FDX</t>
  </si>
  <si>
    <t>Transportation - Air Freight and Cargo</t>
  </si>
  <si>
    <t>FirstEnergy Corporation</t>
  </si>
  <si>
    <t>FE</t>
  </si>
  <si>
    <t>Wolseley PLC</t>
  </si>
  <si>
    <t>FERGY</t>
  </si>
  <si>
    <t>FireEye, Inc.</t>
  </si>
  <si>
    <t>FEYE</t>
  </si>
  <si>
    <t>First Financial Bankshares, Inc.</t>
  </si>
  <si>
    <t>FFIN</t>
  </si>
  <si>
    <t>F5 Networks, Inc.</t>
  </si>
  <si>
    <t>FFIV</t>
  </si>
  <si>
    <t>FibroGen, Inc</t>
  </si>
  <si>
    <t>FGEN</t>
  </si>
  <si>
    <t>First Hawaiian, Inc.</t>
  </si>
  <si>
    <t>FHB</t>
  </si>
  <si>
    <t>First Horizon National Corporation</t>
  </si>
  <si>
    <t>FHN</t>
  </si>
  <si>
    <t>Fair Isaac Corporation</t>
  </si>
  <si>
    <t>FICO</t>
  </si>
  <si>
    <t>Federated Investors, Inc.</t>
  </si>
  <si>
    <t>FII</t>
  </si>
  <si>
    <t>Fidelity National Information Services, Inc.</t>
  </si>
  <si>
    <t>FIS</t>
  </si>
  <si>
    <t>Fiserv, Inc.</t>
  </si>
  <si>
    <t>FISV</t>
  </si>
  <si>
    <t>Fifth Third Bancorp</t>
  </si>
  <si>
    <t>FITB</t>
  </si>
  <si>
    <t>Five Below, Inc.</t>
  </si>
  <si>
    <t>FIVE</t>
  </si>
  <si>
    <t>Five9, Inc.</t>
  </si>
  <si>
    <t>FIVN</t>
  </si>
  <si>
    <t>Fujitsu Ltd.</t>
  </si>
  <si>
    <t>FJTSY</t>
  </si>
  <si>
    <t>Foot Locker, Inc.</t>
  </si>
  <si>
    <t>FL</t>
  </si>
  <si>
    <t>Flex Ltd.</t>
  </si>
  <si>
    <t>FLEX</t>
  </si>
  <si>
    <t>FLIR Systems, Inc.</t>
  </si>
  <si>
    <t>FLIR</t>
  </si>
  <si>
    <t>Electronics - Military</t>
  </si>
  <si>
    <t>Flowers Foods, Inc.</t>
  </si>
  <si>
    <t>FLO</t>
  </si>
  <si>
    <t>Flowserve Corporation</t>
  </si>
  <si>
    <t>FLS</t>
  </si>
  <si>
    <t>FleetCor Technologies, Inc.</t>
  </si>
  <si>
    <t>FLT</t>
  </si>
  <si>
    <t>FMC Corporation</t>
  </si>
  <si>
    <t>FMC</t>
  </si>
  <si>
    <t>Fresenius Medical Care AG &amp; Co. KGaA</t>
  </si>
  <si>
    <t>FMS</t>
  </si>
  <si>
    <t>Fomento Economico Mexicano S.A.B. de C.V.</t>
  </si>
  <si>
    <t>FMX</t>
  </si>
  <si>
    <t>F.N.B. Corporation</t>
  </si>
  <si>
    <t>FNB</t>
  </si>
  <si>
    <t>Floor &amp; Decor Holdings, Inc.</t>
  </si>
  <si>
    <t>FND</t>
  </si>
  <si>
    <t>Building Products - Wood</t>
  </si>
  <si>
    <t>Fidelity National Financial, Inc.</t>
  </si>
  <si>
    <t>FNF</t>
  </si>
  <si>
    <t>Fresnillo PLC</t>
  </si>
  <si>
    <t>FNLPF</t>
  </si>
  <si>
    <t>Franco-Nevada Corporation</t>
  </si>
  <si>
    <t>FNV</t>
  </si>
  <si>
    <t>Fox Corporation</t>
  </si>
  <si>
    <t>FOXA</t>
  </si>
  <si>
    <t>First Industrial Realty Trust, Inc.</t>
  </si>
  <si>
    <t>FR</t>
  </si>
  <si>
    <t>First Republic Bank</t>
  </si>
  <si>
    <t>FRC</t>
  </si>
  <si>
    <t>Federal Realty Investment Trust</t>
  </si>
  <si>
    <t>FRT</t>
  </si>
  <si>
    <t>First Solar, Inc.</t>
  </si>
  <si>
    <t>FSLR</t>
  </si>
  <si>
    <t>Fortescue Metals Group Ltd.</t>
  </si>
  <si>
    <t>FSUGY</t>
  </si>
  <si>
    <t>Mining - Iron</t>
  </si>
  <si>
    <t>FirstService Corporation</t>
  </si>
  <si>
    <t>FSV</t>
  </si>
  <si>
    <t>Frontdoor, Inc.</t>
  </si>
  <si>
    <t>FTDR</t>
  </si>
  <si>
    <t>TechnipFMC plc</t>
  </si>
  <si>
    <t>FTI</t>
  </si>
  <si>
    <t>Fortinet, Inc.</t>
  </si>
  <si>
    <t>FTNT</t>
  </si>
  <si>
    <t>Fortis Inc.</t>
  </si>
  <si>
    <t>FTS</t>
  </si>
  <si>
    <t>Fortive Corporation</t>
  </si>
  <si>
    <t>FTV</t>
  </si>
  <si>
    <t>Fuji Heavy Industries Ltd.</t>
  </si>
  <si>
    <t>FUJHY</t>
  </si>
  <si>
    <t>Fujifilm Holdings Corp.</t>
  </si>
  <si>
    <t>FUJIY</t>
  </si>
  <si>
    <t>Semiconductor Equipment - Photomasks</t>
  </si>
  <si>
    <t>Cedar Fair, L.P.</t>
  </si>
  <si>
    <t>FUN</t>
  </si>
  <si>
    <t>Liberty Media Corporation</t>
  </si>
  <si>
    <t>FWONK</t>
  </si>
  <si>
    <t>Genpact Limited</t>
  </si>
  <si>
    <t>G</t>
  </si>
  <si>
    <t>Glacier Bancorp, Inc.</t>
  </si>
  <si>
    <t>GBCI</t>
  </si>
  <si>
    <t>Global Blood Therapeutics, Inc.</t>
  </si>
  <si>
    <t>GBT</t>
  </si>
  <si>
    <t>General Dynamics Corporation</t>
  </si>
  <si>
    <t>GD</t>
  </si>
  <si>
    <t>GoDaddy Inc.</t>
  </si>
  <si>
    <t>GDDY</t>
  </si>
  <si>
    <t>Internet - Delivery Services</t>
  </si>
  <si>
    <t>Gardner Denver Holdings, Inc.</t>
  </si>
  <si>
    <t>GDI</t>
  </si>
  <si>
    <t>GDS HOLDINGS</t>
  </si>
  <si>
    <t>GDS</t>
  </si>
  <si>
    <t>General Electric Company</t>
  </si>
  <si>
    <t>GE</t>
  </si>
  <si>
    <t>GEA GROUP AG SP</t>
  </si>
  <si>
    <t>GEAGY</t>
  </si>
  <si>
    <t>GECINA ACT NOM</t>
  </si>
  <si>
    <t>GECFF</t>
  </si>
  <si>
    <t>Geely Automobile Holdings Ltd.</t>
  </si>
  <si>
    <t>GELYY</t>
  </si>
  <si>
    <t>Gold Fields Limited</t>
  </si>
  <si>
    <t>GFI</t>
  </si>
  <si>
    <t>G4S PLC</t>
  </si>
  <si>
    <t>GFSZY</t>
  </si>
  <si>
    <t>Gerdau S.A.</t>
  </si>
  <si>
    <t>GGB</t>
  </si>
  <si>
    <t>Steel - Producers</t>
  </si>
  <si>
    <t>Graco Inc.</t>
  </si>
  <si>
    <t>GGG</t>
  </si>
  <si>
    <t>Guardant Health, Inc.</t>
  </si>
  <si>
    <t>GH</t>
  </si>
  <si>
    <t>CGI Group, Inc.</t>
  </si>
  <si>
    <t>GIB</t>
  </si>
  <si>
    <t>Gildan Activewear, Inc.</t>
  </si>
  <si>
    <t>GIL</t>
  </si>
  <si>
    <t>Gilead Sciences, Inc.</t>
  </si>
  <si>
    <t>GILD</t>
  </si>
  <si>
    <t>General Mills, Inc.</t>
  </si>
  <si>
    <t>GIS</t>
  </si>
  <si>
    <t>Greene King PLC.</t>
  </si>
  <si>
    <t>GKNGY</t>
  </si>
  <si>
    <t>Globe Life Inc.</t>
  </si>
  <si>
    <t>GL</t>
  </si>
  <si>
    <t>Glanbia Plc ADR</t>
  </si>
  <si>
    <t>GLAPY</t>
  </si>
  <si>
    <t>Food - Dairy Products</t>
  </si>
  <si>
    <t>GCI Liberty, Inc.</t>
  </si>
  <si>
    <t>GLIBA</t>
  </si>
  <si>
    <t>Glencore PLC</t>
  </si>
  <si>
    <t>GLNCY</t>
  </si>
  <si>
    <t>Globant S.A.</t>
  </si>
  <si>
    <t>GLOB</t>
  </si>
  <si>
    <t>Internet - Software and Services</t>
  </si>
  <si>
    <t>Galp Energia SGPS SA</t>
  </si>
  <si>
    <t>GLPEY</t>
  </si>
  <si>
    <t>Galapagos NV</t>
  </si>
  <si>
    <t>GLPG</t>
  </si>
  <si>
    <t>Gaming and Leisure Properties, Inc.</t>
  </si>
  <si>
    <t>GLPI</t>
  </si>
  <si>
    <t>Corning Incorporated</t>
  </si>
  <si>
    <t>GLW</t>
  </si>
  <si>
    <t>General Motors Company</t>
  </si>
  <si>
    <t>GM</t>
  </si>
  <si>
    <t>Globus Medical, Inc.</t>
  </si>
  <si>
    <t>GMED</t>
  </si>
  <si>
    <t>GN STORE NORD</t>
  </si>
  <si>
    <t>GNNDY</t>
  </si>
  <si>
    <t>Generac Holdlings Inc.</t>
  </si>
  <si>
    <t>GNRC</t>
  </si>
  <si>
    <t>Electronics - Power Generation</t>
  </si>
  <si>
    <t>Gentex Corporation</t>
  </si>
  <si>
    <t>GNTX</t>
  </si>
  <si>
    <t>Barrick Gold Corporation</t>
  </si>
  <si>
    <t>GOLD</t>
  </si>
  <si>
    <t>Alphabet Inc.</t>
  </si>
  <si>
    <t>GOOGL</t>
  </si>
  <si>
    <t>Canada Goose Holdings Inc.</t>
  </si>
  <si>
    <t>GOOS</t>
  </si>
  <si>
    <t>Genuine Parts Company</t>
  </si>
  <si>
    <t>GPC</t>
  </si>
  <si>
    <t>Graphic Packaging Holding Company</t>
  </si>
  <si>
    <t>GPK</t>
  </si>
  <si>
    <t>Global Payments Inc.</t>
  </si>
  <si>
    <t>GPN</t>
  </si>
  <si>
    <t>The Gap, Inc.</t>
  </si>
  <si>
    <t>GPS</t>
  </si>
  <si>
    <t>W.R. Grace &amp; Co.</t>
  </si>
  <si>
    <t>GRA</t>
  </si>
  <si>
    <t>Grifols, S.A.</t>
  </si>
  <si>
    <t>GRFS</t>
  </si>
  <si>
    <t>Garmin Ltd.</t>
  </si>
  <si>
    <t>GRMN</t>
  </si>
  <si>
    <t>Grubhub Inc.</t>
  </si>
  <si>
    <t>GRUB</t>
  </si>
  <si>
    <t>The Goldman Sachs Group, Inc.</t>
  </si>
  <si>
    <t>GS</t>
  </si>
  <si>
    <t>GlaxoSmithKline plc</t>
  </si>
  <si>
    <t>GSK</t>
  </si>
  <si>
    <t>The Goodyear Tire &amp; Rubber Company</t>
  </si>
  <si>
    <t>GT</t>
  </si>
  <si>
    <t>GW Pharmaceuticals PLC</t>
  </si>
  <si>
    <t>GWPH</t>
  </si>
  <si>
    <t>Genesee &amp; Wyoming, Inc.</t>
  </si>
  <si>
    <t>GWR</t>
  </si>
  <si>
    <t>Guidewire Software, Inc.</t>
  </si>
  <si>
    <t>GWRE</t>
  </si>
  <si>
    <t>W.W. Grainger, Inc.</t>
  </si>
  <si>
    <t>GWW</t>
  </si>
  <si>
    <t>Hyatt Hotels Corporation</t>
  </si>
  <si>
    <t>H</t>
  </si>
  <si>
    <t>Haemonetics Corporation</t>
  </si>
  <si>
    <t>HAE</t>
  </si>
  <si>
    <t>Halliburton Company</t>
  </si>
  <si>
    <t>HAL</t>
  </si>
  <si>
    <t>Hasbro, Inc.</t>
  </si>
  <si>
    <t>HAS</t>
  </si>
  <si>
    <t>Huntington Bancshares Incorporated</t>
  </si>
  <si>
    <t>HBAN</t>
  </si>
  <si>
    <t>Hanesbrands Inc.</t>
  </si>
  <si>
    <t>HBI</t>
  </si>
  <si>
    <t>HCA Healthcare, Inc.</t>
  </si>
  <si>
    <t>HCA</t>
  </si>
  <si>
    <t>Medical - Hospital</t>
  </si>
  <si>
    <t>HITACHI CHEMICL</t>
  </si>
  <si>
    <t>HCHMY</t>
  </si>
  <si>
    <t>HCP, Inc.</t>
  </si>
  <si>
    <t>HCP</t>
  </si>
  <si>
    <t>The Home Depot, Inc.</t>
  </si>
  <si>
    <t>HD</t>
  </si>
  <si>
    <t>HDFC Bank Limited</t>
  </si>
  <si>
    <t>HDB</t>
  </si>
  <si>
    <t>HD Supply Holdings, Inc.</t>
  </si>
  <si>
    <t>HDS</t>
  </si>
  <si>
    <t>Hawaiian Electric Industries, Inc.</t>
  </si>
  <si>
    <t>HE</t>
  </si>
  <si>
    <t>Hengan International Group Co., Ltd. Unsponsored ADR</t>
  </si>
  <si>
    <t>HEGIY</t>
  </si>
  <si>
    <t>Heico Corporation</t>
  </si>
  <si>
    <t>HEI</t>
  </si>
  <si>
    <t>Heineken NV</t>
  </si>
  <si>
    <t>HEINY</t>
  </si>
  <si>
    <t>Helen of Troy Limited</t>
  </si>
  <si>
    <t>HELE</t>
  </si>
  <si>
    <t>Henkel AG &amp; Co.</t>
  </si>
  <si>
    <t>HENKY</t>
  </si>
  <si>
    <t>Hess Corporation</t>
  </si>
  <si>
    <t>HES</t>
  </si>
  <si>
    <t>HollyFrontier Corporation</t>
  </si>
  <si>
    <t>HFC</t>
  </si>
  <si>
    <t>Howard Hughes Corporation (The)</t>
  </si>
  <si>
    <t>HHC</t>
  </si>
  <si>
    <t>The Hartford Financial Services Group, Inc.</t>
  </si>
  <si>
    <t>HIG</t>
  </si>
  <si>
    <t>Huntington Ingalls Industries, Inc.</t>
  </si>
  <si>
    <t>HII</t>
  </si>
  <si>
    <t>Hino Motors Ltd.</t>
  </si>
  <si>
    <t>HINOY</t>
  </si>
  <si>
    <t>Highwoods Properties, Inc.</t>
  </si>
  <si>
    <t>HIW</t>
  </si>
  <si>
    <t>Hikma Pharmaceuticals Plc</t>
  </si>
  <si>
    <t>HKMPF</t>
  </si>
  <si>
    <t>Henderson Land Development Co.</t>
  </si>
  <si>
    <t>HLDCY</t>
  </si>
  <si>
    <t>Herbalife LTD.</t>
  </si>
  <si>
    <t>HLF</t>
  </si>
  <si>
    <t>Houlihan Lokey, Inc.</t>
  </si>
  <si>
    <t>HLI</t>
  </si>
  <si>
    <t>HALMA PLC</t>
  </si>
  <si>
    <t>HLMAF</t>
  </si>
  <si>
    <t>Hamilton Lane Inc.</t>
  </si>
  <si>
    <t>HLNE</t>
  </si>
  <si>
    <t>Hilton Worldwide Holdings Inc.</t>
  </si>
  <si>
    <t>HLT</t>
  </si>
  <si>
    <t>H Lundbeck A/S</t>
  </si>
  <si>
    <t>HLUYY</t>
  </si>
  <si>
    <t>Honda Motor Co., Ltd.</t>
  </si>
  <si>
    <t>HMC</t>
  </si>
  <si>
    <t>HMS Holdings Corp</t>
  </si>
  <si>
    <t>HMSY</t>
  </si>
  <si>
    <t>Huaneng Power International, Inc.</t>
  </si>
  <si>
    <t>HNP</t>
  </si>
  <si>
    <t>Hoya Corp.</t>
  </si>
  <si>
    <t>HOCPY</t>
  </si>
  <si>
    <t>Harley-Davidson, Inc.</t>
  </si>
  <si>
    <t>HOG</t>
  </si>
  <si>
    <t>Hologic, Inc.</t>
  </si>
  <si>
    <t>HOLX</t>
  </si>
  <si>
    <t>Home BancShares, Inc.</t>
  </si>
  <si>
    <t>HOMB</t>
  </si>
  <si>
    <t>Honeywell International Inc.</t>
  </si>
  <si>
    <t>HON</t>
  </si>
  <si>
    <t>Helmerich &amp; Payne, Inc.</t>
  </si>
  <si>
    <t>HP</t>
  </si>
  <si>
    <t>Oil and Gas - Drilling</t>
  </si>
  <si>
    <t>Hewlett Packard Enterprise Company</t>
  </si>
  <si>
    <t>HPE</t>
  </si>
  <si>
    <t>Computer - Integrated Systems</t>
  </si>
  <si>
    <t>Hudson Pacific Properties, Inc.</t>
  </si>
  <si>
    <t>HPP</t>
  </si>
  <si>
    <t>HP Inc.</t>
  </si>
  <si>
    <t>HPQ</t>
  </si>
  <si>
    <t>Hospitality Properties Trust</t>
  </si>
  <si>
    <t>HPT</t>
  </si>
  <si>
    <t>HealthEquity, Inc.</t>
  </si>
  <si>
    <t>HQY</t>
  </si>
  <si>
    <t>H&amp;R Block, Inc.</t>
  </si>
  <si>
    <t>HRB</t>
  </si>
  <si>
    <t>Hill-Rom Holdings, Inc.</t>
  </si>
  <si>
    <t>HRC</t>
  </si>
  <si>
    <t>Hargreaves Lansdown plc</t>
  </si>
  <si>
    <t>HRGLY</t>
  </si>
  <si>
    <t>Hormel Foods Corporation</t>
  </si>
  <si>
    <t>HRL</t>
  </si>
  <si>
    <t>Food - Meat Products</t>
  </si>
  <si>
    <t>HSBC Holdings plc</t>
  </si>
  <si>
    <t>HSBC</t>
  </si>
  <si>
    <t>Henry Schein, Inc.</t>
  </si>
  <si>
    <t>HSIC</t>
  </si>
  <si>
    <t>Hang Seng Bank Ltd.</t>
  </si>
  <si>
    <t>HSNGY</t>
  </si>
  <si>
    <t>Host Hotels &amp; Resorts, Inc.</t>
  </si>
  <si>
    <t>HST</t>
  </si>
  <si>
    <t>Hershey Company (The)</t>
  </si>
  <si>
    <t>HSY</t>
  </si>
  <si>
    <t>Food - Confectionery</t>
  </si>
  <si>
    <t>Healthcare Trust of America, Inc.</t>
  </si>
  <si>
    <t>HTA</t>
  </si>
  <si>
    <t>Hitachi Ltd.</t>
  </si>
  <si>
    <t>HTHIY</t>
  </si>
  <si>
    <t>China Lodging Group, Limited</t>
  </si>
  <si>
    <t>HTHT</t>
  </si>
  <si>
    <t>Hubbell Inc</t>
  </si>
  <si>
    <t>HUBB</t>
  </si>
  <si>
    <t xml:space="preserve">Manufacturing - Electrical Utilities </t>
  </si>
  <si>
    <t>HubSpot, Inc.</t>
  </si>
  <si>
    <t>HUBS</t>
  </si>
  <si>
    <t>Humana Inc.</t>
  </si>
  <si>
    <t>HUM</t>
  </si>
  <si>
    <t>Huntsman Corporation</t>
  </si>
  <si>
    <t>HUN</t>
  </si>
  <si>
    <t>Hannover Ruck SE</t>
  </si>
  <si>
    <t>HVRRY</t>
  </si>
  <si>
    <t>HOWDEN JOINERY</t>
  </si>
  <si>
    <t>HWDJY</t>
  </si>
  <si>
    <t>Hexcel Corporation</t>
  </si>
  <si>
    <t>HXL</t>
  </si>
  <si>
    <t>Horizon Pharma Public Limited Company</t>
  </si>
  <si>
    <t>HZNP</t>
  </si>
  <si>
    <t>Intelsat S.A.</t>
  </si>
  <si>
    <t>I</t>
  </si>
  <si>
    <t>IAC/InterActiveCorp</t>
  </si>
  <si>
    <t>IAC</t>
  </si>
  <si>
    <t>Integra LifeSciences Holdings Corporation</t>
  </si>
  <si>
    <t>IART</t>
  </si>
  <si>
    <t>IBERIABANK Corporation</t>
  </si>
  <si>
    <t>IBKC</t>
  </si>
  <si>
    <t>Interactive Brokers Group, Inc.</t>
  </si>
  <si>
    <t>IBKR</t>
  </si>
  <si>
    <t>International Business Machines Corporation</t>
  </si>
  <si>
    <t>IBM</t>
  </si>
  <si>
    <t>ICICI Bank Limited</t>
  </si>
  <si>
    <t>IBN</t>
  </si>
  <si>
    <t>Intercontinental Exchange Inc.</t>
  </si>
  <si>
    <t>ICE</t>
  </si>
  <si>
    <t>Israel Chemicals Shs</t>
  </si>
  <si>
    <t>ICL</t>
  </si>
  <si>
    <t>ICON PLC</t>
  </si>
  <si>
    <t>ICLR</t>
  </si>
  <si>
    <t>ICU Medical, Inc.</t>
  </si>
  <si>
    <t>ICUI</t>
  </si>
  <si>
    <t>IDACORP, Inc.</t>
  </si>
  <si>
    <t>IDA</t>
  </si>
  <si>
    <t>Industria de Diseno Textil SA</t>
  </si>
  <si>
    <t>IDEXY</t>
  </si>
  <si>
    <t>IDEXX Laboratories, Inc.</t>
  </si>
  <si>
    <t>IDXX</t>
  </si>
  <si>
    <t>IDEX Corporation</t>
  </si>
  <si>
    <t>IEX</t>
  </si>
  <si>
    <t>International Flavors &amp; Fragrances Inc.</t>
  </si>
  <si>
    <t>IFF</t>
  </si>
  <si>
    <t>Infineon Technologies AG</t>
  </si>
  <si>
    <t>IFNNY</t>
  </si>
  <si>
    <t>Intercontinental Hotels Group</t>
  </si>
  <si>
    <t>IHG</t>
  </si>
  <si>
    <t>IHI CORP</t>
  </si>
  <si>
    <t>IHICY</t>
  </si>
  <si>
    <t>INTERTEK GP PLC</t>
  </si>
  <si>
    <t>IKTSY</t>
  </si>
  <si>
    <t>Illumina, Inc.</t>
  </si>
  <si>
    <t>ILMN</t>
  </si>
  <si>
    <t>Imperial Tobacco Group PLC</t>
  </si>
  <si>
    <t>IMBBY</t>
  </si>
  <si>
    <t>IMI PLC</t>
  </si>
  <si>
    <t>IMIAY</t>
  </si>
  <si>
    <t>Immunomedics, Inc.</t>
  </si>
  <si>
    <t>IMMU</t>
  </si>
  <si>
    <t>Imperial Oil Limited</t>
  </si>
  <si>
    <t>IMO</t>
  </si>
  <si>
    <t>Impala Platinum Holdings Ltd.</t>
  </si>
  <si>
    <t>IMPUY</t>
  </si>
  <si>
    <t>Incyte Corporation</t>
  </si>
  <si>
    <t>INCY</t>
  </si>
  <si>
    <t>IHS Markit Ltd.</t>
  </si>
  <si>
    <t>INFO</t>
  </si>
  <si>
    <t>Infosys Limited</t>
  </si>
  <si>
    <t>INFY</t>
  </si>
  <si>
    <t>ING Group, N.V.</t>
  </si>
  <si>
    <t>ING</t>
  </si>
  <si>
    <t>Ingredion Incorporated</t>
  </si>
  <si>
    <t>INGR</t>
  </si>
  <si>
    <t>Intel Corporation</t>
  </si>
  <si>
    <t>INTC</t>
  </si>
  <si>
    <t>Semiconductor - General</t>
  </si>
  <si>
    <t>Intuit Inc.</t>
  </si>
  <si>
    <t>INTU</t>
  </si>
  <si>
    <t>Invitation Home Inc.</t>
  </si>
  <si>
    <t>INVH</t>
  </si>
  <si>
    <t>Ionis Pharmaceuticals, Inc.</t>
  </si>
  <si>
    <t>IONS</t>
  </si>
  <si>
    <t>International Paper Company</t>
  </si>
  <si>
    <t>IP</t>
  </si>
  <si>
    <t>Interpublic Group of Companies, Inc. (The)</t>
  </si>
  <si>
    <t>IPG</t>
  </si>
  <si>
    <t>Advertising and Marketing</t>
  </si>
  <si>
    <t>IPG Photonics Corporation</t>
  </si>
  <si>
    <t>IPGP</t>
  </si>
  <si>
    <t>Lasers Systems and Components</t>
  </si>
  <si>
    <t>IPSEN SA ADR</t>
  </si>
  <si>
    <t>IPSEY</t>
  </si>
  <si>
    <t>iQIYI, Inc. Sponsored ADR</t>
  </si>
  <si>
    <t>IQ</t>
  </si>
  <si>
    <t>Film and Television Production and Distribution</t>
  </si>
  <si>
    <t>IQVIA Holdings Inc.</t>
  </si>
  <si>
    <t>IQV</t>
  </si>
  <si>
    <t>Ingersoll-Rand PLC (Ireland)</t>
  </si>
  <si>
    <t>IR</t>
  </si>
  <si>
    <t>Iridium Communications Inc</t>
  </si>
  <si>
    <t>IRDM</t>
  </si>
  <si>
    <t>Iron Mountain Incorporated</t>
  </si>
  <si>
    <t>IRM</t>
  </si>
  <si>
    <t>Investors Bancorp, Inc.</t>
  </si>
  <si>
    <t>ISBC</t>
  </si>
  <si>
    <t>Intesa Sanpaolo SpA</t>
  </si>
  <si>
    <t>ISNPY</t>
  </si>
  <si>
    <t>Intuitive Surgical, Inc.</t>
  </si>
  <si>
    <t>ISRG</t>
  </si>
  <si>
    <t>Gartner, Inc.</t>
  </si>
  <si>
    <t>IT</t>
  </si>
  <si>
    <t>Itron, Inc.</t>
  </si>
  <si>
    <t>ITRI</t>
  </si>
  <si>
    <t>ITT Inc.</t>
  </si>
  <si>
    <t>ITT</t>
  </si>
  <si>
    <t>Itau Unibanco Holding S.A.</t>
  </si>
  <si>
    <t>ITUB</t>
  </si>
  <si>
    <t>Illinois Tool Works Inc.</t>
  </si>
  <si>
    <t>ITW</t>
  </si>
  <si>
    <t>Invesco Ltd.</t>
  </si>
  <si>
    <t>IVZ</t>
  </si>
  <si>
    <t>Orix Corp Ads</t>
  </si>
  <si>
    <t>IX</t>
  </si>
  <si>
    <t>JAPAN TOB INC</t>
  </si>
  <si>
    <t>JAPAY</t>
  </si>
  <si>
    <t>Jazz Pharmaceuticals PLC</t>
  </si>
  <si>
    <t>JAZZ</t>
  </si>
  <si>
    <t>JBG SMITH Properties</t>
  </si>
  <si>
    <t>JBGS</t>
  </si>
  <si>
    <t>J.B. Hunt Transport Services, Inc.</t>
  </si>
  <si>
    <t>JBHT</t>
  </si>
  <si>
    <t>Transportation - Truck</t>
  </si>
  <si>
    <t>Jabil, Inc.</t>
  </si>
  <si>
    <t>JBL</t>
  </si>
  <si>
    <t>Electronics - Manufacturing Services</t>
  </si>
  <si>
    <t>JetBlue Airways Corporation</t>
  </si>
  <si>
    <t>JBLU</t>
  </si>
  <si>
    <t>John Bean Technologies Corporation</t>
  </si>
  <si>
    <t>JBT</t>
  </si>
  <si>
    <t>Manufacturing - Thermal Products</t>
  </si>
  <si>
    <t>Johnson Controls International plc</t>
  </si>
  <si>
    <t>JCI</t>
  </si>
  <si>
    <t>j2 Global, Inc.</t>
  </si>
  <si>
    <t>JCOM</t>
  </si>
  <si>
    <t>JD.com, Inc.</t>
  </si>
  <si>
    <t>JD</t>
  </si>
  <si>
    <t>Jacobs Engineering Group Inc.</t>
  </si>
  <si>
    <t>JEC</t>
  </si>
  <si>
    <t>Jfe Holdings Inc.</t>
  </si>
  <si>
    <t>JFEEF</t>
  </si>
  <si>
    <t>Janus Capital Group, Inc</t>
  </si>
  <si>
    <t>JHG</t>
  </si>
  <si>
    <t>J &amp; J Snack Foods Corp.</t>
  </si>
  <si>
    <t>JJSF</t>
  </si>
  <si>
    <t>Jack Henry &amp; Associates, Inc.</t>
  </si>
  <si>
    <t>JKHY</t>
  </si>
  <si>
    <t>Electronics - Miscellaneous Services</t>
  </si>
  <si>
    <t>Jones Lang LaSalle Incorporated</t>
  </si>
  <si>
    <t>JLL</t>
  </si>
  <si>
    <t>Johnson Matthey PLC</t>
  </si>
  <si>
    <t>JMPLY</t>
  </si>
  <si>
    <t>Johnson &amp; Johnson</t>
  </si>
  <si>
    <t>JNJ</t>
  </si>
  <si>
    <t>Juniper Networks, Inc.</t>
  </si>
  <si>
    <t>JNPR</t>
  </si>
  <si>
    <t>JPMorgan Chase &amp; Co.</t>
  </si>
  <si>
    <t>JPM</t>
  </si>
  <si>
    <t>Jeronimo Martins SGPS SA</t>
  </si>
  <si>
    <t>JRONY</t>
  </si>
  <si>
    <t>J. Sainsbury PLC</t>
  </si>
  <si>
    <t>JSAIY</t>
  </si>
  <si>
    <t>JSR CP UNSP ADR</t>
  </si>
  <si>
    <t>JSCPY</t>
  </si>
  <si>
    <t>Nordstrom, Inc.</t>
  </si>
  <si>
    <t>JWN</t>
  </si>
  <si>
    <t>Kellogg Company</t>
  </si>
  <si>
    <t>K</t>
  </si>
  <si>
    <t>KAR Auction Services, Inc</t>
  </si>
  <si>
    <t>KAR</t>
  </si>
  <si>
    <t>KB Financial Group Inc</t>
  </si>
  <si>
    <t>KB</t>
  </si>
  <si>
    <t>KBC Group SA</t>
  </si>
  <si>
    <t>KBCSY</t>
  </si>
  <si>
    <t>KBR, Inc.</t>
  </si>
  <si>
    <t>KBR</t>
  </si>
  <si>
    <t>Keurig Dr Pepper, Inc</t>
  </si>
  <si>
    <t>KDP</t>
  </si>
  <si>
    <t>Korea Electric Power Corporation</t>
  </si>
  <si>
    <t>KEP</t>
  </si>
  <si>
    <t>Kirby Corporation</t>
  </si>
  <si>
    <t>KEX</t>
  </si>
  <si>
    <t>KeyCorp</t>
  </si>
  <si>
    <t>KEY</t>
  </si>
  <si>
    <t>Keysight Technologies Inc.</t>
  </si>
  <si>
    <t>KEYS</t>
  </si>
  <si>
    <t>Kinross Gold Corporation</t>
  </si>
  <si>
    <t>KGC</t>
  </si>
  <si>
    <t>Kingdee International Software Group Co., Ltd. Unsponsored ADR</t>
  </si>
  <si>
    <t>KGDEY</t>
  </si>
  <si>
    <t>Kingfisher PLC</t>
  </si>
  <si>
    <t>KGFHY</t>
  </si>
  <si>
    <t>The Kraft Heinz Company</t>
  </si>
  <si>
    <t>KHC</t>
  </si>
  <si>
    <t>Kuehne &amp; Nagel International Ag</t>
  </si>
  <si>
    <t>KHNGY</t>
  </si>
  <si>
    <t>KION GROUP AG</t>
  </si>
  <si>
    <t>KIGRY</t>
  </si>
  <si>
    <t>Koninklijke KPN NV</t>
  </si>
  <si>
    <t>KKPNF</t>
  </si>
  <si>
    <t>KKR &amp; Co. Inc.</t>
  </si>
  <si>
    <t>KKR</t>
  </si>
  <si>
    <t>Kirkland Lake Gold Ltd.</t>
  </si>
  <si>
    <t>KL</t>
  </si>
  <si>
    <t>KLA-Tencor Corporation</t>
  </si>
  <si>
    <t>KLAC</t>
  </si>
  <si>
    <t>KLEPIERRE SA</t>
  </si>
  <si>
    <t>KLPEF</t>
  </si>
  <si>
    <t>KUNLUN EGY ADR</t>
  </si>
  <si>
    <t>KLYCY</t>
  </si>
  <si>
    <t>Oil and Gas - Exploration and Production - International</t>
  </si>
  <si>
    <t>Kimberly-Clark Corporation</t>
  </si>
  <si>
    <t>KMB</t>
  </si>
  <si>
    <t>Kinder Morgan, Inc.</t>
  </si>
  <si>
    <t>KMI</t>
  </si>
  <si>
    <t>Kemper Corporation</t>
  </si>
  <si>
    <t>KMPR</t>
  </si>
  <si>
    <t>Komatsu Ltd.</t>
  </si>
  <si>
    <t>KMTUY</t>
  </si>
  <si>
    <t>CarMax, Inc.</t>
  </si>
  <si>
    <t>KMX</t>
  </si>
  <si>
    <t>Konica Minolta Inc.</t>
  </si>
  <si>
    <t>KNCAY</t>
  </si>
  <si>
    <t>Konami Corp.</t>
  </si>
  <si>
    <t>KNMCY</t>
  </si>
  <si>
    <t>Knight-Swift Transportation Holdings Inc.</t>
  </si>
  <si>
    <t>KNX</t>
  </si>
  <si>
    <t>Coca-Cola Company (The)</t>
  </si>
  <si>
    <t>KO</t>
  </si>
  <si>
    <t>Coca Cola Femsa S.A.B. de C.V.</t>
  </si>
  <si>
    <t>KOF</t>
  </si>
  <si>
    <t>The Kroger Co.</t>
  </si>
  <si>
    <t>KR</t>
  </si>
  <si>
    <t>Kilroy Realty Corporation</t>
  </si>
  <si>
    <t>KRC</t>
  </si>
  <si>
    <t>Kohl's Corporation</t>
  </si>
  <si>
    <t>KSS</t>
  </si>
  <si>
    <t>Retail - Regional Department Stores</t>
  </si>
  <si>
    <t>Kansas City Southern</t>
  </si>
  <si>
    <t>KSU</t>
  </si>
  <si>
    <t>KT Corporation</t>
  </si>
  <si>
    <t>KT</t>
  </si>
  <si>
    <t>Kubota Corp.</t>
  </si>
  <si>
    <t>KUBTY</t>
  </si>
  <si>
    <t>Kuraray Co.</t>
  </si>
  <si>
    <t>KURRY</t>
  </si>
  <si>
    <t>Kawasaki Heavy Industries Ltd.</t>
  </si>
  <si>
    <t>KWHIY</t>
  </si>
  <si>
    <t>Kyocera Corporation</t>
  </si>
  <si>
    <t>KYOCY</t>
  </si>
  <si>
    <t>Loews Corporation</t>
  </si>
  <si>
    <t>L</t>
  </si>
  <si>
    <t>Lithia Motors, Inc.</t>
  </si>
  <si>
    <t>LAD</t>
  </si>
  <si>
    <t>Lamar Advertising Company</t>
  </si>
  <si>
    <t>LAMR</t>
  </si>
  <si>
    <t>Laureate Education Inc.</t>
  </si>
  <si>
    <t>LAUR</t>
  </si>
  <si>
    <t>Lazard Ltd</t>
  </si>
  <si>
    <t>LAZ</t>
  </si>
  <si>
    <t>L Brands, Inc.</t>
  </si>
  <si>
    <t>LB</t>
  </si>
  <si>
    <t>Liberty Broadband Corporation</t>
  </si>
  <si>
    <t>LBRDK</t>
  </si>
  <si>
    <t>Liberty Global PLC</t>
  </si>
  <si>
    <t>LBTYA</t>
  </si>
  <si>
    <t>Leidos Holdings, Inc.</t>
  </si>
  <si>
    <t>LDOS</t>
  </si>
  <si>
    <t>Lear Corporation</t>
  </si>
  <si>
    <t>LEA</t>
  </si>
  <si>
    <t>Lincoln Electric Holdings, Inc.</t>
  </si>
  <si>
    <t>LECO</t>
  </si>
  <si>
    <t>Manufacturing - Tools &amp; Related Products</t>
  </si>
  <si>
    <t>Leggett &amp; Platt, Incorporated</t>
  </si>
  <si>
    <t>LEG</t>
  </si>
  <si>
    <t>Furniture</t>
  </si>
  <si>
    <t>Lennar Corporation</t>
  </si>
  <si>
    <t>LEN</t>
  </si>
  <si>
    <t>China Life Insurance Company Limited</t>
  </si>
  <si>
    <t>LFC</t>
  </si>
  <si>
    <t>Littelfuse, Inc.</t>
  </si>
  <si>
    <t>LFUS</t>
  </si>
  <si>
    <t>Laboratory Corporation of America Holdings</t>
  </si>
  <si>
    <t>LH</t>
  </si>
  <si>
    <t>LHC Group, Inc.</t>
  </si>
  <si>
    <t>LHCG</t>
  </si>
  <si>
    <t>L3Harris Technologies Inc</t>
  </si>
  <si>
    <t>LHX</t>
  </si>
  <si>
    <t>Lennox International, Inc.</t>
  </si>
  <si>
    <t>LII</t>
  </si>
  <si>
    <t>Building Products - Air Conditioner and Heating</t>
  </si>
  <si>
    <t>LILA</t>
  </si>
  <si>
    <t>Praxair, Inc.</t>
  </si>
  <si>
    <t>LIN</t>
  </si>
  <si>
    <t>LION CORP</t>
  </si>
  <si>
    <t>LIOPF</t>
  </si>
  <si>
    <t>Lumentum Holdings Inc.</t>
  </si>
  <si>
    <t>LITE</t>
  </si>
  <si>
    <t>LivaNova PLC</t>
  </si>
  <si>
    <t>LIVN</t>
  </si>
  <si>
    <t>LKQ Corporation</t>
  </si>
  <si>
    <t>LKQ</t>
  </si>
  <si>
    <t>Eli Lilly and Company</t>
  </si>
  <si>
    <t>LLY</t>
  </si>
  <si>
    <t>Legg Mason, Inc.</t>
  </si>
  <si>
    <t>LM</t>
  </si>
  <si>
    <t>Lockheed Martin Corporation</t>
  </si>
  <si>
    <t>LMT</t>
  </si>
  <si>
    <t>LINE Corporation</t>
  </si>
  <si>
    <t>LN</t>
  </si>
  <si>
    <t>Lincoln National Corporation</t>
  </si>
  <si>
    <t>LNC</t>
  </si>
  <si>
    <t>Cheniere Energy, Inc.</t>
  </si>
  <si>
    <t>LNG</t>
  </si>
  <si>
    <t>Alliant Energy Corporation</t>
  </si>
  <si>
    <t>LNT</t>
  </si>
  <si>
    <t>Lenovo Group Ltd.</t>
  </si>
  <si>
    <t>LNVGY</t>
  </si>
  <si>
    <t>Logitech International S.A.</t>
  </si>
  <si>
    <t>LOGI</t>
  </si>
  <si>
    <t>LogMein, Inc.</t>
  </si>
  <si>
    <t>LOGM</t>
  </si>
  <si>
    <t>Grand Canyon Education, Inc.</t>
  </si>
  <si>
    <t>LOPE</t>
  </si>
  <si>
    <t>Lowe's Companies, Inc.</t>
  </si>
  <si>
    <t>LOW</t>
  </si>
  <si>
    <t>LG Display Co., Ltd.</t>
  </si>
  <si>
    <t>LPL</t>
  </si>
  <si>
    <t>LPL Financial Holdings Inc.</t>
  </si>
  <si>
    <t>LPLA</t>
  </si>
  <si>
    <t>Liberty Property Trust</t>
  </si>
  <si>
    <t>LPT</t>
  </si>
  <si>
    <t>Louisiana-Pacific Corporation</t>
  </si>
  <si>
    <t>LPX</t>
  </si>
  <si>
    <t>Lam Research Corporation</t>
  </si>
  <si>
    <t>LRCX</t>
  </si>
  <si>
    <t>L'Oreal SA</t>
  </si>
  <si>
    <t>LRLCY</t>
  </si>
  <si>
    <t>Life Storage, Inc.</t>
  </si>
  <si>
    <t>LSI</t>
  </si>
  <si>
    <t>Landstar System, Inc.</t>
  </si>
  <si>
    <t>LSTR</t>
  </si>
  <si>
    <t>LSXMK</t>
  </si>
  <si>
    <t>LATAM Airlines Group S.A.</t>
  </si>
  <si>
    <t>LTM</t>
  </si>
  <si>
    <t>lululemon athletica inc.</t>
  </si>
  <si>
    <t>LULU</t>
  </si>
  <si>
    <t>Southwest Airlines Co.</t>
  </si>
  <si>
    <t>LUV</t>
  </si>
  <si>
    <t>LVMH-Moet Hennessy Louis Vuitton SA</t>
  </si>
  <si>
    <t>LVMUY</t>
  </si>
  <si>
    <t>Las Vegas Sands Corp.</t>
  </si>
  <si>
    <t>LVS</t>
  </si>
  <si>
    <t>Lamb Weston Holdings Inc.</t>
  </si>
  <si>
    <t>LW</t>
  </si>
  <si>
    <t>LyondellBasell Industries N.V.</t>
  </si>
  <si>
    <t>LYB</t>
  </si>
  <si>
    <t>Lloyds Banking Group PLC</t>
  </si>
  <si>
    <t>LYG</t>
  </si>
  <si>
    <t>Lonza Group Ag</t>
  </si>
  <si>
    <t>LZAGY</t>
  </si>
  <si>
    <t>Macy's, Inc.</t>
  </si>
  <si>
    <t>M</t>
  </si>
  <si>
    <t>Mastercard Incorporated</t>
  </si>
  <si>
    <t>MA</t>
  </si>
  <si>
    <t>Mid-America Apartment Communities, Inc.</t>
  </si>
  <si>
    <t>MAA</t>
  </si>
  <si>
    <t>Macerich Company (The)</t>
  </si>
  <si>
    <t>MAC</t>
  </si>
  <si>
    <t>ManpowerGroup Inc.</t>
  </si>
  <si>
    <t>MAN</t>
  </si>
  <si>
    <t>Staffing Firms</t>
  </si>
  <si>
    <t>Manhattan Associates, Inc.</t>
  </si>
  <si>
    <t>MANH</t>
  </si>
  <si>
    <t>Marriott International</t>
  </si>
  <si>
    <t>MAR</t>
  </si>
  <si>
    <t>Masco Corporation</t>
  </si>
  <si>
    <t>MAS</t>
  </si>
  <si>
    <t>Masimo Corporation</t>
  </si>
  <si>
    <t>MASI</t>
  </si>
  <si>
    <t>Mattel, Inc.</t>
  </si>
  <si>
    <t>MAT</t>
  </si>
  <si>
    <t>Mobile TeleSystems OJSC</t>
  </si>
  <si>
    <t>MBT</t>
  </si>
  <si>
    <t>McDonald's Corporation</t>
  </si>
  <si>
    <t>MCD</t>
  </si>
  <si>
    <t>Microchip Technology Incorporated</t>
  </si>
  <si>
    <t>MCHP</t>
  </si>
  <si>
    <t>McKesson Corporation</t>
  </si>
  <si>
    <t>MCK</t>
  </si>
  <si>
    <t>Moody's Corporation</t>
  </si>
  <si>
    <t>MCO</t>
  </si>
  <si>
    <t>Mercury General Corporation</t>
  </si>
  <si>
    <t>MCY</t>
  </si>
  <si>
    <t>MongoDB, Inc.</t>
  </si>
  <si>
    <t>MDB</t>
  </si>
  <si>
    <t>The Medicines Company</t>
  </si>
  <si>
    <t>MDCO</t>
  </si>
  <si>
    <t>Mondelez International, Inc.</t>
  </si>
  <si>
    <t>MDLZ</t>
  </si>
  <si>
    <t>Medidata Solutions, Inc.</t>
  </si>
  <si>
    <t>MDSO</t>
  </si>
  <si>
    <t>Medtronic PLC</t>
  </si>
  <si>
    <t>MDT</t>
  </si>
  <si>
    <t>MDU Resources Group, Inc.</t>
  </si>
  <si>
    <t>MDU</t>
  </si>
  <si>
    <t>Medpace Holdings, Inc.</t>
  </si>
  <si>
    <t>MEDP</t>
  </si>
  <si>
    <t>MercadoLibre, Inc.</t>
  </si>
  <si>
    <t>MELI</t>
  </si>
  <si>
    <t>MetLife, Inc.</t>
  </si>
  <si>
    <t>MET</t>
  </si>
  <si>
    <t>MFA Financial, Inc.</t>
  </si>
  <si>
    <t>MFA</t>
  </si>
  <si>
    <t>Manulife Financial Corp</t>
  </si>
  <si>
    <t>MFC</t>
  </si>
  <si>
    <t>Mizuho Financial Group, Inc.</t>
  </si>
  <si>
    <t>MFG</t>
  </si>
  <si>
    <t>Magna International Inc.</t>
  </si>
  <si>
    <t>MGA</t>
  </si>
  <si>
    <t>Michelin</t>
  </si>
  <si>
    <t>MGDDY</t>
  </si>
  <si>
    <t>MGM Resorts International</t>
  </si>
  <si>
    <t>MGM</t>
  </si>
  <si>
    <t>Magnolia Oil &amp; Gas Corp</t>
  </si>
  <si>
    <t>MGY</t>
  </si>
  <si>
    <t>Mohawk Industries, Inc.</t>
  </si>
  <si>
    <t>MHK</t>
  </si>
  <si>
    <t>Textile - Home Furnishing</t>
  </si>
  <si>
    <t>Mitsubishi Heavy Industries, Ltd.</t>
  </si>
  <si>
    <t>MHVYF</t>
  </si>
  <si>
    <t>Macquarie Infrastructure Company</t>
  </si>
  <si>
    <t>MIC</t>
  </si>
  <si>
    <t>The Middleby Corporation</t>
  </si>
  <si>
    <t>MIDD</t>
  </si>
  <si>
    <t>McCormick &amp; Company, Incorporated</t>
  </si>
  <si>
    <t>MKC</t>
  </si>
  <si>
    <t>Markel Corporation</t>
  </si>
  <si>
    <t>MKL</t>
  </si>
  <si>
    <t>MKS Instruments, Inc.</t>
  </si>
  <si>
    <t>MKSI</t>
  </si>
  <si>
    <t>MarketAxess Holdings Inc.</t>
  </si>
  <si>
    <t>MKTX</t>
  </si>
  <si>
    <t>Melco Resorts &amp; Entertainment Limited</t>
  </si>
  <si>
    <t>MLCO</t>
  </si>
  <si>
    <t>Martin Marietta Materials, Inc.</t>
  </si>
  <si>
    <t>MLM</t>
  </si>
  <si>
    <t>Mellanox Technologies, Ltd.</t>
  </si>
  <si>
    <t>MLNX</t>
  </si>
  <si>
    <t>Marsh &amp; McLennan Companies, Inc.</t>
  </si>
  <si>
    <t>MMC</t>
  </si>
  <si>
    <t>3M Company</t>
  </si>
  <si>
    <t>MMM</t>
  </si>
  <si>
    <t>Magellan Midstream Partners, L.P.</t>
  </si>
  <si>
    <t>MMP</t>
  </si>
  <si>
    <t>Maximus, Inc.</t>
  </si>
  <si>
    <t>MMS</t>
  </si>
  <si>
    <t>Monster Beverage Corporation</t>
  </si>
  <si>
    <t>MNST</t>
  </si>
  <si>
    <t>Altria Group, Inc.</t>
  </si>
  <si>
    <t>MO</t>
  </si>
  <si>
    <t>Moog Inc.</t>
  </si>
  <si>
    <t>MOG.A</t>
  </si>
  <si>
    <t>Molina Healthcare, Inc</t>
  </si>
  <si>
    <t>MOH</t>
  </si>
  <si>
    <t>Momo Inc.</t>
  </si>
  <si>
    <t>MOMO</t>
  </si>
  <si>
    <t>MONDI PLC UNS</t>
  </si>
  <si>
    <t>MONDY</t>
  </si>
  <si>
    <t>MONOTARO</t>
  </si>
  <si>
    <t>MONOY</t>
  </si>
  <si>
    <t>The Mosaic Company</t>
  </si>
  <si>
    <t>MOS</t>
  </si>
  <si>
    <t>Marathon Petroleum Corporation</t>
  </si>
  <si>
    <t>MPC</t>
  </si>
  <si>
    <t>MPLX LP</t>
  </si>
  <si>
    <t>MPLX</t>
  </si>
  <si>
    <t>Medical Properties Trust, Inc.</t>
  </si>
  <si>
    <t>MPW</t>
  </si>
  <si>
    <t>Monolithic Power Systems, Inc.</t>
  </si>
  <si>
    <t>MPWR</t>
  </si>
  <si>
    <t>Mercury Systems Inc</t>
  </si>
  <si>
    <t>MRCY</t>
  </si>
  <si>
    <t>Merck &amp; Co., Inc.</t>
  </si>
  <si>
    <t>MRK</t>
  </si>
  <si>
    <t>Moderna, Inc.</t>
  </si>
  <si>
    <t>MRNA</t>
  </si>
  <si>
    <t>Marathon Oil Corporation</t>
  </si>
  <si>
    <t>MRO</t>
  </si>
  <si>
    <t>Mirati Therapeutics, Inc.</t>
  </si>
  <si>
    <t>MRTX</t>
  </si>
  <si>
    <t>Marvell Technology Group Ltd.</t>
  </si>
  <si>
    <t>MRVL</t>
  </si>
  <si>
    <t>WM MORRISON SUP</t>
  </si>
  <si>
    <t>MRWSY</t>
  </si>
  <si>
    <t>Food - Natural Foods Products</t>
  </si>
  <si>
    <t>Morgan Stanley</t>
  </si>
  <si>
    <t>MS</t>
  </si>
  <si>
    <t>MSA Safety Incorporporated</t>
  </si>
  <si>
    <t>MSA</t>
  </si>
  <si>
    <t>MS&amp;AD Insurance Group Holdings Inc.</t>
  </si>
  <si>
    <t>MSADY</t>
  </si>
  <si>
    <t>MSCI Inc</t>
  </si>
  <si>
    <t>MSCI</t>
  </si>
  <si>
    <t>Microsoft Corporation</t>
  </si>
  <si>
    <t>MSFT</t>
  </si>
  <si>
    <t>The Madison Square Garden Company</t>
  </si>
  <si>
    <t>MSG</t>
  </si>
  <si>
    <t>Motorola Solutions, Inc.</t>
  </si>
  <si>
    <t>MSI</t>
  </si>
  <si>
    <t>MSC Industrial Direct Company, Inc.</t>
  </si>
  <si>
    <t>MSM</t>
  </si>
  <si>
    <t>ArcelorMittal</t>
  </si>
  <si>
    <t>MT</t>
  </si>
  <si>
    <t>M&amp;T Bank Corporation</t>
  </si>
  <si>
    <t>MTB</t>
  </si>
  <si>
    <t>Match Group, Inc.</t>
  </si>
  <si>
    <t>MTCH</t>
  </si>
  <si>
    <t>Mettler-Toledo International, Inc.</t>
  </si>
  <si>
    <t>MTD</t>
  </si>
  <si>
    <t>MGIC Investment Corporation</t>
  </si>
  <si>
    <t>MTG</t>
  </si>
  <si>
    <t>Mitsubishi Chemical Holdings Corp.</t>
  </si>
  <si>
    <t>MTLHY</t>
  </si>
  <si>
    <t>Vail Resorts, Inc.</t>
  </si>
  <si>
    <t>MTN</t>
  </si>
  <si>
    <t>MasTec, Inc.</t>
  </si>
  <si>
    <t>MTZ</t>
  </si>
  <si>
    <t>Micron Technology, Inc.</t>
  </si>
  <si>
    <t>MU</t>
  </si>
  <si>
    <t>Semiconductor Memory</t>
  </si>
  <si>
    <t>Mitsubishi UFJ Financial Group, Inc.</t>
  </si>
  <si>
    <t>MUFG</t>
  </si>
  <si>
    <t>Murphy Oil Corporation</t>
  </si>
  <si>
    <t>MUR</t>
  </si>
  <si>
    <t>Metso Corp.</t>
  </si>
  <si>
    <t>MXCYY</t>
  </si>
  <si>
    <t>Maxim Integrated Products, Inc.</t>
  </si>
  <si>
    <t>MXIM</t>
  </si>
  <si>
    <t>Mylan N.V.</t>
  </si>
  <si>
    <t>MYL</t>
  </si>
  <si>
    <t>Mazda Motor Corporation</t>
  </si>
  <si>
    <t>MZDAY</t>
  </si>
  <si>
    <t>National Australia Bank Ltd.</t>
  </si>
  <si>
    <t>NABZY</t>
  </si>
  <si>
    <t>Navient Corporation</t>
  </si>
  <si>
    <t>NAVI</t>
  </si>
  <si>
    <t>Neurocrine Biosciences, Inc.</t>
  </si>
  <si>
    <t>NBIX</t>
  </si>
  <si>
    <t>Noble Energy Inc.</t>
  </si>
  <si>
    <t>NBL</t>
  </si>
  <si>
    <t>Norwegian Cruise Line Holdings Ltd.</t>
  </si>
  <si>
    <t>NCLH</t>
  </si>
  <si>
    <t>NCR Corporation</t>
  </si>
  <si>
    <t>NCR</t>
  </si>
  <si>
    <t>NABTESCO CP TKY</t>
  </si>
  <si>
    <t>NCTKF</t>
  </si>
  <si>
    <t>Nasdaq, Inc.</t>
  </si>
  <si>
    <t>NDAQ</t>
  </si>
  <si>
    <t>Nordson Corporation</t>
  </si>
  <si>
    <t>NDSN</t>
  </si>
  <si>
    <t>NextEra Energy, Inc.</t>
  </si>
  <si>
    <t>NEE</t>
  </si>
  <si>
    <t>Newmont Mining Corporation</t>
  </si>
  <si>
    <t>NEM</t>
  </si>
  <si>
    <t>Neogen Corporation</t>
  </si>
  <si>
    <t>NEOG</t>
  </si>
  <si>
    <t>NextEra Energy Partners, LP</t>
  </si>
  <si>
    <t>NEP</t>
  </si>
  <si>
    <t>New Relic, Inc.</t>
  </si>
  <si>
    <t>NEWR</t>
  </si>
  <si>
    <t>New Fortress Energy LLC</t>
  </si>
  <si>
    <t>NFE</t>
  </si>
  <si>
    <t>National Fuel Gas Company</t>
  </si>
  <si>
    <t>NFG</t>
  </si>
  <si>
    <t>Netflix, Inc.</t>
  </si>
  <si>
    <t>NFLX</t>
  </si>
  <si>
    <t>National Grid Transco, PLC</t>
  </si>
  <si>
    <t>NGG</t>
  </si>
  <si>
    <t>ANGLO AMER ADR</t>
  </si>
  <si>
    <t>NGLOY</t>
  </si>
  <si>
    <t>Ingevity Corporation</t>
  </si>
  <si>
    <t>NGVT</t>
  </si>
  <si>
    <t>National Health Investors, Inc.</t>
  </si>
  <si>
    <t>NHI</t>
  </si>
  <si>
    <t>Norsk Hydro ASA</t>
  </si>
  <si>
    <t>NHYDY</t>
  </si>
  <si>
    <t>NiSource, Inc</t>
  </si>
  <si>
    <t>NI</t>
  </si>
  <si>
    <t>Nice Ltd.</t>
  </si>
  <si>
    <t>NICE</t>
  </si>
  <si>
    <t>Nikon Corp.</t>
  </si>
  <si>
    <t>NINOY</t>
  </si>
  <si>
    <t>NIO Inc.</t>
  </si>
  <si>
    <t>NIO</t>
  </si>
  <si>
    <t>Nidec Corp.</t>
  </si>
  <si>
    <t>NJDCY</t>
  </si>
  <si>
    <t>NewJersey Resources Corporation</t>
  </si>
  <si>
    <t>NJR</t>
  </si>
  <si>
    <t>NIKE, Inc.</t>
  </si>
  <si>
    <t>NKE</t>
  </si>
  <si>
    <t>Nektar Therapeutics</t>
  </si>
  <si>
    <t>NKTR</t>
  </si>
  <si>
    <t>Nielsen Holdings Plc</t>
  </si>
  <si>
    <t>NLSN</t>
  </si>
  <si>
    <t>Annaly Capital Management Inc</t>
  </si>
  <si>
    <t>NLY</t>
  </si>
  <si>
    <t>NMC Health PLC Unsponsored ADR</t>
  </si>
  <si>
    <t>NMHLY</t>
  </si>
  <si>
    <t>Nomura Holdings Inc ADR</t>
  </si>
  <si>
    <t>NMR</t>
  </si>
  <si>
    <t>Nissan Chemical Industries, Ltd.</t>
  </si>
  <si>
    <t>NNCHY</t>
  </si>
  <si>
    <t>National Retail Properties</t>
  </si>
  <si>
    <t>NNN</t>
  </si>
  <si>
    <t>Northrop Grumman Corporation</t>
  </si>
  <si>
    <t>NOC</t>
  </si>
  <si>
    <t>Nokia Corporation</t>
  </si>
  <si>
    <t>NOK</t>
  </si>
  <si>
    <t>Nomad Foods Limited</t>
  </si>
  <si>
    <t>NOMD</t>
  </si>
  <si>
    <t>National Oilwell Varco, Inc.</t>
  </si>
  <si>
    <t>NOV</t>
  </si>
  <si>
    <t>Oil and Gas - Mechanical and and Equipment</t>
  </si>
  <si>
    <t>ServiceNow, Inc.</t>
  </si>
  <si>
    <t>NOW</t>
  </si>
  <si>
    <t>Nippon Paint Holdings Co., Ltd.</t>
  </si>
  <si>
    <t>NPCPF</t>
  </si>
  <si>
    <t>Paints and Related Products</t>
  </si>
  <si>
    <t>NRG Energy, Inc.</t>
  </si>
  <si>
    <t>NRG</t>
  </si>
  <si>
    <t>NOMURA RESH LTD</t>
  </si>
  <si>
    <t>NRILY</t>
  </si>
  <si>
    <t>New Residential Investment Corp.</t>
  </si>
  <si>
    <t>NRZ</t>
  </si>
  <si>
    <t>NuStar Energy L.P.</t>
  </si>
  <si>
    <t>NS</t>
  </si>
  <si>
    <t>Nissan Motor Co.</t>
  </si>
  <si>
    <t>NSANY</t>
  </si>
  <si>
    <t>Norfolk Southern Corporation</t>
  </si>
  <si>
    <t>NSC</t>
  </si>
  <si>
    <t>Insperity, Inc.</t>
  </si>
  <si>
    <t>NSP</t>
  </si>
  <si>
    <t>Nestle SA</t>
  </si>
  <si>
    <t>NSRGY</t>
  </si>
  <si>
    <t>NetApp, Inc.</t>
  </si>
  <si>
    <t>NTAP</t>
  </si>
  <si>
    <t>Computer- Storage Devices</t>
  </si>
  <si>
    <t>Nintendo Co.</t>
  </si>
  <si>
    <t>NTDOY</t>
  </si>
  <si>
    <t>Ntt Data Corporation</t>
  </si>
  <si>
    <t>NTDTY</t>
  </si>
  <si>
    <t>NetEase, Inc.</t>
  </si>
  <si>
    <t>NTES</t>
  </si>
  <si>
    <t>National Bank of Canada</t>
  </si>
  <si>
    <t>NTIOF</t>
  </si>
  <si>
    <t>Nutanix Inc.</t>
  </si>
  <si>
    <t>NTNX</t>
  </si>
  <si>
    <t>Nutrien Ltd.</t>
  </si>
  <si>
    <t>NTR</t>
  </si>
  <si>
    <t>Northern Trust Corporation</t>
  </si>
  <si>
    <t>NTRS</t>
  </si>
  <si>
    <t>Nippon Telegraph and Telephone Corporation</t>
  </si>
  <si>
    <t>NTTYY</t>
  </si>
  <si>
    <t>Nuance Communications, Inc.</t>
  </si>
  <si>
    <t>NUAN</t>
  </si>
  <si>
    <t>Nucor Corporation</t>
  </si>
  <si>
    <t>NUE</t>
  </si>
  <si>
    <t>NuVasive, Inc.</t>
  </si>
  <si>
    <t>NUVA</t>
  </si>
  <si>
    <t>NovoCure Limited</t>
  </si>
  <si>
    <t>NVCR</t>
  </si>
  <si>
    <t>NVIDIA Corporation</t>
  </si>
  <si>
    <t>NVDA</t>
  </si>
  <si>
    <t>Novo Nordisk A/S</t>
  </si>
  <si>
    <t>NVO</t>
  </si>
  <si>
    <t>NVR, Inc.</t>
  </si>
  <si>
    <t>NVR</t>
  </si>
  <si>
    <t>Novartis AG</t>
  </si>
  <si>
    <t>NVS</t>
  </si>
  <si>
    <t>nVent Electric PLC</t>
  </si>
  <si>
    <t>NVT</t>
  </si>
  <si>
    <t>Novozymes A/S</t>
  </si>
  <si>
    <t>NVZMY</t>
  </si>
  <si>
    <t>NorthWestern Corporation</t>
  </si>
  <si>
    <t>NWE</t>
  </si>
  <si>
    <t>Newell Brands Inc.</t>
  </si>
  <si>
    <t>NWL</t>
  </si>
  <si>
    <t>News Corporation</t>
  </si>
  <si>
    <t>NWSA</t>
  </si>
  <si>
    <t>Next PLC</t>
  </si>
  <si>
    <t>NXGPY</t>
  </si>
  <si>
    <t>NXP Semiconductors N.V.</t>
  </si>
  <si>
    <t>NXPI</t>
  </si>
  <si>
    <t>Nexstar Broadcasting Group, Inc.</t>
  </si>
  <si>
    <t>NXST</t>
  </si>
  <si>
    <t>New York Community Bancorp, Inc.</t>
  </si>
  <si>
    <t>NYCB</t>
  </si>
  <si>
    <t>The New York Times Company</t>
  </si>
  <si>
    <t>NYT</t>
  </si>
  <si>
    <t>Publishing - Newspapers</t>
  </si>
  <si>
    <t>Realty Income Corporation</t>
  </si>
  <si>
    <t>O</t>
  </si>
  <si>
    <t>Oaktree Capital Group, LLC</t>
  </si>
  <si>
    <t>OAK</t>
  </si>
  <si>
    <t>OBIC CO LTD</t>
  </si>
  <si>
    <t>OBIIF</t>
  </si>
  <si>
    <t>Owens Corning Inc</t>
  </si>
  <si>
    <t>OC</t>
  </si>
  <si>
    <t>Olympus Corp.</t>
  </si>
  <si>
    <t>OCPNY</t>
  </si>
  <si>
    <t>Old Dominion Freight Line, Inc.</t>
  </si>
  <si>
    <t>ODFL</t>
  </si>
  <si>
    <t>OC OERLIKON CP</t>
  </si>
  <si>
    <t>OERLF</t>
  </si>
  <si>
    <t>Corporate Office Properties Trust</t>
  </si>
  <si>
    <t>OFC</t>
  </si>
  <si>
    <t>OGE Energy Corporation</t>
  </si>
  <si>
    <t>OGE</t>
  </si>
  <si>
    <t>ONE Gas, Inc.</t>
  </si>
  <si>
    <t>OGS</t>
  </si>
  <si>
    <t>Omega Healthcare Investors, Inc.</t>
  </si>
  <si>
    <t>OHI</t>
  </si>
  <si>
    <t>ONEOK, Inc.</t>
  </si>
  <si>
    <t>OKE</t>
  </si>
  <si>
    <t>Okta, Inc.</t>
  </si>
  <si>
    <t>OKTA</t>
  </si>
  <si>
    <t>ORIENTAL LAND</t>
  </si>
  <si>
    <t>OLCLY</t>
  </si>
  <si>
    <t>Universal Display Corporation</t>
  </si>
  <si>
    <t>OLED</t>
  </si>
  <si>
    <t>Ollie's Bargain Outlet Holdings, Inc.</t>
  </si>
  <si>
    <t>OLLI</t>
  </si>
  <si>
    <t>Olin Corporation</t>
  </si>
  <si>
    <t>OLN</t>
  </si>
  <si>
    <t>Omnicom Group Inc.</t>
  </si>
  <si>
    <t>OMC</t>
  </si>
  <si>
    <t>Omnicell, Inc.</t>
  </si>
  <si>
    <t>OMCL</t>
  </si>
  <si>
    <t>OneMain Holdings, Inc.</t>
  </si>
  <si>
    <t>OMF</t>
  </si>
  <si>
    <t>OMV AG</t>
  </si>
  <si>
    <t>OMVJF</t>
  </si>
  <si>
    <t>ON Semiconductor Corporation</t>
  </si>
  <si>
    <t>ON</t>
  </si>
  <si>
    <t>Old National Bancorp</t>
  </si>
  <si>
    <t>ONB</t>
  </si>
  <si>
    <t>Spark Therapeutics, Inc.</t>
  </si>
  <si>
    <t>ONCE</t>
  </si>
  <si>
    <t>Ormat Technologies, Inc.</t>
  </si>
  <si>
    <t>ORA</t>
  </si>
  <si>
    <t>Orange</t>
  </si>
  <si>
    <t>ORAN</t>
  </si>
  <si>
    <t>Oracle Corporation</t>
  </si>
  <si>
    <t>ORCL</t>
  </si>
  <si>
    <t>Orion OYJ Unsponsored ADR</t>
  </si>
  <si>
    <t>ORINY</t>
  </si>
  <si>
    <t>O'Reilly Automotive, Inc.</t>
  </si>
  <si>
    <t>ORLY</t>
  </si>
  <si>
    <t>Oshkosh Corporation</t>
  </si>
  <si>
    <t>OSK</t>
  </si>
  <si>
    <t>Open Text Corporation</t>
  </si>
  <si>
    <t>OTEX</t>
  </si>
  <si>
    <t>OUTFRONT Media Inc.</t>
  </si>
  <si>
    <t>OUT</t>
  </si>
  <si>
    <t>Oversea-Chinese Banking Corporation Limited</t>
  </si>
  <si>
    <t>OVCHY</t>
  </si>
  <si>
    <t>Occidental Petroleum Corporation</t>
  </si>
  <si>
    <t>OXY</t>
  </si>
  <si>
    <t>Bank OZK</t>
  </si>
  <si>
    <t>OZK</t>
  </si>
  <si>
    <t>Plains All American Pipeline, L.P.</t>
  </si>
  <si>
    <t>PAA</t>
  </si>
  <si>
    <t>Pan American Silver Corp.</t>
  </si>
  <si>
    <t>PAAS</t>
  </si>
  <si>
    <t>Grupo Aeroportuario Del Pacifico, S.A. de C.V.</t>
  </si>
  <si>
    <t>PAC</t>
  </si>
  <si>
    <t>PacWest Bancorp</t>
  </si>
  <si>
    <t>PACW</t>
  </si>
  <si>
    <t>Penske Automotive Group, Inc.</t>
  </si>
  <si>
    <t>PAG</t>
  </si>
  <si>
    <t>Plains Group Holdings, L.P.</t>
  </si>
  <si>
    <t>PAGP</t>
  </si>
  <si>
    <t>PagSeguro Digital Ltd.</t>
  </si>
  <si>
    <t>PAGS</t>
  </si>
  <si>
    <t>Palo Alto Networks, Inc.</t>
  </si>
  <si>
    <t>PANW</t>
  </si>
  <si>
    <t>Paycom Software, Inc.</t>
  </si>
  <si>
    <t>PAYC</t>
  </si>
  <si>
    <t>Paychex, Inc.</t>
  </si>
  <si>
    <t>PAYX</t>
  </si>
  <si>
    <t>Prosperity Bancshares, Inc.</t>
  </si>
  <si>
    <t>PB</t>
  </si>
  <si>
    <t>Pembina Pipeline Corp.</t>
  </si>
  <si>
    <t>PBA</t>
  </si>
  <si>
    <t>People's United Financial, Inc.</t>
  </si>
  <si>
    <t>PBCT</t>
  </si>
  <si>
    <t>Petroleo Brasileiro S.A.- Petrobras</t>
  </si>
  <si>
    <t>PBR</t>
  </si>
  <si>
    <t>PACCAR Inc.</t>
  </si>
  <si>
    <t>PCAR</t>
  </si>
  <si>
    <t>Pacific Gas &amp; Electric Co.</t>
  </si>
  <si>
    <t>PCG</t>
  </si>
  <si>
    <t>Panasonic Corp.</t>
  </si>
  <si>
    <t>PCRFY</t>
  </si>
  <si>
    <t>Paylocity Holding Corporation</t>
  </si>
  <si>
    <t>PCTY</t>
  </si>
  <si>
    <t>Pinduoduo Inc. Sponsored ADR</t>
  </si>
  <si>
    <t>PDD</t>
  </si>
  <si>
    <t>Pernod Ricard SA</t>
  </si>
  <si>
    <t>PDRDY</t>
  </si>
  <si>
    <t>Parsley Energy, Inc.</t>
  </si>
  <si>
    <t>PE</t>
  </si>
  <si>
    <t>Pebblebrook Hotel Trust</t>
  </si>
  <si>
    <t>PEB</t>
  </si>
  <si>
    <t>Public Service Enterprise Group Incorporated</t>
  </si>
  <si>
    <t>PEG</t>
  </si>
  <si>
    <t>Pegasystems Inc.</t>
  </si>
  <si>
    <t>PEGA</t>
  </si>
  <si>
    <t>Penumbra, Inc.</t>
  </si>
  <si>
    <t>PEN</t>
  </si>
  <si>
    <t>Pepsico, Inc.</t>
  </si>
  <si>
    <t>PEP</t>
  </si>
  <si>
    <t>Pfizer Inc.</t>
  </si>
  <si>
    <t>PFE</t>
  </si>
  <si>
    <t>Principal Financial Group, Inc.</t>
  </si>
  <si>
    <t>PFG</t>
  </si>
  <si>
    <t>Performance Food Group Company</t>
  </si>
  <si>
    <t>PFGC</t>
  </si>
  <si>
    <t>Proofpoint, Inc.</t>
  </si>
  <si>
    <t>PFPT</t>
  </si>
  <si>
    <t>Procter &amp; Gamble Company (The)</t>
  </si>
  <si>
    <t>PG</t>
  </si>
  <si>
    <t>The Progressive Corporation</t>
  </si>
  <si>
    <t>PGR</t>
  </si>
  <si>
    <t>Paramount Group, Inc.</t>
  </si>
  <si>
    <t>PGRE</t>
  </si>
  <si>
    <t>Parker-Hannifin Corporation</t>
  </si>
  <si>
    <t>PH</t>
  </si>
  <si>
    <t>Koninklijke Philips N.V.</t>
  </si>
  <si>
    <t>PHG</t>
  </si>
  <si>
    <t>PLDT Inc.</t>
  </si>
  <si>
    <t>PHI</t>
  </si>
  <si>
    <t>PulteGroup, Inc.</t>
  </si>
  <si>
    <t>PHM</t>
  </si>
  <si>
    <t>Polaris Industries Inc.</t>
  </si>
  <si>
    <t>PII</t>
  </si>
  <si>
    <t>Premier, Inc.</t>
  </si>
  <si>
    <t>PINC</t>
  </si>
  <si>
    <t>Packaging Corporation of America</t>
  </si>
  <si>
    <t>PKG</t>
  </si>
  <si>
    <t>PerkinElmer, Inc.</t>
  </si>
  <si>
    <t>PKI</t>
  </si>
  <si>
    <t>Anaplan, Inc.</t>
  </si>
  <si>
    <t>PLAN</t>
  </si>
  <si>
    <t>Prologis, Inc.</t>
  </si>
  <si>
    <t>PLD</t>
  </si>
  <si>
    <t>Planet Fitness, Inc.</t>
  </si>
  <si>
    <t>PLNT</t>
  </si>
  <si>
    <t>Philip Morris International Inc.</t>
  </si>
  <si>
    <t>PM</t>
  </si>
  <si>
    <t>The PNC Financial Services Group, Inc</t>
  </si>
  <si>
    <t>PNC</t>
  </si>
  <si>
    <t>Pinnacle Financial Partners, Inc.</t>
  </si>
  <si>
    <t>PNFP</t>
  </si>
  <si>
    <t>PNM Resources, Inc. (Holding Co.)</t>
  </si>
  <si>
    <t>PNM</t>
  </si>
  <si>
    <t>Pentair plc</t>
  </si>
  <si>
    <t>PNR</t>
  </si>
  <si>
    <t>Pinnacle West Capital Corporation</t>
  </si>
  <si>
    <t>PNW</t>
  </si>
  <si>
    <t>Insulet Corporation</t>
  </si>
  <si>
    <t>PODD</t>
  </si>
  <si>
    <t>Pool Corporation</t>
  </si>
  <si>
    <t>POOL</t>
  </si>
  <si>
    <t>Portland General Electric Company</t>
  </si>
  <si>
    <t>POR</t>
  </si>
  <si>
    <t>POLA ORBIS</t>
  </si>
  <si>
    <t>PORBF</t>
  </si>
  <si>
    <t>Post Holdings, Inc.</t>
  </si>
  <si>
    <t>POST</t>
  </si>
  <si>
    <t>Pilgrim's Pride Corporation</t>
  </si>
  <si>
    <t>PPC</t>
  </si>
  <si>
    <t>PPG Industries, Inc.</t>
  </si>
  <si>
    <t>PPG</t>
  </si>
  <si>
    <t>PPL Corporation</t>
  </si>
  <si>
    <t>PPL</t>
  </si>
  <si>
    <t>Kering SA</t>
  </si>
  <si>
    <t>PPRUY</t>
  </si>
  <si>
    <t>PRA Health Sciences, Inc.</t>
  </si>
  <si>
    <t>PRAH</t>
  </si>
  <si>
    <t>Perrigo Company plc</t>
  </si>
  <si>
    <t>PRGO</t>
  </si>
  <si>
    <t>Primerica, Inc.</t>
  </si>
  <si>
    <t>PRI</t>
  </si>
  <si>
    <t>PERSPECTA INC</t>
  </si>
  <si>
    <t>PRSP</t>
  </si>
  <si>
    <t>Prudential Financial, Inc.</t>
  </si>
  <si>
    <t>PRU</t>
  </si>
  <si>
    <t>Public Storage</t>
  </si>
  <si>
    <t>PSA</t>
  </si>
  <si>
    <t>PS Business Parks, Inc.</t>
  </si>
  <si>
    <t>PSB</t>
  </si>
  <si>
    <t>Pure Storage, Inc.</t>
  </si>
  <si>
    <t>PSTG</t>
  </si>
  <si>
    <t>Phillips 66</t>
  </si>
  <si>
    <t>PSX</t>
  </si>
  <si>
    <t>Phillips 66 Partners LP</t>
  </si>
  <si>
    <t>PSXP</t>
  </si>
  <si>
    <t>Oil and Gas - Refining and Marketing - Master Limited Partnerships</t>
  </si>
  <si>
    <t>PTC Inc.</t>
  </si>
  <si>
    <t>PTC</t>
  </si>
  <si>
    <t>PetroChina Company Limited</t>
  </si>
  <si>
    <t>PTR</t>
  </si>
  <si>
    <t>Publicis Groupe SA</t>
  </si>
  <si>
    <t>PUBGY</t>
  </si>
  <si>
    <t>PEUGEOT SA</t>
  </si>
  <si>
    <t>PUGOY</t>
  </si>
  <si>
    <t>Prudential Public Limited Company</t>
  </si>
  <si>
    <t>PUK</t>
  </si>
  <si>
    <t>PVH Corp.</t>
  </si>
  <si>
    <t>PVH</t>
  </si>
  <si>
    <t>Pivotal Software, Inc.</t>
  </si>
  <si>
    <t>PVTL</t>
  </si>
  <si>
    <t>Quanta Services, Inc.</t>
  </si>
  <si>
    <t>PWR</t>
  </si>
  <si>
    <t>Pioneer Natural Resources Company</t>
  </si>
  <si>
    <t>PXD</t>
  </si>
  <si>
    <t>PayPal Holdings, Inc.</t>
  </si>
  <si>
    <t>PYPL</t>
  </si>
  <si>
    <t>QUALCOMM Incorporated</t>
  </si>
  <si>
    <t>QCOM</t>
  </si>
  <si>
    <t>QIAGEN N.V.</t>
  </si>
  <si>
    <t>QGEN</t>
  </si>
  <si>
    <t>Qualys, Inc.</t>
  </si>
  <si>
    <t>QLYS</t>
  </si>
  <si>
    <t>Qurate Retail Group, Inc.</t>
  </si>
  <si>
    <t>QRTEA</t>
  </si>
  <si>
    <t>Qorvo, Inc.</t>
  </si>
  <si>
    <t>QRVO</t>
  </si>
  <si>
    <t>Semiconductors - Radio Frequency</t>
  </si>
  <si>
    <t>Restaurant Brands International Inc.</t>
  </si>
  <si>
    <t>QSR</t>
  </si>
  <si>
    <t>Q2 Holdings, Inc.</t>
  </si>
  <si>
    <t>QTWO</t>
  </si>
  <si>
    <t>Ferrari N.V.</t>
  </si>
  <si>
    <t>RACE</t>
  </si>
  <si>
    <t>LiveRamp Holdings, Inc.</t>
  </si>
  <si>
    <t>RAMP</t>
  </si>
  <si>
    <t>Ritchie Bros. Auctioneers Incorporated</t>
  </si>
  <si>
    <t>RBA</t>
  </si>
  <si>
    <t>Regal Beloit Corporation</t>
  </si>
  <si>
    <t>RBC</t>
  </si>
  <si>
    <t>Reckitt Benckiser Group PLC</t>
  </si>
  <si>
    <t>RBGLY</t>
  </si>
  <si>
    <t>Royal Bank Scotland PLC (The)</t>
  </si>
  <si>
    <t>RBS</t>
  </si>
  <si>
    <t>Rogers Communication, Inc.</t>
  </si>
  <si>
    <t>RCI</t>
  </si>
  <si>
    <t>Royal Caribbean Cruises Ltd.</t>
  </si>
  <si>
    <t>RCL</t>
  </si>
  <si>
    <t>Recruit Holdings Co., Ltd.</t>
  </si>
  <si>
    <t>RCRRF</t>
  </si>
  <si>
    <t>Radian Group Inc.</t>
  </si>
  <si>
    <t>RDN</t>
  </si>
  <si>
    <t>Royal Dutch Shell PLC</t>
  </si>
  <si>
    <t>RDS.A</t>
  </si>
  <si>
    <t>Koninklijke DSM NV</t>
  </si>
  <si>
    <t>RDSMY</t>
  </si>
  <si>
    <t>Dr. Reddy's Laboratories Ltd</t>
  </si>
  <si>
    <t>RDY</t>
  </si>
  <si>
    <t>Everest Re Group, Ltd.</t>
  </si>
  <si>
    <t>RE</t>
  </si>
  <si>
    <t>Regency Centers Corporation</t>
  </si>
  <si>
    <t>REG</t>
  </si>
  <si>
    <t>Regeneron Pharmaceuticals, Inc.</t>
  </si>
  <si>
    <t>REGN</t>
  </si>
  <si>
    <t>Repsol SA</t>
  </si>
  <si>
    <t>REPYY</t>
  </si>
  <si>
    <t>Rexford Industrial Realty, Inc.</t>
  </si>
  <si>
    <t>REXR</t>
  </si>
  <si>
    <t>Regions Financial Corporation</t>
  </si>
  <si>
    <t>RF</t>
  </si>
  <si>
    <t>Reinsurance Group of America, Incorporated</t>
  </si>
  <si>
    <t>RGA</t>
  </si>
  <si>
    <t>Repligen Corporation</t>
  </si>
  <si>
    <t>RGEN</t>
  </si>
  <si>
    <t>Royal Gold, Inc.</t>
  </si>
  <si>
    <t>RGLD</t>
  </si>
  <si>
    <t>Restoration Hardware Holdings Inc.</t>
  </si>
  <si>
    <t>RH</t>
  </si>
  <si>
    <t>Retail - Home Furnishings</t>
  </si>
  <si>
    <t>Roche Holding AG</t>
  </si>
  <si>
    <t>RHHBY</t>
  </si>
  <si>
    <t>Robert Half International Inc.</t>
  </si>
  <si>
    <t>RHI</t>
  </si>
  <si>
    <t>Ryman Hospitality Properties, Inc.</t>
  </si>
  <si>
    <t>RHP</t>
  </si>
  <si>
    <t>Ricoh Co.</t>
  </si>
  <si>
    <t>RICOY</t>
  </si>
  <si>
    <t>Transocean Ltd.</t>
  </si>
  <si>
    <t>RIG</t>
  </si>
  <si>
    <t>Rio Tinto PLC</t>
  </si>
  <si>
    <t>RIO</t>
  </si>
  <si>
    <t>Raymond James Financial, Inc.</t>
  </si>
  <si>
    <t>RJF</t>
  </si>
  <si>
    <t>Ralph Lauren Corporation</t>
  </si>
  <si>
    <t>RL</t>
  </si>
  <si>
    <t>RLI Corp.</t>
  </si>
  <si>
    <t>RLI</t>
  </si>
  <si>
    <t>ResMed Inc.</t>
  </si>
  <si>
    <t>RMD</t>
  </si>
  <si>
    <t>Ringcentral, Inc.</t>
  </si>
  <si>
    <t>RNG</t>
  </si>
  <si>
    <t>RENAULT SA</t>
  </si>
  <si>
    <t>RNLSY</t>
  </si>
  <si>
    <t>RenaissanceRe Holdings Ltd.</t>
  </si>
  <si>
    <t>RNR</t>
  </si>
  <si>
    <t>RENISHAW PLC 20</t>
  </si>
  <si>
    <t>RNSHF</t>
  </si>
  <si>
    <t>Rockwell Automation, Inc.</t>
  </si>
  <si>
    <t>ROK</t>
  </si>
  <si>
    <t>Roku, Inc.</t>
  </si>
  <si>
    <t>ROKU</t>
  </si>
  <si>
    <t>Rollins, Inc.</t>
  </si>
  <si>
    <t>ROL</t>
  </si>
  <si>
    <t>Building Products - Maintenance Service</t>
  </si>
  <si>
    <t>RBC Bearings Incorporated</t>
  </si>
  <si>
    <t>ROLL</t>
  </si>
  <si>
    <t>Roper Technologies, Inc.</t>
  </si>
  <si>
    <t>ROP</t>
  </si>
  <si>
    <t>Ross Stores, Inc.</t>
  </si>
  <si>
    <t>ROST</t>
  </si>
  <si>
    <t>RealPage, Inc.</t>
  </si>
  <si>
    <t>RP</t>
  </si>
  <si>
    <t>RPM International Inc.</t>
  </si>
  <si>
    <t>RPM</t>
  </si>
  <si>
    <t>Reliance Steel &amp; Aluminum Co.</t>
  </si>
  <si>
    <t>RS</t>
  </si>
  <si>
    <t>Republic Services, Inc.</t>
  </si>
  <si>
    <t>RSG</t>
  </si>
  <si>
    <t>Raytheon Company</t>
  </si>
  <si>
    <t>RTN</t>
  </si>
  <si>
    <t>Rentokil Initial PLC</t>
  </si>
  <si>
    <t>RTOKY</t>
  </si>
  <si>
    <t>ROTORK PLC</t>
  </si>
  <si>
    <t>RTOXY</t>
  </si>
  <si>
    <t>RWE AG</t>
  </si>
  <si>
    <t>RWEOY</t>
  </si>
  <si>
    <t>Royal Bank Of Canada</t>
  </si>
  <si>
    <t>RY</t>
  </si>
  <si>
    <t>Ryanair Holdings PLC</t>
  </si>
  <si>
    <t>RYAAY</t>
  </si>
  <si>
    <t>Rolls-Royce Holdings PLC</t>
  </si>
  <si>
    <t>RYCEY</t>
  </si>
  <si>
    <t>Rayonier Inc.</t>
  </si>
  <si>
    <t>RYN</t>
  </si>
  <si>
    <t>Sprint Corporation</t>
  </si>
  <si>
    <t>S</t>
  </si>
  <si>
    <t>Sabre Corporation</t>
  </si>
  <si>
    <t>SABR</t>
  </si>
  <si>
    <t>Sanderson Farms, Inc.</t>
  </si>
  <si>
    <t>SAFM</t>
  </si>
  <si>
    <t>Safran SA</t>
  </si>
  <si>
    <t>SAFRY</t>
  </si>
  <si>
    <t>Sage Therapeutics, Inc.</t>
  </si>
  <si>
    <t>SAGE</t>
  </si>
  <si>
    <t>Science Applications International Corporation</t>
  </si>
  <si>
    <t>SAIC</t>
  </si>
  <si>
    <t>The Boston Beer Company, Inc.</t>
  </si>
  <si>
    <t>SAM</t>
  </si>
  <si>
    <t>Banco Santander, S.A.</t>
  </si>
  <si>
    <t>SAN</t>
  </si>
  <si>
    <t>SAP SE</t>
  </si>
  <si>
    <t>SAP</t>
  </si>
  <si>
    <t>SAIPEM SPA SAN</t>
  </si>
  <si>
    <t>SAPMF</t>
  </si>
  <si>
    <t>SARTORIUS AG</t>
  </si>
  <si>
    <t>SARTF</t>
  </si>
  <si>
    <t>EchoStar Corporation</t>
  </si>
  <si>
    <t>SATS</t>
  </si>
  <si>
    <t>Straumann Holding AG</t>
  </si>
  <si>
    <t>SAUHF</t>
  </si>
  <si>
    <t>SBA Communications Corporation</t>
  </si>
  <si>
    <t>SBAC</t>
  </si>
  <si>
    <t>Sinclair Broadcast Group, Inc.</t>
  </si>
  <si>
    <t>SBGI</t>
  </si>
  <si>
    <t>Signature Bank</t>
  </si>
  <si>
    <t>SBNY</t>
  </si>
  <si>
    <t>Sabra Healthcare REIT, Inc.</t>
  </si>
  <si>
    <t>SBRA</t>
  </si>
  <si>
    <t>Companhia de saneamento Basico Do Estado De Sao Paulo - Sabesp</t>
  </si>
  <si>
    <t>SBS</t>
  </si>
  <si>
    <t>Starbucks Corporation</t>
  </si>
  <si>
    <t>SBUX</t>
  </si>
  <si>
    <t>Santander Consumer USA Holdings Inc.</t>
  </si>
  <si>
    <t>SC</t>
  </si>
  <si>
    <t>Standard Chartered PLC</t>
  </si>
  <si>
    <t>SCBFF</t>
  </si>
  <si>
    <t>Southern Copper Corporation</t>
  </si>
  <si>
    <t>SCCO</t>
  </si>
  <si>
    <t>Societe Generale Group</t>
  </si>
  <si>
    <t>SCGLY</t>
  </si>
  <si>
    <t>The Charles Schwab Corporation</t>
  </si>
  <si>
    <t>SCHW</t>
  </si>
  <si>
    <t>Service Corporation International</t>
  </si>
  <si>
    <t>SCI</t>
  </si>
  <si>
    <t>Funeral Services</t>
  </si>
  <si>
    <t>Swisscom AG</t>
  </si>
  <si>
    <t>SCMWY</t>
  </si>
  <si>
    <t>Scor SE</t>
  </si>
  <si>
    <t>SCRYY</t>
  </si>
  <si>
    <t>Sandvik AB</t>
  </si>
  <si>
    <t>SDVKY</t>
  </si>
  <si>
    <t>Sea Limited Sponsored ADR</t>
  </si>
  <si>
    <t>SE</t>
  </si>
  <si>
    <t>Financial - Investment Funds</t>
  </si>
  <si>
    <t>SolarEdge Technologies, Inc.</t>
  </si>
  <si>
    <t>SEDG</t>
  </si>
  <si>
    <t>Sealed Air Corporation</t>
  </si>
  <si>
    <t>SEE</t>
  </si>
  <si>
    <t>SEGRO PLC REIT</t>
  </si>
  <si>
    <t>SEGXF</t>
  </si>
  <si>
    <t>SEI Investments Company</t>
  </si>
  <si>
    <t>SEIC</t>
  </si>
  <si>
    <t>Seiko Epson Corp.</t>
  </si>
  <si>
    <t>SEKEY</t>
  </si>
  <si>
    <t>SPECTRIS PLC</t>
  </si>
  <si>
    <t>SEPJY</t>
  </si>
  <si>
    <t>ServiceMaster Global Holdings, Inc.</t>
  </si>
  <si>
    <t>SERV</t>
  </si>
  <si>
    <t>Stifel Financial Corporation</t>
  </si>
  <si>
    <t>SF</t>
  </si>
  <si>
    <t>Seattle Genetics, Inc.</t>
  </si>
  <si>
    <t>SGEN</t>
  </si>
  <si>
    <t>Sage Group PLC</t>
  </si>
  <si>
    <t>SGPYY</t>
  </si>
  <si>
    <t>SGS SA</t>
  </si>
  <si>
    <t>SGSOY</t>
  </si>
  <si>
    <t>Shake Shack, Inc.</t>
  </si>
  <si>
    <t>SHAK</t>
  </si>
  <si>
    <t>Sharp Corp.</t>
  </si>
  <si>
    <t>SHCAY</t>
  </si>
  <si>
    <t>Shin-Etsu Chemical Co.</t>
  </si>
  <si>
    <t>SHECY</t>
  </si>
  <si>
    <t>Shinhan Financial Group Co Ltd</t>
  </si>
  <si>
    <t>SHG</t>
  </si>
  <si>
    <t>SINOPEC Shangai Petrochemical Company, Ltd.</t>
  </si>
  <si>
    <t>SHI</t>
  </si>
  <si>
    <t>Shell Midstream Partners, L.P.</t>
  </si>
  <si>
    <t>SHLX</t>
  </si>
  <si>
    <t>SCHRODERS PLC</t>
  </si>
  <si>
    <t>SHNWF</t>
  </si>
  <si>
    <t>Sunstone Hotel Investors, Inc.</t>
  </si>
  <si>
    <t>SHO</t>
  </si>
  <si>
    <t>Shopify Inc.</t>
  </si>
  <si>
    <t>SHOP</t>
  </si>
  <si>
    <t>The Sherwin-Williams Company</t>
  </si>
  <si>
    <t>SHW</t>
  </si>
  <si>
    <t>Showa Denko K.K.</t>
  </si>
  <si>
    <t>SHWDY</t>
  </si>
  <si>
    <t>National Steel Company</t>
  </si>
  <si>
    <t>SID</t>
  </si>
  <si>
    <t>Siemens AG</t>
  </si>
  <si>
    <t>SIEGY</t>
  </si>
  <si>
    <t>Selective Insurance Group, Inc.</t>
  </si>
  <si>
    <t>SIGI</t>
  </si>
  <si>
    <t>Sina Corporation</t>
  </si>
  <si>
    <t>SINA</t>
  </si>
  <si>
    <t>Internet - Content</t>
  </si>
  <si>
    <t>Sirius XM Holdings Inc.</t>
  </si>
  <si>
    <t>SIRI</t>
  </si>
  <si>
    <t>SiteOne Landscape Supply, Inc.</t>
  </si>
  <si>
    <t>SITE</t>
  </si>
  <si>
    <t>SVB Financial Group</t>
  </si>
  <si>
    <t>SIVB</t>
  </si>
  <si>
    <t>Six Flags Entertainment Corporation New</t>
  </si>
  <si>
    <t>SIX</t>
  </si>
  <si>
    <t>South Jersey Industries, Inc.</t>
  </si>
  <si>
    <t>SJI</t>
  </si>
  <si>
    <t>The J. M. Smucker Company</t>
  </si>
  <si>
    <t>SJM</t>
  </si>
  <si>
    <t>AB SKF</t>
  </si>
  <si>
    <t>SKFRY</t>
  </si>
  <si>
    <t>SK Telecom Co., Ltd.</t>
  </si>
  <si>
    <t>SKM</t>
  </si>
  <si>
    <t>Skechers U.S.A., Inc.</t>
  </si>
  <si>
    <t>SKX</t>
  </si>
  <si>
    <t>SkyWest, Inc.</t>
  </si>
  <si>
    <t>SKYW</t>
  </si>
  <si>
    <t>Silicon Laboratories, Inc.</t>
  </si>
  <si>
    <t>SLAB</t>
  </si>
  <si>
    <t>Schlumberger Limited</t>
  </si>
  <si>
    <t>SLB</t>
  </si>
  <si>
    <t>Sun Life Financial Inc.</t>
  </si>
  <si>
    <t>SLF</t>
  </si>
  <si>
    <t>Standard Life PLC Unsponsored ADR</t>
  </si>
  <si>
    <t>SLFPY</t>
  </si>
  <si>
    <t>SL Green Realty Corporation</t>
  </si>
  <si>
    <t>SLG</t>
  </si>
  <si>
    <t>Silgan Holdings Inc.</t>
  </si>
  <si>
    <t>SLGN</t>
  </si>
  <si>
    <t>SLM Corporation</t>
  </si>
  <si>
    <t>SLM</t>
  </si>
  <si>
    <t>Smartsheet Inc.</t>
  </si>
  <si>
    <t>SMAR</t>
  </si>
  <si>
    <t>Smc Corporation</t>
  </si>
  <si>
    <t>SMCAY</t>
  </si>
  <si>
    <t>Sumitomo Mitsui Financial Group Inc</t>
  </si>
  <si>
    <t>SMFG</t>
  </si>
  <si>
    <t>SMURFIT KAPPA</t>
  </si>
  <si>
    <t>SMFKY</t>
  </si>
  <si>
    <t>The Scotts Miracle-Gro Company</t>
  </si>
  <si>
    <t>SMG</t>
  </si>
  <si>
    <t>Smiths Group PLC</t>
  </si>
  <si>
    <t>SMGZY</t>
  </si>
  <si>
    <t>Semiconductor  Manufacturing International Corporation</t>
  </si>
  <si>
    <t>SMICY</t>
  </si>
  <si>
    <t>Semtech Corporation</t>
  </si>
  <si>
    <t>SMTC</t>
  </si>
  <si>
    <t>Snap-On Incorporated</t>
  </si>
  <si>
    <t>SNA</t>
  </si>
  <si>
    <t>Tools - Handheld</t>
  </si>
  <si>
    <t>Snap Inc.</t>
  </si>
  <si>
    <t>SNAP</t>
  </si>
  <si>
    <t>Schneider National, Inc.</t>
  </si>
  <si>
    <t>SNDR</t>
  </si>
  <si>
    <t>Sony Corporation</t>
  </si>
  <si>
    <t>SNE</t>
  </si>
  <si>
    <t>Smith &amp; Nephew SNATS, Inc.</t>
  </si>
  <si>
    <t>SNN</t>
  </si>
  <si>
    <t>China Petroleum &amp; Chemical Corporation</t>
  </si>
  <si>
    <t>SNP</t>
  </si>
  <si>
    <t>Synopsys, Inc.</t>
  </si>
  <si>
    <t>SNPS</t>
  </si>
  <si>
    <t>Sunny Optical Technology (Group) Company Limited</t>
  </si>
  <si>
    <t>SNPTF</t>
  </si>
  <si>
    <t>Synovus Financial Corp.</t>
  </si>
  <si>
    <t>SNV</t>
  </si>
  <si>
    <t>SYNNEX Corporation</t>
  </si>
  <si>
    <t>SNX</t>
  </si>
  <si>
    <t>Sanofi</t>
  </si>
  <si>
    <t>SNY</t>
  </si>
  <si>
    <t>Southern Company (The)</t>
  </si>
  <si>
    <t>SO</t>
  </si>
  <si>
    <t>Secom Co.</t>
  </si>
  <si>
    <t>SOMLY</t>
  </si>
  <si>
    <t>SUMITOMO CHEMCL</t>
  </si>
  <si>
    <t>SOMMY</t>
  </si>
  <si>
    <t>Sonoco Products Company</t>
  </si>
  <si>
    <t>SON</t>
  </si>
  <si>
    <t>SONOVA HOLDING</t>
  </si>
  <si>
    <t>SONVY</t>
  </si>
  <si>
    <t>South32 Ltd.</t>
  </si>
  <si>
    <t>SOUHY</t>
  </si>
  <si>
    <t>Simon Property Group, Inc.</t>
  </si>
  <si>
    <t>SPG</t>
  </si>
  <si>
    <t>S&amp;P Global Inc.</t>
  </si>
  <si>
    <t>SPGI</t>
  </si>
  <si>
    <t>Splunk Inc.</t>
  </si>
  <si>
    <t>SPLK</t>
  </si>
  <si>
    <t>Spotify Technology SA</t>
  </si>
  <si>
    <t>SPOT</t>
  </si>
  <si>
    <t>Spirit Aerosystems Holdings, Inc.</t>
  </si>
  <si>
    <t>SPR</t>
  </si>
  <si>
    <t>SPIRAX SARCO</t>
  </si>
  <si>
    <t>SPXSF</t>
  </si>
  <si>
    <t>Square, Inc.</t>
  </si>
  <si>
    <t>SQ</t>
  </si>
  <si>
    <t>Sociedad Quimica y Minera S.A.</t>
  </si>
  <si>
    <t>SQM</t>
  </si>
  <si>
    <t>Square Enix Holdings Co., Ltd.</t>
  </si>
  <si>
    <t>SQNXF</t>
  </si>
  <si>
    <t>Publishing - Books</t>
  </si>
  <si>
    <t>Spire Inc.</t>
  </si>
  <si>
    <t>SR</t>
  </si>
  <si>
    <t>Spirit Realty Capital, Inc.</t>
  </si>
  <si>
    <t>SRC</t>
  </si>
  <si>
    <t>Stericycle, Inc.</t>
  </si>
  <si>
    <t>SRCL</t>
  </si>
  <si>
    <t>Sempra Energy</t>
  </si>
  <si>
    <t>SRE</t>
  </si>
  <si>
    <t>Sarepta Therapeutics, Inc.</t>
  </si>
  <si>
    <t>SRPT</t>
  </si>
  <si>
    <t>Simpson Manufacturing Company, Inc.</t>
  </si>
  <si>
    <t>SSD</t>
  </si>
  <si>
    <t>Shiseido Co.</t>
  </si>
  <si>
    <t>SSDOY</t>
  </si>
  <si>
    <t>SSE PLC</t>
  </si>
  <si>
    <t>SSEZY</t>
  </si>
  <si>
    <t>Sasol Ltd.</t>
  </si>
  <si>
    <t>SSL</t>
  </si>
  <si>
    <t>SS&amp;C Technologies Holdings, Inc.</t>
  </si>
  <si>
    <t>SSNC</t>
  </si>
  <si>
    <t>Swiss Re Ltd.</t>
  </si>
  <si>
    <t>SSREY</t>
  </si>
  <si>
    <t>Sensata Technologies Holding N.V.</t>
  </si>
  <si>
    <t>ST</t>
  </si>
  <si>
    <t>Instruments - Control</t>
  </si>
  <si>
    <t>Stag Industrial, Inc.</t>
  </si>
  <si>
    <t>STAG</t>
  </si>
  <si>
    <t>STERIS plc</t>
  </si>
  <si>
    <t>STE</t>
  </si>
  <si>
    <t>SunTrust Banks, Inc.</t>
  </si>
  <si>
    <t>STI</t>
  </si>
  <si>
    <t>Sterling Bancorp</t>
  </si>
  <si>
    <t>STL</t>
  </si>
  <si>
    <t>Steel Dynamics, Inc.</t>
  </si>
  <si>
    <t>STLD</t>
  </si>
  <si>
    <t>STMicroelectronics N.V.</t>
  </si>
  <si>
    <t>STM</t>
  </si>
  <si>
    <t>StoneCo Ltd.</t>
  </si>
  <si>
    <t>STNE</t>
  </si>
  <si>
    <t>STORE Capital Corporation</t>
  </si>
  <si>
    <t>STOR</t>
  </si>
  <si>
    <t>Strategic Education Inc.</t>
  </si>
  <si>
    <t>STRA</t>
  </si>
  <si>
    <t>State Street Corporation</t>
  </si>
  <si>
    <t>STT</t>
  </si>
  <si>
    <t>STARWOOD PROPERTY TRUST, INC.</t>
  </si>
  <si>
    <t>STWD</t>
  </si>
  <si>
    <t>Seagate Technology PLC</t>
  </si>
  <si>
    <t>STX</t>
  </si>
  <si>
    <t>Constellation Brands Inc</t>
  </si>
  <si>
    <t>STZ</t>
  </si>
  <si>
    <t>Suncor Energy  Inc.</t>
  </si>
  <si>
    <t>SU</t>
  </si>
  <si>
    <t>Subsea 7 SA</t>
  </si>
  <si>
    <t>SUBCY</t>
  </si>
  <si>
    <t>Sun Hung Kai Properties Ltd.</t>
  </si>
  <si>
    <t>SUHJY</t>
  </si>
  <si>
    <t>Sun Communities, Inc.</t>
  </si>
  <si>
    <t>SUI</t>
  </si>
  <si>
    <t>Sunoco LP</t>
  </si>
  <si>
    <t>SUN</t>
  </si>
  <si>
    <t>SUMCO CORP ADR</t>
  </si>
  <si>
    <t>SUOPY</t>
  </si>
  <si>
    <t>Svenska Cellulosa AB</t>
  </si>
  <si>
    <t>SVCBY</t>
  </si>
  <si>
    <t>Switch, Inc.</t>
  </si>
  <si>
    <t>SWCH</t>
  </si>
  <si>
    <t>SolarWinds Corp.</t>
  </si>
  <si>
    <t>SWI</t>
  </si>
  <si>
    <t>Stanley Black &amp; Decker, Inc.</t>
  </si>
  <si>
    <t>SWK</t>
  </si>
  <si>
    <t>Skyworks Solutions, Inc.</t>
  </si>
  <si>
    <t>SWKS</t>
  </si>
  <si>
    <t>Swire Pacific Ltd.</t>
  </si>
  <si>
    <t>SWRAY</t>
  </si>
  <si>
    <t>Southwest Gas Corporation</t>
  </si>
  <si>
    <t>SWX</t>
  </si>
  <si>
    <t>Synchrony Financial</t>
  </si>
  <si>
    <t>SYF</t>
  </si>
  <si>
    <t>Stryker Corporation</t>
  </si>
  <si>
    <t>SYK</t>
  </si>
  <si>
    <t>Symantec Corporation</t>
  </si>
  <si>
    <t>SYMC</t>
  </si>
  <si>
    <t>Syneos Health, Inc.</t>
  </si>
  <si>
    <t>SYNH</t>
  </si>
  <si>
    <t>Sysco Corporation</t>
  </si>
  <si>
    <t>SYY</t>
  </si>
  <si>
    <t>SUZUKI MOTOR CP</t>
  </si>
  <si>
    <t>SZKMY</t>
  </si>
  <si>
    <t>AT&amp;T Inc.</t>
  </si>
  <si>
    <t>T</t>
  </si>
  <si>
    <t>Takeda Pharmaceutical Co.</t>
  </si>
  <si>
    <t>TAK</t>
  </si>
  <si>
    <t>TAL Education Group</t>
  </si>
  <si>
    <t>TAL</t>
  </si>
  <si>
    <t>Molson Coors Brewing  Company</t>
  </si>
  <si>
    <t>TAP</t>
  </si>
  <si>
    <t>Taro Pharmaceutical Industries Ltd.</t>
  </si>
  <si>
    <t>TARO</t>
  </si>
  <si>
    <t>Tate &amp; Lyle PLC</t>
  </si>
  <si>
    <t>TATYY</t>
  </si>
  <si>
    <t>Tencent Holding Ltd.</t>
  </si>
  <si>
    <t>TCEHY</t>
  </si>
  <si>
    <t>Toronto Dominion Bank (The)</t>
  </si>
  <si>
    <t>TD</t>
  </si>
  <si>
    <t>Teradata Corporation</t>
  </si>
  <si>
    <t>TDC</t>
  </si>
  <si>
    <t>Transdigm Group Incorporated</t>
  </si>
  <si>
    <t>TDG</t>
  </si>
  <si>
    <t>Teladoc Health, Inc.</t>
  </si>
  <si>
    <t>TDOC</t>
  </si>
  <si>
    <t>Teledyne Technologies Incorporated</t>
  </si>
  <si>
    <t>TDY</t>
  </si>
  <si>
    <t>Atlassian Corporation PLC</t>
  </si>
  <si>
    <t>TEAM</t>
  </si>
  <si>
    <t>Tech Data Corporation</t>
  </si>
  <si>
    <t>TECD</t>
  </si>
  <si>
    <t>Retail - Computer Hardware</t>
  </si>
  <si>
    <t>Bio-Techne Corp</t>
  </si>
  <si>
    <t>TECH</t>
  </si>
  <si>
    <t>Teck Resources Ltd</t>
  </si>
  <si>
    <t>TECK</t>
  </si>
  <si>
    <t>Telefonica SA</t>
  </si>
  <si>
    <t>TEF</t>
  </si>
  <si>
    <t>TE Connectivity Ltd.</t>
  </si>
  <si>
    <t>TEL</t>
  </si>
  <si>
    <t>Telenor ASA</t>
  </si>
  <si>
    <t>TELNY</t>
  </si>
  <si>
    <t>Telecom Argentina Stet - France Telecom S.A.</t>
  </si>
  <si>
    <t>TEO</t>
  </si>
  <si>
    <t>Teradyne, Inc.</t>
  </si>
  <si>
    <t>TER</t>
  </si>
  <si>
    <t>TerraForm Power, Inc.</t>
  </si>
  <si>
    <t>TERP</t>
  </si>
  <si>
    <t>Teva Pharmaceutical Industries Ltd.</t>
  </si>
  <si>
    <t>TEVA</t>
  </si>
  <si>
    <t>Teleflex Incorporated</t>
  </si>
  <si>
    <t>TFX</t>
  </si>
  <si>
    <t>Tallgrass Energy GP, LP</t>
  </si>
  <si>
    <t>TGE</t>
  </si>
  <si>
    <t>TEGNA Inc.</t>
  </si>
  <si>
    <t>TGNA</t>
  </si>
  <si>
    <t>Target Corporation</t>
  </si>
  <si>
    <t>TGT</t>
  </si>
  <si>
    <t>The Hanover Insurance Group, Inc.</t>
  </si>
  <si>
    <t>THG</t>
  </si>
  <si>
    <t>TreeHouse Foods, Inc.</t>
  </si>
  <si>
    <t>THS</t>
  </si>
  <si>
    <t>Tiffany &amp; Co.</t>
  </si>
  <si>
    <t>TIF</t>
  </si>
  <si>
    <t>Retail - Jewelry</t>
  </si>
  <si>
    <t>Millicom International Cellular SA</t>
  </si>
  <si>
    <t>TIGO</t>
  </si>
  <si>
    <t>Telecom Italia S.P.A.</t>
  </si>
  <si>
    <t>TIIAY</t>
  </si>
  <si>
    <t>The TJX Companies, Inc.</t>
  </si>
  <si>
    <t>TJX</t>
  </si>
  <si>
    <t>Telekom Austria AG</t>
  </si>
  <si>
    <t>TKAGY</t>
  </si>
  <si>
    <t>ThyssenKrupp AG Sponsored ADR</t>
  </si>
  <si>
    <t>TKAMY</t>
  </si>
  <si>
    <t>Turkcell Iletisim Hizmetleri AS</t>
  </si>
  <si>
    <t>TKC</t>
  </si>
  <si>
    <t>Tokio Marine Holdings Inc.</t>
  </si>
  <si>
    <t>TKOMY</t>
  </si>
  <si>
    <t>Timken Company (The)</t>
  </si>
  <si>
    <t>TKR</t>
  </si>
  <si>
    <t>TeliaSonera AB</t>
  </si>
  <si>
    <t>TLSNY</t>
  </si>
  <si>
    <t>Telstra Corp.</t>
  </si>
  <si>
    <t>TLSYY</t>
  </si>
  <si>
    <t>TELE2 AB ADR</t>
  </si>
  <si>
    <t>TLTZY</t>
  </si>
  <si>
    <t>Toyota Motor Corporation</t>
  </si>
  <si>
    <t>TM</t>
  </si>
  <si>
    <t>Tencent Music Entertainment Group Sponsored ADR</t>
  </si>
  <si>
    <t>TME</t>
  </si>
  <si>
    <t>Trend Micro Inc.</t>
  </si>
  <si>
    <t>TMICY</t>
  </si>
  <si>
    <t>Thermo Fisher Scientific Inc.</t>
  </si>
  <si>
    <t>TMO</t>
  </si>
  <si>
    <t>T-Mobile US, Inc.</t>
  </si>
  <si>
    <t>TMUS</t>
  </si>
  <si>
    <t>Tandem Diabetes Care, Inc.</t>
  </si>
  <si>
    <t>TNDM</t>
  </si>
  <si>
    <t>TriNet Group, Inc.</t>
  </si>
  <si>
    <t>TNET</t>
  </si>
  <si>
    <t>Tokyo Electron Ltd.</t>
  </si>
  <si>
    <t>TOELY</t>
  </si>
  <si>
    <t>Toll Brothers Inc.</t>
  </si>
  <si>
    <t>TOL</t>
  </si>
  <si>
    <t>TOTAL S.A.</t>
  </si>
  <si>
    <t>TOT</t>
  </si>
  <si>
    <t>Tempur Sealy International, Inc.</t>
  </si>
  <si>
    <t>TPX</t>
  </si>
  <si>
    <t>LendingTree, Inc.</t>
  </si>
  <si>
    <t>TREE</t>
  </si>
  <si>
    <t>Trex Company, Inc.</t>
  </si>
  <si>
    <t>TREX</t>
  </si>
  <si>
    <t>Targa Resources, Inc.</t>
  </si>
  <si>
    <t>TRGP</t>
  </si>
  <si>
    <t>Thomson Reuters Corp</t>
  </si>
  <si>
    <t>TRI</t>
  </si>
  <si>
    <t>TripAdvisor, Inc.</t>
  </si>
  <si>
    <t>TRIP</t>
  </si>
  <si>
    <t>Trimble Inc.</t>
  </si>
  <si>
    <t>TRMB</t>
  </si>
  <si>
    <t>Terreno Realty Corporation</t>
  </si>
  <si>
    <t>TRNO</t>
  </si>
  <si>
    <t>T. Rowe Price Group, Inc.</t>
  </si>
  <si>
    <t>TROW</t>
  </si>
  <si>
    <t>TransCanada Corporation</t>
  </si>
  <si>
    <t>TRP</t>
  </si>
  <si>
    <t>TransUnion</t>
  </si>
  <si>
    <t>TRU</t>
  </si>
  <si>
    <t>The Travelers Companies, Inc.</t>
  </si>
  <si>
    <t>TRV</t>
  </si>
  <si>
    <t>Toray Industries Inc.</t>
  </si>
  <si>
    <t>TRYIY</t>
  </si>
  <si>
    <t>Textile - Products</t>
  </si>
  <si>
    <t>Tenaris S.A.</t>
  </si>
  <si>
    <t>TS</t>
  </si>
  <si>
    <t>Steel - Pipe and Tube</t>
  </si>
  <si>
    <t>Tesco PLC</t>
  </si>
  <si>
    <t>TSCDY</t>
  </si>
  <si>
    <t>Tractor Supply Company</t>
  </si>
  <si>
    <t>TSCO</t>
  </si>
  <si>
    <t>Amaya Inc.</t>
  </si>
  <si>
    <t>TSG</t>
  </si>
  <si>
    <t>Tesla, Inc.</t>
  </si>
  <si>
    <t>TSLA</t>
  </si>
  <si>
    <t>Taiwan Semiconductor Manufacturing Company Ltd.</t>
  </si>
  <si>
    <t>TSM</t>
  </si>
  <si>
    <t>Semiconductor - Circuit Foundry</t>
  </si>
  <si>
    <t>Tyson Foods, Inc.</t>
  </si>
  <si>
    <t>TSN</t>
  </si>
  <si>
    <t>TIM Participacoes S.A.</t>
  </si>
  <si>
    <t>TSU</t>
  </si>
  <si>
    <t>Toro Company (The)</t>
  </si>
  <si>
    <t>TTC</t>
  </si>
  <si>
    <t>The Trade Desk Inc.</t>
  </si>
  <si>
    <t>TTD</t>
  </si>
  <si>
    <t>TDK Corp.</t>
  </si>
  <si>
    <t>TTDKY</t>
  </si>
  <si>
    <t>Tetra Tech, Inc.</t>
  </si>
  <si>
    <t>TTEK</t>
  </si>
  <si>
    <t>Tata Motors Ltd</t>
  </si>
  <si>
    <t>TTM</t>
  </si>
  <si>
    <t>Take-Two Interactive Software, Inc.</t>
  </si>
  <si>
    <t>TTWO</t>
  </si>
  <si>
    <t>TELUS Corporation</t>
  </si>
  <si>
    <t>TU</t>
  </si>
  <si>
    <t>Grupo Televisa S.A.</t>
  </si>
  <si>
    <t>TV</t>
  </si>
  <si>
    <t>Travis Perkins PLC</t>
  </si>
  <si>
    <t>TVPKF</t>
  </si>
  <si>
    <t>Twilio Inc.</t>
  </si>
  <si>
    <t>TWLO</t>
  </si>
  <si>
    <t>Two Harbors Investments Corp</t>
  </si>
  <si>
    <t>TWO</t>
  </si>
  <si>
    <t>Twitter, Inc.</t>
  </si>
  <si>
    <t>TWTR</t>
  </si>
  <si>
    <t>Ternium S.A.</t>
  </si>
  <si>
    <t>TX</t>
  </si>
  <si>
    <t>Texas Instruments Incorporated</t>
  </si>
  <si>
    <t>TXN</t>
  </si>
  <si>
    <t>Texas Roadhouse, Inc.</t>
  </si>
  <si>
    <t>TXRH</t>
  </si>
  <si>
    <t>Textron Inc.</t>
  </si>
  <si>
    <t>TXT</t>
  </si>
  <si>
    <t>Tyler Technologies, Inc.</t>
  </si>
  <si>
    <t>TYL</t>
  </si>
  <si>
    <t>Under Armour, Inc.</t>
  </si>
  <si>
    <t>UAA</t>
  </si>
  <si>
    <t>United Airlines Holdings Inc</t>
  </si>
  <si>
    <t>UAL</t>
  </si>
  <si>
    <t>UBS Group AG</t>
  </si>
  <si>
    <t>UBS</t>
  </si>
  <si>
    <t>United Bankshares, Inc.</t>
  </si>
  <si>
    <t>UBSI</t>
  </si>
  <si>
    <t>United Internet AG</t>
  </si>
  <si>
    <t>UDIRF</t>
  </si>
  <si>
    <t>United Dominion Realty Trust, Inc.</t>
  </si>
  <si>
    <t>UDR</t>
  </si>
  <si>
    <t>UGI Corporation</t>
  </si>
  <si>
    <t>UGI</t>
  </si>
  <si>
    <t>Ultrapar Participacoes S.A.</t>
  </si>
  <si>
    <t>UGP</t>
  </si>
  <si>
    <t>Amerco</t>
  </si>
  <si>
    <t>UHAL</t>
  </si>
  <si>
    <t>Universal Health Services, Inc.</t>
  </si>
  <si>
    <t>UHS</t>
  </si>
  <si>
    <t>Ubiquiti Inc.</t>
  </si>
  <si>
    <t>UI</t>
  </si>
  <si>
    <t>Unilever PLC</t>
  </si>
  <si>
    <t>UL</t>
  </si>
  <si>
    <t>Ulta Beauty Inc.</t>
  </si>
  <si>
    <t>ULTA</t>
  </si>
  <si>
    <t>UMB Financial Corporation</t>
  </si>
  <si>
    <t>UMBF</t>
  </si>
  <si>
    <t>Umpqua Holdings Corporation</t>
  </si>
  <si>
    <t>UMPQ</t>
  </si>
  <si>
    <t>Unilever NV</t>
  </si>
  <si>
    <t>UN</t>
  </si>
  <si>
    <t>UNICREDITO SPA</t>
  </si>
  <si>
    <t>UNCFF</t>
  </si>
  <si>
    <t>Unifirst Corporation</t>
  </si>
  <si>
    <t>UNF</t>
  </si>
  <si>
    <t>UnitedHealth Group Incorporated</t>
  </si>
  <si>
    <t>UNH</t>
  </si>
  <si>
    <t>Unum Group</t>
  </si>
  <si>
    <t>UNM</t>
  </si>
  <si>
    <t>Union Pacific Corporation</t>
  </si>
  <si>
    <t>UNP</t>
  </si>
  <si>
    <t>Univar Inc.</t>
  </si>
  <si>
    <t>UNVR</t>
  </si>
  <si>
    <t>United Overseas Bank Ltd.</t>
  </si>
  <si>
    <t>UOVEY</t>
  </si>
  <si>
    <t>United Parcel Service, Inc.</t>
  </si>
  <si>
    <t>UPS</t>
  </si>
  <si>
    <t>United Rentals, Inc.</t>
  </si>
  <si>
    <t>URI</t>
  </si>
  <si>
    <t>U.S. Bancorp</t>
  </si>
  <si>
    <t>USB</t>
  </si>
  <si>
    <t>US Foods Holding Corp.</t>
  </si>
  <si>
    <t>USFD</t>
  </si>
  <si>
    <t>United States Cellular Corporation</t>
  </si>
  <si>
    <t>USM</t>
  </si>
  <si>
    <t>UNITE Group PLC</t>
  </si>
  <si>
    <t>UTGPF</t>
  </si>
  <si>
    <t>United Therapeutics Corporation</t>
  </si>
  <si>
    <t>UTHR</t>
  </si>
  <si>
    <t>United Technologies Corporation</t>
  </si>
  <si>
    <t>UTX</t>
  </si>
  <si>
    <t>Visa Inc.</t>
  </si>
  <si>
    <t>V</t>
  </si>
  <si>
    <t>Marriot Vacations Worldwide Corporation</t>
  </si>
  <si>
    <t>VAC</t>
  </si>
  <si>
    <t>VALE S.A.</t>
  </si>
  <si>
    <t>VALE</t>
  </si>
  <si>
    <t>Varian Medical Systems, Inc.</t>
  </si>
  <si>
    <t>VAR</t>
  </si>
  <si>
    <t>Veeva Systems Inc.</t>
  </si>
  <si>
    <t>VEEV</t>
  </si>
  <si>
    <t>Veolia Environnement SA</t>
  </si>
  <si>
    <t>VEOEY</t>
  </si>
  <si>
    <t>VimpelCom Ltd.</t>
  </si>
  <si>
    <t>VEON</t>
  </si>
  <si>
    <t>VEREIT Inc.</t>
  </si>
  <si>
    <t>VER</t>
  </si>
  <si>
    <t>V.F. Corporation</t>
  </si>
  <si>
    <t>VFC</t>
  </si>
  <si>
    <t>Vonage Holdings Corp.</t>
  </si>
  <si>
    <t>VG</t>
  </si>
  <si>
    <t>Viacom Inc.</t>
  </si>
  <si>
    <t>VIAB</t>
  </si>
  <si>
    <t>Viavi Solutions Inc.</t>
  </si>
  <si>
    <t>VIAV</t>
  </si>
  <si>
    <t>VICI Properties Inc.</t>
  </si>
  <si>
    <t>VICI</t>
  </si>
  <si>
    <t>Vipshop Holdings Limited</t>
  </si>
  <si>
    <t>VIPS</t>
  </si>
  <si>
    <t>Virtu Financial, Inc.</t>
  </si>
  <si>
    <t>VIRT</t>
  </si>
  <si>
    <t>Telefonica Brasil S.A.</t>
  </si>
  <si>
    <t>VIV</t>
  </si>
  <si>
    <t>Vivendi SA</t>
  </si>
  <si>
    <t>VIVHY</t>
  </si>
  <si>
    <t>Valeo S.A.</t>
  </si>
  <si>
    <t>VLEEY</t>
  </si>
  <si>
    <t>Valero Energy Corporation</t>
  </si>
  <si>
    <t>VLO</t>
  </si>
  <si>
    <t>Voestalpine AG</t>
  </si>
  <si>
    <t>VLPNY</t>
  </si>
  <si>
    <t>Steel - Speciality</t>
  </si>
  <si>
    <t>AB Volvo</t>
  </si>
  <si>
    <t>VLVLY</t>
  </si>
  <si>
    <t>Valley National Bancorp</t>
  </si>
  <si>
    <t>VLY</t>
  </si>
  <si>
    <t>Vulcan Materials Company</t>
  </si>
  <si>
    <t>VMC</t>
  </si>
  <si>
    <t>Valmont Industries, Inc.</t>
  </si>
  <si>
    <t>VMI</t>
  </si>
  <si>
    <t>VMware, Inc.</t>
  </si>
  <si>
    <t>VMW</t>
  </si>
  <si>
    <t>Vornado Realty Trust</t>
  </si>
  <si>
    <t>VNO</t>
  </si>
  <si>
    <t>Viper Energy Partners LP</t>
  </si>
  <si>
    <t>VNOM</t>
  </si>
  <si>
    <t>Vodafone Group PLC</t>
  </si>
  <si>
    <t>VOD</t>
  </si>
  <si>
    <t>KONINKLIJKE VPK</t>
  </si>
  <si>
    <t>VOPKY</t>
  </si>
  <si>
    <t>Voya Financial, Inc.</t>
  </si>
  <si>
    <t>VOYA</t>
  </si>
  <si>
    <t>Verint Systems Inc.</t>
  </si>
  <si>
    <t>VRNT</t>
  </si>
  <si>
    <t>Verisk Analytics, Inc.</t>
  </si>
  <si>
    <t>VRSK</t>
  </si>
  <si>
    <t>VeriSign, Inc.</t>
  </si>
  <si>
    <t>VRSN</t>
  </si>
  <si>
    <t>Vertex Pharmaceuticals Incorporated</t>
  </si>
  <si>
    <t>VRTX</t>
  </si>
  <si>
    <t>Viasat Inc.</t>
  </si>
  <si>
    <t>VSAT</t>
  </si>
  <si>
    <t>Versum Materials Inc.</t>
  </si>
  <si>
    <t>VSM</t>
  </si>
  <si>
    <t>Vistra Energy Corp.</t>
  </si>
  <si>
    <t>VST</t>
  </si>
  <si>
    <t>Ventas, Inc.</t>
  </si>
  <si>
    <t>VTR</t>
  </si>
  <si>
    <t>Valvoline Inc.</t>
  </si>
  <si>
    <t>VVV</t>
  </si>
  <si>
    <t>Volkswagen AG</t>
  </si>
  <si>
    <t>VWAGY</t>
  </si>
  <si>
    <t>Verizon Communications Inc.</t>
  </si>
  <si>
    <t>VZ</t>
  </si>
  <si>
    <t>Wayfair Inc.</t>
  </si>
  <si>
    <t>W</t>
  </si>
  <si>
    <t>Westinghouse Air Brake Technologies Corporation</t>
  </si>
  <si>
    <t>WAB</t>
  </si>
  <si>
    <t>Western Alliance Bancorporation</t>
  </si>
  <si>
    <t>WAL</t>
  </si>
  <si>
    <t>Waters Corporation</t>
  </si>
  <si>
    <t>WAT</t>
  </si>
  <si>
    <t>Weibo Corporation</t>
  </si>
  <si>
    <t>WB</t>
  </si>
  <si>
    <t>Wabco Holdings Inc.</t>
  </si>
  <si>
    <t>WBC</t>
  </si>
  <si>
    <t>Westpac Banking Corporation</t>
  </si>
  <si>
    <t>WBK</t>
  </si>
  <si>
    <t>Webster Financial Corporation</t>
  </si>
  <si>
    <t>WBS</t>
  </si>
  <si>
    <t>WellCare Health Plans, Inc.</t>
  </si>
  <si>
    <t>WCG</t>
  </si>
  <si>
    <t>Waste Connections, Inc.</t>
  </si>
  <si>
    <t>WCN</t>
  </si>
  <si>
    <t>Workday, Inc.</t>
  </si>
  <si>
    <t>WDAY</t>
  </si>
  <si>
    <t>Western Digital Corporation</t>
  </si>
  <si>
    <t>WDC</t>
  </si>
  <si>
    <t>WEC Energy Group, Inc.</t>
  </si>
  <si>
    <t>WEC</t>
  </si>
  <si>
    <t>WEIR GROUP PLC</t>
  </si>
  <si>
    <t>WEGRY</t>
  </si>
  <si>
    <t>Welltower Inc.</t>
  </si>
  <si>
    <t>WELL</t>
  </si>
  <si>
    <t>The Wendy's Company</t>
  </si>
  <si>
    <t>WEN</t>
  </si>
  <si>
    <t>Western Gas Equity Partners, LP</t>
  </si>
  <si>
    <t>WES</t>
  </si>
  <si>
    <t>WEX Inc.</t>
  </si>
  <si>
    <t>WEX</t>
  </si>
  <si>
    <t>Woori Bank</t>
  </si>
  <si>
    <t>WF</t>
  </si>
  <si>
    <t>Wells Fargo &amp; Company</t>
  </si>
  <si>
    <t>WFC</t>
  </si>
  <si>
    <t>Wyndham Hotels &amp; Resorts Inc.</t>
  </si>
  <si>
    <t>WH</t>
  </si>
  <si>
    <t>Whirlpool Corporation</t>
  </si>
  <si>
    <t>WHR</t>
  </si>
  <si>
    <t>William Demant Holdings</t>
  </si>
  <si>
    <t>WILYY</t>
  </si>
  <si>
    <t>Wipro Limited</t>
  </si>
  <si>
    <t>WIT</t>
  </si>
  <si>
    <t>Wix.com Ltd.</t>
  </si>
  <si>
    <t>WIX</t>
  </si>
  <si>
    <t>WEST JAPAN RAIL</t>
  </si>
  <si>
    <t>WJRYY</t>
  </si>
  <si>
    <t>Westlake Chemical Corporation</t>
  </si>
  <si>
    <t>WLK</t>
  </si>
  <si>
    <t>Willis Towers Watson Public Limited Company</t>
  </si>
  <si>
    <t>WLTW</t>
  </si>
  <si>
    <t>Waste Management, Inc.</t>
  </si>
  <si>
    <t>WM</t>
  </si>
  <si>
    <t>Williams Companies, Inc. (The)</t>
  </si>
  <si>
    <t>WMB</t>
  </si>
  <si>
    <t>Wal-Mart de Mexico SAB de CV</t>
  </si>
  <si>
    <t>WMMVY</t>
  </si>
  <si>
    <t>Walmart Inc.</t>
  </si>
  <si>
    <t>WMT</t>
  </si>
  <si>
    <t>WNS (Holdings) Limited</t>
  </si>
  <si>
    <t>WNS</t>
  </si>
  <si>
    <t>W.P. Carey Inc.</t>
  </si>
  <si>
    <t>WPC</t>
  </si>
  <si>
    <t>Silver Wheaton Corp</t>
  </si>
  <si>
    <t>WPM</t>
  </si>
  <si>
    <t>WPP PLC</t>
  </si>
  <si>
    <t>WPP</t>
  </si>
  <si>
    <t>WPX Energy, Inc.</t>
  </si>
  <si>
    <t>WPX</t>
  </si>
  <si>
    <t>W.R. Berkley Corporation</t>
  </si>
  <si>
    <t>WRB</t>
  </si>
  <si>
    <t>Weingarten Realty Investors</t>
  </si>
  <si>
    <t>WRI</t>
  </si>
  <si>
    <t>WestRock Company</t>
  </si>
  <si>
    <t>WRK</t>
  </si>
  <si>
    <t>Williams-Sonoma, Inc.</t>
  </si>
  <si>
    <t>WSM</t>
  </si>
  <si>
    <t>Watsco, Inc.</t>
  </si>
  <si>
    <t>WSO</t>
  </si>
  <si>
    <t>West Pharmaceutical Services, Inc.</t>
  </si>
  <si>
    <t>WST</t>
  </si>
  <si>
    <t>Wintrust Financial Corporation</t>
  </si>
  <si>
    <t>WTFC</t>
  </si>
  <si>
    <t>Aqua America, Inc.</t>
  </si>
  <si>
    <t>WTR</t>
  </si>
  <si>
    <t>Watts Water Technologies, Inc.</t>
  </si>
  <si>
    <t>WTS</t>
  </si>
  <si>
    <t>The Western Union Company</t>
  </si>
  <si>
    <t>WU</t>
  </si>
  <si>
    <t>58.com Inc.</t>
  </si>
  <si>
    <t>WUBA</t>
  </si>
  <si>
    <t>Woodward, Inc.</t>
  </si>
  <si>
    <t>WWD</t>
  </si>
  <si>
    <t>World Wrestling Entertainment, Inc.</t>
  </si>
  <si>
    <t>WWE</t>
  </si>
  <si>
    <t>Weyerhaeuser Company</t>
  </si>
  <si>
    <t>WY</t>
  </si>
  <si>
    <t>WYNDHAM DESTINATIONS, INC.</t>
  </si>
  <si>
    <t>WYND</t>
  </si>
  <si>
    <t>Wynn Resorts, Limited</t>
  </si>
  <si>
    <t>WYNN</t>
  </si>
  <si>
    <t>Cimarex Energy Co</t>
  </si>
  <si>
    <t>XEC</t>
  </si>
  <si>
    <t>Xcel Energy Inc.</t>
  </si>
  <si>
    <t>XEL</t>
  </si>
  <si>
    <t>Xilinx, Inc.</t>
  </si>
  <si>
    <t>XLNX</t>
  </si>
  <si>
    <t>Semiconductors - Programmable Logic</t>
  </si>
  <si>
    <t>ENN Energy Holdings Ltd.</t>
  </si>
  <si>
    <t>XNGSY</t>
  </si>
  <si>
    <t>Exxon Mobil Corporation</t>
  </si>
  <si>
    <t>XOM</t>
  </si>
  <si>
    <t>XPO Logistics, Inc.</t>
  </si>
  <si>
    <t>XPO</t>
  </si>
  <si>
    <t>DENTSPLY SIRONA Inc.</t>
  </si>
  <si>
    <t>XRAY</t>
  </si>
  <si>
    <t>Xerox Corporation</t>
  </si>
  <si>
    <t>XRX</t>
  </si>
  <si>
    <t>Xylem Inc.</t>
  </si>
  <si>
    <t>XYL</t>
  </si>
  <si>
    <t>Alleghany Corporation</t>
  </si>
  <si>
    <t>Y</t>
  </si>
  <si>
    <t>YAHOO JAPAN CP</t>
  </si>
  <si>
    <t>YAHOY</t>
  </si>
  <si>
    <t>Yamaha Motor Co., Ltd.</t>
  </si>
  <si>
    <t>YAMHF</t>
  </si>
  <si>
    <t>Yandex N.V.</t>
  </si>
  <si>
    <t>YNDX</t>
  </si>
  <si>
    <t>YPF Sociedad Anonima</t>
  </si>
  <si>
    <t>YPF</t>
  </si>
  <si>
    <t>Yum! Brands, Inc.</t>
  </si>
  <si>
    <t>YUM</t>
  </si>
  <si>
    <t>Yum China Holdings Inc.</t>
  </si>
  <si>
    <t>YUMC</t>
  </si>
  <si>
    <t>YY Inc.</t>
  </si>
  <si>
    <t>YY</t>
  </si>
  <si>
    <t>Zayo Group Holdings, Inc.</t>
  </si>
  <si>
    <t>ZAYO</t>
  </si>
  <si>
    <t>Communication - Infrastructure</t>
  </si>
  <si>
    <t>Zimmer Biomet Holdings, Inc.</t>
  </si>
  <si>
    <t>ZBH</t>
  </si>
  <si>
    <t>Zebra Technologies Corporation</t>
  </si>
  <si>
    <t>ZBRA</t>
  </si>
  <si>
    <t>Zendesk, Inc.</t>
  </si>
  <si>
    <t>ZEN</t>
  </si>
  <si>
    <t>Zions Bancorporation</t>
  </si>
  <si>
    <t>ZION</t>
  </si>
  <si>
    <t>Zynga Inc.</t>
  </si>
  <si>
    <t>ZNGA</t>
  </si>
  <si>
    <t>China Southern Airlines Company Limited</t>
  </si>
  <si>
    <t>ZNH</t>
  </si>
  <si>
    <t>Zscaler, Inc.</t>
  </si>
  <si>
    <t>ZS</t>
  </si>
  <si>
    <t>Zte Corp.</t>
  </si>
  <si>
    <t>ZTCOY</t>
  </si>
  <si>
    <t>ZTO Express (Cayman) Inc.</t>
  </si>
  <si>
    <t>ZTO</t>
  </si>
  <si>
    <t>Zoetis Inc.</t>
  </si>
  <si>
    <t>ZTS</t>
  </si>
  <si>
    <t>Zurich Insurance Group Ltd.</t>
  </si>
  <si>
    <t>ZURVY</t>
  </si>
  <si>
    <t>EPS Growth F1</t>
  </si>
  <si>
    <t>EPS Growth F2</t>
  </si>
  <si>
    <t>Growing 10% to 20%+</t>
  </si>
  <si>
    <t>Div. Yield %</t>
  </si>
  <si>
    <t>Compare with Sector</t>
  </si>
  <si>
    <t>Compare with S&amp;P 500</t>
  </si>
  <si>
    <t>Altaba Inc.</t>
  </si>
  <si>
    <t>AABA</t>
  </si>
  <si>
    <t>AIA GROUP LTD</t>
  </si>
  <si>
    <t>AAGIY</t>
  </si>
  <si>
    <t>Air Canada</t>
  </si>
  <si>
    <t>ACDVF</t>
  </si>
  <si>
    <t>Agri Bank China</t>
  </si>
  <si>
    <t>ACGBY</t>
  </si>
  <si>
    <t>Aluminum Corporation of China Limited</t>
  </si>
  <si>
    <t>ACH</t>
  </si>
  <si>
    <t>iShares MSCI ACWI ETF</t>
  </si>
  <si>
    <t>ACWI</t>
  </si>
  <si>
    <t>Adaptive Biotechnologies Corporation</t>
  </si>
  <si>
    <t>ADPT</t>
  </si>
  <si>
    <t>ANDRITZ AG</t>
  </si>
  <si>
    <t>ADRZY</t>
  </si>
  <si>
    <t>ATOS ORIGIN SA</t>
  </si>
  <si>
    <t>AEXAY</t>
  </si>
  <si>
    <t>iShares Core U.S. Aggregate Bond ETF</t>
  </si>
  <si>
    <t>AGG</t>
  </si>
  <si>
    <t>Assured Guaranty Ltd.</t>
  </si>
  <si>
    <t>AGO</t>
  </si>
  <si>
    <t>Agile Property Holdings Ltd.</t>
  </si>
  <si>
    <t>AGPYY</t>
  </si>
  <si>
    <t>Adecco SA</t>
  </si>
  <si>
    <t>AHEXY</t>
  </si>
  <si>
    <t>Ajinomoto Co.</t>
  </si>
  <si>
    <t>AJINY</t>
  </si>
  <si>
    <t>Akbank Turk Anonim Sirketi</t>
  </si>
  <si>
    <t>AKBTY</t>
  </si>
  <si>
    <t>Alfa Laval AB Unsponsored ADR</t>
  </si>
  <si>
    <t>ALFVY</t>
  </si>
  <si>
    <t>ANA Holdings Inc.</t>
  </si>
  <si>
    <t>ALNPY</t>
  </si>
  <si>
    <t>Astellas Pharma Inc.</t>
  </si>
  <si>
    <t>ALPMY</t>
  </si>
  <si>
    <t>Alstom ADR</t>
  </si>
  <si>
    <t>ALSMY</t>
  </si>
  <si>
    <t>Amcor PLC</t>
  </si>
  <si>
    <t>AMCR</t>
  </si>
  <si>
    <t>Amada Co.</t>
  </si>
  <si>
    <t>AMDLY</t>
  </si>
  <si>
    <t>ams AG Unsponsored ADR</t>
  </si>
  <si>
    <t>AMSSY</t>
  </si>
  <si>
    <t>American National Insurance Company</t>
  </si>
  <si>
    <t>ANAT</t>
  </si>
  <si>
    <t>Apple Hospitality REIT, Inc.</t>
  </si>
  <si>
    <t>APLE</t>
  </si>
  <si>
    <t>Apollo Commercial Real Estate Finance</t>
  </si>
  <si>
    <t>ARI</t>
  </si>
  <si>
    <t>Asahi Glass Co. Ltd.</t>
  </si>
  <si>
    <t>ASGLY</t>
  </si>
  <si>
    <t>ASM International NV</t>
  </si>
  <si>
    <t>ASMIY</t>
  </si>
  <si>
    <t>Atlantia SpA</t>
  </si>
  <si>
    <t>ATASY</t>
  </si>
  <si>
    <t>Auto Trader Group</t>
  </si>
  <si>
    <t>ATDRY</t>
  </si>
  <si>
    <t>Advanced Info Service Public Co.</t>
  </si>
  <si>
    <t>AVIFY</t>
  </si>
  <si>
    <t>Avantor, Inc.</t>
  </si>
  <si>
    <t>AVTR</t>
  </si>
  <si>
    <t>Alumina Ltd.</t>
  </si>
  <si>
    <t>AWCMY</t>
  </si>
  <si>
    <t>Bank of China Ltd.</t>
  </si>
  <si>
    <t>BACHY</t>
  </si>
  <si>
    <t>Brookfield Asset Management Inc</t>
  </si>
  <si>
    <t>BAM</t>
  </si>
  <si>
    <t>BBDO</t>
  </si>
  <si>
    <t>BridgeBio Pharma, Inc.</t>
  </si>
  <si>
    <t>BBIO</t>
  </si>
  <si>
    <t>BB Seguridade Participacoes SA</t>
  </si>
  <si>
    <t>BBSEY</t>
  </si>
  <si>
    <t>Brookfield Business Partners L.P.</t>
  </si>
  <si>
    <t>BBU</t>
  </si>
  <si>
    <t>Beach Energy Ltd.</t>
  </si>
  <si>
    <t>BCHEY</t>
  </si>
  <si>
    <t>Bank of Communications Co.</t>
  </si>
  <si>
    <t>BCMXY</t>
  </si>
  <si>
    <t>Banco Do Brasil SA</t>
  </si>
  <si>
    <t>BDORY</t>
  </si>
  <si>
    <t>Brookfield Renewable Partners L.P.</t>
  </si>
  <si>
    <t>BEP</t>
  </si>
  <si>
    <t>BOC Hong Kong  Ltd.</t>
  </si>
  <si>
    <t>BHKLY</t>
  </si>
  <si>
    <t>BIO.B</t>
  </si>
  <si>
    <t>Bank Hapoalim</t>
  </si>
  <si>
    <t>BKHYY</t>
  </si>
  <si>
    <t>BELLWAY</t>
  </si>
  <si>
    <t>BLWYY</t>
  </si>
  <si>
    <t>BBMG CORP</t>
  </si>
  <si>
    <t>BMBGF</t>
  </si>
  <si>
    <t>HUGO BOSS</t>
  </si>
  <si>
    <t>BOSSY</t>
  </si>
  <si>
    <t>Brookfield Property Partners L.P.</t>
  </si>
  <si>
    <t>BPY</t>
  </si>
  <si>
    <t>BRK.A</t>
  </si>
  <si>
    <t>Brother Industries Ltd.</t>
  </si>
  <si>
    <t>BRTHY</t>
  </si>
  <si>
    <t>British Land Company PLC Sponsored ADR</t>
  </si>
  <si>
    <t>BTLCY</t>
  </si>
  <si>
    <t>Britvic PLC Sponsored ADR</t>
  </si>
  <si>
    <t>BTVCY</t>
  </si>
  <si>
    <t>Brambles Ltd.</t>
  </si>
  <si>
    <t>BXBLY</t>
  </si>
  <si>
    <t>Beyond Meat, Inc.</t>
  </si>
  <si>
    <t>BYND</t>
  </si>
  <si>
    <t>BUZZI UNICEM</t>
  </si>
  <si>
    <t>BZZUF</t>
  </si>
  <si>
    <t>China Resources Cement Holdings Ltd. Unsponsored ADR</t>
  </si>
  <si>
    <t>CARCY</t>
  </si>
  <si>
    <t>COBHAM PLC</t>
  </si>
  <si>
    <t>CBHMY</t>
  </si>
  <si>
    <t>CBS.A</t>
  </si>
  <si>
    <t>Commerce Bancshares, Inc.</t>
  </si>
  <si>
    <t>CBSH</t>
  </si>
  <si>
    <t>Churchill Capital Corp.</t>
  </si>
  <si>
    <t>CCC</t>
  </si>
  <si>
    <t>Capcom Co., Ltd.</t>
  </si>
  <si>
    <t>CCOEY</t>
  </si>
  <si>
    <t>China State Construction International Holdings Ltd.</t>
  </si>
  <si>
    <t>CCOHY</t>
  </si>
  <si>
    <t>Cullen/Frost Bankers, Inc.</t>
  </si>
  <si>
    <t>CFR</t>
  </si>
  <si>
    <t>Compagnie Financiere Richemont AG</t>
  </si>
  <si>
    <t>CFRUY</t>
  </si>
  <si>
    <t>Cap Gemini SA</t>
  </si>
  <si>
    <t>CGEMY</t>
  </si>
  <si>
    <t>Chiba Bank Ltd.</t>
  </si>
  <si>
    <t>CHBAY</t>
  </si>
  <si>
    <t>China CITIC Bank Corporation Limited</t>
  </si>
  <si>
    <t>CHCJY</t>
  </si>
  <si>
    <t>CHINA EVERBRIHT</t>
  </si>
  <si>
    <t>CHFFF</t>
  </si>
  <si>
    <t>Chunghwa Telecom Co., Ltd.</t>
  </si>
  <si>
    <t>CHT</t>
  </si>
  <si>
    <t>Chewy Inc.</t>
  </si>
  <si>
    <t>CHWY</t>
  </si>
  <si>
    <t>CHINA MENGNIU</t>
  </si>
  <si>
    <t>CIADY</t>
  </si>
  <si>
    <t>China Construction Bank Corp.</t>
  </si>
  <si>
    <t>CICHY</t>
  </si>
  <si>
    <t>Comp En De Mn Cemig ADS</t>
  </si>
  <si>
    <t>CIG</t>
  </si>
  <si>
    <t>China Merchants Bank Co.</t>
  </si>
  <si>
    <t>CIHKY</t>
  </si>
  <si>
    <t>Cielo SA</t>
  </si>
  <si>
    <t>CIOXY</t>
  </si>
  <si>
    <t>CHOW TAI FOOK</t>
  </si>
  <si>
    <t>CJEWY</t>
  </si>
  <si>
    <t>Ck Hutchison Holdings Ltd</t>
  </si>
  <si>
    <t>CKHUY</t>
  </si>
  <si>
    <t>CapitaLand Ltd.</t>
  </si>
  <si>
    <t>CLLDY</t>
  </si>
  <si>
    <t>Coloplast A/S</t>
  </si>
  <si>
    <t>CLPBY</t>
  </si>
  <si>
    <t>CHINA MINSHENG</t>
  </si>
  <si>
    <t>CMAKY</t>
  </si>
  <si>
    <t>China Merchants Holdings International Co.</t>
  </si>
  <si>
    <t>CMHHY</t>
  </si>
  <si>
    <t>Commonwealth Bank of Australia Sponsored ADR</t>
  </si>
  <si>
    <t>CMWAY</t>
  </si>
  <si>
    <t>CPFL Energia S.A.</t>
  </si>
  <si>
    <t>CPL</t>
  </si>
  <si>
    <t>CRH PLC</t>
  </si>
  <si>
    <t>CRH</t>
  </si>
  <si>
    <t>China Resources Enterprise Ltd.</t>
  </si>
  <si>
    <t>CRHKY</t>
  </si>
  <si>
    <t>CrowdStrike Holdings Inc.</t>
  </si>
  <si>
    <t>CRWD</t>
  </si>
  <si>
    <t>China Railway Group Ltd.</t>
  </si>
  <si>
    <t>CRWOY</t>
  </si>
  <si>
    <t>Commerzbank AG</t>
  </si>
  <si>
    <t>CRZBY</t>
  </si>
  <si>
    <t>Casio Computer Co.</t>
  </si>
  <si>
    <t>CSIOY</t>
  </si>
  <si>
    <t>China Shenhua Energy Co.</t>
  </si>
  <si>
    <t>CSUAY</t>
  </si>
  <si>
    <t>Citic Ltd.</t>
  </si>
  <si>
    <t>CTPCY</t>
  </si>
  <si>
    <t>Country Garden Holdings Co.</t>
  </si>
  <si>
    <t>CTRYY</t>
  </si>
  <si>
    <t>Corteva, Inc.</t>
  </si>
  <si>
    <t>CTVA</t>
  </si>
  <si>
    <t>CUK</t>
  </si>
  <si>
    <t>CVR Energy Inc.</t>
  </si>
  <si>
    <t>CVI</t>
  </si>
  <si>
    <t>China Railway Construction Corp.</t>
  </si>
  <si>
    <t>CWYCY</t>
  </si>
  <si>
    <t>SmartCentres Real Estate Investment Trust</t>
  </si>
  <si>
    <t>CWYUF</t>
  </si>
  <si>
    <t>CyberAgent, Inc.</t>
  </si>
  <si>
    <t>CYAGF</t>
  </si>
  <si>
    <t>Deutsche Boerse AG</t>
  </si>
  <si>
    <t>DBOEY</t>
  </si>
  <si>
    <t>NTT DOCOMO, Inc</t>
  </si>
  <si>
    <t>DCMYY</t>
  </si>
  <si>
    <t>Dairy Farm International Holdings Ltd.</t>
  </si>
  <si>
    <t>DFIHY</t>
  </si>
  <si>
    <t>SPDR Dow Jones Industrial Average ETF</t>
  </si>
  <si>
    <t>DIA</t>
  </si>
  <si>
    <t>Daito Trust Construction Co., Ltd.</t>
  </si>
  <si>
    <t>DIFTY</t>
  </si>
  <si>
    <t>Datang International Power Generation Co.</t>
  </si>
  <si>
    <t>DIPGY</t>
  </si>
  <si>
    <t>Discovery Communications, Inc.</t>
  </si>
  <si>
    <t>DISCB</t>
  </si>
  <si>
    <t>DISCK</t>
  </si>
  <si>
    <t>Deutsche Lufthansa AG</t>
  </si>
  <si>
    <t>DLAKY</t>
  </si>
  <si>
    <t>DIALOG SEMICON</t>
  </si>
  <si>
    <t>DLGNF</t>
  </si>
  <si>
    <t>DNB ASA</t>
  </si>
  <si>
    <t>DNHBY</t>
  </si>
  <si>
    <t>DANSKE BANK AS</t>
  </si>
  <si>
    <t>DNKEY</t>
  </si>
  <si>
    <t>DNP Select Income Fund Inc.</t>
  </si>
  <si>
    <t>DNP</t>
  </si>
  <si>
    <t>Dai Nippon Printing Co.</t>
  </si>
  <si>
    <t>DNPLY</t>
  </si>
  <si>
    <t>Dow Inc.</t>
  </si>
  <si>
    <t>DOW</t>
  </si>
  <si>
    <t>DouYu International Holdings Limited Sponsored ADR</t>
  </si>
  <si>
    <t>DOYU</t>
  </si>
  <si>
    <t>Daiwa Securities Group Inc.</t>
  </si>
  <si>
    <t>DSEEY</t>
  </si>
  <si>
    <t>DiaSorin S.p.A.</t>
  </si>
  <si>
    <t>DSRLF</t>
  </si>
  <si>
    <t>DYNATRACE HLDGS</t>
  </si>
  <si>
    <t>DT</t>
  </si>
  <si>
    <t>Dufry AG</t>
  </si>
  <si>
    <t>DUFRY</t>
  </si>
  <si>
    <t>iShares Select Dividend ETF</t>
  </si>
  <si>
    <t>DVY</t>
  </si>
  <si>
    <t>Deutsche Wohnen AG</t>
  </si>
  <si>
    <t>DWHHF</t>
  </si>
  <si>
    <t>Airbus Group</t>
  </si>
  <si>
    <t>EADSY</t>
  </si>
  <si>
    <t>Centrais El?tricas Brasileiras SA</t>
  </si>
  <si>
    <t>EBR</t>
  </si>
  <si>
    <t>Eletrobras</t>
  </si>
  <si>
    <t>EBR.B</t>
  </si>
  <si>
    <t>EDENRED</t>
  </si>
  <si>
    <t>EDNMY</t>
  </si>
  <si>
    <t>Energias de Portugal</t>
  </si>
  <si>
    <t>EDPFY</t>
  </si>
  <si>
    <t>iShares MSCI Emerging Markets ETF</t>
  </si>
  <si>
    <t>EEM</t>
  </si>
  <si>
    <t>iShares MSCI EAFE ETF</t>
  </si>
  <si>
    <t>EFA</t>
  </si>
  <si>
    <t>ENGIE BRASL EGA</t>
  </si>
  <si>
    <t>EGIEY</t>
  </si>
  <si>
    <t>Companhia Paranaense de Energia (COPEL)</t>
  </si>
  <si>
    <t>ELP</t>
  </si>
  <si>
    <t>Companhia Paranaense de Energia</t>
  </si>
  <si>
    <t>ELPVY</t>
  </si>
  <si>
    <t>iShares J.P. Morgan USD Emerging Markets Bond ETF</t>
  </si>
  <si>
    <t>EMB</t>
  </si>
  <si>
    <t>Enagas SA Unsponsored ADR</t>
  </si>
  <si>
    <t>ENGGY</t>
  </si>
  <si>
    <t>GDF Suez SA</t>
  </si>
  <si>
    <t>ENGIY</t>
  </si>
  <si>
    <t>Enersis Chile S.A.</t>
  </si>
  <si>
    <t>ENIC</t>
  </si>
  <si>
    <t>Enel SpA</t>
  </si>
  <si>
    <t>ENLAY</t>
  </si>
  <si>
    <t>ENTERTAINMT ONE</t>
  </si>
  <si>
    <t>ENTMF</t>
  </si>
  <si>
    <t>Enel Generacion Chile S.A</t>
  </si>
  <si>
    <t>EOCCY</t>
  </si>
  <si>
    <t>EUROFINS SCIENT</t>
  </si>
  <si>
    <t>ERFSF</t>
  </si>
  <si>
    <t>Erie Indemnity Company</t>
  </si>
  <si>
    <t>ERIE</t>
  </si>
  <si>
    <t>Enstar Group Limited</t>
  </si>
  <si>
    <t>ESGR</t>
  </si>
  <si>
    <t>EssilorLuxottica Societe anonyme</t>
  </si>
  <si>
    <t>ESLOY</t>
  </si>
  <si>
    <t>Elbit Systems Ltd.</t>
  </si>
  <si>
    <t>ESLT</t>
  </si>
  <si>
    <t>EVRAZ PLC</t>
  </si>
  <si>
    <t>EVRZF</t>
  </si>
  <si>
    <t>iShares MSCI Japan ETF</t>
  </si>
  <si>
    <t>EWJ</t>
  </si>
  <si>
    <t>iShares MSCI South Korea ETF</t>
  </si>
  <si>
    <t>EWY</t>
  </si>
  <si>
    <t>iShares MSCI Brazil ETF</t>
  </si>
  <si>
    <t>EWZ</t>
  </si>
  <si>
    <t>Exxaro Resources Ltd.</t>
  </si>
  <si>
    <t>EXXAY</t>
  </si>
  <si>
    <t>iShares MSCI Eurozone ETF</t>
  </si>
  <si>
    <t>EZU</t>
  </si>
  <si>
    <t>First Citizens BancShares, Inc.</t>
  </si>
  <si>
    <t>FCNCA</t>
  </si>
  <si>
    <t>First Trust Dow Jones Internet Index Fund</t>
  </si>
  <si>
    <t>FDN</t>
  </si>
  <si>
    <t>Finmeccanica SpA</t>
  </si>
  <si>
    <t>FINMY</t>
  </si>
  <si>
    <t>Fannie Mae</t>
  </si>
  <si>
    <t>FNMA</t>
  </si>
  <si>
    <t>FOX</t>
  </si>
  <si>
    <t>First Quantum Minerals Ltd.</t>
  </si>
  <si>
    <t>FQVLF</t>
  </si>
  <si>
    <t>Fairfax Financial Holdings Ltd.</t>
  </si>
  <si>
    <t>FRFHF</t>
  </si>
  <si>
    <t>Ferrovial SA</t>
  </si>
  <si>
    <t>FRRVY</t>
  </si>
  <si>
    <t>FS Investment Corporation</t>
  </si>
  <si>
    <t>FSK</t>
  </si>
  <si>
    <t>FRESENIUS SE&amp;CO</t>
  </si>
  <si>
    <t>FSNUY</t>
  </si>
  <si>
    <t>Fuchs Petrolub SE Unsponsored ADR</t>
  </si>
  <si>
    <t>FUPBY</t>
  </si>
  <si>
    <t>FWONA</t>
  </si>
  <si>
    <t>Liberty Media Corp.</t>
  </si>
  <si>
    <t>FWONB</t>
  </si>
  <si>
    <t>iShares China Large-Cap ETF</t>
  </si>
  <si>
    <t>FXI</t>
  </si>
  <si>
    <t>Grupo Financiero Banorte SAB de CV</t>
  </si>
  <si>
    <t>GBOOY</t>
  </si>
  <si>
    <t>Gamesa Corporacion Tecnologica SA</t>
  </si>
  <si>
    <t>GCTAY</t>
  </si>
  <si>
    <t>MEDIASET ESPANA</t>
  </si>
  <si>
    <t>GETVY</t>
  </si>
  <si>
    <t>Graham Holdings Company</t>
  </si>
  <si>
    <t>GHC</t>
  </si>
  <si>
    <t>SPDR Gold Shares</t>
  </si>
  <si>
    <t>GLD</t>
  </si>
  <si>
    <t>GETINGE AB</t>
  </si>
  <si>
    <t>GNGBY</t>
  </si>
  <si>
    <t>Genmab A/S</t>
  </si>
  <si>
    <t>GNMSF</t>
  </si>
  <si>
    <t>Grocery Outlet Holding Corp.</t>
  </si>
  <si>
    <t>GO</t>
  </si>
  <si>
    <t>GOOG</t>
  </si>
  <si>
    <t>Grupo Financiero Inbursa SA</t>
  </si>
  <si>
    <t>GPFOY</t>
  </si>
  <si>
    <t>Grupo Carso SA de CV</t>
  </si>
  <si>
    <t>GPOVY</t>
  </si>
  <si>
    <t>GSX Techedu Inc. Unsponsored ADR</t>
  </si>
  <si>
    <t>GSX</t>
  </si>
  <si>
    <t>Gemalto Nv</t>
  </si>
  <si>
    <t>GTOMY</t>
  </si>
  <si>
    <t>Gazprom Neft OAO</t>
  </si>
  <si>
    <t>GZPFY</t>
  </si>
  <si>
    <t>HAVAS ORD</t>
  </si>
  <si>
    <t>HAVSF</t>
  </si>
  <si>
    <t>Holcim Ltd.</t>
  </si>
  <si>
    <t>HCMLY</t>
  </si>
  <si>
    <t>HeidelbergCement AG</t>
  </si>
  <si>
    <t>HDELY</t>
  </si>
  <si>
    <t>HEI.A</t>
  </si>
  <si>
    <t>Power Assets Holdings Ltd.</t>
  </si>
  <si>
    <t>HGKGY</t>
  </si>
  <si>
    <t>Hang Lung Properties Ltd.</t>
  </si>
  <si>
    <t>HLPPY</t>
  </si>
  <si>
    <t>Hellenic Telecom Organization SA</t>
  </si>
  <si>
    <t>HLTOY</t>
  </si>
  <si>
    <t>Hongkong Land Holdings Ltd.</t>
  </si>
  <si>
    <t>HNGKY</t>
  </si>
  <si>
    <t>Hang Lung Group Ltd.</t>
  </si>
  <si>
    <t>HNLGY</t>
  </si>
  <si>
    <t>Hennes &amp; Mauritz AB</t>
  </si>
  <si>
    <t>HNNMY</t>
  </si>
  <si>
    <t>Hong Kong &amp; China Gas Co.</t>
  </si>
  <si>
    <t>HOKCY</t>
  </si>
  <si>
    <t>Healthcare Realty Trust Incorporated</t>
  </si>
  <si>
    <t>HR</t>
  </si>
  <si>
    <t>Haier Electronics Group Co.</t>
  </si>
  <si>
    <t>HRELY</t>
  </si>
  <si>
    <t>HITACHI CONSTR</t>
  </si>
  <si>
    <t>HTCMY</t>
  </si>
  <si>
    <t>HUYA Inc. Sponsored ADR</t>
  </si>
  <si>
    <t>HUYA</t>
  </si>
  <si>
    <t>Hancock Whitney Corporation</t>
  </si>
  <si>
    <t>HWC</t>
  </si>
  <si>
    <t>iShares iBoxx $ High Yield Corporate Bond ETF</t>
  </si>
  <si>
    <t>HYG</t>
  </si>
  <si>
    <t>Hyundai Motor Co.</t>
  </si>
  <si>
    <t>HYMLF</t>
  </si>
  <si>
    <t>Hypermarcas</t>
  </si>
  <si>
    <t>HYPMY</t>
  </si>
  <si>
    <t>IAA, Inc.</t>
  </si>
  <si>
    <t>IAA</t>
  </si>
  <si>
    <t>iShares Gold Trust</t>
  </si>
  <si>
    <t>IAU</t>
  </si>
  <si>
    <t>iShares Nasdaq Biotechnology ETF</t>
  </si>
  <si>
    <t>IBB</t>
  </si>
  <si>
    <t>Iberdrola S.A.</t>
  </si>
  <si>
    <t>IBDRY</t>
  </si>
  <si>
    <t>International Consolidated Airlines Group SA</t>
  </si>
  <si>
    <t>ICAGY</t>
  </si>
  <si>
    <t>Industrial &amp; Commercial Bank of China Ltd.</t>
  </si>
  <si>
    <t>IDCBY</t>
  </si>
  <si>
    <t>iShares International Select Dividend ETF</t>
  </si>
  <si>
    <t>IDV</t>
  </si>
  <si>
    <t>iShares 7-10 Year Treasury Bond ETF</t>
  </si>
  <si>
    <t>IEF</t>
  </si>
  <si>
    <t>Icahn Enterprises L.P.</t>
  </si>
  <si>
    <t>IEP</t>
  </si>
  <si>
    <t>iShares Intermediate-Term Corporate Bond ETF</t>
  </si>
  <si>
    <t>IGIB</t>
  </si>
  <si>
    <t>iShares Short-Term Corporate Bond ETF</t>
  </si>
  <si>
    <t>IGSB</t>
  </si>
  <si>
    <t>iShares Core S&amp;P Mid-Cap ETF</t>
  </si>
  <si>
    <t>IJH</t>
  </si>
  <si>
    <t>iShares S&amp;P Mid-Cap 400 Value ETF</t>
  </si>
  <si>
    <t>IJJ</t>
  </si>
  <si>
    <t>iShares S&amp;P Mid-Cap 400 Growth ETF</t>
  </si>
  <si>
    <t>IJK</t>
  </si>
  <si>
    <t>iShares Core S&amp;P Small-Cap ETF</t>
  </si>
  <si>
    <t>IJR</t>
  </si>
  <si>
    <t>iShares S&amp;P Small-Cap 600 Value ETF</t>
  </si>
  <si>
    <t>IJS</t>
  </si>
  <si>
    <t>iShares S&amp;P Small-Cap 600 Growth ETF</t>
  </si>
  <si>
    <t>IJT</t>
  </si>
  <si>
    <t>Inmarsat PLC</t>
  </si>
  <si>
    <t>IMASY</t>
  </si>
  <si>
    <t>Ingenico Group</t>
  </si>
  <si>
    <t>INGIY</t>
  </si>
  <si>
    <t>InterXion Holding N.V.</t>
  </si>
  <si>
    <t>INXN</t>
  </si>
  <si>
    <t>Inpex Corp.</t>
  </si>
  <si>
    <t>IPXHY</t>
  </si>
  <si>
    <t>Isuzu Motors Ltd.</t>
  </si>
  <si>
    <t>ISUZY</t>
  </si>
  <si>
    <t>Ita? CorpBanca</t>
  </si>
  <si>
    <t>ITCB</t>
  </si>
  <si>
    <t>Itochu Corp.</t>
  </si>
  <si>
    <t>ITOCY</t>
  </si>
  <si>
    <t>ITV PLC.</t>
  </si>
  <si>
    <t>ITVPY</t>
  </si>
  <si>
    <t>iShares Core S&amp;P 500 ETF</t>
  </si>
  <si>
    <t>IVV</t>
  </si>
  <si>
    <t>iShares Russell 1000 Value ETF</t>
  </si>
  <si>
    <t>IWD</t>
  </si>
  <si>
    <t>iShares Russell 1000 Growth ETF</t>
  </si>
  <si>
    <t>IWF</t>
  </si>
  <si>
    <t>iShares Russell 2000 ETF</t>
  </si>
  <si>
    <t>IWM</t>
  </si>
  <si>
    <t>iShares Russell 2000 Value ETF</t>
  </si>
  <si>
    <t>IWN</t>
  </si>
  <si>
    <t>iShares Russell 2000 Growth ETF</t>
  </si>
  <si>
    <t>IWO</t>
  </si>
  <si>
    <t>iShares Russell Mid-Cap Growth ETF</t>
  </si>
  <si>
    <t>IWP</t>
  </si>
  <si>
    <t>iShares Russell Mid-Cap ETF</t>
  </si>
  <si>
    <t>IWR</t>
  </si>
  <si>
    <t>iShares Russell Mid-Cap Value ETF</t>
  </si>
  <si>
    <t>IWS</t>
  </si>
  <si>
    <t>iShares U.S. Real Estate ETF</t>
  </si>
  <si>
    <t>IYR</t>
  </si>
  <si>
    <t>iShares U.S. Technology ETF</t>
  </si>
  <si>
    <t>IYW</t>
  </si>
  <si>
    <t>Japan Airlines Ltd</t>
  </si>
  <si>
    <t>JAPSY</t>
  </si>
  <si>
    <t>JBS SA</t>
  </si>
  <si>
    <t>JBSAY</t>
  </si>
  <si>
    <t>JC Decaux SA</t>
  </si>
  <si>
    <t>JCDXF</t>
  </si>
  <si>
    <t>JEFFERIES FINANCIAL GROUP INC.</t>
  </si>
  <si>
    <t>JEF</t>
  </si>
  <si>
    <t>Jiangsu Expressway Co.</t>
  </si>
  <si>
    <t>JEXYY</t>
  </si>
  <si>
    <t>James Hardie Industries PLC.</t>
  </si>
  <si>
    <t>JHX</t>
  </si>
  <si>
    <t>Jardine Matheson Holdings Ltd.</t>
  </si>
  <si>
    <t>JMHLY</t>
  </si>
  <si>
    <t>SPDR Bloomberg Barclays High Yield Bond ETF</t>
  </si>
  <si>
    <t>JNK</t>
  </si>
  <si>
    <t>51job, Inc.</t>
  </si>
  <si>
    <t>JOBS</t>
  </si>
  <si>
    <t>Jardine Strategic Holdings Ltd.</t>
  </si>
  <si>
    <t>JSHLY</t>
  </si>
  <si>
    <t>Kimberly-Clark de Mexico SAB de CV</t>
  </si>
  <si>
    <t>KCDMY</t>
  </si>
  <si>
    <t>KDDI Corporation Unsponsored ADR</t>
  </si>
  <si>
    <t>KDDIY</t>
  </si>
  <si>
    <t>Kimco Realty Corporation</t>
  </si>
  <si>
    <t>KIM</t>
  </si>
  <si>
    <t>Kumba Iron Ore Ltd.</t>
  </si>
  <si>
    <t>KIROY</t>
  </si>
  <si>
    <t>KKPNY</t>
  </si>
  <si>
    <t>Klabin SA</t>
  </si>
  <si>
    <t>KLBAY</t>
  </si>
  <si>
    <t>Kirin Holdings Co.</t>
  </si>
  <si>
    <t>KNBWY</t>
  </si>
  <si>
    <t>KINNEVIK AB ORD</t>
  </si>
  <si>
    <t>KNVKF</t>
  </si>
  <si>
    <t>Keppel Corp.</t>
  </si>
  <si>
    <t>KPELY</t>
  </si>
  <si>
    <t>Keppel REIT</t>
  </si>
  <si>
    <t>KREVF</t>
  </si>
  <si>
    <t>Kerry Group PLC</t>
  </si>
  <si>
    <t>KRYAY</t>
  </si>
  <si>
    <t>Kennedy-Wilson Holdings Inc.</t>
  </si>
  <si>
    <t>KW</t>
  </si>
  <si>
    <t>Lancaster Colony Corporation</t>
  </si>
  <si>
    <t>LANC</t>
  </si>
  <si>
    <t>LBRDA</t>
  </si>
  <si>
    <t>LBTYB</t>
  </si>
  <si>
    <t>LBTYK</t>
  </si>
  <si>
    <t>LEG Immobilien AG</t>
  </si>
  <si>
    <t>LEGIF</t>
  </si>
  <si>
    <t>LEN.B</t>
  </si>
  <si>
    <t>Levi Strauss &amp; Co.</t>
  </si>
  <si>
    <t>LEVI</t>
  </si>
  <si>
    <t>Legal &amp; General Group PLC</t>
  </si>
  <si>
    <t>LGGNY</t>
  </si>
  <si>
    <t>LeGrand SA</t>
  </si>
  <si>
    <t>LGRVF</t>
  </si>
  <si>
    <t>LILAK</t>
  </si>
  <si>
    <t>Luckin Coffee Inc. Sponsored ADR</t>
  </si>
  <si>
    <t>LK</t>
  </si>
  <si>
    <t>Li Ning Co.</t>
  </si>
  <si>
    <t>LNNGY</t>
  </si>
  <si>
    <t>iShares iBoxx $ Investment Grade Corporate Bond ETF</t>
  </si>
  <si>
    <t>LQD</t>
  </si>
  <si>
    <t>LSXMA</t>
  </si>
  <si>
    <t>LSXMB</t>
  </si>
  <si>
    <t>Lukoil</t>
  </si>
  <si>
    <t>LUKOY</t>
  </si>
  <si>
    <t>Lundin Mining Corp.</t>
  </si>
  <si>
    <t>LUNMF</t>
  </si>
  <si>
    <t>Lyft, Inc.</t>
  </si>
  <si>
    <t>LYFT</t>
  </si>
  <si>
    <t>Live Nation Entertainment, Inc.</t>
  </si>
  <si>
    <t>LYV</t>
  </si>
  <si>
    <t>Marks and Spencer Group PLC</t>
  </si>
  <si>
    <t>MAKSY</t>
  </si>
  <si>
    <t>Marubeni Corp.</t>
  </si>
  <si>
    <t>MARUY</t>
  </si>
  <si>
    <t>Marui Group Co.</t>
  </si>
  <si>
    <t>MAURY</t>
  </si>
  <si>
    <t>iShares MBS ETF</t>
  </si>
  <si>
    <t>MBB</t>
  </si>
  <si>
    <t>Melco International Development Ltd.</t>
  </si>
  <si>
    <t>MDEVF</t>
  </si>
  <si>
    <t>Mediaset SpA</t>
  </si>
  <si>
    <t>MDIUY</t>
  </si>
  <si>
    <t>Medallia, Inc.</t>
  </si>
  <si>
    <t>MDLA</t>
  </si>
  <si>
    <t>Meggitt PLC Unsponsored ADR</t>
  </si>
  <si>
    <t>MEGGY</t>
  </si>
  <si>
    <t>MERLIN ENTMNTS</t>
  </si>
  <si>
    <t>MERLY</t>
  </si>
  <si>
    <t>Micro Focus International PLC Sponsored ADR</t>
  </si>
  <si>
    <t>MFGP</t>
  </si>
  <si>
    <t>Marine Harvest ASA</t>
  </si>
  <si>
    <t>MHGVY</t>
  </si>
  <si>
    <t>Mitsubishi Electric Corporation</t>
  </si>
  <si>
    <t>MIELF</t>
  </si>
  <si>
    <t>Mitsubishi Estate Co.</t>
  </si>
  <si>
    <t>MITEY</t>
  </si>
  <si>
    <t>Mitsui &amp; Co.</t>
  </si>
  <si>
    <t>MITSY</t>
  </si>
  <si>
    <t>Merck KGaA</t>
  </si>
  <si>
    <t>MKGAF</t>
  </si>
  <si>
    <t>Makita Corp.</t>
  </si>
  <si>
    <t>MKTAY</t>
  </si>
  <si>
    <t>Metallurgical Corp. of China Ltd.</t>
  </si>
  <si>
    <t>MLLUY</t>
  </si>
  <si>
    <t>MAIL RU GROUP</t>
  </si>
  <si>
    <t>MLRYY</t>
  </si>
  <si>
    <t>Minebea Co.</t>
  </si>
  <si>
    <t>MNBEY</t>
  </si>
  <si>
    <t>MOG.B</t>
  </si>
  <si>
    <t>MorphoSys AG Unsponsored ADR</t>
  </si>
  <si>
    <t>MOR</t>
  </si>
  <si>
    <t>Morningstar, Inc.</t>
  </si>
  <si>
    <t>MORN</t>
  </si>
  <si>
    <t>Murata Manufacturing Inc.</t>
  </si>
  <si>
    <t>MRAAY</t>
  </si>
  <si>
    <t>Mitsubishi Corp.</t>
  </si>
  <si>
    <t>MSBHY</t>
  </si>
  <si>
    <t>MTN Group Ltd.</t>
  </si>
  <si>
    <t>MTNOY</t>
  </si>
  <si>
    <t>MTU Aero Engines AG</t>
  </si>
  <si>
    <t>MTUAY</t>
  </si>
  <si>
    <t>iShares National Muni Bond ETF</t>
  </si>
  <si>
    <t>MUB</t>
  </si>
  <si>
    <t>M?nchener R?ckversicherungs-Gesellschaft</t>
  </si>
  <si>
    <t>MURGY</t>
  </si>
  <si>
    <t>Mexichem SAB de CV</t>
  </si>
  <si>
    <t>MXCHY</t>
  </si>
  <si>
    <t>National Instruments Corporation</t>
  </si>
  <si>
    <t>NATI</t>
  </si>
  <si>
    <t>Newcrest Mining Ltd.</t>
  </si>
  <si>
    <t>NCMGY</t>
  </si>
  <si>
    <t>Nitto Denko Corp.</t>
  </si>
  <si>
    <t>NDEKY</t>
  </si>
  <si>
    <t>NINE DRAGONS</t>
  </si>
  <si>
    <t>NDGPY</t>
  </si>
  <si>
    <t>New World Development Co.</t>
  </si>
  <si>
    <t>NDVLY</t>
  </si>
  <si>
    <t>NewMarket Corporation</t>
  </si>
  <si>
    <t>NEU</t>
  </si>
  <si>
    <t>JSC MMC Norilsk Nickel</t>
  </si>
  <si>
    <t>NILSY</t>
  </si>
  <si>
    <t>NN Group NV Unsponsored ADR</t>
  </si>
  <si>
    <t>NNGRY</t>
  </si>
  <si>
    <t>Nippon Steel &amp; Sumitomo Metal Corp.</t>
  </si>
  <si>
    <t>NPSCY</t>
  </si>
  <si>
    <t>NSK Ltd.</t>
  </si>
  <si>
    <t>NPSKY</t>
  </si>
  <si>
    <t>Naspers Ltd.</t>
  </si>
  <si>
    <t>NPSNY</t>
  </si>
  <si>
    <t>Nordea Bank AB</t>
  </si>
  <si>
    <t>NRDBY</t>
  </si>
  <si>
    <t>NWS</t>
  </si>
  <si>
    <t>Obayashi Corporation</t>
  </si>
  <si>
    <t>OBYCF</t>
  </si>
  <si>
    <t>OCADO GROUP PLC</t>
  </si>
  <si>
    <t>OCDDY</t>
  </si>
  <si>
    <t>Gazprom OAO</t>
  </si>
  <si>
    <t>OGZPY</t>
  </si>
  <si>
    <t>Oi S.A.</t>
  </si>
  <si>
    <t>OIBRC</t>
  </si>
  <si>
    <t>ONEX Corporation</t>
  </si>
  <si>
    <t>ONEXF</t>
  </si>
  <si>
    <t>Ono Pharmaceutical Co.</t>
  </si>
  <si>
    <t>OPHLF</t>
  </si>
  <si>
    <t>Owl Rock Capital Corporation</t>
  </si>
  <si>
    <t>ORCC</t>
  </si>
  <si>
    <t>Old Republic International Corporation</t>
  </si>
  <si>
    <t>ORI</t>
  </si>
  <si>
    <t>Orkla Asa</t>
  </si>
  <si>
    <t>ORKLY</t>
  </si>
  <si>
    <t>Osram Licht AG</t>
  </si>
  <si>
    <t>OSAGF</t>
  </si>
  <si>
    <t>PBR.A</t>
  </si>
  <si>
    <t>Prosiebensat.1 Media Se</t>
  </si>
  <si>
    <t>PBSFY</t>
  </si>
  <si>
    <t>PCCW Ltd.</t>
  </si>
  <si>
    <t>PCCWY</t>
  </si>
  <si>
    <t>PCWLF</t>
  </si>
  <si>
    <t>Invesco Emerging Markets Sovereign Debt ETF</t>
  </si>
  <si>
    <t>PCY</t>
  </si>
  <si>
    <t>FLUTTER ENT PLC</t>
  </si>
  <si>
    <t>PDYPY</t>
  </si>
  <si>
    <t>iShares Preferred and Income Securities ETF</t>
  </si>
  <si>
    <t>PFF</t>
  </si>
  <si>
    <t>PIGEON CORP</t>
  </si>
  <si>
    <t>PGENY</t>
  </si>
  <si>
    <t>Invesco Preferred ETF</t>
  </si>
  <si>
    <t>PGX</t>
  </si>
  <si>
    <t>Pinterest, Inc.</t>
  </si>
  <si>
    <t>PINS</t>
  </si>
  <si>
    <t>Park Hotels &amp; Resorts Inc.</t>
  </si>
  <si>
    <t>PK</t>
  </si>
  <si>
    <t>POSCO</t>
  </si>
  <si>
    <t>PKX</t>
  </si>
  <si>
    <t>Panalpina Welttransport Holding Ag</t>
  </si>
  <si>
    <t>PLWTY</t>
  </si>
  <si>
    <t>Ping An Insurance Co. of China Ltd.</t>
  </si>
  <si>
    <t>PNGAY</t>
  </si>
  <si>
    <t>PT Bank Mandiri Persero TBK</t>
  </si>
  <si>
    <t>PPERY</t>
  </si>
  <si>
    <t>Pershing Square Holdings, Ltd.</t>
  </si>
  <si>
    <t>PSHZF</t>
  </si>
  <si>
    <t>Persimmon Plc</t>
  </si>
  <si>
    <t>PSMMY</t>
  </si>
  <si>
    <t>Parsons Corporation</t>
  </si>
  <si>
    <t>PSN</t>
  </si>
  <si>
    <t>Pearson, PLC</t>
  </si>
  <si>
    <t>PSO</t>
  </si>
  <si>
    <t>Invesco QQQ</t>
  </si>
  <si>
    <t>QQQ</t>
  </si>
  <si>
    <t>QRTEB</t>
  </si>
  <si>
    <t>Raiffeisen Bank International AG</t>
  </si>
  <si>
    <t>RAIFY</t>
  </si>
  <si>
    <t>Randstad Holding NV</t>
  </si>
  <si>
    <t>RANJY</t>
  </si>
  <si>
    <t>Royal Bank Of Scotland Group PLC</t>
  </si>
  <si>
    <t>RBSPF</t>
  </si>
  <si>
    <t>Recordati Industria Chimica E Farmaceutica S.P.A.</t>
  </si>
  <si>
    <t>RCDTF</t>
  </si>
  <si>
    <t>RDS.B</t>
  </si>
  <si>
    <t>RELX PLC</t>
  </si>
  <si>
    <t>RELX</t>
  </si>
  <si>
    <t>REMY COINTREAU</t>
  </si>
  <si>
    <t>REMYY</t>
  </si>
  <si>
    <t>Rakuten, Inc.</t>
  </si>
  <si>
    <t>RKUNY</t>
  </si>
  <si>
    <t>Rohm Co.</t>
  </si>
  <si>
    <t>ROHCY</t>
  </si>
  <si>
    <t>Rostelecom OJSC</t>
  </si>
  <si>
    <t>ROSYY</t>
  </si>
  <si>
    <t>Invesco S&amp;P 500 Equal Weight ETF</t>
  </si>
  <si>
    <t>RSP</t>
  </si>
  <si>
    <t>Sampo PLC</t>
  </si>
  <si>
    <t>SAXPY</t>
  </si>
  <si>
    <t>Schneider Electric SE</t>
  </si>
  <si>
    <t>SBGSY</t>
  </si>
  <si>
    <t>SBI Holdings Inc.</t>
  </si>
  <si>
    <t>SBHGF</t>
  </si>
  <si>
    <t>SINO PHARMACEUT</t>
  </si>
  <si>
    <t>SBMFF</t>
  </si>
  <si>
    <t>Sberbank of Russia Sponsored ADR</t>
  </si>
  <si>
    <t>SBRCY</t>
  </si>
  <si>
    <t>Sands China Ltd.</t>
  </si>
  <si>
    <t>SCHYY</t>
  </si>
  <si>
    <t>Sodexo SA</t>
  </si>
  <si>
    <t>SDXAY</t>
  </si>
  <si>
    <t>SPDR S&amp;P Dividend ETF</t>
  </si>
  <si>
    <t>SDY</t>
  </si>
  <si>
    <t>Seaboard Corporation</t>
  </si>
  <si>
    <t>SEB</t>
  </si>
  <si>
    <t>Stora Enso Oyj</t>
  </si>
  <si>
    <t>SEOAY</t>
  </si>
  <si>
    <t>Softbank Corp.</t>
  </si>
  <si>
    <t>SFTBY</t>
  </si>
  <si>
    <t>Singapore Telecommunications Ltd.</t>
  </si>
  <si>
    <t>SGAPY</t>
  </si>
  <si>
    <t>SES S.A.</t>
  </si>
  <si>
    <t>SGBAF</t>
  </si>
  <si>
    <t>Surgutneftegaz OAO</t>
  </si>
  <si>
    <t>SGTZY</t>
  </si>
  <si>
    <t>Shangri-La Asia Ltd.</t>
  </si>
  <si>
    <t>SHALY</t>
  </si>
  <si>
    <t>SPDR Nuveen Bloomberg Barclays Short Term Municipal Bond ETF</t>
  </si>
  <si>
    <t>SHM</t>
  </si>
  <si>
    <t>Shimizu Corporation Unsponsored ADR</t>
  </si>
  <si>
    <t>SHMUY</t>
  </si>
  <si>
    <t>iShares Short Treasury Bond ETF</t>
  </si>
  <si>
    <t>SHV</t>
  </si>
  <si>
    <t>Shandong Weigao Medical Polymer Co.</t>
  </si>
  <si>
    <t>SHWGF</t>
  </si>
  <si>
    <t>iShares 1-3 Year Treasury Bond ETF</t>
  </si>
  <si>
    <t>SHY</t>
  </si>
  <si>
    <t>Shizuoka Bank Ltd.</t>
  </si>
  <si>
    <t>SHZUY</t>
  </si>
  <si>
    <t>SJM Holdings Ltd.</t>
  </si>
  <si>
    <t>SJMHF</t>
  </si>
  <si>
    <t>Shaw Communications Inc.</t>
  </si>
  <si>
    <t>SJR</t>
  </si>
  <si>
    <t>Sekisui House Ltd.</t>
  </si>
  <si>
    <t>SKHSY</t>
  </si>
  <si>
    <t>Soitec SA</t>
  </si>
  <si>
    <t>SLOIF</t>
  </si>
  <si>
    <t>San Miguel Corp.</t>
  </si>
  <si>
    <t>SMGBY</t>
  </si>
  <si>
    <t>Shimano Inc. Unsponsored ADR</t>
  </si>
  <si>
    <t>SMNNY</t>
  </si>
  <si>
    <t>SOMPO JAPAN NPN</t>
  </si>
  <si>
    <t>SMPNY</t>
  </si>
  <si>
    <t>Sino Land Co.</t>
  </si>
  <si>
    <t>SNLAY</t>
  </si>
  <si>
    <t>Sony Financial Holdings Inc.</t>
  </si>
  <si>
    <t>SNYFY</t>
  </si>
  <si>
    <t>SUMITOMO HEAVY</t>
  </si>
  <si>
    <t>SOHVY</t>
  </si>
  <si>
    <t>Spark New Zealand Ltd.</t>
  </si>
  <si>
    <t>SPKKY</t>
  </si>
  <si>
    <t>SPDR S&amp;P 500 ETF</t>
  </si>
  <si>
    <t>SPY</t>
  </si>
  <si>
    <t>Sysmex Corporation ADR</t>
  </si>
  <si>
    <t>SSMXY</t>
  </si>
  <si>
    <t>Samsung Electronics Co.</t>
  </si>
  <si>
    <t>SSNLF</t>
  </si>
  <si>
    <t>Sumitomo Corp.</t>
  </si>
  <si>
    <t>SSUMY</t>
  </si>
  <si>
    <t>STADA ARZNEIMI</t>
  </si>
  <si>
    <t>STDAF</t>
  </si>
  <si>
    <t>STZ.B</t>
  </si>
  <si>
    <t>Suntec Real Estate Investment Trust</t>
  </si>
  <si>
    <t>SURVF</t>
  </si>
  <si>
    <t>Suzano Papel E Celulose S.A. Sponsored ADR</t>
  </si>
  <si>
    <t>SUZ</t>
  </si>
  <si>
    <t>SKANDINAVISKA</t>
  </si>
  <si>
    <t>SVKEF</t>
  </si>
  <si>
    <t>Seven and I Holdings Co.</t>
  </si>
  <si>
    <t>SVNDY</t>
  </si>
  <si>
    <t>Swedbank AB</t>
  </si>
  <si>
    <t>SWDBY</t>
  </si>
  <si>
    <t>Swatch Group AG</t>
  </si>
  <si>
    <t>SWGAY</t>
  </si>
  <si>
    <t>SHOWA SHELL OIL</t>
  </si>
  <si>
    <t>SWSKF</t>
  </si>
  <si>
    <t>Symrise AG Unsponsored ADR</t>
  </si>
  <si>
    <t>SYIEY</t>
  </si>
  <si>
    <t>Suez Environnement SA</t>
  </si>
  <si>
    <t>SZEVY</t>
  </si>
  <si>
    <t>Tingyi Cayman Islands Holdings Corp.</t>
  </si>
  <si>
    <t>TCYMF</t>
  </si>
  <si>
    <t>Terna Rete Elettrica Nazionale SpA Unsponsored ADR</t>
  </si>
  <si>
    <t>TEZNY</t>
  </si>
  <si>
    <t>TFS Financial Corporation</t>
  </si>
  <si>
    <t>TFSL</t>
  </si>
  <si>
    <t>Thk Co., Ltd.</t>
  </si>
  <si>
    <t>THKLY</t>
  </si>
  <si>
    <t>TIAIY</t>
  </si>
  <si>
    <t>Teijin Ltd.</t>
  </si>
  <si>
    <t>TINLY</t>
  </si>
  <si>
    <t>iShares TIPS Bond ETF</t>
  </si>
  <si>
    <t>TIP</t>
  </si>
  <si>
    <t>PT Telekomunikasi Indonesia, Tbk</t>
  </si>
  <si>
    <t>TLK</t>
  </si>
  <si>
    <t>iShares 20+ Year Treasury Bond ETF</t>
  </si>
  <si>
    <t>TLT</t>
  </si>
  <si>
    <t>TEMENOS GROUP</t>
  </si>
  <si>
    <t>TMNSF</t>
  </si>
  <si>
    <t>Tenaga Nasional Berhad</t>
  </si>
  <si>
    <t>TNABY</t>
  </si>
  <si>
    <t>Toshiba Corp.</t>
  </si>
  <si>
    <t>TOSYY</t>
  </si>
  <si>
    <t>Texas Pacific Land Trust</t>
  </si>
  <si>
    <t>TPL</t>
  </si>
  <si>
    <t>Tapestry, Inc.</t>
  </si>
  <si>
    <t>TPR</t>
  </si>
  <si>
    <t>Terumo Corp.</t>
  </si>
  <si>
    <t>TRUMY</t>
  </si>
  <si>
    <t>Tsingtao Brewery Co.</t>
  </si>
  <si>
    <t>TSGTY</t>
  </si>
  <si>
    <t>TravelSky Technology Ltd.</t>
  </si>
  <si>
    <t>TSYHY</t>
  </si>
  <si>
    <t>Techtronic Industries Co.</t>
  </si>
  <si>
    <t>TTNDY</t>
  </si>
  <si>
    <t>TUI AG ADR</t>
  </si>
  <si>
    <t>TUIFY</t>
  </si>
  <si>
    <t>Tradeweb Markets Inc.</t>
  </si>
  <si>
    <t>TW</t>
  </si>
  <si>
    <t>Taylor Wimpey PLC Unsponsored ADR</t>
  </si>
  <si>
    <t>TWODY</t>
  </si>
  <si>
    <t>ThyssenKrupp AG</t>
  </si>
  <si>
    <t>TYEKF</t>
  </si>
  <si>
    <t>UA</t>
  </si>
  <si>
    <t>Uber Technologies, Inc.</t>
  </si>
  <si>
    <t>UBER</t>
  </si>
  <si>
    <t>UbiSoft Entertainment Inc.</t>
  </si>
  <si>
    <t>UBSFY</t>
  </si>
  <si>
    <t>UCB SA</t>
  </si>
  <si>
    <t>UCBJF</t>
  </si>
  <si>
    <t>United Microelectronics Corporation</t>
  </si>
  <si>
    <t>UMC</t>
  </si>
  <si>
    <t>UNICHARM CORP</t>
  </si>
  <si>
    <t>UNICY</t>
  </si>
  <si>
    <t>United Utilities Group PLC</t>
  </si>
  <si>
    <t>UUGRY</t>
  </si>
  <si>
    <t>Vinci SA</t>
  </si>
  <si>
    <t>VCISY</t>
  </si>
  <si>
    <t>Vedanta  Limited</t>
  </si>
  <si>
    <t>VEDL</t>
  </si>
  <si>
    <t>Vanguard Financials ETF</t>
  </si>
  <si>
    <t>VFH</t>
  </si>
  <si>
    <t>VIA</t>
  </si>
  <si>
    <t>Flughafen Wien AG</t>
  </si>
  <si>
    <t>VIAAY</t>
  </si>
  <si>
    <t>Vanguard Real Estate ETF</t>
  </si>
  <si>
    <t>VNQ</t>
  </si>
  <si>
    <t>Vonovia SE Unsponsored ADR</t>
  </si>
  <si>
    <t>VONOY</t>
  </si>
  <si>
    <t>Vanguard Total Stock Market ETF</t>
  </si>
  <si>
    <t>VTI</t>
  </si>
  <si>
    <t>Vestas Wind Systems AS</t>
  </si>
  <si>
    <t>VWDRY</t>
  </si>
  <si>
    <t>Vanguard FTSE Emerging Markets ETF</t>
  </si>
  <si>
    <t>VWO</t>
  </si>
  <si>
    <t>Walgreens Boots Alliance, Inc.</t>
  </si>
  <si>
    <t>WBA</t>
  </si>
  <si>
    <t>WIRECARD AG</t>
  </si>
  <si>
    <t>WCAGY</t>
  </si>
  <si>
    <t>Weichai Power Co.</t>
  </si>
  <si>
    <t>WEICY</t>
  </si>
  <si>
    <t>Wilmar International Ltd.</t>
  </si>
  <si>
    <t>WLMIY</t>
  </si>
  <si>
    <t>Woolworths Holdings Limited Sponsored ADR</t>
  </si>
  <si>
    <t>WLWHY</t>
  </si>
  <si>
    <t>George Weston Ltd.</t>
  </si>
  <si>
    <t>WNGRF</t>
  </si>
  <si>
    <t>Woodside Petroleum Ltd.</t>
  </si>
  <si>
    <t>WOPEY</t>
  </si>
  <si>
    <t>Slack Technologies, Inc.</t>
  </si>
  <si>
    <t>WORK</t>
  </si>
  <si>
    <t>WARTSILA OYJ</t>
  </si>
  <si>
    <t>WRTBY</t>
  </si>
  <si>
    <t>WSO.B</t>
  </si>
  <si>
    <t>Wolters Kluwer NV</t>
  </si>
  <si>
    <t>WTKWY</t>
  </si>
  <si>
    <t>White Mountains Insurance Group, Ltd.</t>
  </si>
  <si>
    <t>WTM</t>
  </si>
  <si>
    <t>WORLDLINE SA</t>
  </si>
  <si>
    <t>WWLNF</t>
  </si>
  <si>
    <t>Want Want China Holdings Ltd.</t>
  </si>
  <si>
    <t>WWNTY</t>
  </si>
  <si>
    <t>Wynn Macau Ltd.</t>
  </si>
  <si>
    <t>WYNMF</t>
  </si>
  <si>
    <t>SPDR S&amp;P Biotech ETF</t>
  </si>
  <si>
    <t>XBI</t>
  </si>
  <si>
    <t>Materials Select Sector SPDR Fund</t>
  </si>
  <si>
    <t>XLB</t>
  </si>
  <si>
    <t>Financial Select Sector SPDR Fund</t>
  </si>
  <si>
    <t>XLF</t>
  </si>
  <si>
    <t>Utilities Select Sector SPDR Fund</t>
  </si>
  <si>
    <t>XLU</t>
  </si>
  <si>
    <t>Consumer Discretionary Select Sector SPDR Fund</t>
  </si>
  <si>
    <t>XLY</t>
  </si>
  <si>
    <t>XINYI GLASS HLD</t>
  </si>
  <si>
    <t>XYIGF</t>
  </si>
  <si>
    <t>Yara International ASA</t>
  </si>
  <si>
    <t>YARIY</t>
  </si>
  <si>
    <t>Yaskawa Electric Corp.</t>
  </si>
  <si>
    <t>YASKY</t>
  </si>
  <si>
    <t>Yue Yuen Industrial Ltd.</t>
  </si>
  <si>
    <t>YUEIY</t>
  </si>
  <si>
    <t>Yanzhou Coal Mining Company Limited</t>
  </si>
  <si>
    <t>YZCAY</t>
  </si>
  <si>
    <t>Zillow Group, Inc.</t>
  </si>
  <si>
    <t>Z</t>
  </si>
  <si>
    <t>ZG</t>
  </si>
  <si>
    <t>ZALANDO SE ADRS</t>
  </si>
  <si>
    <t>ZLNDY</t>
  </si>
  <si>
    <t>Zoom Video Communications, Inc.</t>
  </si>
  <si>
    <t>ZM</t>
  </si>
  <si>
    <t>Operating Margin 12 Mo %</t>
  </si>
  <si>
    <t>Net Margin %</t>
  </si>
  <si>
    <t>Look at Trend:</t>
  </si>
  <si>
    <t>Last 3 years</t>
  </si>
  <si>
    <t>Expectations</t>
  </si>
  <si>
    <t>Compare vs Average Sector / Industry</t>
  </si>
  <si>
    <t>Compare vs Leader / Laggard</t>
  </si>
  <si>
    <t>Quick Ratio</t>
  </si>
  <si>
    <t>Current Ratio</t>
  </si>
  <si>
    <t>Debt/Equity Ratio</t>
  </si>
  <si>
    <t>Debt/Total Capital</t>
  </si>
  <si>
    <t>Price/Sales</t>
  </si>
  <si>
    <t>Price/Book</t>
  </si>
  <si>
    <t>Current ROE</t>
  </si>
  <si>
    <t>Looking at Value vs Growth</t>
  </si>
  <si>
    <t>Last</t>
  </si>
  <si>
    <t>Interim 2019 Earnings Release (Projected)</t>
  </si>
  <si>
    <t>Q3 2019 Earnings Release (Projected)</t>
  </si>
  <si>
    <t>52 week High</t>
  </si>
  <si>
    <t>Trailing P/E</t>
  </si>
  <si>
    <t>Price to book</t>
  </si>
  <si>
    <t>52 week Low</t>
  </si>
  <si>
    <t>Forward P/E</t>
  </si>
  <si>
    <t>ROE</t>
  </si>
  <si>
    <t>Competitors</t>
  </si>
  <si>
    <t>YTD Change/%</t>
  </si>
  <si>
    <t>Exchange</t>
  </si>
  <si>
    <t>LVMH MOET HENNESSY VUITTO</t>
  </si>
  <si>
    <t>Mkt Cap</t>
  </si>
  <si>
    <t>Dividend 2019</t>
  </si>
  <si>
    <t>-</t>
  </si>
  <si>
    <t>VF CORPORATION</t>
  </si>
  <si>
    <t>Div. yield</t>
  </si>
  <si>
    <t>UNDER ARMOUR</t>
  </si>
  <si>
    <t>Days to Cover</t>
  </si>
  <si>
    <t>Beta</t>
  </si>
  <si>
    <t>Website</t>
  </si>
  <si>
    <t>http://investor.lululemon.com/</t>
  </si>
  <si>
    <t>MONCLER</t>
  </si>
  <si>
    <t>Target Price</t>
  </si>
  <si>
    <t>Year End</t>
  </si>
  <si>
    <t>January</t>
  </si>
  <si>
    <t>2020  (e)</t>
  </si>
  <si>
    <t>2021  (e)</t>
  </si>
  <si>
    <t>2022  (e)</t>
  </si>
  <si>
    <t>Avg.</t>
  </si>
  <si>
    <t>Sales</t>
  </si>
  <si>
    <t>9790M</t>
  </si>
  <si>
    <t>yoy</t>
  </si>
  <si>
    <t>8920M</t>
  </si>
  <si>
    <t>EBITDA</t>
  </si>
  <si>
    <t>P/E</t>
  </si>
  <si>
    <t>EPS 2019</t>
  </si>
  <si>
    <t>EBITDA margin</t>
  </si>
  <si>
    <t>EV/EBITDA</t>
  </si>
  <si>
    <t>EBITDA 2019</t>
  </si>
  <si>
    <t xml:space="preserve">
</t>
  </si>
  <si>
    <t>Operating Profit (EBIT)</t>
  </si>
  <si>
    <t>EV/EBIT</t>
  </si>
  <si>
    <t>EBIT 2019</t>
  </si>
  <si>
    <t>EBIT margin</t>
  </si>
  <si>
    <t>EV/Revenues</t>
  </si>
  <si>
    <t>Revenues 2019</t>
  </si>
  <si>
    <t>Net income</t>
  </si>
  <si>
    <t>Book</t>
  </si>
  <si>
    <t>Net Margin</t>
  </si>
  <si>
    <t>Ebitda margin</t>
  </si>
  <si>
    <t>Ebit margin</t>
  </si>
  <si>
    <t>P/E ratio</t>
  </si>
  <si>
    <t>30,5x</t>
  </si>
  <si>
    <t>41,2x</t>
  </si>
  <si>
    <t>40,9x</t>
  </si>
  <si>
    <t>41,5x</t>
  </si>
  <si>
    <t>35,2x</t>
  </si>
  <si>
    <t>29,7x</t>
  </si>
  <si>
    <t>Net margin</t>
  </si>
  <si>
    <t>Net Income</t>
  </si>
  <si>
    <t>EPS</t>
  </si>
  <si>
    <t>Dividend</t>
  </si>
  <si>
    <t>Historical Surprises</t>
  </si>
  <si>
    <t>Estimate</t>
  </si>
  <si>
    <t xml:space="preserve">Actual </t>
  </si>
  <si>
    <t>Diff.m</t>
  </si>
  <si>
    <t>Surprise %</t>
  </si>
  <si>
    <t>Debt</t>
  </si>
  <si>
    <t>Q-1</t>
  </si>
  <si>
    <t>Earnings</t>
  </si>
  <si>
    <t>Debt /EBITDA</t>
  </si>
  <si>
    <t>Q-2</t>
  </si>
  <si>
    <t>Cash Flow per share</t>
  </si>
  <si>
    <t>Q-3</t>
  </si>
  <si>
    <t>Volume</t>
  </si>
  <si>
    <t>50 MAV</t>
  </si>
  <si>
    <t>Q-4</t>
  </si>
  <si>
    <t>Avg Vol 10 days</t>
  </si>
  <si>
    <t>1.17M</t>
  </si>
  <si>
    <t>200 MAV</t>
  </si>
  <si>
    <t>Avg Vol 3Months</t>
  </si>
  <si>
    <t>2M</t>
  </si>
  <si>
    <t>Buyback Year</t>
  </si>
  <si>
    <t>(580.69M)</t>
  </si>
  <si>
    <t>Buyback Quarter</t>
  </si>
  <si>
    <t>Sales Per Region</t>
  </si>
  <si>
    <t>United States</t>
  </si>
  <si>
    <t>Sales Per Business</t>
  </si>
  <si>
    <t>Corporate-Operated Stores</t>
  </si>
  <si>
    <t>lululemon athletica inc., incorporated on November 21, 2005, is a designer, distributor and retailer of athletic apparel. The Company operates through two segments: Company-operated stores and Direct to consumer. The Company is also engaged in the sale from outlets, showrooms, sales from temporary locations, sales to wholesale accounts, warehouse sales, and license and supply arrangements. As of January 29, 2017, the Company had operated 406 stores located in the United States, Canada, Australia, the United Kingdom, New Zealand, China, Hong Kong, Singapore, South Korea, Germany, Puerto Rico and Switzerland. Its direct to consumer segment generates revenue from its lululemon and ivivva e-commerce Websites, www.lululemon.com and www.ivivva.com, and other country and region specific Websites. The Company operates and distributes finished products from its owned or leased distribution facilities in the United States, Canada and Australia. The Company owns its distribution center in Columbus, Ohio, and leases its other distribution facilities.</t>
  </si>
  <si>
    <t>Canada</t>
  </si>
  <si>
    <t>Direct to Consumer</t>
  </si>
  <si>
    <t>Outside of North America</t>
  </si>
  <si>
    <t>NASDAQ GS</t>
  </si>
  <si>
    <t>Textiles, Apparel &amp; Luxury Goo</t>
  </si>
  <si>
    <t>Canada Goos</t>
  </si>
  <si>
    <t>Q1 2020 Earnings Release (Projected)</t>
  </si>
  <si>
    <t>08/15/19</t>
  </si>
  <si>
    <t>Annual General Meeting</t>
  </si>
  <si>
    <t>90,2x</t>
  </si>
  <si>
    <t>46,4x</t>
  </si>
  <si>
    <t>New York</t>
  </si>
  <si>
    <t>LULULEMON-ATHLETICA-INC-40449575/</t>
  </si>
  <si>
    <t>81,0</t>
  </si>
  <si>
    <t>72,5</t>
  </si>
  <si>
    <t>182x</t>
  </si>
  <si>
    <t>85,3x</t>
  </si>
  <si>
    <t>37,0x</t>
  </si>
  <si>
    <t>30,2x</t>
  </si>
  <si>
    <t>664.1k</t>
  </si>
  <si>
    <t>1.75M</t>
  </si>
  <si>
    <t>Wholesale</t>
  </si>
  <si>
    <t>Direct to Customer</t>
  </si>
  <si>
    <t>Rest of the World</t>
  </si>
  <si>
    <t>Ralph Lauren</t>
  </si>
  <si>
    <t>24,6x</t>
  </si>
  <si>
    <t>14,5x</t>
  </si>
  <si>
    <t xml:space="preserve">
                135.47</t>
  </si>
  <si>
    <t>-68,0x</t>
  </si>
  <si>
    <t>56,8x</t>
  </si>
  <si>
    <t>12,9x</t>
  </si>
  <si>
    <t>11,7x</t>
  </si>
  <si>
    <t>1.07M</t>
  </si>
  <si>
    <t>1.09M</t>
  </si>
  <si>
    <t>(480.8M)</t>
  </si>
  <si>
    <t>(70.7M)</t>
  </si>
  <si>
    <t>North America</t>
  </si>
  <si>
    <t>Europe</t>
  </si>
  <si>
    <t>Asia</t>
  </si>
  <si>
    <t>Americas</t>
  </si>
  <si>
    <t>Other Non-Reportable Segments</t>
  </si>
  <si>
    <t>AMAZON-COM</t>
  </si>
  <si>
    <t>GSMA Mobile World Congress</t>
  </si>
  <si>
    <t>74,6x</t>
  </si>
  <si>
    <t>78,8x</t>
  </si>
  <si>
    <t>Internet &amp; Direct Marketing Re</t>
  </si>
  <si>
    <t>http://www.amazon.com</t>
  </si>
  <si>
    <t>December</t>
  </si>
  <si>
    <t>WAYFAIR-INC-18126549/</t>
  </si>
  <si>
    <t>ETSY-INC-21685602/</t>
  </si>
  <si>
    <t>QURATE-RETAIL-INC-42750209/</t>
  </si>
  <si>
    <t>ZOZO-INC-6814738/</t>
  </si>
  <si>
    <t>153x</t>
  </si>
  <si>
    <t>190x</t>
  </si>
  <si>
    <t>55,2x</t>
  </si>
  <si>
    <t>38,4x</t>
  </si>
  <si>
    <t xml:space="preserve">
                            </t>
  </si>
  <si>
    <t>3.53M</t>
  </si>
  <si>
    <t>3.83M</t>
  </si>
  <si>
    <t>Online Stores</t>
  </si>
  <si>
    <t>Amazon.com, Inc., incorporated on May 28, 1996, offers a range of products and services through its Websites. The Company operates through three segments: North America, International and Amazon Web Services (AWS). The Company's products include merchandise and content that it purchases for resale from vendors and those offered by third-party sellers. It also manufactures and sells electronic devices. The Company, through its subsidiary, Whole Foods Market, Inc., offers healthy and organic food and staples across its stores. The Company also offers a range of products like whole trade bananas, organic avocados, organic large brown eggs, organic responsibly-farmed salmon and tilapia, organic baby kale and baby lettuce, animal-welfare-rated 85% lean ground beef, creamy and crunchy almond butter, organic gala and fuji apples, organic rotisserie chicken.</t>
  </si>
  <si>
    <t>International</t>
  </si>
  <si>
    <t>Third-Party Seller Services</t>
  </si>
  <si>
    <t xml:space="preserve">
	</t>
  </si>
  <si>
    <t>Amazon Web Services</t>
  </si>
  <si>
    <t xml:space="preserve">_x000D_
</t>
  </si>
  <si>
    <t>Subscription Services</t>
  </si>
  <si>
    <t>OMNICOM-GR</t>
  </si>
  <si>
    <t>Ex-dividend day for</t>
  </si>
  <si>
    <t>12,6x</t>
  </si>
  <si>
    <t>13,2x</t>
  </si>
  <si>
    <t>Media</t>
  </si>
  <si>
    <t>http://www.omnicomgroup.com</t>
  </si>
  <si>
    <t xml:space="preserve">
                81.09</t>
  </si>
  <si>
    <t>WPP-GROUP-12281876/</t>
  </si>
  <si>
    <t>PUBLICIS-GROUPE-4685/</t>
  </si>
  <si>
    <t>INTERPUBLIC-GROUP-13096/</t>
  </si>
  <si>
    <t>JCDECAUX-4664/</t>
  </si>
  <si>
    <t>17,8x</t>
  </si>
  <si>
    <t>15,7x</t>
  </si>
  <si>
    <t>12,5x</t>
  </si>
  <si>
    <t>11,4x</t>
  </si>
  <si>
    <t>1.43M</t>
  </si>
  <si>
    <t>1.88M</t>
  </si>
  <si>
    <t>(568.3M)</t>
  </si>
  <si>
    <t>(239.6M)</t>
  </si>
  <si>
    <t>Advertising</t>
  </si>
  <si>
    <t>Omnicom Group Inc., incorporated on November 17, 1944, is a holding company. The Company provides advertising, marketing and corporate communications services. The Company's branded networks and agencies operate in all markets around the world and provide a range of services, which it groups into four disciplines: advertising, customer relationship management (CRM), public relations and specialty communications. The Company caters to various industry sectors, such as food and beverage, consumer products, pharmaceuticals and healthcare, financial services, technology, travel and entertainment, telecommunications and retail.</t>
  </si>
  <si>
    <t>Customer Relationship Management</t>
  </si>
  <si>
    <t>Asia Pacific</t>
  </si>
  <si>
    <t>United Kingdom</t>
  </si>
  <si>
    <t>KROGER</t>
  </si>
  <si>
    <t>7,53x</t>
  </si>
  <si>
    <t>9,15x</t>
  </si>
  <si>
    <t>Food &amp; Staples Retailing</t>
  </si>
  <si>
    <t>http://www.kroger.com</t>
  </si>
  <si>
    <t xml:space="preserve">
                26.17</t>
  </si>
  <si>
    <t>SYSCO-CORPORATION-14540/</t>
  </si>
  <si>
    <t>WOOLWORTHS-GROUP-LTD-6491360/</t>
  </si>
  <si>
    <t>SEVEN-I-HOLDINGS-CO-L-6497950/</t>
  </si>
  <si>
    <t>TESCO-PLC-4000540/</t>
  </si>
  <si>
    <t>16,6x</t>
  </si>
  <si>
    <t>9,01x</t>
  </si>
  <si>
    <t>7,85x</t>
  </si>
  <si>
    <t>9.78M</t>
  </si>
  <si>
    <t>8.92M</t>
  </si>
  <si>
    <t>(1.95B)</t>
  </si>
  <si>
    <t>(3M)</t>
  </si>
  <si>
    <t>Non Perishable</t>
  </si>
  <si>
    <t>The Kroger Co. (Kroger), incorporated on April 3, 1902, manufactures and processes food for sale in its supermarkets. The Company operates supermarkets, multi-department stores, jewelry stores and convenience stores throughout the United States. As of February 3, 2018, it had operated approximately 3,900 owned or leased supermarkets, convenience stores, fine jewelry stores, distribution warehouses and food production plants through divisions, subsidiaries or affiliates. These facilities are located throughout the United States. As of February 3, 2018, Kroger operated, either directly or through its subsidiaries, 2,782 supermarkets under a range of local banner names, of which 2,268 had pharmacies and 1,489 had fuel centers. As of February 3, 2018, the Company offered ClickList and Harris Teeter ExpressLane, personalized, order online, pick up at the store services at 1,056 of its supermarkets. As of February 3, 2018, its supermarkets, on average, stocked over 15,000 private label items. Its corporate brand products are primarily produced and sold in three tiers. P$$T, Check This Out and Heritage Farm are the three brands. Its other brands include Simple Truth and Simple Truth Organic. As of February 3, 2018, it had operated 37 food production plants, which consisted of 17 dairies, 10 deli or bakery plants, five grocery product plants, two beverage plants, two meat plants and two cheese plants.</t>
  </si>
  <si>
    <t>Perishable</t>
  </si>
  <si>
    <t>Fuel</t>
  </si>
  <si>
    <t>Pharmacy</t>
  </si>
  <si>
    <t>WAL-MART</t>
  </si>
  <si>
    <t>Interim 2020 Earnings Call</t>
  </si>
  <si>
    <t>42,4x</t>
  </si>
  <si>
    <t>22,0x</t>
  </si>
  <si>
    <t>https://corporate.walmart.com/</t>
  </si>
  <si>
    <t xml:space="preserve">
                111.73</t>
  </si>
  <si>
    <t>COSTCO-WHOLESALE-CORPORAT-4866//</t>
  </si>
  <si>
    <t>KROGER-13293//</t>
  </si>
  <si>
    <t>CARREFOUR-4626/</t>
  </si>
  <si>
    <t>TARGET-CORPORATION-12291//</t>
  </si>
  <si>
    <t>15,2x</t>
  </si>
  <si>
    <t>32,5x</t>
  </si>
  <si>
    <t>21,8x</t>
  </si>
  <si>
    <t>20,9x</t>
  </si>
  <si>
    <t>4.5M</t>
  </si>
  <si>
    <t>5.76M</t>
  </si>
  <si>
    <t>(7.41B)</t>
  </si>
  <si>
    <t>(2.14B)</t>
  </si>
  <si>
    <t>EXXON-MOBIL</t>
  </si>
  <si>
    <t>Interim 2019 Earnings Release</t>
  </si>
  <si>
    <t>Interim 2019 Earnings Call</t>
  </si>
  <si>
    <t>14,0x</t>
  </si>
  <si>
    <t>20,7x</t>
  </si>
  <si>
    <t>Energy</t>
  </si>
  <si>
    <t>Oil, Gas &amp; Consumable Fuels</t>
  </si>
  <si>
    <t>http://www.exxon.mobil.com</t>
  </si>
  <si>
    <t xml:space="preserve">
                85.24</t>
  </si>
  <si>
    <t>BP-PLC-9590188/</t>
  </si>
  <si>
    <t>RELIANCE-INDUSTRIES-9058833/</t>
  </si>
  <si>
    <t>RELIANCE-INDUSTRIES-LIMIT-4000905/</t>
  </si>
  <si>
    <t>CHINA-PETROLEUM-CHEMICA-6497363/</t>
  </si>
  <si>
    <t>701688M</t>
  </si>
  <si>
    <t>613790M</t>
  </si>
  <si>
    <t>48,0x</t>
  </si>
  <si>
    <t>18,1x</t>
  </si>
  <si>
    <t>14,7x</t>
  </si>
  <si>
    <t>14,2x</t>
  </si>
  <si>
    <t>8M</t>
  </si>
  <si>
    <t>10.26M</t>
  </si>
  <si>
    <t>(626M)</t>
  </si>
  <si>
    <t>(421M)</t>
  </si>
  <si>
    <t>Downstream</t>
  </si>
  <si>
    <t>Exxon Mobil Corporation, incorporated on August 5, 1882, is engaged in energy business. The Company is engaged in the exploration, production, transportation and sale of crude oil and natural gas, and the manufacture, transportation and sale of petroleum products. The Company also manufactures and markets commodity petrochemicals, including olefins, aromatics, polyethylene and polypropylene plastics, and a range of specialty products. The Company's segments include Upstream, Downstream, Chemical, and Corporate and Financing. The Upstream segment operates to explore for and produce crude oil and natural gas. The Downstream operates to manufacture and sell petroleum products. The Chemical segment operates to manufacture and sell petrochemicals. The Company has exploration and development activities in projects located in the United States, Canada/South America, Europe, Africa, Asia and Australia/Oceania.</t>
  </si>
  <si>
    <t>Non-United States</t>
  </si>
  <si>
    <t>Chemical</t>
  </si>
  <si>
    <t>Upstream</t>
  </si>
  <si>
    <t>Corporate and Financing</t>
  </si>
  <si>
    <t>GENERAL-ELECTRIC</t>
  </si>
  <si>
    <t>FY 2019 Earnings Release (Projected)</t>
  </si>
  <si>
    <t>-3,12x</t>
  </si>
  <si>
    <t>25,8x</t>
  </si>
  <si>
    <t>Industrials</t>
  </si>
  <si>
    <t>Industrial Conglomerates</t>
  </si>
  <si>
    <t>http://www.ge.com</t>
  </si>
  <si>
    <t xml:space="preserve">
                11.41</t>
  </si>
  <si>
    <t>HONEYWELL-INTERNATIONAL-4827/</t>
  </si>
  <si>
    <t>3M-COMPANY-4836/</t>
  </si>
  <si>
    <t>SIEMENS-AG-56358306/</t>
  </si>
  <si>
    <t>ILLINOIS-TOOL-WORKS-13125/</t>
  </si>
  <si>
    <t>35,5x</t>
  </si>
  <si>
    <t>-24,2x</t>
  </si>
  <si>
    <t>20,4x</t>
  </si>
  <si>
    <t>19,6x</t>
  </si>
  <si>
    <t>61.35M</t>
  </si>
  <si>
    <t>51.06M</t>
  </si>
  <si>
    <t>(17M)</t>
  </si>
  <si>
    <t>Power</t>
  </si>
  <si>
    <t>General Electric Company (GE), incorporated on April 15, 1892, is a global digital industrial company. The Company's products and services range from aircraft engines, power generation, and oil and gas production equipment to medical imaging, financing and industrial products. The Company's segments include Power, Renewable Energy, Oil &amp; Gas, Aviation, Healthcare, Transportation, Energy Connections &amp; Lighting, and Capital. As of December 31, 2016, the Company served customers in approximately 180 countries.</t>
  </si>
  <si>
    <t>Aviation</t>
  </si>
  <si>
    <t>Healthcare</t>
  </si>
  <si>
    <t>Middle East and Africa</t>
  </si>
  <si>
    <t>Energy Connections &amp; Lighting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</si>
</sst>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
    <numFmt numFmtId="165" formatCode="0.0"/>
    <numFmt numFmtId="166" formatCode="#,##0.0"/>
    <numFmt numFmtId="167" formatCode="&quot;$&quot;#,##0.00"/>
  </numFmts>
  <fonts count="10" x14ac:knownFonts="1">
    <font>
      <sz val="11"/>
      <color theme="1"/>
      <name val="Calibri"/>
      <family val="2"/>
      <scheme val="minor"/>
    </font>
    <font>
      <b/>
      <sz val="11"/>
      <color theme="1"/>
      <name val="Calibri"/>
      <family val="2"/>
      <scheme val="minor"/>
    </font>
    <font>
      <u/>
      <sz val="11"/>
      <color theme="10"/>
      <name val="Calibri"/>
      <family val="2"/>
      <scheme val="minor"/>
    </font>
    <font>
      <b/>
      <sz val="11"/>
      <color theme="0"/>
      <name val="Calibri"/>
      <family val="2"/>
      <scheme val="minor"/>
    </font>
    <font>
      <sz val="11"/>
      <color theme="1"/>
      <name val="Calibri"/>
      <family val="2"/>
      <scheme val="minor"/>
    </font>
    <font>
      <sz val="11"/>
      <color rgb="FFFF0000"/>
      <name val="Calibri"/>
      <family val="2"/>
      <scheme val="minor"/>
    </font>
    <font>
      <b/>
      <sz val="11"/>
      <color rgb="FF262626"/>
      <name val="Calibri"/>
      <family val="2"/>
      <scheme val="minor"/>
    </font>
    <font>
      <b/>
      <sz val="10"/>
      <name val="Arial"/>
      <family val="2"/>
    </font>
    <font>
      <sz val="10"/>
      <name val="Arial"/>
      <family val="2"/>
    </font>
    <font>
      <b/>
      <sz val="11"/>
      <name val="Calibri"/>
      <family val="2"/>
      <scheme val="minor"/>
    </font>
  </fonts>
  <fills count="7">
    <fill>
      <patternFill patternType="none"/>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2"/>
        <bgColor indexed="64"/>
      </patternFill>
    </fill>
    <fill>
      <patternFill patternType="solid">
        <fgColor theme="9" tint="0.59999389629810485"/>
        <bgColor indexed="64"/>
      </patternFill>
    </fill>
    <fill>
      <patternFill patternType="solid">
        <fgColor rgb="FFFFFF00"/>
        <bgColor indexed="64"/>
      </patternFill>
    </fill>
  </fills>
  <borders count="19">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s>
  <cellStyleXfs count="3">
    <xf numFmtId="0" fontId="0" fillId="0" borderId="0"/>
    <xf numFmtId="0" fontId="2" fillId="0" borderId="0"/>
    <xf numFmtId="9" fontId="4" fillId="0" borderId="0"/>
  </cellStyleXfs>
  <cellXfs count="156">
    <xf numFmtId="0" fontId="0" fillId="0" borderId="0" xfId="0"/>
    <xf numFmtId="0" fontId="0" fillId="0" borderId="0" xfId="0" applyAlignment="1">
      <alignment vertical="center"/>
    </xf>
    <xf numFmtId="0" fontId="0" fillId="2" borderId="0" xfId="0" applyFill="1"/>
    <xf numFmtId="0" fontId="0" fillId="2" borderId="0" xfId="0" applyFill="1" applyAlignment="1">
      <alignment horizontal="center"/>
    </xf>
    <xf numFmtId="3" fontId="0" fillId="2" borderId="0" xfId="0" applyNumberFormat="1" applyFill="1" applyAlignment="1">
      <alignment horizontal="center"/>
    </xf>
    <xf numFmtId="0" fontId="1" fillId="6" borderId="14" xfId="0" applyFont="1" applyFill="1" applyBorder="1"/>
    <xf numFmtId="0" fontId="6" fillId="6" borderId="9" xfId="0" applyFont="1" applyFill="1" applyBorder="1"/>
    <xf numFmtId="0" fontId="1" fillId="6" borderId="10" xfId="0" applyFont="1" applyFill="1" applyBorder="1"/>
    <xf numFmtId="0" fontId="1" fillId="5" borderId="1" xfId="0" applyFont="1" applyFill="1" applyBorder="1"/>
    <xf numFmtId="2" fontId="0" fillId="2" borderId="2" xfId="0" applyNumberFormat="1" applyFill="1" applyBorder="1" applyAlignment="1">
      <alignment horizontal="center"/>
    </xf>
    <xf numFmtId="0" fontId="0" fillId="2" borderId="2" xfId="0" applyFill="1" applyBorder="1" applyAlignment="1">
      <alignment horizontal="center"/>
    </xf>
    <xf numFmtId="0" fontId="0" fillId="2" borderId="2" xfId="0" applyFill="1" applyBorder="1"/>
    <xf numFmtId="0" fontId="0" fillId="2" borderId="3" xfId="0" applyFill="1" applyBorder="1"/>
    <xf numFmtId="14" fontId="1" fillId="5" borderId="1" xfId="0" applyNumberFormat="1" applyFont="1" applyFill="1" applyBorder="1" applyAlignment="1">
      <alignment horizontal="center"/>
    </xf>
    <xf numFmtId="14" fontId="0" fillId="2" borderId="4" xfId="0" applyNumberFormat="1" applyFill="1" applyBorder="1"/>
    <xf numFmtId="0" fontId="0" fillId="2" borderId="5" xfId="0" applyFill="1" applyBorder="1"/>
    <xf numFmtId="14" fontId="1" fillId="5" borderId="6" xfId="0" applyNumberFormat="1" applyFont="1" applyFill="1" applyBorder="1" applyAlignment="1">
      <alignment horizontal="center"/>
    </xf>
    <xf numFmtId="0" fontId="0" fillId="2" borderId="7" xfId="0" applyFill="1" applyBorder="1"/>
    <xf numFmtId="0" fontId="0" fillId="2" borderId="8" xfId="0" applyFill="1" applyBorder="1"/>
    <xf numFmtId="0" fontId="1" fillId="5" borderId="4" xfId="0" applyFont="1" applyFill="1" applyBorder="1"/>
    <xf numFmtId="2" fontId="0" fillId="2" borderId="0" xfId="0" applyNumberFormat="1" applyFill="1" applyAlignment="1">
      <alignment horizontal="center"/>
    </xf>
    <xf numFmtId="164" fontId="0" fillId="2" borderId="0" xfId="0" applyNumberFormat="1" applyFill="1" applyAlignment="1">
      <alignment horizontal="center"/>
    </xf>
    <xf numFmtId="0" fontId="1" fillId="5" borderId="0" xfId="0" applyFont="1" applyFill="1"/>
    <xf numFmtId="1" fontId="0" fillId="2" borderId="0" xfId="0" applyNumberFormat="1" applyFill="1" applyAlignment="1">
      <alignment horizontal="center"/>
    </xf>
    <xf numFmtId="2" fontId="0" fillId="2" borderId="5" xfId="0" applyNumberFormat="1" applyFill="1" applyBorder="1" applyAlignment="1">
      <alignment horizontal="center"/>
    </xf>
    <xf numFmtId="2" fontId="5" fillId="2" borderId="0" xfId="0" applyNumberFormat="1" applyFont="1" applyFill="1"/>
    <xf numFmtId="10" fontId="0" fillId="2" borderId="0" xfId="0" applyNumberFormat="1" applyFill="1"/>
    <xf numFmtId="10" fontId="0" fillId="2" borderId="5" xfId="0" applyNumberFormat="1" applyFill="1" applyBorder="1" applyAlignment="1">
      <alignment horizontal="center" wrapText="1"/>
    </xf>
    <xf numFmtId="0" fontId="5" fillId="2" borderId="0" xfId="0" applyFont="1" applyFill="1"/>
    <xf numFmtId="10" fontId="0" fillId="2" borderId="3" xfId="0" applyNumberFormat="1" applyFill="1" applyBorder="1"/>
    <xf numFmtId="10" fontId="0" fillId="2" borderId="0" xfId="0" applyNumberFormat="1" applyFill="1" applyAlignment="1">
      <alignment horizontal="center" wrapText="1"/>
    </xf>
    <xf numFmtId="10" fontId="0" fillId="2" borderId="0" xfId="0" applyNumberFormat="1" applyFill="1" applyAlignment="1">
      <alignment horizontal="center"/>
    </xf>
    <xf numFmtId="0" fontId="0" fillId="2" borderId="4" xfId="0" applyFill="1" applyBorder="1"/>
    <xf numFmtId="10" fontId="0" fillId="2" borderId="5" xfId="0" applyNumberFormat="1" applyFill="1" applyBorder="1"/>
    <xf numFmtId="3" fontId="0" fillId="2" borderId="0" xfId="0" applyNumberFormat="1" applyFill="1" applyAlignment="1">
      <alignment horizontal="center" wrapText="1"/>
    </xf>
    <xf numFmtId="0" fontId="0" fillId="2" borderId="5" xfId="0" applyFill="1" applyBorder="1" applyAlignment="1">
      <alignment horizontal="left"/>
    </xf>
    <xf numFmtId="0" fontId="0" fillId="2" borderId="6" xfId="0" applyFill="1" applyBorder="1"/>
    <xf numFmtId="10" fontId="0" fillId="2" borderId="8" xfId="0" applyNumberFormat="1" applyFill="1" applyBorder="1"/>
    <xf numFmtId="0" fontId="1" fillId="5" borderId="6" xfId="0" applyFont="1" applyFill="1" applyBorder="1"/>
    <xf numFmtId="2" fontId="0" fillId="2" borderId="7" xfId="0" applyNumberFormat="1" applyFill="1" applyBorder="1" applyAlignment="1">
      <alignment horizontal="center" wrapText="1"/>
    </xf>
    <xf numFmtId="10" fontId="0" fillId="2" borderId="7" xfId="0" applyNumberFormat="1" applyFill="1" applyBorder="1" applyAlignment="1">
      <alignment horizontal="center"/>
    </xf>
    <xf numFmtId="2" fontId="0" fillId="2" borderId="0" xfId="0" applyNumberFormat="1" applyFill="1"/>
    <xf numFmtId="0" fontId="1" fillId="5" borderId="9" xfId="0" applyFont="1" applyFill="1" applyBorder="1"/>
    <xf numFmtId="0" fontId="0" fillId="2" borderId="10" xfId="0" applyFill="1" applyBorder="1" applyAlignment="1">
      <alignment horizontal="center"/>
    </xf>
    <xf numFmtId="0" fontId="1" fillId="5" borderId="2" xfId="0" applyFont="1" applyFill="1" applyBorder="1" applyAlignment="1">
      <alignment horizontal="center"/>
    </xf>
    <xf numFmtId="0" fontId="1" fillId="5" borderId="3" xfId="0" applyFont="1" applyFill="1" applyBorder="1" applyAlignment="1">
      <alignment horizontal="center" wrapText="1"/>
    </xf>
    <xf numFmtId="0" fontId="0" fillId="5" borderId="1" xfId="0" applyFill="1" applyBorder="1"/>
    <xf numFmtId="0" fontId="0" fillId="5" borderId="2" xfId="0" applyFill="1" applyBorder="1" applyAlignment="1">
      <alignment horizontal="center"/>
    </xf>
    <xf numFmtId="0" fontId="1" fillId="5" borderId="3" xfId="0" applyFont="1" applyFill="1" applyBorder="1" applyAlignment="1">
      <alignment horizontal="center"/>
    </xf>
    <xf numFmtId="3" fontId="0" fillId="2" borderId="5" xfId="0" applyNumberFormat="1" applyFill="1" applyBorder="1" applyAlignment="1">
      <alignment horizontal="center"/>
    </xf>
    <xf numFmtId="10" fontId="0" fillId="2" borderId="5" xfId="0" applyNumberFormat="1" applyFill="1" applyBorder="1" applyAlignment="1">
      <alignment horizontal="center"/>
    </xf>
    <xf numFmtId="165" fontId="0" fillId="2" borderId="0" xfId="0" applyNumberFormat="1" applyFill="1" applyAlignment="1">
      <alignment horizontal="center"/>
    </xf>
    <xf numFmtId="165" fontId="0" fillId="2" borderId="5" xfId="0" applyNumberFormat="1" applyFill="1" applyBorder="1" applyAlignment="1">
      <alignment horizontal="center"/>
    </xf>
    <xf numFmtId="164" fontId="1" fillId="2" borderId="0" xfId="0" applyNumberFormat="1" applyFont="1" applyFill="1" applyAlignment="1">
      <alignment horizontal="center"/>
    </xf>
    <xf numFmtId="164" fontId="1" fillId="2" borderId="5" xfId="0" applyNumberFormat="1" applyFont="1" applyFill="1" applyBorder="1" applyAlignment="1">
      <alignment horizontal="center"/>
    </xf>
    <xf numFmtId="164" fontId="0" fillId="2" borderId="5" xfId="0" applyNumberFormat="1" applyFill="1" applyBorder="1" applyAlignment="1">
      <alignment horizontal="center"/>
    </xf>
    <xf numFmtId="9" fontId="0" fillId="2" borderId="0" xfId="0" applyNumberFormat="1" applyFill="1" applyAlignment="1">
      <alignment horizontal="center"/>
    </xf>
    <xf numFmtId="9" fontId="0" fillId="2" borderId="5" xfId="0" applyNumberFormat="1" applyFill="1" applyBorder="1" applyAlignment="1">
      <alignment horizontal="center"/>
    </xf>
    <xf numFmtId="0" fontId="0" fillId="2" borderId="5" xfId="0" applyFill="1" applyBorder="1" applyAlignment="1">
      <alignment horizontal="center"/>
    </xf>
    <xf numFmtId="10" fontId="0" fillId="2" borderId="8" xfId="0" applyNumberFormat="1" applyFill="1" applyBorder="1" applyAlignment="1">
      <alignment horizontal="center"/>
    </xf>
    <xf numFmtId="10" fontId="0" fillId="2" borderId="0" xfId="0" applyNumberFormat="1" applyFill="1" applyAlignment="1">
      <alignment wrapText="1"/>
    </xf>
    <xf numFmtId="165" fontId="0" fillId="2" borderId="7" xfId="0" applyNumberFormat="1" applyFill="1" applyBorder="1" applyAlignment="1">
      <alignment horizontal="center"/>
    </xf>
    <xf numFmtId="165" fontId="0" fillId="2" borderId="8" xfId="0" applyNumberFormat="1" applyFill="1" applyBorder="1" applyAlignment="1">
      <alignment horizontal="center"/>
    </xf>
    <xf numFmtId="0" fontId="0" fillId="5" borderId="2" xfId="0" applyFill="1" applyBorder="1"/>
    <xf numFmtId="3" fontId="0" fillId="2" borderId="2" xfId="0" applyNumberFormat="1" applyFill="1" applyBorder="1" applyAlignment="1">
      <alignment horizontal="center"/>
    </xf>
    <xf numFmtId="3" fontId="0" fillId="2" borderId="2" xfId="0" applyNumberFormat="1" applyFill="1" applyBorder="1" applyAlignment="1">
      <alignment horizontal="center" wrapText="1"/>
    </xf>
    <xf numFmtId="3" fontId="0" fillId="2" borderId="3" xfId="0" applyNumberFormat="1" applyFill="1" applyBorder="1" applyAlignment="1">
      <alignment horizontal="center" wrapText="1"/>
    </xf>
    <xf numFmtId="166" fontId="0" fillId="2" borderId="5" xfId="0" applyNumberFormat="1" applyFill="1" applyBorder="1" applyAlignment="1">
      <alignment horizontal="center" wrapText="1"/>
    </xf>
    <xf numFmtId="0" fontId="0" fillId="2" borderId="0" xfId="0" applyFill="1" applyAlignment="1">
      <alignment horizontal="center" wrapText="1"/>
    </xf>
    <xf numFmtId="0" fontId="0" fillId="2" borderId="5" xfId="0" applyFill="1" applyBorder="1" applyAlignment="1">
      <alignment horizontal="center" wrapText="1"/>
    </xf>
    <xf numFmtId="0" fontId="0" fillId="2" borderId="7" xfId="0" applyFill="1" applyBorder="1" applyAlignment="1">
      <alignment horizontal="center" wrapText="1"/>
    </xf>
    <xf numFmtId="0" fontId="0" fillId="2" borderId="8" xfId="0" applyFill="1" applyBorder="1" applyAlignment="1">
      <alignment horizontal="center" wrapText="1"/>
    </xf>
    <xf numFmtId="3" fontId="0" fillId="2" borderId="3" xfId="0" applyNumberFormat="1" applyFill="1" applyBorder="1" applyAlignment="1">
      <alignment horizontal="center"/>
    </xf>
    <xf numFmtId="4" fontId="0" fillId="2" borderId="2" xfId="0" applyNumberFormat="1" applyFill="1" applyBorder="1" applyAlignment="1">
      <alignment horizontal="center"/>
    </xf>
    <xf numFmtId="164" fontId="0" fillId="2" borderId="3" xfId="2" applyNumberFormat="1" applyFont="1" applyFill="1" applyBorder="1" applyAlignment="1">
      <alignment horizontal="center"/>
    </xf>
    <xf numFmtId="4" fontId="0" fillId="2" borderId="7" xfId="0" applyNumberFormat="1" applyFill="1" applyBorder="1" applyAlignment="1">
      <alignment horizontal="center"/>
    </xf>
    <xf numFmtId="164" fontId="0" fillId="2" borderId="8" xfId="2" applyNumberFormat="1" applyFont="1" applyFill="1" applyBorder="1" applyAlignment="1">
      <alignment horizontal="center"/>
    </xf>
    <xf numFmtId="0" fontId="1" fillId="5" borderId="7" xfId="0" applyFont="1" applyFill="1" applyBorder="1"/>
    <xf numFmtId="0" fontId="0" fillId="2" borderId="7" xfId="0" applyFill="1" applyBorder="1" applyAlignment="1">
      <alignment horizontal="center"/>
    </xf>
    <xf numFmtId="166" fontId="0" fillId="2" borderId="8" xfId="0" applyNumberFormat="1" applyFill="1" applyBorder="1" applyAlignment="1">
      <alignment horizontal="center" wrapText="1"/>
    </xf>
    <xf numFmtId="0" fontId="0" fillId="2" borderId="8" xfId="0" applyFill="1" applyBorder="1" applyAlignment="1">
      <alignment horizontal="center"/>
    </xf>
    <xf numFmtId="0" fontId="0" fillId="2" borderId="3" xfId="0" applyFill="1" applyBorder="1" applyAlignment="1">
      <alignment wrapText="1"/>
    </xf>
    <xf numFmtId="3" fontId="0" fillId="2" borderId="2" xfId="0" applyNumberFormat="1" applyFill="1" applyBorder="1"/>
    <xf numFmtId="0" fontId="0" fillId="5" borderId="4" xfId="0" applyFill="1" applyBorder="1"/>
    <xf numFmtId="3" fontId="0" fillId="2" borderId="0" xfId="0" applyNumberFormat="1" applyFill="1"/>
    <xf numFmtId="10" fontId="0" fillId="2" borderId="5" xfId="0" applyNumberFormat="1" applyFill="1" applyBorder="1" applyAlignment="1">
      <alignment wrapText="1"/>
    </xf>
    <xf numFmtId="3" fontId="0" fillId="2" borderId="0" xfId="0" applyNumberFormat="1" applyFill="1" applyAlignment="1">
      <alignment wrapText="1"/>
    </xf>
    <xf numFmtId="0" fontId="0" fillId="5" borderId="6" xfId="0" applyFill="1" applyBorder="1"/>
    <xf numFmtId="3" fontId="0" fillId="2" borderId="7" xfId="0" applyNumberFormat="1" applyFill="1" applyBorder="1" applyAlignment="1">
      <alignment wrapText="1"/>
    </xf>
    <xf numFmtId="10" fontId="0" fillId="2" borderId="8" xfId="0" applyNumberFormat="1" applyFill="1" applyBorder="1" applyAlignment="1">
      <alignment wrapText="1"/>
    </xf>
    <xf numFmtId="10" fontId="0" fillId="2" borderId="7" xfId="0" applyNumberFormat="1" applyFill="1" applyBorder="1" applyAlignment="1">
      <alignment wrapText="1"/>
    </xf>
    <xf numFmtId="2" fontId="0" fillId="2" borderId="7" xfId="0" applyNumberFormat="1" applyFill="1" applyBorder="1" applyAlignment="1">
      <alignment horizontal="center"/>
    </xf>
    <xf numFmtId="0" fontId="0" fillId="2" borderId="7" xfId="0" applyFill="1" applyBorder="1" applyAlignment="1">
      <alignment horizontal="left"/>
    </xf>
    <xf numFmtId="0" fontId="0" fillId="6" borderId="14" xfId="0" applyFill="1" applyBorder="1"/>
    <xf numFmtId="10" fontId="0" fillId="2" borderId="0" xfId="2" applyNumberFormat="1" applyFont="1" applyFill="1" applyAlignment="1">
      <alignment horizontal="center"/>
    </xf>
    <xf numFmtId="10" fontId="0" fillId="2" borderId="5" xfId="2" applyNumberFormat="1" applyFont="1" applyFill="1" applyBorder="1" applyAlignment="1">
      <alignment horizontal="center"/>
    </xf>
    <xf numFmtId="9" fontId="0" fillId="2" borderId="0" xfId="2" applyFont="1" applyFill="1" applyAlignment="1">
      <alignment horizontal="center"/>
    </xf>
    <xf numFmtId="9" fontId="0" fillId="2" borderId="5" xfId="2" applyFont="1" applyFill="1" applyBorder="1" applyAlignment="1">
      <alignment horizontal="center"/>
    </xf>
    <xf numFmtId="3" fontId="0" fillId="2" borderId="7" xfId="0" applyNumberFormat="1" applyFill="1" applyBorder="1" applyAlignment="1">
      <alignment horizontal="center"/>
    </xf>
    <xf numFmtId="3" fontId="0" fillId="2" borderId="8" xfId="0" applyNumberFormat="1" applyFill="1" applyBorder="1" applyAlignment="1">
      <alignment horizontal="center"/>
    </xf>
    <xf numFmtId="164" fontId="0" fillId="2" borderId="5" xfId="2" applyNumberFormat="1" applyFont="1" applyFill="1" applyBorder="1" applyAlignment="1">
      <alignment horizontal="center" wrapText="1"/>
    </xf>
    <xf numFmtId="10" fontId="0" fillId="2" borderId="3" xfId="0" applyNumberFormat="1" applyFill="1" applyBorder="1" applyAlignment="1">
      <alignment horizontal="center"/>
    </xf>
    <xf numFmtId="164" fontId="0" fillId="2" borderId="8" xfId="2" applyNumberFormat="1" applyFont="1" applyFill="1" applyBorder="1" applyAlignment="1">
      <alignment horizontal="center" wrapText="1"/>
    </xf>
    <xf numFmtId="10" fontId="0" fillId="2" borderId="3" xfId="2" applyNumberFormat="1" applyFont="1" applyFill="1" applyBorder="1" applyAlignment="1">
      <alignment horizontal="center"/>
    </xf>
    <xf numFmtId="164" fontId="0" fillId="2" borderId="5" xfId="0" applyNumberFormat="1" applyFill="1" applyBorder="1" applyAlignment="1">
      <alignment horizontal="center" wrapText="1"/>
    </xf>
    <xf numFmtId="164" fontId="0" fillId="2" borderId="8" xfId="0" applyNumberFormat="1" applyFill="1" applyBorder="1" applyAlignment="1">
      <alignment horizontal="center" wrapText="1"/>
    </xf>
    <xf numFmtId="164" fontId="0" fillId="2" borderId="5" xfId="2" applyNumberFormat="1" applyFont="1" applyFill="1" applyBorder="1" applyAlignment="1">
      <alignment horizontal="center"/>
    </xf>
    <xf numFmtId="10" fontId="0" fillId="2" borderId="8" xfId="2" applyNumberFormat="1" applyFont="1" applyFill="1" applyBorder="1" applyAlignment="1">
      <alignment horizontal="center"/>
    </xf>
    <xf numFmtId="166" fontId="0" fillId="2" borderId="0" xfId="0" applyNumberFormat="1" applyFill="1" applyAlignment="1">
      <alignment horizontal="center"/>
    </xf>
    <xf numFmtId="166" fontId="0" fillId="2" borderId="5" xfId="0" applyNumberFormat="1" applyFill="1" applyBorder="1" applyAlignment="1">
      <alignment horizontal="center"/>
    </xf>
    <xf numFmtId="0" fontId="2" fillId="2" borderId="0" xfId="1" applyFill="1" applyAlignment="1">
      <alignment vertical="center" readingOrder="1"/>
    </xf>
    <xf numFmtId="0" fontId="1" fillId="2" borderId="0" xfId="0" applyFont="1" applyFill="1" applyAlignment="1">
      <alignment horizontal="center"/>
    </xf>
    <xf numFmtId="0" fontId="1" fillId="4" borderId="16" xfId="0" applyFont="1" applyFill="1" applyBorder="1"/>
    <xf numFmtId="0" fontId="1" fillId="4" borderId="17" xfId="0" applyFont="1" applyFill="1" applyBorder="1" applyAlignment="1">
      <alignment horizontal="center"/>
    </xf>
    <xf numFmtId="164" fontId="1" fillId="4" borderId="17" xfId="2" applyNumberFormat="1" applyFont="1" applyFill="1" applyBorder="1" applyAlignment="1">
      <alignment horizontal="center"/>
    </xf>
    <xf numFmtId="164" fontId="1" fillId="4" borderId="18" xfId="2" applyNumberFormat="1" applyFont="1" applyFill="1" applyBorder="1" applyAlignment="1">
      <alignment horizontal="center"/>
    </xf>
    <xf numFmtId="0" fontId="1" fillId="2" borderId="15" xfId="0" applyFont="1" applyFill="1" applyBorder="1"/>
    <xf numFmtId="0" fontId="1" fillId="2" borderId="15" xfId="0" applyFont="1" applyFill="1" applyBorder="1" applyAlignment="1">
      <alignment horizontal="center"/>
    </xf>
    <xf numFmtId="0" fontId="0" fillId="2" borderId="15" xfId="0" applyFill="1" applyBorder="1" applyAlignment="1">
      <alignment horizontal="center"/>
    </xf>
    <xf numFmtId="164" fontId="0" fillId="2" borderId="15" xfId="2" applyNumberFormat="1" applyFont="1" applyFill="1" applyBorder="1" applyAlignment="1">
      <alignment horizontal="center"/>
    </xf>
    <xf numFmtId="165" fontId="0" fillId="2" borderId="15" xfId="2" applyNumberFormat="1" applyFont="1" applyFill="1" applyBorder="1" applyAlignment="1">
      <alignment horizontal="center"/>
    </xf>
    <xf numFmtId="2" fontId="1" fillId="4" borderId="16" xfId="0" applyNumberFormat="1" applyFont="1" applyFill="1" applyBorder="1" applyAlignment="1">
      <alignment wrapText="1"/>
    </xf>
    <xf numFmtId="2" fontId="1" fillId="4" borderId="17" xfId="0" applyNumberFormat="1" applyFont="1" applyFill="1" applyBorder="1" applyAlignment="1">
      <alignment horizontal="center" wrapText="1"/>
    </xf>
    <xf numFmtId="2" fontId="1" fillId="4" borderId="17" xfId="2" applyNumberFormat="1" applyFont="1" applyFill="1" applyBorder="1" applyAlignment="1">
      <alignment horizontal="center" wrapText="1"/>
    </xf>
    <xf numFmtId="2" fontId="1" fillId="4" borderId="18" xfId="2" applyNumberFormat="1" applyFont="1" applyFill="1" applyBorder="1" applyAlignment="1">
      <alignment horizontal="center" wrapText="1"/>
    </xf>
    <xf numFmtId="0" fontId="0" fillId="2" borderId="15" xfId="0" applyFill="1" applyBorder="1"/>
    <xf numFmtId="0" fontId="7" fillId="4" borderId="15" xfId="0" applyFont="1" applyFill="1" applyBorder="1" applyAlignment="1">
      <alignment horizontal="center"/>
    </xf>
    <xf numFmtId="167" fontId="8" fillId="2" borderId="15" xfId="0" applyNumberFormat="1" applyFont="1" applyFill="1" applyBorder="1" applyAlignment="1">
      <alignment horizontal="center"/>
    </xf>
    <xf numFmtId="2" fontId="8" fillId="2" borderId="15" xfId="0" applyNumberFormat="1" applyFont="1" applyFill="1" applyBorder="1" applyAlignment="1">
      <alignment horizontal="center"/>
    </xf>
    <xf numFmtId="165" fontId="0" fillId="2" borderId="15" xfId="0" applyNumberFormat="1" applyFill="1" applyBorder="1" applyAlignment="1">
      <alignment horizontal="center"/>
    </xf>
    <xf numFmtId="0" fontId="1" fillId="4" borderId="15" xfId="0" applyFont="1" applyFill="1" applyBorder="1" applyAlignment="1">
      <alignment horizontal="center"/>
    </xf>
    <xf numFmtId="10" fontId="1" fillId="4" borderId="15" xfId="2" applyNumberFormat="1" applyFont="1" applyFill="1" applyBorder="1" applyAlignment="1">
      <alignment horizontal="center"/>
    </xf>
    <xf numFmtId="167" fontId="7" fillId="2" borderId="15" xfId="0" applyNumberFormat="1" applyFont="1" applyFill="1" applyBorder="1" applyAlignment="1">
      <alignment horizontal="center"/>
    </xf>
    <xf numFmtId="165" fontId="1" fillId="2" borderId="15" xfId="0" applyNumberFormat="1" applyFont="1" applyFill="1" applyBorder="1" applyAlignment="1">
      <alignment horizontal="center"/>
    </xf>
    <xf numFmtId="10" fontId="1" fillId="2" borderId="0" xfId="0" applyNumberFormat="1" applyFont="1" applyFill="1" applyAlignment="1">
      <alignment horizontal="center"/>
    </xf>
    <xf numFmtId="165" fontId="1" fillId="2" borderId="0" xfId="0" applyNumberFormat="1" applyFont="1" applyFill="1" applyAlignment="1">
      <alignment horizontal="center"/>
    </xf>
    <xf numFmtId="0" fontId="1" fillId="2" borderId="0" xfId="0" applyFont="1" applyFill="1"/>
    <xf numFmtId="0" fontId="9" fillId="2" borderId="0" xfId="0" applyFont="1" applyFill="1"/>
    <xf numFmtId="0" fontId="0" fillId="2" borderId="0" xfId="0" applyFill="1" applyAlignment="1">
      <alignment wrapText="1"/>
    </xf>
    <xf numFmtId="0" fontId="1" fillId="4" borderId="15" xfId="0" applyFont="1" applyFill="1" applyBorder="1" applyAlignment="1">
      <alignment horizontal="center"/>
    </xf>
    <xf numFmtId="0" fontId="0" fillId="0" borderId="12" xfId="0" applyBorder="1"/>
    <xf numFmtId="0" fontId="0" fillId="0" borderId="13" xfId="0" applyBorder="1"/>
    <xf numFmtId="0" fontId="1" fillId="2" borderId="7" xfId="0" applyFont="1" applyFill="1" applyBorder="1" applyAlignment="1">
      <alignment horizontal="center" vertical="center"/>
    </xf>
    <xf numFmtId="0" fontId="0" fillId="2" borderId="0" xfId="0" applyFill="1"/>
    <xf numFmtId="0" fontId="0" fillId="0" borderId="7" xfId="0" applyBorder="1"/>
    <xf numFmtId="0" fontId="3" fillId="3" borderId="14" xfId="0" applyFont="1" applyFill="1" applyBorder="1" applyAlignment="1">
      <alignment horizontal="center"/>
    </xf>
    <xf numFmtId="0" fontId="0" fillId="0" borderId="11" xfId="0" applyBorder="1"/>
    <xf numFmtId="0" fontId="0" fillId="0" borderId="10" xfId="0" applyBorder="1"/>
    <xf numFmtId="0" fontId="0" fillId="2" borderId="0" xfId="0" applyFill="1" applyAlignment="1">
      <alignment wrapText="1"/>
    </xf>
    <xf numFmtId="0" fontId="0" fillId="2" borderId="14" xfId="0" applyFill="1" applyBorder="1" applyAlignment="1">
      <alignment wrapText="1"/>
    </xf>
    <xf numFmtId="0" fontId="0" fillId="0" borderId="2" xfId="0" applyBorder="1"/>
    <xf numFmtId="0" fontId="0" fillId="0" borderId="3" xfId="0" applyBorder="1"/>
    <xf numFmtId="0" fontId="0" fillId="0" borderId="4" xfId="0" applyBorder="1"/>
    <xf numFmtId="0" fontId="0" fillId="0" borderId="5" xfId="0" applyBorder="1"/>
    <xf numFmtId="0" fontId="0" fillId="0" borderId="6" xfId="0" applyBorder="1"/>
    <xf numFmtId="0" fontId="0" fillId="0" borderId="8" xfId="0" applyBorder="1"/>
  </cellXfs>
  <cellStyles count="3">
    <cellStyle name="Hyperlink" xfId="1" builtinId="8"/>
    <cellStyle name="Normal" xfId="0" builtinId="0"/>
    <cellStyle name="Per cent" xfId="2" builtinId="5"/>
  </cellStyles>
  <dxfs count="36">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externalLink" Target="externalLinks/externalLink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Newuser/Desktop/Mentoring/getextraction.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cro1"/>
      <sheetName val="LIST US"/>
      <sheetName val="Mentees2"/>
      <sheetName val="Banks"/>
      <sheetName val="Database"/>
      <sheetName val="Datayahoo"/>
      <sheetName val="ATRmonthly"/>
      <sheetName val="Sheet1"/>
      <sheetName val="Accumulation"/>
      <sheetName val="Summary"/>
      <sheetName val="Note"/>
      <sheetName val="SalesPerRegionEurope"/>
      <sheetName val="Sales per region data"/>
      <sheetName val="SalesPerRegion"/>
      <sheetName val="Perfytd"/>
      <sheetName val="ATR"/>
      <sheetName val="Graphs"/>
      <sheetName val="EPS collection"/>
    </sheetNames>
    <sheetDataSet>
      <sheetData sheetId="0" refreshError="1"/>
      <sheetData sheetId="1" refreshError="1"/>
      <sheetData sheetId="2" refreshError="1"/>
      <sheetData sheetId="3" refreshError="1"/>
      <sheetData sheetId="4">
        <row r="4">
          <cell r="L4" t="str">
            <v>Bloomberg Code</v>
          </cell>
          <cell r="M4" t="str">
            <v>Ticker marke</v>
          </cell>
          <cell r="N4" t="str">
            <v>Reuters Code</v>
          </cell>
          <cell r="O4" t="str">
            <v>Name</v>
          </cell>
          <cell r="P4" t="str">
            <v>Exchange</v>
          </cell>
          <cell r="Q4" t="str">
            <v>Sector</v>
          </cell>
          <cell r="R4" t="str">
            <v>Industry</v>
          </cell>
          <cell r="S4" t="str">
            <v>Ticker Yahoo</v>
          </cell>
        </row>
        <row r="5">
          <cell r="L5" t="str">
            <v>CCE LN</v>
          </cell>
          <cell r="M5" t="str">
            <v>COCA-COLA-HBC-13101752/</v>
          </cell>
          <cell r="N5" t="str">
            <v>CCH.L</v>
          </cell>
          <cell r="O5" t="str">
            <v>Coca-Cola European Partners PLC</v>
          </cell>
          <cell r="P5" t="str">
            <v>#N/A Field Not Applicable</v>
          </cell>
          <cell r="Q5" t="str">
            <v>Industrials</v>
          </cell>
          <cell r="R5" t="str">
            <v>Electrical Equipment</v>
          </cell>
        </row>
        <row r="6">
          <cell r="L6" t="str">
            <v>IPCC</v>
          </cell>
          <cell r="M6" t="str">
            <v>INFINERA-CORP-52645/</v>
          </cell>
          <cell r="N6" t="str">
            <v>IPCC</v>
          </cell>
          <cell r="O6" t="str">
            <v>INFINITY PROPERT</v>
          </cell>
          <cell r="P6" t="str">
            <v>#N/A Field Not Applicable</v>
          </cell>
          <cell r="Q6" t="str">
            <v>Financials</v>
          </cell>
          <cell r="R6" t="str">
            <v>Insurance</v>
          </cell>
          <cell r="S6" t="str">
            <v>IPCC</v>
          </cell>
        </row>
        <row r="7">
          <cell r="L7" t="str">
            <v>KND</v>
          </cell>
          <cell r="M7" t="str">
            <v>KINDRED-BIOSCIENCES-INC-15200553/</v>
          </cell>
          <cell r="N7" t="str">
            <v>KND</v>
          </cell>
          <cell r="O7" t="str">
            <v>KINDRED HEALTHCA</v>
          </cell>
          <cell r="P7" t="str">
            <v>#N/A Field Not Applicable</v>
          </cell>
          <cell r="Q7" t="str">
            <v>Health Care</v>
          </cell>
          <cell r="R7" t="str">
            <v>Health Care Providers &amp; Servic</v>
          </cell>
          <cell r="S7" t="str">
            <v>KND</v>
          </cell>
        </row>
        <row r="8">
          <cell r="L8" t="str">
            <v>KDP</v>
          </cell>
          <cell r="M8" t="str">
            <v>KEURIG-DR-PEPPER-INC-44644712/</v>
          </cell>
          <cell r="N8" t="str">
            <v>KDP</v>
          </cell>
          <cell r="O8" t="str">
            <v>Keurig Dr Pepper Inc</v>
          </cell>
          <cell r="P8" t="str">
            <v>#N/A Field Not Applicable</v>
          </cell>
          <cell r="Q8" t="str">
            <v>Consumer Staples</v>
          </cell>
          <cell r="R8" t="str">
            <v>Beverages</v>
          </cell>
          <cell r="S8" t="str">
            <v>KDP</v>
          </cell>
        </row>
        <row r="9">
          <cell r="L9" t="str">
            <v>ATCOA SS</v>
          </cell>
          <cell r="M9" t="str">
            <v>ATLAS-COPCO-AB-43306890/</v>
          </cell>
          <cell r="O9" t="str">
            <v>ATLAS COPCO AB-A SHS</v>
          </cell>
          <cell r="P9" t="str">
            <v>AktieTorget</v>
          </cell>
          <cell r="Q9" t="str">
            <v>Industrials</v>
          </cell>
          <cell r="R9" t="str">
            <v>Machinery</v>
          </cell>
          <cell r="S9" t="str">
            <v>ATCO-A.ST</v>
          </cell>
        </row>
        <row r="10">
          <cell r="L10" t="str">
            <v>ERICB SS</v>
          </cell>
          <cell r="M10" t="str">
            <v>ERICSSON-6494918/</v>
          </cell>
          <cell r="N10" t="str">
            <v>LMEb.ST</v>
          </cell>
          <cell r="O10" t="str">
            <v>ERICSSON LM-B SHS</v>
          </cell>
          <cell r="P10" t="str">
            <v>AktieTorget</v>
          </cell>
          <cell r="Q10" t="str">
            <v>Information Technology</v>
          </cell>
          <cell r="R10" t="str">
            <v>Communications Equipment</v>
          </cell>
          <cell r="S10" t="str">
            <v>ERIC-B.ST</v>
          </cell>
        </row>
        <row r="11">
          <cell r="L11" t="str">
            <v>SWEDA SS</v>
          </cell>
          <cell r="M11" t="str">
            <v>SWEDBANK-6496651/</v>
          </cell>
          <cell r="N11" t="str">
            <v>SWEDa.ST</v>
          </cell>
          <cell r="O11" t="str">
            <v>SWEDBANK AB - A SHARES</v>
          </cell>
          <cell r="P11" t="str">
            <v>AktieTorget</v>
          </cell>
          <cell r="Q11" t="str">
            <v>Financials</v>
          </cell>
          <cell r="R11" t="str">
            <v>Banks</v>
          </cell>
          <cell r="S11" t="str">
            <v>SWED-A.ST</v>
          </cell>
        </row>
        <row r="12">
          <cell r="L12" t="str">
            <v>SEBA SS</v>
          </cell>
          <cell r="M12" t="str">
            <v>SKANDINAVISKA-ENSKILDA-BA-6491107/</v>
          </cell>
          <cell r="N12" t="str">
            <v>SEBa.ST</v>
          </cell>
          <cell r="O12" t="str">
            <v>SKANDINAVISKA ENSKILDA BAN-A</v>
          </cell>
          <cell r="P12" t="str">
            <v>AktieTorget</v>
          </cell>
          <cell r="Q12" t="str">
            <v>Financials</v>
          </cell>
          <cell r="R12" t="str">
            <v>Banks</v>
          </cell>
          <cell r="S12" t="str">
            <v>SEB-A.ST</v>
          </cell>
        </row>
        <row r="13">
          <cell r="L13" t="str">
            <v>HEXAB SS</v>
          </cell>
          <cell r="M13" t="str">
            <v>HEXAGON-6491358/</v>
          </cell>
          <cell r="N13" t="str">
            <v>HEXAb.ST</v>
          </cell>
          <cell r="O13" t="str">
            <v>HEXAGON AB-B SHS</v>
          </cell>
          <cell r="P13" t="str">
            <v>AktieTorget</v>
          </cell>
          <cell r="Q13" t="str">
            <v>Information Technology</v>
          </cell>
          <cell r="R13" t="str">
            <v>Electronic Equipment, Instrume</v>
          </cell>
          <cell r="S13" t="str">
            <v>HEXA-B.ST</v>
          </cell>
        </row>
        <row r="14">
          <cell r="L14" t="str">
            <v>HMB SS</v>
          </cell>
          <cell r="M14" t="str">
            <v>HENNES-MAURITZ-6491104/</v>
          </cell>
          <cell r="N14" t="str">
            <v>HMb.ST</v>
          </cell>
          <cell r="O14" t="str">
            <v>HENNES &amp; MAURITZ AB-B SHS</v>
          </cell>
          <cell r="P14" t="str">
            <v>AktieTorget</v>
          </cell>
          <cell r="Q14" t="str">
            <v>Consumer Discretionary</v>
          </cell>
          <cell r="R14" t="str">
            <v>Specialty Retail</v>
          </cell>
          <cell r="S14" t="str">
            <v>HM-B.ST</v>
          </cell>
        </row>
        <row r="15">
          <cell r="L15" t="str">
            <v>ASSAB SS</v>
          </cell>
          <cell r="M15" t="str">
            <v>ASSA-ABLOY-AB-22363198/</v>
          </cell>
          <cell r="O15" t="str">
            <v>ASSA ABLOY AB-B</v>
          </cell>
          <cell r="P15" t="str">
            <v>AktieTorget</v>
          </cell>
          <cell r="Q15" t="str">
            <v>Industrials</v>
          </cell>
          <cell r="R15" t="str">
            <v>Building Products</v>
          </cell>
          <cell r="S15" t="str">
            <v>ASSA-B.ST</v>
          </cell>
        </row>
        <row r="16">
          <cell r="L16" t="str">
            <v>INDUA SS</v>
          </cell>
          <cell r="M16" t="str">
            <v>INDUSTRIVARDEN-6491872/</v>
          </cell>
          <cell r="N16" t="str">
            <v>INDUa.ST</v>
          </cell>
          <cell r="O16" t="str">
            <v>INDUSTRIVARDEN AB-A SHS</v>
          </cell>
          <cell r="P16" t="str">
            <v>AktieTorget</v>
          </cell>
          <cell r="Q16" t="str">
            <v>Financials</v>
          </cell>
          <cell r="R16" t="str">
            <v>Diversified Financial Services</v>
          </cell>
        </row>
        <row r="17">
          <cell r="L17" t="str">
            <v>KINVB SS</v>
          </cell>
          <cell r="M17" t="str">
            <v>KINNEVIK-36805854/</v>
          </cell>
          <cell r="N17" t="str">
            <v>KINVB.ST</v>
          </cell>
          <cell r="O17" t="str">
            <v>KINNEVIK AB - B</v>
          </cell>
          <cell r="P17" t="str">
            <v>AktieTorget</v>
          </cell>
          <cell r="Q17" t="str">
            <v>Financials</v>
          </cell>
          <cell r="R17" t="str">
            <v>Diversified Financial Services</v>
          </cell>
          <cell r="S17" t="str">
            <v>KINV-B.ST</v>
          </cell>
        </row>
        <row r="18">
          <cell r="L18" t="str">
            <v>SBSP3 BZ</v>
          </cell>
          <cell r="M18" t="str">
            <v>COMPANHIA-DE-SANEAMENTO-B-6493035/</v>
          </cell>
          <cell r="N18" t="str">
            <v>SBSP3 BZ</v>
          </cell>
          <cell r="O18" t="str">
            <v>COMPANHIA DE SANEAMENTO BASICO DE ESTADO</v>
          </cell>
          <cell r="P18" t="str">
            <v>BMF Bovespa</v>
          </cell>
          <cell r="Q18" t="str">
            <v>Utilities</v>
          </cell>
          <cell r="R18" t="str">
            <v>Water Utilities</v>
          </cell>
          <cell r="S18" t="str">
            <v>SBSP3 SA</v>
          </cell>
        </row>
        <row r="19">
          <cell r="L19" t="str">
            <v>ENI IM</v>
          </cell>
          <cell r="M19" t="str">
            <v>ENI-413403/</v>
          </cell>
          <cell r="N19" t="str">
            <v>ENI.MI</v>
          </cell>
          <cell r="O19" t="str">
            <v>Eni SpA</v>
          </cell>
          <cell r="P19" t="str">
            <v>BrsaItaliana</v>
          </cell>
          <cell r="Q19" t="str">
            <v>Energy</v>
          </cell>
          <cell r="R19" t="str">
            <v>Oil, Gas &amp; Consumable Fuels</v>
          </cell>
          <cell r="S19" t="str">
            <v>ENI.MI</v>
          </cell>
        </row>
        <row r="20">
          <cell r="L20" t="str">
            <v>ENEL IM</v>
          </cell>
          <cell r="M20" t="str">
            <v>ENEL-70935/</v>
          </cell>
          <cell r="N20" t="str">
            <v>ENEL.MI</v>
          </cell>
          <cell r="O20" t="str">
            <v>Enel SpA</v>
          </cell>
          <cell r="P20" t="str">
            <v>BrsaItaliana</v>
          </cell>
          <cell r="Q20" t="str">
            <v>Utilities</v>
          </cell>
          <cell r="R20" t="str">
            <v>Electric Utilities</v>
          </cell>
          <cell r="S20" t="str">
            <v>ENEL.MI</v>
          </cell>
        </row>
        <row r="21">
          <cell r="L21" t="str">
            <v>ISP IM</v>
          </cell>
          <cell r="M21" t="str">
            <v>INTESA-SANPAOLO-68944/</v>
          </cell>
          <cell r="N21" t="str">
            <v>ISP.MI</v>
          </cell>
          <cell r="O21" t="str">
            <v>Intesa Sanpaolo SpA</v>
          </cell>
          <cell r="P21" t="str">
            <v>BrsaItaliana</v>
          </cell>
          <cell r="Q21" t="str">
            <v>Financials</v>
          </cell>
          <cell r="R21" t="str">
            <v>Banks</v>
          </cell>
          <cell r="S21" t="str">
            <v>ISP.MI</v>
          </cell>
        </row>
        <row r="22">
          <cell r="L22" t="str">
            <v>LUX IM</v>
          </cell>
          <cell r="M22" t="str">
            <v>LUXOTTICA-GROUP-90830/</v>
          </cell>
          <cell r="N22" t="str">
            <v>LUX.MI</v>
          </cell>
          <cell r="O22" t="str">
            <v>Luxottica Group SpA</v>
          </cell>
          <cell r="P22" t="str">
            <v>BrsaItaliana</v>
          </cell>
          <cell r="Q22" t="str">
            <v>Consumer Discretionary</v>
          </cell>
          <cell r="R22" t="str">
            <v>Textiles, Apparel &amp; Luxury Goo</v>
          </cell>
          <cell r="S22" t="str">
            <v>LUX .MI</v>
          </cell>
        </row>
        <row r="23">
          <cell r="L23" t="str">
            <v>UCG IM</v>
          </cell>
          <cell r="M23" t="str">
            <v>UNICREDIT-SPA-33364083/</v>
          </cell>
          <cell r="N23" t="str">
            <v>CRDI.MI</v>
          </cell>
          <cell r="O23" t="str">
            <v>UniCredit SpA</v>
          </cell>
          <cell r="P23" t="str">
            <v>BrsaItaliana</v>
          </cell>
          <cell r="Q23" t="str">
            <v>Financials</v>
          </cell>
          <cell r="R23" t="str">
            <v>Banks</v>
          </cell>
          <cell r="S23" t="str">
            <v>UCG.MI</v>
          </cell>
        </row>
        <row r="24">
          <cell r="L24" t="str">
            <v>G IM</v>
          </cell>
          <cell r="M24" t="str">
            <v>ASSICURAZIONI-GENERALI-68929/</v>
          </cell>
          <cell r="N24" t="str">
            <v>GASI.MI</v>
          </cell>
          <cell r="O24" t="str">
            <v>Assicurazioni Generali SpA</v>
          </cell>
          <cell r="P24" t="str">
            <v>BrsaItaliana</v>
          </cell>
          <cell r="Q24" t="str">
            <v>Financials</v>
          </cell>
          <cell r="R24" t="str">
            <v>Insurance</v>
          </cell>
          <cell r="S24" t="str">
            <v>G.MI</v>
          </cell>
        </row>
        <row r="25">
          <cell r="L25" t="str">
            <v>FCA IM</v>
          </cell>
          <cell r="M25" t="str">
            <v>FIAT-CHRYSLER-AUTOMOBILES-18191992/</v>
          </cell>
          <cell r="N25" t="str">
            <v>FCHA.MI</v>
          </cell>
          <cell r="O25" t="str">
            <v>FIAT CHRYSLER AUTOMOBILES NV</v>
          </cell>
          <cell r="P25" t="str">
            <v>BrsaItaliana</v>
          </cell>
          <cell r="Q25" t="str">
            <v>Consumer Discretionary</v>
          </cell>
          <cell r="R25" t="str">
            <v>Automobiles</v>
          </cell>
          <cell r="S25" t="str">
            <v>FCA.MI</v>
          </cell>
        </row>
        <row r="26">
          <cell r="L26" t="str">
            <v>RACE IM</v>
          </cell>
          <cell r="M26" t="str">
            <v>FERRARI-25531423/</v>
          </cell>
          <cell r="N26" t="str">
            <v>RACE.MI</v>
          </cell>
          <cell r="O26" t="str">
            <v>Containership Company AS</v>
          </cell>
          <cell r="P26" t="str">
            <v>BrsaItaliana</v>
          </cell>
          <cell r="Q26" t="str">
            <v>Consumer Discretionary</v>
          </cell>
          <cell r="R26" t="str">
            <v>Automobiles</v>
          </cell>
          <cell r="S26" t="str">
            <v>RACE.MI</v>
          </cell>
        </row>
        <row r="27">
          <cell r="L27" t="str">
            <v>TEN IM</v>
          </cell>
          <cell r="M27" t="str">
            <v>TENARIS-100167/</v>
          </cell>
          <cell r="N27" t="str">
            <v>TENR.MI</v>
          </cell>
          <cell r="O27" t="str">
            <v>TENARIS SA</v>
          </cell>
          <cell r="P27" t="str">
            <v>BrsaItaliana</v>
          </cell>
          <cell r="Q27" t="str">
            <v>Energy</v>
          </cell>
          <cell r="R27" t="str">
            <v>Energy Equipment &amp; Services</v>
          </cell>
          <cell r="S27" t="str">
            <v>TEN.MI</v>
          </cell>
        </row>
        <row r="28">
          <cell r="L28" t="str">
            <v>ATL IM</v>
          </cell>
          <cell r="M28" t="str">
            <v>ATLANTIA-104077/</v>
          </cell>
          <cell r="N28" t="str">
            <v>ATL.MI</v>
          </cell>
          <cell r="O28" t="str">
            <v>Atlantia SpA</v>
          </cell>
          <cell r="P28" t="str">
            <v>BrsaItaliana</v>
          </cell>
          <cell r="Q28" t="str">
            <v>Industrials</v>
          </cell>
          <cell r="R28" t="str">
            <v>Transportation Infrastructure</v>
          </cell>
          <cell r="S28" t="str">
            <v>ATL.MI</v>
          </cell>
        </row>
        <row r="29">
          <cell r="L29" t="str">
            <v>CNHI IM</v>
          </cell>
          <cell r="M29" t="str">
            <v>CNH-INDUSTRIAL-14413063/</v>
          </cell>
          <cell r="O29" t="str">
            <v>CNH INDUSTRIAL NV</v>
          </cell>
          <cell r="P29" t="str">
            <v>BrsaItaliana</v>
          </cell>
          <cell r="Q29" t="str">
            <v>Industrials</v>
          </cell>
          <cell r="R29" t="str">
            <v>Machinery</v>
          </cell>
          <cell r="S29" t="str">
            <v>CNHI.MI</v>
          </cell>
        </row>
        <row r="30">
          <cell r="L30" t="str">
            <v>SRG IM</v>
          </cell>
          <cell r="M30" t="str">
            <v>SNAM-95732/</v>
          </cell>
          <cell r="N30" t="str">
            <v>SRG.MI</v>
          </cell>
          <cell r="O30" t="str">
            <v>Snam SpA</v>
          </cell>
          <cell r="P30" t="str">
            <v>BrsaItaliana</v>
          </cell>
          <cell r="Q30" t="str">
            <v>Energy</v>
          </cell>
          <cell r="R30" t="str">
            <v>Oil, Gas &amp; Consumable Fuels</v>
          </cell>
          <cell r="S30" t="str">
            <v>SRG.MI</v>
          </cell>
        </row>
        <row r="31">
          <cell r="L31" t="str">
            <v>EXO IM</v>
          </cell>
          <cell r="M31" t="str">
            <v>EXOR-NV-32464938/</v>
          </cell>
          <cell r="N31" t="str">
            <v>EXO.MI</v>
          </cell>
          <cell r="O31" t="str">
            <v>EXOR NV</v>
          </cell>
          <cell r="P31" t="str">
            <v>BrsaItaliana</v>
          </cell>
          <cell r="Q31" t="str">
            <v>Financials</v>
          </cell>
          <cell r="R31" t="str">
            <v>Diversified Financial Services</v>
          </cell>
          <cell r="S31" t="str">
            <v>EXO.MI</v>
          </cell>
        </row>
        <row r="32">
          <cell r="L32" t="str">
            <v>TIT IM</v>
          </cell>
          <cell r="M32" t="str">
            <v>TELECOM-ITALIA-102978/</v>
          </cell>
          <cell r="O32" t="str">
            <v>Telecom Italia SpA</v>
          </cell>
          <cell r="P32" t="str">
            <v>BrsaItaliana</v>
          </cell>
          <cell r="Q32" t="str">
            <v>Telecommunication Services</v>
          </cell>
          <cell r="R32" t="str">
            <v>Diversified Telecommunication</v>
          </cell>
          <cell r="S32" t="str">
            <v>TIT.MI</v>
          </cell>
        </row>
        <row r="33">
          <cell r="L33" t="str">
            <v>MONC IM</v>
          </cell>
          <cell r="M33" t="str">
            <v>MONCLER-15098901/</v>
          </cell>
          <cell r="O33" t="str">
            <v>Moncler SpA</v>
          </cell>
          <cell r="P33" t="str">
            <v>BrsaItaliana</v>
          </cell>
          <cell r="Q33" t="str">
            <v>Consumer Discretionary</v>
          </cell>
          <cell r="R33" t="str">
            <v>Textiles, Apparel &amp; Luxury Goo</v>
          </cell>
          <cell r="S33" t="str">
            <v>MONC.MI</v>
          </cell>
        </row>
        <row r="34">
          <cell r="L34" t="str">
            <v>TRN IM</v>
          </cell>
          <cell r="M34" t="str">
            <v>TERNA-135034/</v>
          </cell>
          <cell r="N34" t="str">
            <v>TRN.MI</v>
          </cell>
          <cell r="O34" t="str">
            <v>Terna Rete Elettrica Nazionale SpA</v>
          </cell>
          <cell r="P34" t="str">
            <v>BrsaItaliana</v>
          </cell>
          <cell r="Q34" t="str">
            <v>Utilities</v>
          </cell>
          <cell r="R34" t="str">
            <v>Electric Utilities</v>
          </cell>
          <cell r="S34" t="str">
            <v>TRN.MI</v>
          </cell>
        </row>
        <row r="35">
          <cell r="L35" t="str">
            <v>PST IM</v>
          </cell>
          <cell r="M35" t="str">
            <v>POSTE-ITALIANE-24446274/</v>
          </cell>
          <cell r="N35" t="str">
            <v>PST.MI</v>
          </cell>
          <cell r="O35" t="str">
            <v>Poste Italiane SpA</v>
          </cell>
          <cell r="P35" t="str">
            <v>BrsaItaliana</v>
          </cell>
          <cell r="Q35" t="str">
            <v>Financials</v>
          </cell>
          <cell r="R35" t="str">
            <v>Insurance</v>
          </cell>
          <cell r="S35" t="str">
            <v>PST.MI</v>
          </cell>
        </row>
        <row r="36">
          <cell r="L36" t="str">
            <v>CPR IM</v>
          </cell>
          <cell r="M36" t="str">
            <v>DAVIDE-CAMPARI-MILANO-SPA-34806796/</v>
          </cell>
          <cell r="O36" t="str">
            <v>Davide Campari Milano SpA</v>
          </cell>
          <cell r="P36" t="str">
            <v>BrsaItaliana</v>
          </cell>
          <cell r="Q36" t="str">
            <v>Consumer Staples</v>
          </cell>
          <cell r="R36" t="str">
            <v>Beverages</v>
          </cell>
          <cell r="S36" t="str">
            <v>CPR .MI</v>
          </cell>
        </row>
        <row r="37">
          <cell r="L37" t="str">
            <v>MB IM</v>
          </cell>
          <cell r="M37" t="str">
            <v>MEDIOBANCA-69007/</v>
          </cell>
          <cell r="N37" t="str">
            <v>MDBI.MI</v>
          </cell>
          <cell r="O37" t="str">
            <v>Mediobanca Banca di Credito Finanziario SpA</v>
          </cell>
          <cell r="P37" t="str">
            <v>BrsaItaliana</v>
          </cell>
          <cell r="Q37" t="str">
            <v>Financials</v>
          </cell>
          <cell r="R37" t="str">
            <v>Banks</v>
          </cell>
          <cell r="S37" t="str">
            <v>MB.MI</v>
          </cell>
        </row>
        <row r="38">
          <cell r="L38" t="str">
            <v>PIRC IM</v>
          </cell>
          <cell r="M38" t="str">
            <v>PIRELLI-CO-37980122/</v>
          </cell>
          <cell r="N38" t="str">
            <v>PIRC.MI</v>
          </cell>
          <cell r="O38" t="str">
            <v>Pirelli &amp; C SpA</v>
          </cell>
          <cell r="P38" t="str">
            <v>BrsaItaliana</v>
          </cell>
          <cell r="Q38" t="str">
            <v>Consumer Discretionary</v>
          </cell>
          <cell r="R38" t="str">
            <v>Auto Components</v>
          </cell>
          <cell r="S38" t="str">
            <v>PIRC.MI</v>
          </cell>
        </row>
        <row r="39">
          <cell r="L39" t="str">
            <v>REC IM</v>
          </cell>
          <cell r="M39" t="str">
            <v>RECORDATI-159075/</v>
          </cell>
          <cell r="N39" t="str">
            <v>RECI.MI</v>
          </cell>
          <cell r="O39" t="str">
            <v>Recordati Industria Chimica e Farmaceutica SpA</v>
          </cell>
          <cell r="P39" t="str">
            <v>BrsaItaliana</v>
          </cell>
          <cell r="Q39" t="str">
            <v>Health Care</v>
          </cell>
          <cell r="R39" t="str">
            <v>Pharmaceuticals</v>
          </cell>
          <cell r="S39" t="str">
            <v>REC.MI</v>
          </cell>
        </row>
        <row r="40">
          <cell r="L40" t="str">
            <v>FBK IM</v>
          </cell>
          <cell r="M40" t="str">
            <v>FINECOBANK-16738485/</v>
          </cell>
          <cell r="O40" t="str">
            <v>FinecoBank Banca Fineco SpA</v>
          </cell>
          <cell r="P40" t="str">
            <v>BrsaItaliana</v>
          </cell>
          <cell r="Q40" t="str">
            <v>Financials</v>
          </cell>
          <cell r="R40" t="str">
            <v>Banks</v>
          </cell>
          <cell r="S40" t="str">
            <v>FBK.MI</v>
          </cell>
        </row>
        <row r="41">
          <cell r="L41" t="str">
            <v>PRY IM</v>
          </cell>
          <cell r="M41" t="str">
            <v>PRYSMIAN-252187/</v>
          </cell>
          <cell r="N41" t="str">
            <v>PRY.MI</v>
          </cell>
          <cell r="O41" t="str">
            <v>Prysmian SpA</v>
          </cell>
          <cell r="P41" t="str">
            <v>BrsaItaliana</v>
          </cell>
          <cell r="Q41" t="str">
            <v>Industrials</v>
          </cell>
          <cell r="R41" t="str">
            <v>Electrical Equipment</v>
          </cell>
          <cell r="S41" t="str">
            <v>PRY.MI</v>
          </cell>
        </row>
        <row r="42">
          <cell r="L42" t="str">
            <v>LDO IM</v>
          </cell>
          <cell r="M42" t="str">
            <v>LEONARDO-162001/</v>
          </cell>
          <cell r="N42" t="str">
            <v>LDO.MI</v>
          </cell>
          <cell r="O42" t="str">
            <v>Leonardo SpA</v>
          </cell>
          <cell r="P42" t="str">
            <v>BrsaItaliana</v>
          </cell>
          <cell r="Q42" t="str">
            <v>Industrials</v>
          </cell>
          <cell r="R42" t="str">
            <v>Aerospace &amp; Defense</v>
          </cell>
          <cell r="S42" t="str">
            <v>LDO.MI</v>
          </cell>
        </row>
        <row r="43">
          <cell r="L43" t="str">
            <v>A2A IM</v>
          </cell>
          <cell r="M43" t="str">
            <v>A2A-70284/</v>
          </cell>
          <cell r="N43" t="str">
            <v>A2.MI</v>
          </cell>
          <cell r="O43" t="str">
            <v>A2A SpA</v>
          </cell>
          <cell r="P43" t="str">
            <v>BrsaItaliana</v>
          </cell>
          <cell r="Q43" t="str">
            <v>Utilities</v>
          </cell>
          <cell r="R43" t="str">
            <v>Multi-Utilities</v>
          </cell>
          <cell r="S43" t="str">
            <v>A2A.MI</v>
          </cell>
        </row>
        <row r="44">
          <cell r="L44" t="str">
            <v>IG IM</v>
          </cell>
          <cell r="M44" t="str">
            <v>ITALGAS-31816202/</v>
          </cell>
          <cell r="N44" t="str">
            <v>IG.MI</v>
          </cell>
          <cell r="O44" t="str">
            <v>Italgas SpA</v>
          </cell>
          <cell r="P44" t="str">
            <v>BrsaItaliana</v>
          </cell>
          <cell r="Q44" t="str">
            <v>Utilities</v>
          </cell>
          <cell r="R44" t="str">
            <v>Gas Utilities</v>
          </cell>
          <cell r="S44" t="str">
            <v>IG.MI</v>
          </cell>
        </row>
        <row r="45">
          <cell r="L45" t="str">
            <v>UBI IM</v>
          </cell>
          <cell r="M45" t="str">
            <v>UBI-BANCA-102547/</v>
          </cell>
          <cell r="N45" t="str">
            <v>UBI.MI</v>
          </cell>
          <cell r="O45" t="str">
            <v>Unione di Banche Italiane SpA</v>
          </cell>
          <cell r="P45" t="str">
            <v>BrsaItaliana</v>
          </cell>
          <cell r="Q45" t="str">
            <v>Financials</v>
          </cell>
          <cell r="R45" t="str">
            <v>Banks</v>
          </cell>
          <cell r="S45" t="str">
            <v>UBI.MI</v>
          </cell>
        </row>
        <row r="46">
          <cell r="L46" t="str">
            <v>BAMI IM</v>
          </cell>
          <cell r="M46" t="str">
            <v>BANCO-BPM-32657182/</v>
          </cell>
          <cell r="N46" t="str">
            <v>BAMI.MI</v>
          </cell>
          <cell r="O46" t="str">
            <v>Banco Bpm SpA</v>
          </cell>
          <cell r="P46" t="str">
            <v>BrsaItaliana</v>
          </cell>
          <cell r="Q46" t="str">
            <v>Financials</v>
          </cell>
          <cell r="R46" t="str">
            <v>Banks</v>
          </cell>
          <cell r="S46" t="str">
            <v>BAMI .MI</v>
          </cell>
        </row>
        <row r="47">
          <cell r="L47" t="str">
            <v>MAERSKB DC</v>
          </cell>
          <cell r="M47" t="str">
            <v>AP-MOLLER-MAERSK-1412885/</v>
          </cell>
          <cell r="N47" t="str">
            <v>MAERSKb.CO</v>
          </cell>
          <cell r="O47" t="str">
            <v>AP MOLLER-MAERSK A/S-B</v>
          </cell>
          <cell r="P47" t="str">
            <v>Copenhagen</v>
          </cell>
          <cell r="Q47" t="str">
            <v>Industrials</v>
          </cell>
          <cell r="R47" t="str">
            <v>Marine</v>
          </cell>
          <cell r="S47" t="str">
            <v>MAERSK-B.CO</v>
          </cell>
        </row>
        <row r="48">
          <cell r="L48" t="str">
            <v>DANSKE DC</v>
          </cell>
          <cell r="M48" t="str">
            <v>DANSKE-BANK-1412871/</v>
          </cell>
          <cell r="N48" t="str">
            <v>DB.CO</v>
          </cell>
          <cell r="O48" t="str">
            <v>Danske Bank A/S</v>
          </cell>
          <cell r="P48" t="str">
            <v>Copenhagen</v>
          </cell>
          <cell r="Q48" t="str">
            <v>Financials</v>
          </cell>
          <cell r="R48" t="str">
            <v>Banks</v>
          </cell>
          <cell r="S48" t="str">
            <v>DANSKE.CO</v>
          </cell>
        </row>
        <row r="49">
          <cell r="L49" t="str">
            <v>CARLB DC</v>
          </cell>
          <cell r="M49" t="str">
            <v>CARLSBERG-1412856/</v>
          </cell>
          <cell r="O49" t="str">
            <v>CARLSBERG AS-B</v>
          </cell>
          <cell r="P49" t="str">
            <v>Copenhagen</v>
          </cell>
          <cell r="Q49" t="str">
            <v>Consumer Staples</v>
          </cell>
          <cell r="R49" t="str">
            <v>Beverages</v>
          </cell>
          <cell r="S49" t="str">
            <v>CARL-B.CO</v>
          </cell>
        </row>
        <row r="50">
          <cell r="L50" t="str">
            <v>DSV DC</v>
          </cell>
          <cell r="M50" t="str">
            <v>DSV-1412886/</v>
          </cell>
          <cell r="N50" t="str">
            <v>DSV.CO</v>
          </cell>
          <cell r="O50" t="str">
            <v>DSV A/S</v>
          </cell>
          <cell r="P50" t="str">
            <v>Copenhagen</v>
          </cell>
          <cell r="Q50" t="str">
            <v>Industrials</v>
          </cell>
          <cell r="R50" t="str">
            <v>Road &amp; Rail</v>
          </cell>
          <cell r="S50" t="str">
            <v>DSV.CO</v>
          </cell>
        </row>
        <row r="51">
          <cell r="L51" t="str">
            <v>VWS DC</v>
          </cell>
          <cell r="M51" t="str">
            <v>VESTAS-WIND-SYSTEMS-1413059/</v>
          </cell>
          <cell r="N51" t="str">
            <v>VWS.CO</v>
          </cell>
          <cell r="O51" t="str">
            <v>Vestas Wind Systems A/S</v>
          </cell>
          <cell r="P51" t="str">
            <v>Copenhagen</v>
          </cell>
          <cell r="Q51" t="str">
            <v>Industrials</v>
          </cell>
          <cell r="R51" t="str">
            <v>Electrical Equipment</v>
          </cell>
          <cell r="S51" t="str">
            <v>VWS.CO</v>
          </cell>
        </row>
        <row r="52">
          <cell r="L52" t="str">
            <v>NZYMB DC</v>
          </cell>
          <cell r="M52" t="str">
            <v>NOVOZYMES-A-S-1412985/</v>
          </cell>
          <cell r="O52" t="str">
            <v>NOVOZYMES A/S-B SHARES</v>
          </cell>
          <cell r="P52" t="str">
            <v>Copenhagen</v>
          </cell>
          <cell r="Q52" t="str">
            <v>Materials</v>
          </cell>
          <cell r="R52" t="str">
            <v>Chemicals</v>
          </cell>
          <cell r="S52" t="str">
            <v>NZYMB.CO</v>
          </cell>
        </row>
        <row r="53">
          <cell r="L53" t="str">
            <v>LUN DC</v>
          </cell>
          <cell r="M53" t="str">
            <v>H-LUNDBECK-1412962/</v>
          </cell>
          <cell r="N53" t="str">
            <v>LUN.CO</v>
          </cell>
          <cell r="O53" t="str">
            <v>H LUNDBECK A/S</v>
          </cell>
          <cell r="P53" t="str">
            <v>Copenhagen</v>
          </cell>
          <cell r="Q53" t="str">
            <v>Health Care</v>
          </cell>
          <cell r="R53" t="str">
            <v>Pharmaceuticals</v>
          </cell>
          <cell r="S53" t="str">
            <v>LUN.CO</v>
          </cell>
        </row>
        <row r="54">
          <cell r="L54" t="str">
            <v>GEN DC</v>
          </cell>
          <cell r="M54" t="str">
            <v>GENMAB-1412914/</v>
          </cell>
          <cell r="N54" t="str">
            <v>GEN.CO</v>
          </cell>
          <cell r="O54" t="str">
            <v>Genmab A/S</v>
          </cell>
          <cell r="P54" t="str">
            <v>Copenhagen</v>
          </cell>
          <cell r="Q54" t="str">
            <v>Health Care</v>
          </cell>
          <cell r="R54" t="str">
            <v>Biotechnology</v>
          </cell>
          <cell r="S54" t="str">
            <v>GEN.CO</v>
          </cell>
        </row>
        <row r="55">
          <cell r="L55" t="str">
            <v>WDH DC</v>
          </cell>
          <cell r="M55" t="str">
            <v>WILLIAM-DEMANT-HOLDING-56225597/</v>
          </cell>
          <cell r="O55" t="str">
            <v>WILLIAM DEMANT HOLDING</v>
          </cell>
          <cell r="P55" t="str">
            <v>Copenhagen</v>
          </cell>
          <cell r="Q55" t="str">
            <v>Health Care</v>
          </cell>
          <cell r="R55" t="str">
            <v>Health Care Equipment &amp; Suppli</v>
          </cell>
          <cell r="S55" t="str">
            <v>WDH.CO</v>
          </cell>
        </row>
        <row r="56">
          <cell r="L56" t="str">
            <v>PNDORA DC</v>
          </cell>
          <cell r="M56" t="str">
            <v>PANDORA-6705882/</v>
          </cell>
          <cell r="O56" t="str">
            <v>Pandora A/S</v>
          </cell>
          <cell r="P56" t="str">
            <v>Copenhagen</v>
          </cell>
          <cell r="Q56" t="str">
            <v>Consumer Discretionary</v>
          </cell>
          <cell r="R56" t="str">
            <v>Textiles, Apparel &amp; Luxury Goo</v>
          </cell>
          <cell r="S56" t="str">
            <v>PNDORA.CO</v>
          </cell>
        </row>
        <row r="57">
          <cell r="L57" t="str">
            <v>ISS DC</v>
          </cell>
          <cell r="M57" t="str">
            <v>ISS-16012058/</v>
          </cell>
          <cell r="N57" t="str">
            <v>ISS.CO</v>
          </cell>
          <cell r="O57" t="str">
            <v>Iss A/S</v>
          </cell>
          <cell r="P57" t="str">
            <v>Copenhagen</v>
          </cell>
          <cell r="Q57" t="str">
            <v>Industrials</v>
          </cell>
          <cell r="R57" t="str">
            <v>Commercial Services &amp; Supplies</v>
          </cell>
          <cell r="S57" t="str">
            <v>ISS.CO</v>
          </cell>
        </row>
        <row r="58">
          <cell r="L58" t="str">
            <v>JYSK DC</v>
          </cell>
          <cell r="M58" t="str">
            <v>JYSKE-BANK-1412946/</v>
          </cell>
          <cell r="N58" t="str">
            <v>JYSK.CO</v>
          </cell>
          <cell r="O58" t="str">
            <v>Jyske Bank A/S</v>
          </cell>
          <cell r="P58" t="str">
            <v>Copenhagen</v>
          </cell>
          <cell r="Q58" t="str">
            <v>Financials</v>
          </cell>
          <cell r="R58" t="str">
            <v>Banks</v>
          </cell>
          <cell r="S58" t="str">
            <v>JYSK.CO</v>
          </cell>
        </row>
        <row r="59">
          <cell r="L59" t="str">
            <v>FLS DC</v>
          </cell>
          <cell r="M59" t="str">
            <v>FLSMIDTH-CO-1412901/</v>
          </cell>
          <cell r="N59" t="str">
            <v>FLS.CO</v>
          </cell>
          <cell r="O59" t="str">
            <v>Flsmidth &amp; Co A/S</v>
          </cell>
          <cell r="P59" t="str">
            <v>Copenhagen</v>
          </cell>
          <cell r="Q59" t="str">
            <v>Industrials</v>
          </cell>
          <cell r="R59" t="str">
            <v>Construction &amp; Engineering</v>
          </cell>
          <cell r="S59" t="str">
            <v>FLS.CO</v>
          </cell>
        </row>
        <row r="60">
          <cell r="L60" t="str">
            <v>CRH ID</v>
          </cell>
          <cell r="M60" t="str">
            <v>CRH-PLC-1412364/</v>
          </cell>
          <cell r="N60" t="str">
            <v>CRH.I</v>
          </cell>
          <cell r="O60" t="str">
            <v>CRH PLC</v>
          </cell>
          <cell r="P60" t="str">
            <v>Dublin</v>
          </cell>
          <cell r="Q60" t="str">
            <v>Bldg Prod-Cement/Aggreg</v>
          </cell>
          <cell r="R60" t="str">
            <v>Construction Materials</v>
          </cell>
        </row>
        <row r="61">
          <cell r="L61" t="str">
            <v>KYG ID</v>
          </cell>
          <cell r="M61" t="str">
            <v>KERRY-GROUP-PLC-1412391/</v>
          </cell>
          <cell r="N61" t="str">
            <v>KYGa.I</v>
          </cell>
          <cell r="O61" t="str">
            <v>KERRY GROUP PLC-A</v>
          </cell>
          <cell r="P61" t="str">
            <v>Dublin</v>
          </cell>
          <cell r="Q61" t="str">
            <v>Consumer Staples</v>
          </cell>
          <cell r="R61" t="str">
            <v>Food Products</v>
          </cell>
        </row>
        <row r="62">
          <cell r="L62" t="str">
            <v>RYA ID</v>
          </cell>
          <cell r="M62" t="str">
            <v>RYANAIR-HOLDINGS-PLC-1412410/</v>
          </cell>
          <cell r="O62" t="str">
            <v>RYANAIR HOLDINGS PLC</v>
          </cell>
          <cell r="P62" t="str">
            <v>Dublin</v>
          </cell>
          <cell r="Q62" t="str">
            <v>Industrials</v>
          </cell>
          <cell r="R62" t="str">
            <v>Airlines</v>
          </cell>
        </row>
        <row r="63">
          <cell r="L63" t="str">
            <v>SKG ID</v>
          </cell>
          <cell r="M63" t="str">
            <v>SMURFIT-KAPPA-GROUP-PLC-1412413/</v>
          </cell>
          <cell r="N63" t="str">
            <v>SKG.I</v>
          </cell>
          <cell r="O63" t="str">
            <v>SMURFIT KAPPA GROUP PLC</v>
          </cell>
          <cell r="P63" t="str">
            <v>Dublin</v>
          </cell>
          <cell r="Q63" t="str">
            <v>Materials</v>
          </cell>
          <cell r="R63" t="str">
            <v>Containers &amp; Packaging</v>
          </cell>
        </row>
        <row r="64">
          <cell r="L64" t="str">
            <v>UNA NA</v>
          </cell>
          <cell r="M64" t="str">
            <v>UNILEVER-61006158/</v>
          </cell>
          <cell r="N64" t="str">
            <v>UNc.AS</v>
          </cell>
          <cell r="O64" t="str">
            <v>Unilever NV</v>
          </cell>
          <cell r="P64" t="str">
            <v>EN Amsterdam</v>
          </cell>
          <cell r="Q64" t="str">
            <v>Consumer Staples</v>
          </cell>
          <cell r="R64" t="str">
            <v>Personal Products</v>
          </cell>
          <cell r="S64" t="str">
            <v>UNA.AS</v>
          </cell>
        </row>
        <row r="65">
          <cell r="L65" t="str">
            <v>ASML NA</v>
          </cell>
          <cell r="M65" t="str">
            <v>ASML-HOLDING-12002973/</v>
          </cell>
          <cell r="N65" t="str">
            <v>ASML.AS</v>
          </cell>
          <cell r="O65" t="str">
            <v>ASML Holding NV</v>
          </cell>
          <cell r="P65" t="str">
            <v>EN Amsterdam</v>
          </cell>
          <cell r="Q65" t="str">
            <v>Information Technology</v>
          </cell>
          <cell r="R65" t="str">
            <v>Semiconductors &amp; Semiconductor</v>
          </cell>
          <cell r="S65" t="str">
            <v>ASML.AS</v>
          </cell>
        </row>
        <row r="66">
          <cell r="L66" t="str">
            <v>HEIA NA</v>
          </cell>
          <cell r="M66" t="str">
            <v>HEINEKEN-6283/</v>
          </cell>
          <cell r="N66" t="str">
            <v>HEIN.AS</v>
          </cell>
          <cell r="O66" t="str">
            <v>Heineken NV</v>
          </cell>
          <cell r="P66" t="str">
            <v>EN Amsterdam</v>
          </cell>
          <cell r="Q66" t="str">
            <v>Consumer Staples</v>
          </cell>
          <cell r="R66" t="str">
            <v>Beverages</v>
          </cell>
          <cell r="S66" t="str">
            <v>HEIA.AS</v>
          </cell>
        </row>
        <row r="67">
          <cell r="L67" t="str">
            <v>RDSA NA</v>
          </cell>
          <cell r="M67" t="str">
            <v>ROYAL-DUTCH-SHELL-6273/</v>
          </cell>
          <cell r="O67" t="str">
            <v>Royal Dutch Shell PLC</v>
          </cell>
          <cell r="P67" t="str">
            <v>EN Amsterdam</v>
          </cell>
          <cell r="Q67" t="str">
            <v>Energy</v>
          </cell>
          <cell r="R67" t="str">
            <v>Oil, Gas &amp; Consumable Fuels</v>
          </cell>
          <cell r="S67" t="str">
            <v>RDSA.AS</v>
          </cell>
        </row>
        <row r="68">
          <cell r="L68" t="str">
            <v>INGA NA</v>
          </cell>
          <cell r="M68" t="str">
            <v>ING-GROEP-56358303/</v>
          </cell>
          <cell r="N68" t="str">
            <v>INGA.AS</v>
          </cell>
          <cell r="O68" t="str">
            <v>ING Groep NV</v>
          </cell>
          <cell r="P68" t="str">
            <v>EN Amsterdam</v>
          </cell>
          <cell r="Q68" t="str">
            <v>Financials</v>
          </cell>
          <cell r="R68" t="str">
            <v>Banks</v>
          </cell>
          <cell r="S68" t="str">
            <v>INGA.AS</v>
          </cell>
        </row>
        <row r="69">
          <cell r="L69" t="str">
            <v>REN NA</v>
          </cell>
          <cell r="M69" t="str">
            <v>RELX-N-V-793474/</v>
          </cell>
          <cell r="N69" t="str">
            <v>REN.AS</v>
          </cell>
          <cell r="O69" t="str">
            <v>RELX</v>
          </cell>
          <cell r="P69" t="str">
            <v>EN Amsterdam</v>
          </cell>
          <cell r="Q69" t="str">
            <v>Industrials</v>
          </cell>
          <cell r="R69" t="str">
            <v>Professional Services</v>
          </cell>
          <cell r="S69" t="str">
            <v>REN.AS</v>
          </cell>
        </row>
        <row r="70">
          <cell r="L70" t="str">
            <v>PHIA NA</v>
          </cell>
          <cell r="M70" t="str">
            <v>ROYAL-PHILIPS-6289/</v>
          </cell>
          <cell r="N70" t="str">
            <v>PHG.AS</v>
          </cell>
          <cell r="O70" t="str">
            <v>Koninklijke Philips NV</v>
          </cell>
          <cell r="P70" t="str">
            <v>EN Amsterdam</v>
          </cell>
          <cell r="Q70" t="str">
            <v>Health Care</v>
          </cell>
          <cell r="R70" t="str">
            <v>Health Care Equipment &amp; Suppli</v>
          </cell>
          <cell r="S70" t="str">
            <v>PHIA.AS</v>
          </cell>
        </row>
        <row r="71">
          <cell r="L71" t="str">
            <v>MT NA</v>
          </cell>
          <cell r="M71" t="str">
            <v>ARCELORMITTAL-34942237/</v>
          </cell>
          <cell r="N71" t="str">
            <v>CELR.PA</v>
          </cell>
          <cell r="O71" t="str">
            <v>ArcelorMittal SA</v>
          </cell>
          <cell r="P71" t="str">
            <v>EN Amsterdam</v>
          </cell>
          <cell r="Q71" t="str">
            <v>Materials</v>
          </cell>
          <cell r="R71" t="str">
            <v>Metals &amp; Mining</v>
          </cell>
          <cell r="S71" t="str">
            <v>MT.AS</v>
          </cell>
        </row>
        <row r="72">
          <cell r="L72" t="str">
            <v>AD NA</v>
          </cell>
          <cell r="M72" t="str">
            <v>AHOLD-DELHAIZE-29752127/</v>
          </cell>
          <cell r="N72" t="str">
            <v>AD.AS</v>
          </cell>
          <cell r="O72" t="str">
            <v>Koninklijke Ahold Delhaize NV</v>
          </cell>
          <cell r="P72" t="str">
            <v>EN Amsterdam</v>
          </cell>
          <cell r="Q72" t="str">
            <v>Consumer Staples</v>
          </cell>
          <cell r="R72" t="str">
            <v>Food &amp; Staples Retailing</v>
          </cell>
          <cell r="S72" t="str">
            <v>AD.AS</v>
          </cell>
        </row>
        <row r="73">
          <cell r="L73" t="str">
            <v>URW NA</v>
          </cell>
          <cell r="M73" t="str">
            <v>UNIBAIL-RODAMCO-WESTFIELD-43851519/</v>
          </cell>
          <cell r="N73" t="str">
            <v>URW.PA</v>
          </cell>
          <cell r="O73" t="str">
            <v>WFD Unibail Rodamco NV</v>
          </cell>
          <cell r="P73" t="str">
            <v>EN Amsterdam</v>
          </cell>
          <cell r="Q73" t="str">
            <v>Real Estate</v>
          </cell>
          <cell r="R73" t="str">
            <v>Equity Real Estate Investment</v>
          </cell>
          <cell r="S73" t="str">
            <v>URW.AS</v>
          </cell>
        </row>
        <row r="74">
          <cell r="L74" t="str">
            <v>HEIO NA</v>
          </cell>
          <cell r="M74" t="str">
            <v>HEINEKEN-HOLDING-6407/</v>
          </cell>
          <cell r="N74" t="str">
            <v>HEIO.AS</v>
          </cell>
          <cell r="O74" t="str">
            <v>Heineken Holding NV</v>
          </cell>
          <cell r="P74" t="str">
            <v>EN Amsterdam</v>
          </cell>
          <cell r="Q74" t="str">
            <v>Consumer Staples</v>
          </cell>
          <cell r="R74" t="str">
            <v>Beverages</v>
          </cell>
          <cell r="S74" t="str">
            <v>HEIO.AS</v>
          </cell>
        </row>
        <row r="75">
          <cell r="L75" t="str">
            <v>AKZA NA</v>
          </cell>
          <cell r="M75" t="str">
            <v>AKZO-NOBEL-52889987/</v>
          </cell>
          <cell r="O75" t="str">
            <v>Akzo Nobel NV</v>
          </cell>
          <cell r="P75" t="str">
            <v>EN Amsterdam</v>
          </cell>
          <cell r="Q75" t="str">
            <v>Materials</v>
          </cell>
          <cell r="R75" t="str">
            <v>Chemicals</v>
          </cell>
          <cell r="S75" t="str">
            <v>AKZA.AS</v>
          </cell>
        </row>
        <row r="76">
          <cell r="L76" t="str">
            <v>DSM NA</v>
          </cell>
          <cell r="M76" t="str">
            <v>ROYAL-DSM-6279/</v>
          </cell>
          <cell r="N76" t="str">
            <v>DSMN.AS</v>
          </cell>
          <cell r="O76" t="str">
            <v>Koninklijke DSM NV</v>
          </cell>
          <cell r="P76" t="str">
            <v>EN Amsterdam</v>
          </cell>
          <cell r="Q76" t="str">
            <v>Materials</v>
          </cell>
          <cell r="R76" t="str">
            <v>Chemicals</v>
          </cell>
          <cell r="S76" t="str">
            <v>DSM.AS</v>
          </cell>
        </row>
        <row r="77">
          <cell r="L77" t="str">
            <v>WKL NA</v>
          </cell>
          <cell r="M77" t="str">
            <v>WOLTERS-KLUWER-6291/</v>
          </cell>
          <cell r="N77" t="str">
            <v>WLSNc.AS</v>
          </cell>
          <cell r="O77" t="str">
            <v>Wolters Kluwer NV</v>
          </cell>
          <cell r="P77" t="str">
            <v>EN Amsterdam</v>
          </cell>
          <cell r="Q77" t="str">
            <v>Industrials</v>
          </cell>
          <cell r="R77" t="str">
            <v>Professional Services</v>
          </cell>
          <cell r="S77" t="str">
            <v>WKL.AS</v>
          </cell>
        </row>
        <row r="78">
          <cell r="L78" t="str">
            <v>NN NA</v>
          </cell>
          <cell r="M78" t="str">
            <v>NN-GROUP-16805129/</v>
          </cell>
          <cell r="N78" t="str">
            <v>NN.AS</v>
          </cell>
          <cell r="O78" t="str">
            <v>NN Group NV</v>
          </cell>
          <cell r="P78" t="str">
            <v>EN Amsterdam</v>
          </cell>
          <cell r="Q78" t="str">
            <v>Financials</v>
          </cell>
          <cell r="R78" t="str">
            <v>Insurance</v>
          </cell>
          <cell r="S78" t="str">
            <v>NN.AS</v>
          </cell>
        </row>
        <row r="79">
          <cell r="L79" t="str">
            <v>ABN NA</v>
          </cell>
          <cell r="M79" t="str">
            <v>ABN-AMRO-GROUP-24962165/</v>
          </cell>
          <cell r="N79" t="str">
            <v>ABN.AS</v>
          </cell>
          <cell r="O79" t="str">
            <v>ABN AMRO Group NV</v>
          </cell>
          <cell r="P79" t="str">
            <v>EN Amsterdam</v>
          </cell>
          <cell r="Q79" t="str">
            <v>Financials</v>
          </cell>
          <cell r="R79" t="str">
            <v>Banks</v>
          </cell>
          <cell r="S79" t="str">
            <v>ABN.AS</v>
          </cell>
        </row>
        <row r="80">
          <cell r="L80" t="str">
            <v>AGN NA</v>
          </cell>
          <cell r="M80" t="str">
            <v>AEGON-6275/</v>
          </cell>
          <cell r="N80" t="str">
            <v>AEGN.AS</v>
          </cell>
          <cell r="O80" t="str">
            <v>Aegon NV</v>
          </cell>
          <cell r="P80" t="str">
            <v>EN Amsterdam</v>
          </cell>
          <cell r="Q80" t="str">
            <v>Financials</v>
          </cell>
          <cell r="R80" t="str">
            <v>Insurance</v>
          </cell>
          <cell r="S80" t="str">
            <v>AGN.AS</v>
          </cell>
        </row>
        <row r="81">
          <cell r="L81" t="str">
            <v>RAND NA</v>
          </cell>
          <cell r="M81" t="str">
            <v>RANDSTAD-N-V-6432/</v>
          </cell>
          <cell r="N81" t="str">
            <v>RAND.AS</v>
          </cell>
          <cell r="O81" t="str">
            <v>Randstad NV</v>
          </cell>
          <cell r="P81" t="str">
            <v>EN Amsterdam</v>
          </cell>
          <cell r="Q81" t="str">
            <v>Industrials</v>
          </cell>
          <cell r="R81" t="str">
            <v>Professional Services</v>
          </cell>
          <cell r="S81" t="str">
            <v>RAND.AS</v>
          </cell>
        </row>
        <row r="82">
          <cell r="L82" t="str">
            <v>KPN NA</v>
          </cell>
          <cell r="M82" t="str">
            <v>ROYAL-KPN-6287/</v>
          </cell>
          <cell r="N82" t="str">
            <v>KPN.AS</v>
          </cell>
          <cell r="O82" t="str">
            <v>Koninklijke KPN NV</v>
          </cell>
          <cell r="P82" t="str">
            <v>EN Amsterdam</v>
          </cell>
          <cell r="Q82" t="str">
            <v>Telecommunication Services</v>
          </cell>
          <cell r="R82" t="str">
            <v>Diversified Telecommunication</v>
          </cell>
          <cell r="S82" t="str">
            <v>KPN.AS</v>
          </cell>
        </row>
        <row r="83">
          <cell r="L83" t="str">
            <v>VPK NA</v>
          </cell>
          <cell r="M83" t="str">
            <v>ROYAL-VOPAK-6452/</v>
          </cell>
          <cell r="N83" t="str">
            <v>VOPA.AS</v>
          </cell>
          <cell r="O83" t="str">
            <v>Koninklijke Vopak NV</v>
          </cell>
          <cell r="P83" t="str">
            <v>EN Amsterdam</v>
          </cell>
          <cell r="Q83" t="str">
            <v>Energy</v>
          </cell>
          <cell r="R83" t="str">
            <v>Oil, Gas &amp; Consumable Fuels</v>
          </cell>
          <cell r="S83" t="str">
            <v>VPK.AS</v>
          </cell>
        </row>
        <row r="84">
          <cell r="L84" t="str">
            <v>AALB NA</v>
          </cell>
          <cell r="M84" t="str">
            <v>AALBERTS-INDUSTRIES-6371/</v>
          </cell>
          <cell r="N84" t="str">
            <v>AALB.AS</v>
          </cell>
          <cell r="O84" t="str">
            <v>Aalberts Industries NV</v>
          </cell>
          <cell r="P84" t="str">
            <v>EN Amsterdam</v>
          </cell>
          <cell r="Q84" t="str">
            <v>Industrials</v>
          </cell>
          <cell r="R84" t="str">
            <v>Machinery</v>
          </cell>
          <cell r="S84" t="str">
            <v>AALB.AS</v>
          </cell>
        </row>
        <row r="85">
          <cell r="L85" t="str">
            <v>ATC NA</v>
          </cell>
          <cell r="M85" t="str">
            <v>ALTICE-EUROPE-23292458/</v>
          </cell>
          <cell r="O85" t="str">
            <v>Altice Europe NV</v>
          </cell>
          <cell r="P85" t="str">
            <v>EN Amsterdam</v>
          </cell>
          <cell r="Q85" t="str">
            <v>Consumer Discretionary</v>
          </cell>
          <cell r="R85" t="str">
            <v>Media</v>
          </cell>
          <cell r="S85" t="str">
            <v>ATC.AS</v>
          </cell>
        </row>
        <row r="86">
          <cell r="L86" t="str">
            <v>IMCD NA</v>
          </cell>
          <cell r="M86" t="str">
            <v>IMCD-16772177/</v>
          </cell>
          <cell r="O86" t="str">
            <v>IMCD NV</v>
          </cell>
          <cell r="P86" t="str">
            <v>EN Amsterdam</v>
          </cell>
          <cell r="Q86" t="str">
            <v>Industrials</v>
          </cell>
          <cell r="R86" t="str">
            <v>Trading Companies &amp; Distributo</v>
          </cell>
          <cell r="S86" t="str">
            <v>IMCD.AS</v>
          </cell>
        </row>
        <row r="87">
          <cell r="L87" t="str">
            <v>BOKA NA</v>
          </cell>
          <cell r="M87" t="str">
            <v>BOSKALIS-WESTMINSTER-6383/</v>
          </cell>
          <cell r="N87" t="str">
            <v>BOSN.AS</v>
          </cell>
          <cell r="O87" t="str">
            <v>Koninklijke Boskalis Westminster NV</v>
          </cell>
          <cell r="P87" t="str">
            <v>EN Amsterdam</v>
          </cell>
          <cell r="Q87" t="str">
            <v>Industrials</v>
          </cell>
          <cell r="R87" t="str">
            <v>Construction &amp; Engineering</v>
          </cell>
          <cell r="S87" t="str">
            <v>BOKA.AS</v>
          </cell>
        </row>
        <row r="88">
          <cell r="L88" t="str">
            <v>SBMO NA</v>
          </cell>
          <cell r="M88" t="str">
            <v>SBM-OFFSHORE-6284/</v>
          </cell>
          <cell r="N88" t="str">
            <v>SBMO.AS</v>
          </cell>
          <cell r="O88" t="str">
            <v>SBM Offshore NV</v>
          </cell>
          <cell r="P88" t="str">
            <v>EN Amsterdam</v>
          </cell>
          <cell r="Q88" t="str">
            <v>Energy</v>
          </cell>
          <cell r="R88" t="str">
            <v>Energy Equipment &amp; Services</v>
          </cell>
          <cell r="S88" t="str">
            <v>SBMO.AS</v>
          </cell>
        </row>
        <row r="89">
          <cell r="L89" t="str">
            <v>ASM NA</v>
          </cell>
          <cell r="M89" t="str">
            <v>ASM-INTERNATIONAL-6312/</v>
          </cell>
          <cell r="N89" t="str">
            <v>ASMI.AS</v>
          </cell>
          <cell r="O89" t="str">
            <v>ASM International NV</v>
          </cell>
          <cell r="P89" t="str">
            <v>EN Amsterdam</v>
          </cell>
          <cell r="Q89" t="str">
            <v>Information Technology</v>
          </cell>
          <cell r="R89" t="str">
            <v>Semiconductors &amp; Semiconductor</v>
          </cell>
          <cell r="S89" t="str">
            <v>ASM.AS</v>
          </cell>
        </row>
        <row r="90">
          <cell r="L90" t="str">
            <v>ABI BB</v>
          </cell>
          <cell r="M90" t="str">
            <v>ANHEUSER-BUSCH-INBEV-31571356/</v>
          </cell>
          <cell r="N90" t="str">
            <v>ABI.BR</v>
          </cell>
          <cell r="O90" t="str">
            <v>Anheuser Busch Inbev NV</v>
          </cell>
          <cell r="P90" t="str">
            <v>EN Brussels</v>
          </cell>
          <cell r="Q90" t="str">
            <v>Consumer Staples</v>
          </cell>
          <cell r="R90" t="str">
            <v>Beverages</v>
          </cell>
          <cell r="S90" t="str">
            <v>ABI.BR</v>
          </cell>
        </row>
        <row r="91">
          <cell r="L91" t="str">
            <v>KBC BB</v>
          </cell>
          <cell r="M91" t="str">
            <v>KBC-GROUPE-5967/</v>
          </cell>
          <cell r="N91" t="str">
            <v>KBC.BR</v>
          </cell>
          <cell r="O91" t="str">
            <v>KBC Groep NV</v>
          </cell>
          <cell r="P91" t="str">
            <v>EN Brussels</v>
          </cell>
          <cell r="Q91" t="str">
            <v>Financials</v>
          </cell>
          <cell r="R91" t="str">
            <v>Banks</v>
          </cell>
          <cell r="S91" t="str">
            <v>KBC.BR</v>
          </cell>
        </row>
        <row r="92">
          <cell r="L92" t="str">
            <v>UCB BB</v>
          </cell>
          <cell r="M92" t="str">
            <v>UCB-5963/</v>
          </cell>
          <cell r="N92" t="str">
            <v>UCB.BR</v>
          </cell>
          <cell r="O92" t="str">
            <v>Ucb SA</v>
          </cell>
          <cell r="P92" t="str">
            <v>EN Brussels</v>
          </cell>
          <cell r="Q92" t="str">
            <v>Health Care</v>
          </cell>
          <cell r="R92" t="str">
            <v>Pharmaceuticals</v>
          </cell>
          <cell r="S92" t="str">
            <v>UCB.BR</v>
          </cell>
        </row>
        <row r="93">
          <cell r="L93" t="str">
            <v>GBLB BB</v>
          </cell>
          <cell r="M93" t="str">
            <v>GROUPE-BRUXELLES-LAMBERT-5953/</v>
          </cell>
          <cell r="N93" t="str">
            <v>GBLB.BR</v>
          </cell>
          <cell r="O93" t="str">
            <v>Groep Brussel Lambert NV</v>
          </cell>
          <cell r="P93" t="str">
            <v>EN Brussels</v>
          </cell>
          <cell r="Q93" t="str">
            <v>Financials</v>
          </cell>
          <cell r="R93" t="str">
            <v>Diversified Financial Services</v>
          </cell>
          <cell r="S93" t="str">
            <v>GBLB.BR</v>
          </cell>
        </row>
        <row r="94">
          <cell r="L94" t="str">
            <v>SOLB BB</v>
          </cell>
          <cell r="M94" t="str">
            <v>SOLVAY-5966/</v>
          </cell>
          <cell r="O94" t="str">
            <v>Solvay SA</v>
          </cell>
          <cell r="P94" t="str">
            <v>EN Brussels</v>
          </cell>
          <cell r="Q94" t="str">
            <v>Materials</v>
          </cell>
          <cell r="R94" t="str">
            <v>Chemicals</v>
          </cell>
          <cell r="S94" t="str">
            <v>SOLB.BR</v>
          </cell>
        </row>
        <row r="95">
          <cell r="L95" t="str">
            <v>UMI BB</v>
          </cell>
          <cell r="M95" t="str">
            <v>UMICORE-38123506/</v>
          </cell>
          <cell r="O95" t="str">
            <v>Umicore SA</v>
          </cell>
          <cell r="P95" t="str">
            <v>EN Brussels</v>
          </cell>
          <cell r="Q95" t="str">
            <v>Materials</v>
          </cell>
          <cell r="R95" t="str">
            <v>Chemicals</v>
          </cell>
          <cell r="S95" t="str">
            <v>UMI.BR</v>
          </cell>
        </row>
        <row r="96">
          <cell r="L96" t="str">
            <v>AGS BB</v>
          </cell>
          <cell r="M96" t="str">
            <v>AGEAS-5975/</v>
          </cell>
          <cell r="N96" t="str">
            <v>AGES.BR</v>
          </cell>
          <cell r="O96" t="str">
            <v>Ageas SA</v>
          </cell>
          <cell r="P96" t="str">
            <v>EN Brussels</v>
          </cell>
          <cell r="Q96" t="str">
            <v>Financials</v>
          </cell>
          <cell r="R96" t="str">
            <v>Insurance</v>
          </cell>
          <cell r="S96" t="str">
            <v>AGS.BR</v>
          </cell>
        </row>
        <row r="97">
          <cell r="L97" t="str">
            <v>COLR BB</v>
          </cell>
          <cell r="M97" t="str">
            <v>COLRUYT-5976/</v>
          </cell>
          <cell r="N97" t="str">
            <v>COLRt.BR</v>
          </cell>
          <cell r="O97" t="str">
            <v>Etablissementen Franz Colruyt NV</v>
          </cell>
          <cell r="P97" t="str">
            <v>EN Brussels</v>
          </cell>
          <cell r="Q97" t="str">
            <v>Consumer Staples</v>
          </cell>
          <cell r="R97" t="str">
            <v>Food &amp; Staples Retailing</v>
          </cell>
          <cell r="S97" t="str">
            <v>COLR.BR</v>
          </cell>
        </row>
        <row r="98">
          <cell r="L98" t="str">
            <v>PROX BB</v>
          </cell>
          <cell r="M98" t="str">
            <v>PROXIMUS-5983/</v>
          </cell>
          <cell r="N98" t="str">
            <v>PROX.BR</v>
          </cell>
          <cell r="O98" t="str">
            <v>Proximus NV</v>
          </cell>
          <cell r="P98" t="str">
            <v>EN Brussels</v>
          </cell>
          <cell r="Q98" t="str">
            <v>Telecommunication Services</v>
          </cell>
          <cell r="R98" t="str">
            <v>Diversified Telecommunication</v>
          </cell>
          <cell r="S98" t="str">
            <v>PROX.BR</v>
          </cell>
        </row>
        <row r="99">
          <cell r="L99" t="str">
            <v>TNET BB</v>
          </cell>
          <cell r="M99" t="str">
            <v>TELENET-GROUP-HOLDING-5991/</v>
          </cell>
          <cell r="N99" t="str">
            <v>TNET.BR</v>
          </cell>
          <cell r="O99" t="str">
            <v>Telenet Group Holding NV</v>
          </cell>
          <cell r="P99" t="str">
            <v>EN Brussels</v>
          </cell>
          <cell r="Q99" t="str">
            <v>Consumer Discretionary</v>
          </cell>
          <cell r="R99" t="str">
            <v>Media</v>
          </cell>
          <cell r="S99" t="str">
            <v>TNET.BR</v>
          </cell>
        </row>
        <row r="100">
          <cell r="L100" t="str">
            <v>ACKB BB</v>
          </cell>
          <cell r="M100" t="str">
            <v>ACKERMANS-VAN-HAAREN-5948/</v>
          </cell>
          <cell r="N100" t="str">
            <v>ACKB.BR</v>
          </cell>
          <cell r="O100" t="str">
            <v>Ackermans &amp; Van Haaren NV</v>
          </cell>
          <cell r="P100" t="str">
            <v>EN Brussels</v>
          </cell>
          <cell r="Q100" t="str">
            <v>Financials</v>
          </cell>
          <cell r="R100" t="str">
            <v>Diversified Financial Services</v>
          </cell>
          <cell r="S100" t="str">
            <v>ACKB.BR</v>
          </cell>
        </row>
        <row r="101">
          <cell r="L101" t="str">
            <v>GLPG BB</v>
          </cell>
          <cell r="M101" t="str">
            <v>GALAPAGOS-6464/</v>
          </cell>
          <cell r="N101" t="str">
            <v>GLPG.BR</v>
          </cell>
          <cell r="O101" t="str">
            <v>Galapagos NV</v>
          </cell>
          <cell r="P101" t="str">
            <v>EN Brussels</v>
          </cell>
          <cell r="Q101" t="str">
            <v>Health Care</v>
          </cell>
          <cell r="R101" t="str">
            <v>Biotechnology</v>
          </cell>
          <cell r="S101" t="str">
            <v>GLPG.BR</v>
          </cell>
        </row>
        <row r="102">
          <cell r="L102" t="str">
            <v>GALP PL</v>
          </cell>
          <cell r="M102" t="str">
            <v>GALP-ENERGIA-35373/</v>
          </cell>
          <cell r="N102" t="str">
            <v>GALP.LS</v>
          </cell>
          <cell r="O102" t="str">
            <v>Galp Energia SGPS SA</v>
          </cell>
          <cell r="P102" t="str">
            <v>EN Lisbon</v>
          </cell>
          <cell r="Q102" t="str">
            <v>Energy</v>
          </cell>
          <cell r="R102" t="str">
            <v>Oil, Gas &amp; Consumable Fuels</v>
          </cell>
          <cell r="S102" t="str">
            <v>GALP.LS</v>
          </cell>
        </row>
        <row r="103">
          <cell r="L103" t="str">
            <v>EDP PL</v>
          </cell>
          <cell r="M103" t="str">
            <v>ENERGIAS-DE-PORTUGAL-5819/</v>
          </cell>
          <cell r="N103" t="str">
            <v>EDP.LS</v>
          </cell>
          <cell r="O103" t="str">
            <v>EDP Energias de Portugal SA</v>
          </cell>
          <cell r="P103" t="str">
            <v>EN Lisbon</v>
          </cell>
          <cell r="Q103" t="str">
            <v>Utilities</v>
          </cell>
          <cell r="R103" t="str">
            <v>Electric Utilities</v>
          </cell>
          <cell r="S103" t="str">
            <v>EDP.LS</v>
          </cell>
        </row>
        <row r="104">
          <cell r="L104" t="str">
            <v>JMT PL</v>
          </cell>
          <cell r="M104" t="str">
            <v>JERONIMO-MARTINS-5827/</v>
          </cell>
          <cell r="N104" t="str">
            <v>JMT.LS</v>
          </cell>
          <cell r="O104" t="str">
            <v>Jeronimo Martins SGPS SA</v>
          </cell>
          <cell r="P104" t="str">
            <v>EN Lisbon</v>
          </cell>
          <cell r="Q104" t="str">
            <v>Consumer Staples</v>
          </cell>
          <cell r="R104" t="str">
            <v>Food &amp; Staples Retailing</v>
          </cell>
          <cell r="S104" t="str">
            <v>JMT.LS</v>
          </cell>
        </row>
        <row r="105">
          <cell r="L105" t="str">
            <v>BCP PL</v>
          </cell>
          <cell r="M105" t="str">
            <v>BANCO-COMERCIAL-PORTUGUES-5813/</v>
          </cell>
          <cell r="N105" t="str">
            <v>BCP.LS</v>
          </cell>
          <cell r="O105" t="str">
            <v>Banco Comercial Portugues SA</v>
          </cell>
          <cell r="P105" t="str">
            <v>EN Lisbon</v>
          </cell>
          <cell r="Q105" t="str">
            <v>Financials</v>
          </cell>
          <cell r="R105" t="str">
            <v>Banks</v>
          </cell>
          <cell r="S105" t="str">
            <v>BCP.LS</v>
          </cell>
        </row>
        <row r="106">
          <cell r="L106" t="str">
            <v>MC FP</v>
          </cell>
          <cell r="M106" t="str">
            <v>LVMH-MOET-HENNESSY-VUITTO-4669/</v>
          </cell>
          <cell r="N106" t="str">
            <v>LVMH.PA</v>
          </cell>
          <cell r="O106" t="str">
            <v>LVMH Moet Hennessy Louis Vuitton SE</v>
          </cell>
          <cell r="P106" t="str">
            <v>EN Paris</v>
          </cell>
          <cell r="Q106" t="str">
            <v>Consumer Discretionary</v>
          </cell>
          <cell r="R106" t="str">
            <v>Textiles, Apparel &amp; Luxury Goo</v>
          </cell>
          <cell r="S106" t="str">
            <v>MC.PA</v>
          </cell>
        </row>
        <row r="107">
          <cell r="L107" t="str">
            <v>FP FP</v>
          </cell>
          <cell r="M107" t="str">
            <v>TOTAL-4717/</v>
          </cell>
          <cell r="N107" t="str">
            <v>TOTF.PA</v>
          </cell>
          <cell r="O107" t="str">
            <v>Total SA</v>
          </cell>
          <cell r="P107" t="str">
            <v>EN Paris</v>
          </cell>
          <cell r="Q107" t="str">
            <v>Energy</v>
          </cell>
          <cell r="R107" t="str">
            <v>Oil, Gas &amp; Consumable Fuels</v>
          </cell>
          <cell r="S107" t="str">
            <v>FP.PA</v>
          </cell>
        </row>
        <row r="108">
          <cell r="L108" t="str">
            <v>OR FP</v>
          </cell>
          <cell r="M108" t="str">
            <v>L-OREAL-4666/</v>
          </cell>
          <cell r="N108" t="str">
            <v>OREP.PA</v>
          </cell>
          <cell r="O108" t="str">
            <v>L'Oreal SA</v>
          </cell>
          <cell r="P108" t="str">
            <v>EN Paris</v>
          </cell>
          <cell r="Q108" t="str">
            <v>Consumer Staples</v>
          </cell>
          <cell r="R108" t="str">
            <v>Personal Products</v>
          </cell>
          <cell r="S108" t="str">
            <v>OR.PA</v>
          </cell>
        </row>
        <row r="109">
          <cell r="L109" t="str">
            <v>SAN FP</v>
          </cell>
          <cell r="M109" t="str">
            <v>SANOFI-4698/</v>
          </cell>
          <cell r="N109" t="str">
            <v>SASY.PA</v>
          </cell>
          <cell r="O109" t="str">
            <v>Sanofi SA</v>
          </cell>
          <cell r="P109" t="str">
            <v>EN Paris</v>
          </cell>
          <cell r="Q109" t="str">
            <v>Health Care</v>
          </cell>
          <cell r="R109" t="str">
            <v>Pharmaceuticals</v>
          </cell>
          <cell r="S109" t="str">
            <v>SAN.PA</v>
          </cell>
        </row>
        <row r="110">
          <cell r="L110" t="str">
            <v>AIR FP</v>
          </cell>
          <cell r="M110" t="str">
            <v>AIRBUS-SE-4637/</v>
          </cell>
          <cell r="N110" t="str">
            <v>AIR.PA</v>
          </cell>
          <cell r="O110" t="str">
            <v>Airbus</v>
          </cell>
          <cell r="P110" t="str">
            <v>EN Paris</v>
          </cell>
          <cell r="Q110" t="str">
            <v>Industrials</v>
          </cell>
          <cell r="R110" t="str">
            <v>Aerospace &amp; Defense</v>
          </cell>
          <cell r="S110" t="str">
            <v>AIR.PA</v>
          </cell>
        </row>
        <row r="111">
          <cell r="L111" t="str">
            <v>CDI FP</v>
          </cell>
          <cell r="M111" t="str">
            <v>CHRISTIAN-DIOR-SE-4629/</v>
          </cell>
          <cell r="N111" t="str">
            <v>DIOR.PA</v>
          </cell>
          <cell r="O111" t="str">
            <v>Christian Dior SE</v>
          </cell>
          <cell r="P111" t="str">
            <v>EN Paris</v>
          </cell>
          <cell r="Q111" t="str">
            <v>Consumer Discretionary</v>
          </cell>
          <cell r="R111" t="str">
            <v>Textiles, Apparel &amp; Luxury Goo</v>
          </cell>
          <cell r="S111" t="str">
            <v>CDI.PA</v>
          </cell>
        </row>
        <row r="112">
          <cell r="L112" t="str">
            <v>BNP FP</v>
          </cell>
          <cell r="M112" t="str">
            <v>BNP-PARIBAS-4618/</v>
          </cell>
          <cell r="N112" t="str">
            <v>BNPP.PA</v>
          </cell>
          <cell r="O112" t="str">
            <v>BNP Paribas SA</v>
          </cell>
          <cell r="P112" t="str">
            <v>EN Paris</v>
          </cell>
          <cell r="Q112" t="str">
            <v>Financials</v>
          </cell>
          <cell r="R112" t="str">
            <v>Banks</v>
          </cell>
          <cell r="S112" t="str">
            <v>BNP.PA</v>
          </cell>
        </row>
        <row r="113">
          <cell r="L113" t="str">
            <v>RMS FP</v>
          </cell>
          <cell r="M113" t="str">
            <v>HERMES-INTERNATIONAL-4657/</v>
          </cell>
          <cell r="N113" t="str">
            <v>HRMS.PA</v>
          </cell>
          <cell r="O113" t="str">
            <v>Hermes International SCA</v>
          </cell>
          <cell r="P113" t="str">
            <v>EN Paris</v>
          </cell>
          <cell r="Q113" t="str">
            <v>Consumer Discretionary</v>
          </cell>
          <cell r="R113" t="str">
            <v>Textiles, Apparel &amp; Luxury Goo</v>
          </cell>
          <cell r="S113" t="str">
            <v>RMS.PA</v>
          </cell>
        </row>
        <row r="114">
          <cell r="L114" t="str">
            <v>KER FP</v>
          </cell>
          <cell r="M114" t="str">
            <v>KERING-4683/</v>
          </cell>
          <cell r="N114" t="str">
            <v>PRTP.PA</v>
          </cell>
          <cell r="O114" t="str">
            <v>Kering SA</v>
          </cell>
          <cell r="P114" t="str">
            <v>EN Paris</v>
          </cell>
          <cell r="Q114" t="str">
            <v>Consumer Discretionary</v>
          </cell>
          <cell r="R114" t="str">
            <v>Textiles, Apparel &amp; Luxury Goo</v>
          </cell>
          <cell r="S114" t="str">
            <v>KER.PA</v>
          </cell>
        </row>
        <row r="115">
          <cell r="L115" t="str">
            <v>CS FP</v>
          </cell>
          <cell r="M115" t="str">
            <v>AXA-4615/</v>
          </cell>
          <cell r="N115" t="str">
            <v>AXAF.PA</v>
          </cell>
          <cell r="O115" t="str">
            <v>AXA SA</v>
          </cell>
          <cell r="P115" t="str">
            <v>EN Paris</v>
          </cell>
          <cell r="Q115" t="str">
            <v>Financials</v>
          </cell>
          <cell r="R115" t="str">
            <v>Insurance</v>
          </cell>
          <cell r="S115" t="str">
            <v>CS.PA</v>
          </cell>
        </row>
        <row r="116">
          <cell r="L116" t="str">
            <v>DG FP</v>
          </cell>
          <cell r="M116" t="str">
            <v>VINCI-4725/</v>
          </cell>
          <cell r="N116" t="str">
            <v>SGEF.PA</v>
          </cell>
          <cell r="O116" t="str">
            <v>Vinci SA</v>
          </cell>
          <cell r="P116" t="str">
            <v>EN Paris</v>
          </cell>
          <cell r="Q116" t="str">
            <v>Industrials</v>
          </cell>
          <cell r="R116" t="str">
            <v>Construction &amp; Engineering</v>
          </cell>
          <cell r="S116" t="str">
            <v>DG.PA</v>
          </cell>
        </row>
        <row r="117">
          <cell r="L117" t="str">
            <v>SAF FP</v>
          </cell>
          <cell r="M117" t="str">
            <v>SAFRAN-4696/</v>
          </cell>
          <cell r="N117" t="str">
            <v>SAF.PA</v>
          </cell>
          <cell r="O117" t="str">
            <v>Safran SA</v>
          </cell>
          <cell r="P117" t="str">
            <v>EN Paris</v>
          </cell>
          <cell r="Q117" t="str">
            <v>Industrials</v>
          </cell>
          <cell r="R117" t="str">
            <v>Aerospace &amp; Defense</v>
          </cell>
          <cell r="S117" t="str">
            <v>SAF.PA</v>
          </cell>
        </row>
        <row r="118">
          <cell r="L118" t="str">
            <v>AI FP</v>
          </cell>
          <cell r="M118" t="str">
            <v>AIR-LIQUIDE-4605/</v>
          </cell>
          <cell r="N118" t="str">
            <v>AIRP.PA</v>
          </cell>
          <cell r="O118" t="str">
            <v>Air Liquide SA</v>
          </cell>
          <cell r="P118" t="str">
            <v>EN Paris</v>
          </cell>
          <cell r="Q118" t="str">
            <v>Materials</v>
          </cell>
          <cell r="R118" t="str">
            <v>Chemicals</v>
          </cell>
          <cell r="S118" t="str">
            <v>AI.PA</v>
          </cell>
        </row>
        <row r="119">
          <cell r="L119" t="str">
            <v>BN FP</v>
          </cell>
          <cell r="M119" t="str">
            <v>DANONE-4634/</v>
          </cell>
          <cell r="N119" t="str">
            <v>DANO.PA</v>
          </cell>
          <cell r="O119" t="str">
            <v>Danone SA</v>
          </cell>
          <cell r="P119" t="str">
            <v>EN Paris</v>
          </cell>
          <cell r="Q119" t="str">
            <v>Consumer Staples</v>
          </cell>
          <cell r="R119" t="str">
            <v>Food Products</v>
          </cell>
          <cell r="S119" t="str">
            <v>BN.PA</v>
          </cell>
        </row>
        <row r="120">
          <cell r="L120" t="str">
            <v>EDF FP</v>
          </cell>
          <cell r="M120" t="str">
            <v>ELECTRICITE-DE-FRANCE-4998/</v>
          </cell>
          <cell r="N120" t="str">
            <v>EDF.PA</v>
          </cell>
          <cell r="O120" t="str">
            <v>Electricite de France SA</v>
          </cell>
          <cell r="P120" t="str">
            <v>EN Paris</v>
          </cell>
          <cell r="Q120" t="str">
            <v>Utilities</v>
          </cell>
          <cell r="R120" t="str">
            <v>Electric Utilities</v>
          </cell>
          <cell r="S120" t="str">
            <v>EDF.PA</v>
          </cell>
        </row>
        <row r="121">
          <cell r="L121" t="str">
            <v>SU FP</v>
          </cell>
          <cell r="M121" t="str">
            <v>SCHNEIDER-ELECTRIC-SE-4699/</v>
          </cell>
          <cell r="N121" t="str">
            <v>SCHN.PA</v>
          </cell>
          <cell r="O121" t="str">
            <v>Schneider Electric SE</v>
          </cell>
          <cell r="P121" t="str">
            <v>EN Paris</v>
          </cell>
          <cell r="Q121" t="str">
            <v>Industrials</v>
          </cell>
          <cell r="R121" t="str">
            <v>Electrical Equipment</v>
          </cell>
          <cell r="S121" t="str">
            <v>SU.PA</v>
          </cell>
        </row>
        <row r="122">
          <cell r="L122" t="str">
            <v>ORA FP</v>
          </cell>
          <cell r="M122" t="str">
            <v>ORANGE-4649/</v>
          </cell>
          <cell r="N122" t="str">
            <v>ORAN.PA</v>
          </cell>
          <cell r="O122" t="str">
            <v>Orange SA</v>
          </cell>
          <cell r="P122" t="str">
            <v>EN Paris</v>
          </cell>
          <cell r="Q122" t="str">
            <v>Telecommunication Services</v>
          </cell>
          <cell r="R122" t="str">
            <v>Diversified Telecommunication</v>
          </cell>
          <cell r="S122" t="str">
            <v>ORA.PA</v>
          </cell>
        </row>
        <row r="123">
          <cell r="L123" t="str">
            <v>DSY FP</v>
          </cell>
          <cell r="M123" t="str">
            <v>DASSAULT-SYSTEMES-4635/</v>
          </cell>
          <cell r="N123" t="str">
            <v>DAST.PA</v>
          </cell>
          <cell r="O123" t="str">
            <v>Dassault Systemes SE</v>
          </cell>
          <cell r="P123" t="str">
            <v>EN Paris</v>
          </cell>
          <cell r="Q123" t="str">
            <v>Information Technology</v>
          </cell>
          <cell r="R123" t="str">
            <v>Software</v>
          </cell>
          <cell r="S123" t="str">
            <v>DSY.PA</v>
          </cell>
        </row>
        <row r="124">
          <cell r="L124" t="str">
            <v>RI FP</v>
          </cell>
          <cell r="M124" t="str">
            <v>PERNOD-RICARD-4681/</v>
          </cell>
          <cell r="N124" t="str">
            <v>PERP.PA</v>
          </cell>
          <cell r="O124" t="str">
            <v>Pernod Ricard SA</v>
          </cell>
          <cell r="P124" t="str">
            <v>EN Paris</v>
          </cell>
          <cell r="Q124" t="str">
            <v>Consumer Staples</v>
          </cell>
          <cell r="R124" t="str">
            <v>Beverages</v>
          </cell>
          <cell r="S124" t="str">
            <v>RI.PA</v>
          </cell>
        </row>
        <row r="125">
          <cell r="L125" t="str">
            <v>ACA FP</v>
          </cell>
          <cell r="M125" t="str">
            <v>CREDIT-AGRICOLE-4735/</v>
          </cell>
          <cell r="N125" t="str">
            <v>CAGR.PA</v>
          </cell>
          <cell r="O125" t="str">
            <v>Credit Agricole SA</v>
          </cell>
          <cell r="P125" t="str">
            <v>EN Paris</v>
          </cell>
          <cell r="Q125" t="str">
            <v>Financials</v>
          </cell>
          <cell r="R125" t="str">
            <v>Banks</v>
          </cell>
          <cell r="S125" t="str">
            <v>ACA.PA</v>
          </cell>
        </row>
        <row r="126">
          <cell r="L126" t="str">
            <v>ENGI FP</v>
          </cell>
          <cell r="M126" t="str">
            <v>ENGIE-4995/</v>
          </cell>
          <cell r="N126" t="str">
            <v>ENGIE.PA</v>
          </cell>
          <cell r="O126" t="str">
            <v>Engie SA</v>
          </cell>
          <cell r="P126" t="str">
            <v>EN Paris</v>
          </cell>
          <cell r="Q126" t="str">
            <v>Utilities</v>
          </cell>
          <cell r="R126" t="str">
            <v>Multi-Utilities</v>
          </cell>
          <cell r="S126" t="str">
            <v>ENGI.PA</v>
          </cell>
        </row>
        <row r="127">
          <cell r="L127" t="str">
            <v>VIV FP</v>
          </cell>
          <cell r="M127" t="str">
            <v>VIVENDI-4727/</v>
          </cell>
          <cell r="N127" t="str">
            <v>VIV.PA</v>
          </cell>
          <cell r="O127" t="str">
            <v>Vivendi SA</v>
          </cell>
          <cell r="P127" t="str">
            <v>EN Paris</v>
          </cell>
          <cell r="Q127" t="str">
            <v>Consumer Discretionary</v>
          </cell>
          <cell r="R127" t="str">
            <v>Media</v>
          </cell>
          <cell r="S127" t="str">
            <v>VIV.PA</v>
          </cell>
        </row>
        <row r="128">
          <cell r="L128" t="str">
            <v>GLE FP</v>
          </cell>
          <cell r="M128" t="str">
            <v>SOCIETE-GENERALE-4702/</v>
          </cell>
          <cell r="N128" t="str">
            <v>SOGN.PA</v>
          </cell>
          <cell r="O128" t="str">
            <v>Societe Generale SA</v>
          </cell>
          <cell r="P128" t="str">
            <v>EN Paris</v>
          </cell>
          <cell r="Q128" t="str">
            <v>Financials</v>
          </cell>
          <cell r="R128" t="str">
            <v>Banks</v>
          </cell>
          <cell r="S128" t="str">
            <v>GLE.PA</v>
          </cell>
        </row>
        <row r="129">
          <cell r="L129" t="str">
            <v>EL FP</v>
          </cell>
          <cell r="M129" t="str">
            <v>ESSILOR-INTERNATIONAL-4641/</v>
          </cell>
          <cell r="N129" t="str">
            <v>ESSI.PA</v>
          </cell>
          <cell r="O129" t="str">
            <v>Essilor International Compagnie Generale D Optique SA</v>
          </cell>
          <cell r="P129" t="str">
            <v>EN Paris</v>
          </cell>
          <cell r="Q129" t="str">
            <v>Health Care</v>
          </cell>
          <cell r="R129" t="str">
            <v>Health Care Equipment &amp; Suppli</v>
          </cell>
          <cell r="S129" t="str">
            <v>EL.PA</v>
          </cell>
        </row>
        <row r="130">
          <cell r="L130" t="str">
            <v>HO FP</v>
          </cell>
          <cell r="M130" t="str">
            <v>THALES-4715/</v>
          </cell>
          <cell r="N130" t="str">
            <v>TCFP.PA</v>
          </cell>
          <cell r="O130" t="str">
            <v>Thales SA</v>
          </cell>
          <cell r="P130" t="str">
            <v>EN Paris</v>
          </cell>
          <cell r="Q130" t="str">
            <v>Industrials</v>
          </cell>
          <cell r="R130" t="str">
            <v>Aerospace &amp; Defense</v>
          </cell>
          <cell r="S130" t="str">
            <v>HO.PA</v>
          </cell>
        </row>
        <row r="131">
          <cell r="L131" t="str">
            <v>RNO FP</v>
          </cell>
          <cell r="M131" t="str">
            <v>RENAULT-4688/</v>
          </cell>
          <cell r="N131" t="str">
            <v>RENA.PA</v>
          </cell>
          <cell r="O131" t="str">
            <v>Renault SA</v>
          </cell>
          <cell r="P131" t="str">
            <v>EN Paris</v>
          </cell>
          <cell r="Q131" t="str">
            <v>Consumer Discretionary</v>
          </cell>
          <cell r="R131" t="str">
            <v>Automobiles</v>
          </cell>
          <cell r="S131" t="str">
            <v>RNO.PA</v>
          </cell>
        </row>
        <row r="132">
          <cell r="L132" t="str">
            <v>UG FP</v>
          </cell>
          <cell r="M132" t="str">
            <v>PEUGEOT-4682/</v>
          </cell>
          <cell r="N132" t="str">
            <v>PEUP.PA</v>
          </cell>
          <cell r="O132" t="str">
            <v>Peugeot SA</v>
          </cell>
          <cell r="P132" t="str">
            <v>EN Paris</v>
          </cell>
          <cell r="Q132" t="str">
            <v>Consumer Discretionary</v>
          </cell>
          <cell r="R132" t="str">
            <v>Automobiles</v>
          </cell>
          <cell r="S132" t="str">
            <v>UG.PA</v>
          </cell>
        </row>
        <row r="133">
          <cell r="L133" t="str">
            <v>SGO FP</v>
          </cell>
          <cell r="M133" t="str">
            <v>SAINT-GOBAIN-4697/</v>
          </cell>
          <cell r="N133" t="str">
            <v>SGOB.PA</v>
          </cell>
          <cell r="O133" t="str">
            <v>Compagnie de Saint Gobain SA</v>
          </cell>
          <cell r="P133" t="str">
            <v>EN Paris</v>
          </cell>
          <cell r="Q133" t="str">
            <v>Industrials</v>
          </cell>
          <cell r="R133" t="str">
            <v>Building Products</v>
          </cell>
          <cell r="S133" t="str">
            <v>SGO.PA</v>
          </cell>
        </row>
        <row r="134">
          <cell r="L134" t="str">
            <v>ADP FP</v>
          </cell>
          <cell r="M134" t="str">
            <v>AEROPORTS-DE-PARIS-17304/</v>
          </cell>
          <cell r="N134" t="str">
            <v>ADP.PA</v>
          </cell>
          <cell r="O134" t="str">
            <v>Aeroports de Paris SA</v>
          </cell>
          <cell r="P134" t="str">
            <v>EN Paris</v>
          </cell>
          <cell r="Q134" t="str">
            <v>Industrials</v>
          </cell>
          <cell r="R134" t="str">
            <v>Transportation Infrastructure</v>
          </cell>
          <cell r="S134" t="str">
            <v>ADP.PA</v>
          </cell>
        </row>
        <row r="135">
          <cell r="L135" t="str">
            <v>CAP FP</v>
          </cell>
          <cell r="M135" t="str">
            <v>CAPGEMINI-4624/</v>
          </cell>
          <cell r="N135" t="str">
            <v>CAPP.PA</v>
          </cell>
          <cell r="O135" t="str">
            <v>Capgemini SE</v>
          </cell>
          <cell r="P135" t="str">
            <v>EN Paris</v>
          </cell>
          <cell r="Q135" t="str">
            <v>Information Technology</v>
          </cell>
          <cell r="R135" t="str">
            <v>IT Services</v>
          </cell>
          <cell r="S135" t="str">
            <v>CAP.PA</v>
          </cell>
        </row>
        <row r="136">
          <cell r="L136" t="str">
            <v>KN FP</v>
          </cell>
          <cell r="M136" t="str">
            <v>NATIXIS-4673/</v>
          </cell>
          <cell r="N136" t="str">
            <v>CNAT.PA</v>
          </cell>
          <cell r="O136" t="str">
            <v>Natixis SA</v>
          </cell>
          <cell r="P136" t="str">
            <v>EN Paris</v>
          </cell>
          <cell r="Q136" t="str">
            <v>Financials</v>
          </cell>
          <cell r="R136" t="str">
            <v>Capital Markets</v>
          </cell>
          <cell r="S136" t="str">
            <v>KN.PA</v>
          </cell>
        </row>
        <row r="137">
          <cell r="L137" t="str">
            <v>ML FP</v>
          </cell>
          <cell r="M137" t="str">
            <v>MICHELIN-4672/</v>
          </cell>
          <cell r="N137" t="str">
            <v>MICP.PA</v>
          </cell>
          <cell r="O137" t="str">
            <v>Compagnie Generale des Etablissements Michelin SCA</v>
          </cell>
          <cell r="P137" t="str">
            <v>EN Paris</v>
          </cell>
          <cell r="Q137" t="str">
            <v>Consumer Discretionary</v>
          </cell>
          <cell r="R137" t="str">
            <v>Auto Components</v>
          </cell>
          <cell r="S137" t="str">
            <v>ML.PA</v>
          </cell>
        </row>
        <row r="138">
          <cell r="L138" t="str">
            <v>LR FP</v>
          </cell>
          <cell r="M138" t="str">
            <v>LEGRAND-16719/</v>
          </cell>
          <cell r="N138" t="str">
            <v>LEGD.PA</v>
          </cell>
          <cell r="O138" t="str">
            <v>Legrand SA</v>
          </cell>
          <cell r="P138" t="str">
            <v>EN Paris</v>
          </cell>
          <cell r="Q138" t="str">
            <v>Industrials</v>
          </cell>
          <cell r="R138" t="str">
            <v>Electrical Equipment</v>
          </cell>
          <cell r="S138" t="str">
            <v>LR.PA</v>
          </cell>
        </row>
        <row r="139">
          <cell r="L139" t="str">
            <v>STM FP</v>
          </cell>
          <cell r="M139" t="str">
            <v>STMICROELECTRONICS-70121/</v>
          </cell>
          <cell r="N139" t="str">
            <v>STM.PA</v>
          </cell>
          <cell r="O139" t="str">
            <v>ST Micro</v>
          </cell>
          <cell r="P139" t="str">
            <v>EN Paris</v>
          </cell>
          <cell r="Q139" t="str">
            <v>Information Technology</v>
          </cell>
          <cell r="R139" t="str">
            <v>Semiconductors &amp; Semiconductor</v>
          </cell>
          <cell r="S139" t="str">
            <v>STM.PA</v>
          </cell>
        </row>
        <row r="140">
          <cell r="L140" t="str">
            <v>CNP FP</v>
          </cell>
          <cell r="M140" t="str">
            <v>CNP-ASSURANCES-4633/</v>
          </cell>
          <cell r="N140" t="str">
            <v>CNPP.PA</v>
          </cell>
          <cell r="O140" t="str">
            <v>CNP Assurances SA</v>
          </cell>
          <cell r="P140" t="str">
            <v>EN Paris</v>
          </cell>
          <cell r="Q140" t="str">
            <v>Financials</v>
          </cell>
          <cell r="R140" t="str">
            <v>Insurance</v>
          </cell>
          <cell r="S140" t="str">
            <v>CNP.PA</v>
          </cell>
        </row>
        <row r="141">
          <cell r="L141" t="str">
            <v>EN FP</v>
          </cell>
          <cell r="M141" t="str">
            <v>BOUYGUES-4620/</v>
          </cell>
          <cell r="N141" t="str">
            <v>BOUY.PA</v>
          </cell>
          <cell r="O141" t="str">
            <v>Bouygues SA</v>
          </cell>
          <cell r="P141" t="str">
            <v>EN Paris</v>
          </cell>
          <cell r="Q141" t="str">
            <v>Industrials</v>
          </cell>
          <cell r="R141" t="str">
            <v>Construction &amp; Engineering</v>
          </cell>
          <cell r="S141" t="str">
            <v>EN.PA</v>
          </cell>
        </row>
        <row r="142">
          <cell r="L142" t="str">
            <v>AM FP</v>
          </cell>
          <cell r="M142" t="str">
            <v>DASSAULT-AVIATION-5215/</v>
          </cell>
          <cell r="N142" t="str">
            <v>AVMD.PA</v>
          </cell>
          <cell r="O142" t="str">
            <v>Dassault Aviation SA</v>
          </cell>
          <cell r="P142" t="str">
            <v>EN Paris</v>
          </cell>
          <cell r="Q142" t="str">
            <v>Industrials</v>
          </cell>
          <cell r="R142" t="str">
            <v>Aerospace &amp; Defense</v>
          </cell>
          <cell r="S142" t="str">
            <v>AM.PA</v>
          </cell>
        </row>
        <row r="143">
          <cell r="L143" t="str">
            <v>PUB FP</v>
          </cell>
          <cell r="M143" t="str">
            <v>PUBLICIS-GROUPE-4685/</v>
          </cell>
          <cell r="N143" t="str">
            <v>PUBP.PA</v>
          </cell>
          <cell r="O143" t="str">
            <v>Publicis Groupe SA</v>
          </cell>
          <cell r="P143" t="str">
            <v>EN Paris</v>
          </cell>
          <cell r="Q143" t="str">
            <v>Consumer Discretionary</v>
          </cell>
          <cell r="R143" t="str">
            <v>Media</v>
          </cell>
          <cell r="S143" t="str">
            <v>PUB.PA</v>
          </cell>
        </row>
        <row r="144">
          <cell r="L144" t="str">
            <v>IPN FP</v>
          </cell>
          <cell r="M144" t="str">
            <v>IPSEN-5137/</v>
          </cell>
          <cell r="N144" t="str">
            <v>IPN.PA</v>
          </cell>
          <cell r="O144" t="str">
            <v>Ipsen SA</v>
          </cell>
          <cell r="P144" t="str">
            <v>EN Paris</v>
          </cell>
          <cell r="Q144" t="str">
            <v>Health Care</v>
          </cell>
          <cell r="R144" t="str">
            <v>Pharmaceuticals</v>
          </cell>
          <cell r="S144" t="str">
            <v>IPN.PA</v>
          </cell>
        </row>
        <row r="145">
          <cell r="L145" t="str">
            <v>AC FP</v>
          </cell>
          <cell r="M145" t="str">
            <v>ACCOR-4602/</v>
          </cell>
          <cell r="N145" t="str">
            <v>ACCP.PA</v>
          </cell>
          <cell r="O145" t="str">
            <v>Accor SA</v>
          </cell>
          <cell r="P145" t="str">
            <v>EN Paris</v>
          </cell>
          <cell r="Q145" t="str">
            <v>Consumer Discretionary</v>
          </cell>
          <cell r="R145" t="str">
            <v>Hotels, Restaurants &amp; Leisure</v>
          </cell>
          <cell r="S145" t="str">
            <v>AC.PA</v>
          </cell>
        </row>
        <row r="146">
          <cell r="L146" t="str">
            <v>AMUN FP</v>
          </cell>
          <cell r="M146" t="str">
            <v>AMUNDI-24827105/</v>
          </cell>
          <cell r="N146" t="str">
            <v>AMUN.PA</v>
          </cell>
          <cell r="O146" t="str">
            <v>Amundi SA</v>
          </cell>
          <cell r="P146" t="str">
            <v>EN Paris</v>
          </cell>
          <cell r="Q146" t="str">
            <v>Financials</v>
          </cell>
          <cell r="R146" t="str">
            <v>Capital Markets</v>
          </cell>
          <cell r="S146" t="str">
            <v>AMUN.PA</v>
          </cell>
        </row>
        <row r="147">
          <cell r="L147" t="str">
            <v>CA FP</v>
          </cell>
          <cell r="M147" t="str">
            <v>CARREFOUR-4626/</v>
          </cell>
          <cell r="N147" t="str">
            <v>CARR.PA</v>
          </cell>
          <cell r="O147" t="str">
            <v>Carrefour SA</v>
          </cell>
          <cell r="P147" t="str">
            <v>EN Paris</v>
          </cell>
          <cell r="Q147" t="str">
            <v>Consumer Staples</v>
          </cell>
          <cell r="R147" t="str">
            <v>Food &amp; Staples Retailing</v>
          </cell>
          <cell r="S147" t="str">
            <v>CA.PA</v>
          </cell>
        </row>
        <row r="148">
          <cell r="L148" t="str">
            <v>BOL FP</v>
          </cell>
          <cell r="M148" t="str">
            <v>BOLLORE-5155/</v>
          </cell>
          <cell r="N148" t="str">
            <v>BOLL.PA</v>
          </cell>
          <cell r="O148" t="str">
            <v>Bollore SA</v>
          </cell>
          <cell r="P148" t="str">
            <v>EN Paris</v>
          </cell>
          <cell r="Q148" t="str">
            <v>Industrials</v>
          </cell>
          <cell r="R148" t="str">
            <v>Air Freight &amp; Logistics</v>
          </cell>
          <cell r="S148" t="str">
            <v>BOL.PA</v>
          </cell>
        </row>
        <row r="149">
          <cell r="L149" t="str">
            <v>GFC FP</v>
          </cell>
          <cell r="M149" t="str">
            <v>GECINA-4651/</v>
          </cell>
          <cell r="N149" t="str">
            <v>GFCP.PA</v>
          </cell>
          <cell r="O149" t="str">
            <v>Gecina SA</v>
          </cell>
          <cell r="P149" t="str">
            <v>EN Paris</v>
          </cell>
          <cell r="Q149" t="str">
            <v>Real Estate</v>
          </cell>
          <cell r="R149" t="str">
            <v>Equity Real Estate Investment</v>
          </cell>
          <cell r="S149" t="str">
            <v>GFC.PA</v>
          </cell>
        </row>
        <row r="150">
          <cell r="L150" t="str">
            <v>ATO FP</v>
          </cell>
          <cell r="M150" t="str">
            <v>ATOS-SE-4612/</v>
          </cell>
          <cell r="N150" t="str">
            <v>ATOS.PA</v>
          </cell>
          <cell r="O150" t="str">
            <v>Atos SE</v>
          </cell>
          <cell r="P150" t="str">
            <v>EN Paris</v>
          </cell>
          <cell r="Q150" t="str">
            <v>Information Technology</v>
          </cell>
          <cell r="R150" t="str">
            <v>IT Services</v>
          </cell>
          <cell r="S150" t="str">
            <v>ATO.PA</v>
          </cell>
        </row>
        <row r="151">
          <cell r="L151" t="str">
            <v>FTI FP</v>
          </cell>
          <cell r="M151" t="str">
            <v>TECHNIPFMC-33326591/</v>
          </cell>
          <cell r="O151" t="str">
            <v>Technip</v>
          </cell>
          <cell r="P151" t="str">
            <v>EN Paris</v>
          </cell>
          <cell r="Q151" t="str">
            <v>Energy</v>
          </cell>
          <cell r="R151" t="str">
            <v>Energy Equipment &amp; Services</v>
          </cell>
          <cell r="S151" t="str">
            <v>FTI.PA</v>
          </cell>
        </row>
        <row r="152">
          <cell r="L152" t="str">
            <v>SW FP</v>
          </cell>
          <cell r="M152" t="str">
            <v>SODEXO-4703/</v>
          </cell>
          <cell r="O152" t="str">
            <v>Sodexo SA</v>
          </cell>
          <cell r="P152" t="str">
            <v>EN Paris</v>
          </cell>
          <cell r="Q152" t="str">
            <v>Consumer Discretionary</v>
          </cell>
          <cell r="R152" t="str">
            <v>Hotels, Restaurants &amp; Leisure</v>
          </cell>
          <cell r="S152" t="str">
            <v>SW.PA</v>
          </cell>
        </row>
        <row r="153">
          <cell r="L153" t="str">
            <v>UBI FP</v>
          </cell>
          <cell r="M153" t="str">
            <v>UBISOFT-ENTERTAINMENT-4719/</v>
          </cell>
          <cell r="N153" t="str">
            <v>UBIP.PA</v>
          </cell>
          <cell r="O153" t="str">
            <v>Ubisoft Entertainment SA</v>
          </cell>
          <cell r="P153" t="str">
            <v>EN Paris</v>
          </cell>
          <cell r="Q153" t="str">
            <v>Information Technology</v>
          </cell>
          <cell r="R153" t="str">
            <v>Software</v>
          </cell>
          <cell r="S153" t="str">
            <v>UBI.PA</v>
          </cell>
        </row>
        <row r="154">
          <cell r="L154" t="str">
            <v>VIE FP</v>
          </cell>
          <cell r="M154" t="str">
            <v>VEOLIA-ENVIRONNEMENT-4726/</v>
          </cell>
          <cell r="N154" t="str">
            <v>VIE.PA</v>
          </cell>
          <cell r="O154" t="str">
            <v>Veolia Environnement SA</v>
          </cell>
          <cell r="P154" t="str">
            <v>EN Paris</v>
          </cell>
          <cell r="Q154" t="str">
            <v>Utilities</v>
          </cell>
          <cell r="R154" t="str">
            <v>Multi-Utilities</v>
          </cell>
          <cell r="S154" t="str">
            <v>VIE.PA</v>
          </cell>
        </row>
        <row r="155">
          <cell r="L155" t="str">
            <v>BVI FP</v>
          </cell>
          <cell r="M155" t="str">
            <v>BUREAU-VERITAS-64670/</v>
          </cell>
          <cell r="N155" t="str">
            <v>BVI.PA</v>
          </cell>
          <cell r="O155" t="str">
            <v>Bureau Veritas SA</v>
          </cell>
          <cell r="P155" t="str">
            <v>EN Paris</v>
          </cell>
          <cell r="Q155" t="str">
            <v>Industrials</v>
          </cell>
          <cell r="R155" t="str">
            <v>Professional Services</v>
          </cell>
          <cell r="S155" t="str">
            <v>BVI.PA</v>
          </cell>
        </row>
        <row r="156">
          <cell r="L156" t="str">
            <v>LI FP</v>
          </cell>
          <cell r="M156" t="str">
            <v>KLEPIERRE-4665/</v>
          </cell>
          <cell r="N156" t="str">
            <v>LOIM.PA</v>
          </cell>
          <cell r="O156" t="str">
            <v>Klepierre SA</v>
          </cell>
          <cell r="P156" t="str">
            <v>EN Paris</v>
          </cell>
          <cell r="Q156" t="str">
            <v>Real Estate</v>
          </cell>
          <cell r="R156" t="str">
            <v>Equity Real Estate Investment</v>
          </cell>
          <cell r="S156" t="str">
            <v>LI.PA</v>
          </cell>
        </row>
        <row r="157">
          <cell r="L157" t="str">
            <v>TEP FP</v>
          </cell>
          <cell r="M157" t="str">
            <v>TELEPERFORMANCE-4709/</v>
          </cell>
          <cell r="N157" t="str">
            <v>ROCH.PA</v>
          </cell>
          <cell r="O157" t="str">
            <v>Teleperformance SE</v>
          </cell>
          <cell r="P157" t="str">
            <v>EN Paris</v>
          </cell>
          <cell r="Q157" t="str">
            <v>Industrials</v>
          </cell>
          <cell r="R157" t="str">
            <v>Professional Services</v>
          </cell>
          <cell r="S157" t="str">
            <v>TEP.PA</v>
          </cell>
        </row>
        <row r="158">
          <cell r="L158" t="str">
            <v>FGR FP</v>
          </cell>
          <cell r="M158" t="str">
            <v>EIFFAGE-4638/</v>
          </cell>
          <cell r="N158" t="str">
            <v>FOUG.PA</v>
          </cell>
          <cell r="O158" t="str">
            <v>Eiffage SA</v>
          </cell>
          <cell r="P158" t="str">
            <v>EN Paris</v>
          </cell>
          <cell r="Q158" t="str">
            <v>Industrials</v>
          </cell>
          <cell r="R158" t="str">
            <v>Construction &amp; Engineering</v>
          </cell>
          <cell r="S158" t="str">
            <v>FGR.PA</v>
          </cell>
        </row>
        <row r="159">
          <cell r="L159" t="str">
            <v>FR FP</v>
          </cell>
          <cell r="M159" t="str">
            <v>VALEO-27891158/</v>
          </cell>
          <cell r="N159" t="str">
            <v>VLOF.PA</v>
          </cell>
          <cell r="O159" t="str">
            <v>Valeo SA</v>
          </cell>
          <cell r="P159" t="str">
            <v>EN Paris</v>
          </cell>
          <cell r="Q159" t="str">
            <v>Consumer Discretionary</v>
          </cell>
          <cell r="R159" t="str">
            <v>Auto Components</v>
          </cell>
          <cell r="S159" t="str">
            <v>FR.PA</v>
          </cell>
        </row>
        <row r="160">
          <cell r="L160" t="str">
            <v>BIM FP</v>
          </cell>
          <cell r="M160" t="str">
            <v>BIOMERIEUX-37839085/</v>
          </cell>
          <cell r="N160" t="str">
            <v>BIOX.PA</v>
          </cell>
          <cell r="O160" t="str">
            <v>Biomerieux SA</v>
          </cell>
          <cell r="P160" t="str">
            <v>EN Paris</v>
          </cell>
          <cell r="Q160" t="str">
            <v>Health Care</v>
          </cell>
          <cell r="R160" t="str">
            <v>Health Care Equipment &amp; Suppli</v>
          </cell>
          <cell r="S160" t="str">
            <v>BIM.PA</v>
          </cell>
        </row>
        <row r="161">
          <cell r="L161" t="str">
            <v>ERF FP</v>
          </cell>
          <cell r="M161" t="str">
            <v>EUROFINS-SCIENTIFIC-S-E-4753/</v>
          </cell>
          <cell r="N161" t="str">
            <v>EUFI.PA</v>
          </cell>
          <cell r="O161" t="str">
            <v>EUROFINS SCIENTIFIC</v>
          </cell>
          <cell r="P161" t="str">
            <v>EN Paris</v>
          </cell>
          <cell r="Q161" t="str">
            <v>Health Care</v>
          </cell>
          <cell r="R161" t="str">
            <v>Life Sciences Tools &amp; Services</v>
          </cell>
          <cell r="S161" t="str">
            <v>ERF.PA</v>
          </cell>
        </row>
        <row r="162">
          <cell r="L162" t="str">
            <v>ALO FP</v>
          </cell>
          <cell r="M162" t="str">
            <v>ALSTOM-4607/</v>
          </cell>
          <cell r="N162" t="str">
            <v>ALSO.PA</v>
          </cell>
          <cell r="O162" t="str">
            <v>Alstom SA</v>
          </cell>
          <cell r="P162" t="str">
            <v>EN Paris</v>
          </cell>
          <cell r="Q162" t="str">
            <v>Industrials</v>
          </cell>
          <cell r="R162" t="str">
            <v>Machinery</v>
          </cell>
          <cell r="S162" t="str">
            <v>ALO.PA</v>
          </cell>
        </row>
        <row r="163">
          <cell r="L163" t="str">
            <v>AKE FP</v>
          </cell>
          <cell r="M163" t="str">
            <v>ARKEMA-17031/</v>
          </cell>
          <cell r="N163" t="str">
            <v>AKE.PA</v>
          </cell>
          <cell r="O163" t="str">
            <v>Arkema SA</v>
          </cell>
          <cell r="P163" t="str">
            <v>EN Paris</v>
          </cell>
          <cell r="Q163" t="str">
            <v>Materials</v>
          </cell>
          <cell r="R163" t="str">
            <v>Chemicals</v>
          </cell>
          <cell r="S163" t="str">
            <v>AKE.PA</v>
          </cell>
        </row>
        <row r="164">
          <cell r="L164" t="str">
            <v>SK FP</v>
          </cell>
          <cell r="M164" t="str">
            <v>GROUPE-SEB-4701/</v>
          </cell>
          <cell r="N164" t="str">
            <v>SEBF.PA</v>
          </cell>
          <cell r="O164" t="str">
            <v>SEB SA</v>
          </cell>
          <cell r="P164" t="str">
            <v>EN Paris</v>
          </cell>
          <cell r="Q164" t="str">
            <v>Consumer Discretionary</v>
          </cell>
          <cell r="R164" t="str">
            <v>Household Durables</v>
          </cell>
          <cell r="S164" t="str">
            <v>SK.PA</v>
          </cell>
        </row>
        <row r="165">
          <cell r="L165" t="str">
            <v>SESG FP</v>
          </cell>
          <cell r="M165" t="str">
            <v>SES-4989/</v>
          </cell>
          <cell r="N165" t="str">
            <v>SESFd.PA</v>
          </cell>
          <cell r="O165" t="str">
            <v>SES</v>
          </cell>
          <cell r="P165" t="str">
            <v>EN Paris</v>
          </cell>
          <cell r="Q165" t="str">
            <v>Consumer Discretionary</v>
          </cell>
          <cell r="R165" t="str">
            <v>Media</v>
          </cell>
          <cell r="S165" t="str">
            <v>SESG.PA</v>
          </cell>
        </row>
        <row r="166">
          <cell r="L166" t="str">
            <v>EDEN FP</v>
          </cell>
          <cell r="M166" t="str">
            <v>EDENRED-6365724/</v>
          </cell>
          <cell r="N166" t="str">
            <v>EDEN.PA</v>
          </cell>
          <cell r="O166" t="str">
            <v>Edenred SA</v>
          </cell>
          <cell r="P166" t="str">
            <v>EN Paris</v>
          </cell>
          <cell r="Q166" t="str">
            <v>Industrials</v>
          </cell>
          <cell r="R166" t="str">
            <v>Commercial Services &amp; Supplies</v>
          </cell>
          <cell r="S166" t="str">
            <v>EDEN.PA</v>
          </cell>
        </row>
        <row r="167">
          <cell r="L167" t="str">
            <v>SEV FP</v>
          </cell>
          <cell r="M167" t="str">
            <v>SUEZ-ENVIRONNEMENT-3729241/</v>
          </cell>
          <cell r="N167" t="str">
            <v>SEVI.PA</v>
          </cell>
          <cell r="O167" t="str">
            <v>Suez SA</v>
          </cell>
          <cell r="P167" t="str">
            <v>EN Paris</v>
          </cell>
          <cell r="Q167" t="str">
            <v>Utilities</v>
          </cell>
          <cell r="R167" t="str">
            <v>Multi-Utilities</v>
          </cell>
          <cell r="S167" t="str">
            <v>SEV.PA</v>
          </cell>
        </row>
        <row r="168">
          <cell r="L168" t="str">
            <v>ORP FP</v>
          </cell>
          <cell r="M168" t="str">
            <v>ORPEA-4799/</v>
          </cell>
          <cell r="N168" t="str">
            <v>ORP.PA</v>
          </cell>
          <cell r="O168" t="str">
            <v>Orpea SA</v>
          </cell>
          <cell r="P168" t="str">
            <v>EN Paris</v>
          </cell>
          <cell r="Q168" t="str">
            <v>Health Care</v>
          </cell>
          <cell r="R168" t="str">
            <v>Health Care Providers &amp; Servic</v>
          </cell>
          <cell r="S168" t="str">
            <v>ORP.PA</v>
          </cell>
        </row>
        <row r="169">
          <cell r="L169" t="str">
            <v>EO FP</v>
          </cell>
          <cell r="M169" t="str">
            <v>FAURECIA-4647/</v>
          </cell>
          <cell r="N169" t="str">
            <v>EPED.PA</v>
          </cell>
          <cell r="O169" t="str">
            <v>Faurecia SA</v>
          </cell>
          <cell r="P169" t="str">
            <v>EN Paris</v>
          </cell>
          <cell r="Q169" t="str">
            <v>Consumer Discretionary</v>
          </cell>
          <cell r="R169" t="str">
            <v>Auto Components</v>
          </cell>
          <cell r="S169" t="str">
            <v>EO.PA</v>
          </cell>
        </row>
        <row r="170">
          <cell r="L170" t="str">
            <v>SCR FP</v>
          </cell>
          <cell r="M170" t="str">
            <v>SCOR-SE-40096/</v>
          </cell>
          <cell r="N170" t="str">
            <v>SCOR.PA</v>
          </cell>
          <cell r="O170" t="str">
            <v>Scor SE</v>
          </cell>
          <cell r="P170" t="str">
            <v>EN Paris</v>
          </cell>
          <cell r="Q170" t="str">
            <v>Financials</v>
          </cell>
          <cell r="R170" t="str">
            <v>Insurance</v>
          </cell>
          <cell r="S170" t="str">
            <v>SCR.PA</v>
          </cell>
        </row>
        <row r="171">
          <cell r="L171" t="str">
            <v>ILD FP</v>
          </cell>
          <cell r="M171" t="str">
            <v>ILIAD-4765/</v>
          </cell>
          <cell r="N171" t="str">
            <v>ILD.PA</v>
          </cell>
          <cell r="O171" t="str">
            <v>Iliad SA</v>
          </cell>
          <cell r="P171" t="str">
            <v>EN Paris</v>
          </cell>
          <cell r="Q171" t="str">
            <v>Telecommunication Services</v>
          </cell>
          <cell r="R171" t="str">
            <v>Diversified Telecommunication</v>
          </cell>
          <cell r="S171" t="str">
            <v>ILD.PA</v>
          </cell>
        </row>
        <row r="172">
          <cell r="L172" t="str">
            <v>RCO FP</v>
          </cell>
          <cell r="M172" t="str">
            <v>REMY-COINTREAU-4687/</v>
          </cell>
          <cell r="N172" t="str">
            <v>RCOP.PA</v>
          </cell>
          <cell r="O172" t="str">
            <v>Remy Cointreau SA</v>
          </cell>
          <cell r="P172" t="str">
            <v>EN Paris</v>
          </cell>
          <cell r="Q172" t="str">
            <v>Consumer Staples</v>
          </cell>
          <cell r="R172" t="str">
            <v>Beverages</v>
          </cell>
          <cell r="S172" t="str">
            <v>RCO.PA</v>
          </cell>
        </row>
        <row r="173">
          <cell r="L173" t="str">
            <v>DEC FP</v>
          </cell>
          <cell r="M173" t="str">
            <v>JCDECAUX-4664/</v>
          </cell>
          <cell r="N173" t="str">
            <v>JCDX.PA</v>
          </cell>
          <cell r="O173" t="str">
            <v>JCDecaux SA</v>
          </cell>
          <cell r="P173" t="str">
            <v>EN Paris</v>
          </cell>
          <cell r="Q173" t="str">
            <v>Consumer Discretionary</v>
          </cell>
          <cell r="R173" t="str">
            <v>Media</v>
          </cell>
          <cell r="S173" t="str">
            <v>DEC.PA</v>
          </cell>
        </row>
        <row r="174">
          <cell r="L174" t="str">
            <v>GET FP</v>
          </cell>
          <cell r="M174" t="str">
            <v>GETLINK-54576/</v>
          </cell>
          <cell r="N174" t="str">
            <v>GETP.PA</v>
          </cell>
          <cell r="O174" t="str">
            <v>Getlink SE</v>
          </cell>
          <cell r="P174" t="str">
            <v>EN Paris</v>
          </cell>
          <cell r="Q174" t="str">
            <v>Industrials</v>
          </cell>
          <cell r="R174" t="str">
            <v>Transportation Infrastructure</v>
          </cell>
          <cell r="S174" t="str">
            <v>GET.PA</v>
          </cell>
        </row>
        <row r="175">
          <cell r="L175" t="str">
            <v>MF FP</v>
          </cell>
          <cell r="M175" t="str">
            <v>WENDEL-4671/</v>
          </cell>
          <cell r="N175" t="str">
            <v>MWDP.PA</v>
          </cell>
          <cell r="O175" t="str">
            <v>Wendel SE</v>
          </cell>
          <cell r="P175" t="str">
            <v>EN Paris</v>
          </cell>
          <cell r="Q175" t="str">
            <v>Financials</v>
          </cell>
          <cell r="R175" t="str">
            <v>Diversified Financial Services</v>
          </cell>
          <cell r="S175" t="str">
            <v>MF.PA</v>
          </cell>
        </row>
        <row r="176">
          <cell r="L176" t="str">
            <v>RF FP</v>
          </cell>
          <cell r="M176" t="str">
            <v>EURAZEO-4643/</v>
          </cell>
          <cell r="N176" t="str">
            <v>EURA.PA</v>
          </cell>
          <cell r="O176" t="str">
            <v>Eurazeo SE</v>
          </cell>
          <cell r="P176" t="str">
            <v>EN Paris</v>
          </cell>
          <cell r="Q176" t="str">
            <v>Financials</v>
          </cell>
          <cell r="R176" t="str">
            <v>Diversified Financial Services</v>
          </cell>
          <cell r="S176" t="str">
            <v>RF.PA</v>
          </cell>
        </row>
        <row r="177">
          <cell r="L177" t="str">
            <v>POM FP</v>
          </cell>
          <cell r="M177" t="str">
            <v>PLASTIC-OMNIUM-4784/</v>
          </cell>
          <cell r="N177" t="str">
            <v>PLOF.PA</v>
          </cell>
          <cell r="O177" t="str">
            <v>Compagnie Plastic Omnium SA</v>
          </cell>
          <cell r="P177" t="str">
            <v>EN Paris</v>
          </cell>
          <cell r="Q177" t="str">
            <v>Consumer Discretionary</v>
          </cell>
          <cell r="R177" t="str">
            <v>Auto Components</v>
          </cell>
          <cell r="S177" t="str">
            <v>POM.PA</v>
          </cell>
        </row>
        <row r="178">
          <cell r="L178" t="str">
            <v>RUI FP</v>
          </cell>
          <cell r="M178" t="str">
            <v>RUBIS-37262425/</v>
          </cell>
          <cell r="N178" t="str">
            <v>RUBF.PA</v>
          </cell>
          <cell r="O178" t="str">
            <v>Rubis SCA</v>
          </cell>
          <cell r="P178" t="str">
            <v>EN Paris</v>
          </cell>
          <cell r="Q178" t="str">
            <v>Utilities</v>
          </cell>
          <cell r="R178" t="str">
            <v>Gas Utilities</v>
          </cell>
          <cell r="S178" t="str">
            <v>RUI.PA</v>
          </cell>
        </row>
        <row r="179">
          <cell r="L179" t="str">
            <v>NK FP</v>
          </cell>
          <cell r="M179" t="str">
            <v>IMERYS-4660/</v>
          </cell>
          <cell r="N179" t="str">
            <v>IMTP.PA</v>
          </cell>
          <cell r="O179" t="str">
            <v>Imerys SA</v>
          </cell>
          <cell r="P179" t="str">
            <v>EN Paris</v>
          </cell>
          <cell r="Q179" t="str">
            <v>Materials</v>
          </cell>
          <cell r="R179" t="str">
            <v>Construction Materials</v>
          </cell>
          <cell r="S179" t="str">
            <v>NK.PA</v>
          </cell>
        </row>
        <row r="180">
          <cell r="L180" t="str">
            <v>ETL FP</v>
          </cell>
          <cell r="M180" t="str">
            <v>EUTELSAT-COMMUNICATIONS-5147/</v>
          </cell>
          <cell r="N180" t="str">
            <v>ETL.PA</v>
          </cell>
          <cell r="O180" t="str">
            <v>Eutelsat Communications SA</v>
          </cell>
          <cell r="P180" t="str">
            <v>EN Paris</v>
          </cell>
          <cell r="Q180" t="str">
            <v>Consumer Discretionary</v>
          </cell>
          <cell r="R180" t="str">
            <v>Media</v>
          </cell>
          <cell r="S180" t="str">
            <v>ETL.PA</v>
          </cell>
        </row>
        <row r="181">
          <cell r="L181" t="str">
            <v>ELIS FP</v>
          </cell>
          <cell r="M181" t="str">
            <v>ELIS-20566590/</v>
          </cell>
          <cell r="N181" t="str">
            <v>ELIS.PA</v>
          </cell>
          <cell r="O181" t="str">
            <v>Elis SA</v>
          </cell>
          <cell r="P181" t="str">
            <v>EN Paris</v>
          </cell>
          <cell r="Q181" t="str">
            <v>Industrials</v>
          </cell>
          <cell r="R181" t="str">
            <v>Commercial Services &amp; Supplies</v>
          </cell>
          <cell r="S181" t="str">
            <v>ELIS.PA</v>
          </cell>
        </row>
        <row r="182">
          <cell r="L182" t="str">
            <v>RXL FP</v>
          </cell>
          <cell r="M182" t="str">
            <v>REXEL-47601/</v>
          </cell>
          <cell r="N182" t="str">
            <v>RXL.PA</v>
          </cell>
          <cell r="O182" t="str">
            <v>Rexel SA</v>
          </cell>
          <cell r="P182" t="str">
            <v>EN Paris</v>
          </cell>
          <cell r="Q182" t="str">
            <v>Industrials</v>
          </cell>
          <cell r="R182" t="str">
            <v>Trading Companies &amp; Distributo</v>
          </cell>
          <cell r="S182" t="str">
            <v>RXL.PA</v>
          </cell>
        </row>
        <row r="183">
          <cell r="L183" t="str">
            <v>BB FP</v>
          </cell>
          <cell r="M183" t="str">
            <v>BIC-4617/</v>
          </cell>
          <cell r="N183" t="str">
            <v>BICP.PA</v>
          </cell>
          <cell r="O183" t="str">
            <v>Societe BIC SA</v>
          </cell>
          <cell r="P183" t="str">
            <v>EN Paris</v>
          </cell>
          <cell r="Q183" t="str">
            <v>Industrials</v>
          </cell>
          <cell r="R183" t="str">
            <v>Commercial Services &amp; Supplies</v>
          </cell>
          <cell r="S183" t="str">
            <v>BB.PA</v>
          </cell>
        </row>
        <row r="184">
          <cell r="L184" t="str">
            <v>ING FP</v>
          </cell>
          <cell r="M184" t="str">
            <v>INGENICO-GROUP-4662/</v>
          </cell>
          <cell r="N184" t="str">
            <v>INGC.PA</v>
          </cell>
          <cell r="O184" t="str">
            <v>Ingenico Group SA</v>
          </cell>
          <cell r="P184" t="str">
            <v>EN Paris</v>
          </cell>
          <cell r="Q184" t="str">
            <v>Information Technology</v>
          </cell>
          <cell r="R184" t="str">
            <v>Electronic Equipment, Instrume</v>
          </cell>
          <cell r="S184" t="str">
            <v>ING.PA</v>
          </cell>
        </row>
        <row r="185">
          <cell r="L185" t="str">
            <v>AF FP</v>
          </cell>
          <cell r="M185" t="str">
            <v>AIR-FRANCE-KLM-4604/</v>
          </cell>
          <cell r="N185" t="str">
            <v>AIRF.PA</v>
          </cell>
          <cell r="O185" t="str">
            <v>Air France KLM SA</v>
          </cell>
          <cell r="P185" t="str">
            <v>EN Paris</v>
          </cell>
          <cell r="Q185" t="str">
            <v>Industrials</v>
          </cell>
          <cell r="R185" t="str">
            <v>Airlines</v>
          </cell>
          <cell r="S185" t="str">
            <v>AF.PA</v>
          </cell>
        </row>
        <row r="186">
          <cell r="L186" t="str">
            <v>MMB FP</v>
          </cell>
          <cell r="M186" t="str">
            <v>LAGARDERE-4668/</v>
          </cell>
          <cell r="N186" t="str">
            <v>LAGA.PA</v>
          </cell>
          <cell r="O186" t="str">
            <v>Lagardere SCA</v>
          </cell>
          <cell r="P186" t="str">
            <v>EN Paris</v>
          </cell>
          <cell r="Q186" t="str">
            <v>Consumer Discretionary</v>
          </cell>
          <cell r="R186" t="str">
            <v>Media</v>
          </cell>
          <cell r="S186" t="str">
            <v>MMB.PA</v>
          </cell>
        </row>
        <row r="187">
          <cell r="L187" t="str">
            <v>SOP FP</v>
          </cell>
          <cell r="M187" t="str">
            <v>SOPRA-STERIA-GROUP-4707/</v>
          </cell>
          <cell r="N187" t="str">
            <v>SOPR.PA</v>
          </cell>
          <cell r="O187" t="str">
            <v>Sopra Steria Group SA</v>
          </cell>
          <cell r="P187" t="str">
            <v>EN Paris</v>
          </cell>
          <cell r="Q187" t="str">
            <v>Information Technology</v>
          </cell>
          <cell r="R187" t="str">
            <v>IT Services</v>
          </cell>
          <cell r="S187" t="str">
            <v>SOP.PA</v>
          </cell>
        </row>
        <row r="188">
          <cell r="L188" t="str">
            <v>ATE FP</v>
          </cell>
          <cell r="M188" t="str">
            <v>ALTEN-4609/</v>
          </cell>
          <cell r="N188" t="str">
            <v>LTEN.PA</v>
          </cell>
          <cell r="O188" t="str">
            <v>Alten SA</v>
          </cell>
          <cell r="P188" t="str">
            <v>EN Paris</v>
          </cell>
          <cell r="Q188" t="str">
            <v>Information Technology</v>
          </cell>
          <cell r="R188" t="str">
            <v>IT Services</v>
          </cell>
          <cell r="S188" t="str">
            <v>ATE.PA</v>
          </cell>
        </row>
        <row r="189">
          <cell r="L189" t="str">
            <v>CO FP</v>
          </cell>
          <cell r="M189" t="str">
            <v>CASINO-GUICHARD-PERRACHON-4627/</v>
          </cell>
          <cell r="N189" t="str">
            <v>CASP.PA</v>
          </cell>
          <cell r="O189" t="str">
            <v>Casino Guichard Perrachon SA</v>
          </cell>
          <cell r="P189" t="str">
            <v>EN Paris</v>
          </cell>
          <cell r="Q189" t="str">
            <v>Consumer Staples</v>
          </cell>
          <cell r="R189" t="str">
            <v>Food &amp; Staples Retailing</v>
          </cell>
          <cell r="S189" t="str">
            <v>CO.PA</v>
          </cell>
        </row>
        <row r="190">
          <cell r="L190" t="str">
            <v>SPIE FP</v>
          </cell>
          <cell r="M190" t="str">
            <v>SPIE-22363257/</v>
          </cell>
          <cell r="N190" t="str">
            <v>SPIE.PA</v>
          </cell>
          <cell r="O190" t="str">
            <v>Spie SA</v>
          </cell>
          <cell r="P190" t="str">
            <v>EN Paris</v>
          </cell>
          <cell r="Q190" t="str">
            <v>Industrials</v>
          </cell>
          <cell r="R190" t="str">
            <v>Commercial Services &amp; Supplies</v>
          </cell>
          <cell r="S190" t="str">
            <v>SPIE.PA</v>
          </cell>
        </row>
        <row r="191">
          <cell r="L191" t="str">
            <v>ALT FP</v>
          </cell>
          <cell r="M191" t="str">
            <v>ALTRAN-TECHNOLOGIES-4610/</v>
          </cell>
          <cell r="N191" t="str">
            <v>ALTT.PA</v>
          </cell>
          <cell r="O191" t="str">
            <v>Altran Technologies SA</v>
          </cell>
          <cell r="P191" t="str">
            <v>EN Paris</v>
          </cell>
          <cell r="Q191" t="str">
            <v>Information Technology</v>
          </cell>
          <cell r="R191" t="str">
            <v>IT Services</v>
          </cell>
          <cell r="S191" t="str">
            <v>ALT.PA</v>
          </cell>
        </row>
        <row r="192">
          <cell r="L192" t="str">
            <v>RRTL GY</v>
          </cell>
          <cell r="M192" t="str">
            <v>RTL-GROUP-438125/</v>
          </cell>
          <cell r="O192" t="str">
            <v>RTL GROUP</v>
          </cell>
          <cell r="P192" t="str">
            <v>Frankfurt</v>
          </cell>
          <cell r="Q192" t="str">
            <v>Consumer Discretionary</v>
          </cell>
          <cell r="R192" t="str">
            <v>Media</v>
          </cell>
        </row>
        <row r="193">
          <cell r="L193" t="str">
            <v>AT1 GY</v>
          </cell>
          <cell r="M193" t="str">
            <v>AROUNDTOWN-SA-37788018/</v>
          </cell>
          <cell r="N193" t="str">
            <v>AT1.DE</v>
          </cell>
          <cell r="O193" t="str">
            <v>AROUNDTOWN SA</v>
          </cell>
          <cell r="P193" t="str">
            <v>frankfurt</v>
          </cell>
          <cell r="Q193" t="str">
            <v>Real Estate</v>
          </cell>
          <cell r="R193" t="str">
            <v>Real Estate Management &amp; Devel</v>
          </cell>
        </row>
        <row r="194">
          <cell r="L194" t="str">
            <v>QIA GY</v>
          </cell>
          <cell r="M194" t="str">
            <v>QIAGEN-33350867/</v>
          </cell>
          <cell r="N194" t="str">
            <v>QIA.DE</v>
          </cell>
          <cell r="O194" t="str">
            <v>QIAGEN N.V.</v>
          </cell>
          <cell r="P194" t="str">
            <v>Frankfurt</v>
          </cell>
          <cell r="Q194" t="str">
            <v>Health Care</v>
          </cell>
          <cell r="R194" t="str">
            <v>Life Sciences Tools &amp; Services</v>
          </cell>
          <cell r="S194" t="str">
            <v>QIA.DE</v>
          </cell>
        </row>
        <row r="195">
          <cell r="L195" t="str">
            <v>COLOB DC</v>
          </cell>
          <cell r="M195" t="str">
            <v>COLOPLAST-A-S-1412860/</v>
          </cell>
          <cell r="O195" t="str">
            <v>COLOPLAST-B</v>
          </cell>
          <cell r="P195" t="str">
            <v>Health Care Equipment &amp; Servic</v>
          </cell>
          <cell r="Q195" t="str">
            <v>Health Care</v>
          </cell>
          <cell r="R195" t="str">
            <v>Health Care Equipment &amp; Suppli</v>
          </cell>
          <cell r="S195" t="str">
            <v>COLO-B.CO</v>
          </cell>
        </row>
        <row r="196">
          <cell r="L196" t="str">
            <v>NOKIA FH</v>
          </cell>
          <cell r="M196" t="str">
            <v>NOKIA-OYJ-56358470/</v>
          </cell>
          <cell r="N196" t="str">
            <v>NOKIA.HE</v>
          </cell>
          <cell r="O196" t="str">
            <v>Nokia Oyj</v>
          </cell>
          <cell r="P196" t="str">
            <v>Helsinki</v>
          </cell>
          <cell r="Q196" t="str">
            <v>Information Technology</v>
          </cell>
          <cell r="R196" t="str">
            <v>Communications Equipment</v>
          </cell>
          <cell r="S196" t="str">
            <v>NOKIA.HE</v>
          </cell>
        </row>
        <row r="197">
          <cell r="L197" t="str">
            <v>KNEBV FH</v>
          </cell>
          <cell r="M197" t="str">
            <v>KONE-OYJ-1412480/</v>
          </cell>
          <cell r="N197" t="str">
            <v>KNEBV.HE</v>
          </cell>
          <cell r="O197" t="str">
            <v>Kone Oyj</v>
          </cell>
          <cell r="P197" t="str">
            <v>Helsinki</v>
          </cell>
          <cell r="Q197" t="str">
            <v>Industrials</v>
          </cell>
          <cell r="R197" t="str">
            <v>Machinery</v>
          </cell>
          <cell r="S197" t="str">
            <v>KNEBV.HE</v>
          </cell>
        </row>
        <row r="198">
          <cell r="L198" t="str">
            <v>UPM FH</v>
          </cell>
          <cell r="M198" t="str">
            <v>UPM-KYMMENE-OYJ-1412565/</v>
          </cell>
          <cell r="N198" t="str">
            <v>UPM1V.HE</v>
          </cell>
          <cell r="O198" t="str">
            <v>UPM-Kymmene Oyj</v>
          </cell>
          <cell r="P198" t="str">
            <v>Helsinki</v>
          </cell>
          <cell r="Q198" t="str">
            <v>Materials</v>
          </cell>
          <cell r="R198" t="str">
            <v>Paper &amp; Forest Products</v>
          </cell>
          <cell r="S198" t="str">
            <v>UPM.HE</v>
          </cell>
        </row>
        <row r="199">
          <cell r="L199" t="str">
            <v>FORTUM FH</v>
          </cell>
          <cell r="M199" t="str">
            <v>FORTUM-OYJ-1412461/</v>
          </cell>
          <cell r="O199" t="str">
            <v>Fortum Oyj</v>
          </cell>
          <cell r="P199" t="str">
            <v>Helsinki</v>
          </cell>
          <cell r="Q199" t="str">
            <v>Utilities</v>
          </cell>
          <cell r="R199" t="str">
            <v>Electric Utilities</v>
          </cell>
          <cell r="S199" t="str">
            <v>FORTUM.HE</v>
          </cell>
        </row>
        <row r="200">
          <cell r="L200" t="str">
            <v>NESTE FH</v>
          </cell>
          <cell r="M200" t="str">
            <v>NESTE-1412495/</v>
          </cell>
          <cell r="O200" t="str">
            <v>Neste Oyj</v>
          </cell>
          <cell r="P200" t="str">
            <v>Helsinki</v>
          </cell>
          <cell r="Q200" t="str">
            <v>Energy</v>
          </cell>
          <cell r="R200" t="str">
            <v>Oil, Gas &amp; Consumable Fuels</v>
          </cell>
          <cell r="S200" t="str">
            <v>NESTE.HE</v>
          </cell>
        </row>
        <row r="201">
          <cell r="L201" t="str">
            <v>STERV FH</v>
          </cell>
          <cell r="M201" t="str">
            <v>STORA-ENSO-OYJ-1412452/</v>
          </cell>
          <cell r="O201" t="str">
            <v>Stora Enso Oyj</v>
          </cell>
          <cell r="P201" t="str">
            <v>Helsinki</v>
          </cell>
          <cell r="Q201" t="str">
            <v>Materials</v>
          </cell>
          <cell r="R201" t="str">
            <v>Paper &amp; Forest Products</v>
          </cell>
          <cell r="S201" t="str">
            <v>STERV.HE</v>
          </cell>
        </row>
        <row r="202">
          <cell r="L202" t="str">
            <v>WRT1V FH</v>
          </cell>
          <cell r="M202" t="str">
            <v>WARTSILA-OYJ-ABP-1412489/</v>
          </cell>
          <cell r="N202" t="str">
            <v>WRT1V.HE</v>
          </cell>
          <cell r="O202" t="str">
            <v>Wartsila Oyj Abp</v>
          </cell>
          <cell r="P202" t="str">
            <v>Helsinki</v>
          </cell>
          <cell r="Q202" t="str">
            <v>Industrials</v>
          </cell>
          <cell r="R202" t="str">
            <v>Machinery</v>
          </cell>
          <cell r="S202" t="str">
            <v>WRT1V.HE</v>
          </cell>
        </row>
        <row r="203">
          <cell r="L203" t="str">
            <v>NRE1V FH</v>
          </cell>
          <cell r="M203" t="str">
            <v>NOKIAN-RENKAAT-OYJ-58808503/</v>
          </cell>
          <cell r="N203" t="str">
            <v>NRE1V.HE</v>
          </cell>
          <cell r="O203" t="str">
            <v>Nokian Tyres plc</v>
          </cell>
          <cell r="P203" t="str">
            <v>Helsinki</v>
          </cell>
          <cell r="Q203" t="str">
            <v>Consumer Discretionary</v>
          </cell>
          <cell r="R203" t="str">
            <v>Auto Components</v>
          </cell>
          <cell r="S203" t="str">
            <v>NRE1V.HE</v>
          </cell>
        </row>
        <row r="204">
          <cell r="L204" t="str">
            <v>OUT1V FH</v>
          </cell>
          <cell r="M204" t="str">
            <v>OUTOKUMPU-OYJ-1412511/</v>
          </cell>
          <cell r="N204" t="str">
            <v>OUT1V.HE</v>
          </cell>
          <cell r="O204" t="str">
            <v>Outokumpu Oyj</v>
          </cell>
          <cell r="P204" t="str">
            <v>Helsinki</v>
          </cell>
          <cell r="Q204" t="str">
            <v>Materials</v>
          </cell>
          <cell r="R204" t="str">
            <v>Metals &amp; Mining</v>
          </cell>
          <cell r="S204" t="str">
            <v>OUT1V.HE</v>
          </cell>
        </row>
        <row r="205">
          <cell r="L205" t="str">
            <v>HSBA LN</v>
          </cell>
          <cell r="M205" t="str">
            <v>HSBC-HOLDINGS-16896790/</v>
          </cell>
          <cell r="N205" t="str">
            <v>HSBA.L</v>
          </cell>
          <cell r="O205" t="str">
            <v>HSBC Holdings PLC</v>
          </cell>
          <cell r="P205" t="str">
            <v>London</v>
          </cell>
          <cell r="Q205" t="str">
            <v>Financials</v>
          </cell>
          <cell r="R205" t="str">
            <v>Banks</v>
          </cell>
          <cell r="S205" t="str">
            <v>HSBA.L</v>
          </cell>
        </row>
        <row r="206">
          <cell r="L206" t="str">
            <v>ULVR LN</v>
          </cell>
          <cell r="M206" t="str">
            <v>UNILEVER-9590186/</v>
          </cell>
          <cell r="N206" t="str">
            <v>ULVR.L</v>
          </cell>
          <cell r="O206" t="str">
            <v>Unilever PLC</v>
          </cell>
          <cell r="P206" t="str">
            <v>London</v>
          </cell>
          <cell r="Q206" t="str">
            <v>Consumer Staples</v>
          </cell>
          <cell r="R206" t="str">
            <v>Personal Products</v>
          </cell>
          <cell r="S206" t="str">
            <v>ULVR.L</v>
          </cell>
        </row>
        <row r="207">
          <cell r="L207" t="str">
            <v>BP/ LN</v>
          </cell>
          <cell r="M207" t="str">
            <v>BP-9590188/</v>
          </cell>
          <cell r="N207" t="str">
            <v>BP.L</v>
          </cell>
          <cell r="O207" t="str">
            <v>BP PLC</v>
          </cell>
          <cell r="P207" t="str">
            <v>London</v>
          </cell>
          <cell r="Q207" t="str">
            <v>Energy</v>
          </cell>
          <cell r="R207" t="str">
            <v>Oil, Gas &amp; Consumable Fuels</v>
          </cell>
          <cell r="S207" t="str">
            <v>BP.L</v>
          </cell>
        </row>
        <row r="208">
          <cell r="L208" t="str">
            <v>BLT LN</v>
          </cell>
          <cell r="M208" t="str">
            <v>BHP-GROUP-PLC-47281658/</v>
          </cell>
          <cell r="N208" t="str">
            <v>BLT.L</v>
          </cell>
          <cell r="O208" t="str">
            <v>BHP Billiton PLC</v>
          </cell>
          <cell r="P208" t="str">
            <v>London</v>
          </cell>
          <cell r="Q208" t="str">
            <v>Materials</v>
          </cell>
          <cell r="R208" t="str">
            <v>Metals &amp; Mining</v>
          </cell>
          <cell r="S208" t="str">
            <v>BHP.L</v>
          </cell>
        </row>
        <row r="209">
          <cell r="L209" t="str">
            <v>BATS LN</v>
          </cell>
          <cell r="M209" t="str">
            <v>BRITISH-AMERICAN-TOBACCO-4001163/</v>
          </cell>
          <cell r="N209" t="str">
            <v>BATS.L</v>
          </cell>
          <cell r="O209" t="str">
            <v>British American Tobacco PLC</v>
          </cell>
          <cell r="P209" t="str">
            <v>London</v>
          </cell>
          <cell r="Q209" t="str">
            <v>Consumer Staples</v>
          </cell>
          <cell r="R209" t="str">
            <v>Tobacco</v>
          </cell>
          <cell r="S209" t="str">
            <v>BATS.L</v>
          </cell>
        </row>
        <row r="210">
          <cell r="L210" t="str">
            <v>GSK LN</v>
          </cell>
          <cell r="M210" t="str">
            <v>GLAXOSMITHKLINE-9590199/</v>
          </cell>
          <cell r="N210" t="str">
            <v>GSK.L</v>
          </cell>
          <cell r="O210" t="str">
            <v>GlaxoSmithKline PLC</v>
          </cell>
          <cell r="P210" t="str">
            <v>London</v>
          </cell>
          <cell r="Q210" t="str">
            <v>Health Care</v>
          </cell>
          <cell r="R210" t="str">
            <v>Pharmaceuticals</v>
          </cell>
          <cell r="S210" t="str">
            <v>GSK.L</v>
          </cell>
        </row>
        <row r="211">
          <cell r="L211" t="str">
            <v>AZN LN</v>
          </cell>
          <cell r="M211" t="str">
            <v>ASTRAZENECA-4000930/</v>
          </cell>
          <cell r="N211" t="str">
            <v>AZN.L</v>
          </cell>
          <cell r="O211" t="str">
            <v>AstraZeneca PLC</v>
          </cell>
          <cell r="P211" t="str">
            <v>London</v>
          </cell>
          <cell r="Q211" t="str">
            <v>Health Care</v>
          </cell>
          <cell r="R211" t="str">
            <v>Pharmaceuticals</v>
          </cell>
          <cell r="S211" t="str">
            <v>AZN.L</v>
          </cell>
        </row>
        <row r="212">
          <cell r="L212" t="str">
            <v>DGE LN</v>
          </cell>
          <cell r="M212" t="str">
            <v>DIAGEO-4000514/</v>
          </cell>
          <cell r="N212" t="str">
            <v>DGE.PA</v>
          </cell>
          <cell r="O212" t="str">
            <v>Diageo PLC</v>
          </cell>
          <cell r="P212" t="str">
            <v>London</v>
          </cell>
          <cell r="Q212" t="str">
            <v>Consumer Staples</v>
          </cell>
          <cell r="R212" t="str">
            <v>Beverages</v>
          </cell>
          <cell r="S212" t="str">
            <v>DGE.L</v>
          </cell>
        </row>
        <row r="213">
          <cell r="L213" t="str">
            <v>RIO LN</v>
          </cell>
          <cell r="M213" t="str">
            <v>RIO-TINTO-9590196/</v>
          </cell>
          <cell r="O213" t="str">
            <v>Rio Tinto PLC</v>
          </cell>
          <cell r="P213" t="str">
            <v>London</v>
          </cell>
          <cell r="Q213" t="str">
            <v>Materials</v>
          </cell>
          <cell r="R213" t="str">
            <v>Metals &amp; Mining</v>
          </cell>
          <cell r="S213" t="str">
            <v>RIO.L</v>
          </cell>
        </row>
        <row r="214">
          <cell r="L214" t="str">
            <v>RB/ LN</v>
          </cell>
          <cell r="M214" t="str">
            <v>RECKITT-BENCKISER-9590106/</v>
          </cell>
          <cell r="N214" t="str">
            <v>RB.L</v>
          </cell>
          <cell r="O214" t="str">
            <v>Reckitt Benckiser Group PLC</v>
          </cell>
          <cell r="P214" t="str">
            <v>London</v>
          </cell>
          <cell r="Q214" t="str">
            <v>Consumer Staples</v>
          </cell>
          <cell r="R214" t="str">
            <v>Household Products</v>
          </cell>
          <cell r="S214" t="str">
            <v>RB.L</v>
          </cell>
        </row>
        <row r="215">
          <cell r="L215" t="str">
            <v>PRU LN</v>
          </cell>
          <cell r="M215" t="str">
            <v>PRUDENTIAL-9590193/</v>
          </cell>
          <cell r="N215" t="str">
            <v>PRU.L</v>
          </cell>
          <cell r="O215" t="str">
            <v>Prudential PLC</v>
          </cell>
          <cell r="P215" t="str">
            <v>London</v>
          </cell>
          <cell r="Q215" t="str">
            <v>Financials</v>
          </cell>
          <cell r="R215" t="str">
            <v>Insurance</v>
          </cell>
          <cell r="S215" t="str">
            <v>PRU.L</v>
          </cell>
        </row>
        <row r="216">
          <cell r="L216" t="str">
            <v>VOD LN</v>
          </cell>
          <cell r="M216" t="str">
            <v>VODAFONE-GROUP-15867071/</v>
          </cell>
          <cell r="N216" t="str">
            <v>VOD.L</v>
          </cell>
          <cell r="O216" t="str">
            <v>Vodafone Group PLC</v>
          </cell>
          <cell r="P216" t="str">
            <v>London</v>
          </cell>
          <cell r="Q216" t="str">
            <v>Telecommunication Services</v>
          </cell>
          <cell r="R216" t="str">
            <v>Wireless Telecommunication Ser</v>
          </cell>
          <cell r="S216" t="str">
            <v>VOD.L</v>
          </cell>
        </row>
        <row r="217">
          <cell r="L217" t="str">
            <v>LLOY LN</v>
          </cell>
          <cell r="M217" t="str">
            <v>LLOYDS-BANKING-GROUP-4000786/</v>
          </cell>
          <cell r="N217" t="str">
            <v>LLOY.L</v>
          </cell>
          <cell r="O217" t="str">
            <v>Lloyds Banking Group PLC</v>
          </cell>
          <cell r="P217" t="str">
            <v>London</v>
          </cell>
          <cell r="Q217" t="str">
            <v>Financials</v>
          </cell>
          <cell r="R217" t="str">
            <v>Banks</v>
          </cell>
          <cell r="S217" t="str">
            <v>LLOY.L</v>
          </cell>
        </row>
        <row r="218">
          <cell r="L218" t="str">
            <v>SHI LN</v>
          </cell>
          <cell r="M218" t="str">
            <v>SHIRE-9590198/</v>
          </cell>
          <cell r="N218" t="str">
            <v>SHP.L</v>
          </cell>
          <cell r="O218" t="str">
            <v>SIG PLC</v>
          </cell>
          <cell r="P218" t="str">
            <v>London</v>
          </cell>
          <cell r="Q218" t="str">
            <v>Industrials</v>
          </cell>
          <cell r="R218" t="str">
            <v>Trading Companies &amp; Distributo</v>
          </cell>
          <cell r="S218" t="str">
            <v>SHI.L</v>
          </cell>
        </row>
        <row r="219">
          <cell r="L219" t="str">
            <v>REL LN</v>
          </cell>
          <cell r="M219" t="str">
            <v>RELX-9590187/</v>
          </cell>
          <cell r="N219" t="str">
            <v>REL.L</v>
          </cell>
          <cell r="O219" t="str">
            <v>Relx PLC</v>
          </cell>
          <cell r="P219" t="str">
            <v>London</v>
          </cell>
          <cell r="Q219" t="str">
            <v>Industrials</v>
          </cell>
          <cell r="R219" t="str">
            <v>Professional Services</v>
          </cell>
          <cell r="S219" t="str">
            <v>REL.L</v>
          </cell>
        </row>
        <row r="220">
          <cell r="L220" t="str">
            <v>CCL LN</v>
          </cell>
          <cell r="M220" t="str">
            <v>CARNIVAL-9590192/</v>
          </cell>
          <cell r="N220" t="str">
            <v>CCL.L</v>
          </cell>
          <cell r="O220" t="str">
            <v>Carnival PLC</v>
          </cell>
          <cell r="P220" t="str">
            <v>London</v>
          </cell>
          <cell r="Q220" t="str">
            <v>Consumer Discretionary</v>
          </cell>
          <cell r="R220" t="str">
            <v>Hotels, Restaurants &amp; Leisure</v>
          </cell>
          <cell r="S220" t="str">
            <v>CCL.L</v>
          </cell>
        </row>
        <row r="221">
          <cell r="L221" t="str">
            <v>BARC LN</v>
          </cell>
          <cell r="M221" t="str">
            <v>BARCLAYS-9583556/</v>
          </cell>
          <cell r="N221" t="str">
            <v>BARC.L</v>
          </cell>
          <cell r="O221" t="str">
            <v>Barclays PLC</v>
          </cell>
          <cell r="P221" t="str">
            <v>London</v>
          </cell>
          <cell r="Q221" t="str">
            <v>Financials</v>
          </cell>
          <cell r="R221" t="str">
            <v>Banks</v>
          </cell>
          <cell r="S221" t="str">
            <v>BARC.L</v>
          </cell>
        </row>
        <row r="222">
          <cell r="L222" t="str">
            <v>RBS LN</v>
          </cell>
          <cell r="M222" t="str">
            <v>ROYAL-BANK-OF-SCOTLAND-GR-10759239/</v>
          </cell>
          <cell r="N222" t="str">
            <v>RBS.L</v>
          </cell>
          <cell r="O222" t="str">
            <v>Royal Bank of Scotland Group PLC</v>
          </cell>
          <cell r="P222" t="str">
            <v>London</v>
          </cell>
          <cell r="Q222" t="str">
            <v>Financials</v>
          </cell>
          <cell r="R222" t="str">
            <v>Banks</v>
          </cell>
          <cell r="S222" t="str">
            <v>RBS.L</v>
          </cell>
        </row>
        <row r="223">
          <cell r="L223" t="str">
            <v>SKY LN</v>
          </cell>
          <cell r="M223" t="str">
            <v>SKY-9590190/</v>
          </cell>
          <cell r="N223" t="str">
            <v>SKY.L</v>
          </cell>
          <cell r="O223" t="str">
            <v>Sky PLC</v>
          </cell>
          <cell r="P223" t="str">
            <v>London</v>
          </cell>
          <cell r="Q223" t="str">
            <v>Consumer Discretionary</v>
          </cell>
          <cell r="R223" t="str">
            <v>Media</v>
          </cell>
          <cell r="S223" t="str">
            <v>SKY.L</v>
          </cell>
        </row>
        <row r="224">
          <cell r="L224" t="str">
            <v>IMB LN</v>
          </cell>
          <cell r="M224" t="str">
            <v>IMPERIAL-BRANDS-9590191/</v>
          </cell>
          <cell r="N224" t="str">
            <v>IMB.L</v>
          </cell>
          <cell r="O224" t="str">
            <v>Imperial Brands PLC</v>
          </cell>
          <cell r="P224" t="str">
            <v>London</v>
          </cell>
          <cell r="Q224" t="str">
            <v>Consumer Staples</v>
          </cell>
          <cell r="R224" t="str">
            <v>Tobacco</v>
          </cell>
          <cell r="S224" t="str">
            <v>IMB.L</v>
          </cell>
        </row>
        <row r="225">
          <cell r="L225" t="str">
            <v>TSCO LN</v>
          </cell>
          <cell r="M225" t="str">
            <v>TESCO-4000540/</v>
          </cell>
          <cell r="N225" t="str">
            <v>TSCO.L</v>
          </cell>
          <cell r="O225" t="str">
            <v>Tesco PLC</v>
          </cell>
          <cell r="P225" t="str">
            <v>London</v>
          </cell>
          <cell r="Q225" t="str">
            <v>Consumer Staples</v>
          </cell>
          <cell r="R225" t="str">
            <v>Food &amp; Staples Retailing</v>
          </cell>
          <cell r="S225" t="str">
            <v>TSCO.L</v>
          </cell>
        </row>
        <row r="226">
          <cell r="L226" t="str">
            <v>NG/ LN</v>
          </cell>
          <cell r="M226" t="str">
            <v>NATIONAL-GRID-PLC-34973324/</v>
          </cell>
          <cell r="O226" t="str">
            <v>National Grid PLC</v>
          </cell>
          <cell r="P226" t="str">
            <v>London</v>
          </cell>
          <cell r="Q226" t="str">
            <v>Utilities</v>
          </cell>
          <cell r="R226" t="str">
            <v>Multi-Utilities</v>
          </cell>
          <cell r="S226" t="str">
            <v>NG.L</v>
          </cell>
        </row>
        <row r="227">
          <cell r="L227" t="str">
            <v>CPG LN</v>
          </cell>
          <cell r="M227" t="str">
            <v>COMPASS-GROUP-PLC-35939959/</v>
          </cell>
          <cell r="O227" t="str">
            <v>Compass Group PLC</v>
          </cell>
          <cell r="P227" t="str">
            <v>London</v>
          </cell>
          <cell r="Q227" t="str">
            <v>Consumer Discretionary</v>
          </cell>
          <cell r="R227" t="str">
            <v>Hotels, Restaurants &amp; Leisure</v>
          </cell>
          <cell r="S227" t="str">
            <v>CPG.L</v>
          </cell>
        </row>
        <row r="228">
          <cell r="L228" t="str">
            <v>AAL LN</v>
          </cell>
          <cell r="M228" t="str">
            <v>ANGLO-AMERICAN-4007113/</v>
          </cell>
          <cell r="N228" t="str">
            <v>AAL.L</v>
          </cell>
          <cell r="O228" t="str">
            <v>Anglo American PLC</v>
          </cell>
          <cell r="P228" t="str">
            <v>London</v>
          </cell>
          <cell r="Q228" t="str">
            <v>Materials</v>
          </cell>
          <cell r="R228" t="str">
            <v>Metals &amp; Mining</v>
          </cell>
          <cell r="S228" t="str">
            <v>AAL.L</v>
          </cell>
        </row>
        <row r="229">
          <cell r="L229" t="str">
            <v>BT/A LN</v>
          </cell>
          <cell r="M229" t="str">
            <v>BT-GROUP-4003616/</v>
          </cell>
          <cell r="N229" t="str">
            <v>BT.L</v>
          </cell>
          <cell r="O229" t="str">
            <v>BT Group PLC</v>
          </cell>
          <cell r="P229" t="str">
            <v>London</v>
          </cell>
          <cell r="Q229" t="str">
            <v>Telecommunication Services</v>
          </cell>
          <cell r="R229" t="str">
            <v>Diversified Telecommunication</v>
          </cell>
          <cell r="S229" t="str">
            <v>BT-A.L</v>
          </cell>
        </row>
        <row r="230">
          <cell r="L230" t="str">
            <v>STAN LN</v>
          </cell>
          <cell r="M230" t="str">
            <v>STANDARD-CHARTERED-4003394/</v>
          </cell>
          <cell r="N230" t="str">
            <v>STAN.L</v>
          </cell>
          <cell r="O230" t="str">
            <v>Standard Chartered PLC</v>
          </cell>
          <cell r="P230" t="str">
            <v>London</v>
          </cell>
          <cell r="Q230" t="str">
            <v>Financials</v>
          </cell>
          <cell r="R230" t="str">
            <v>Banks</v>
          </cell>
          <cell r="S230" t="str">
            <v>STAN.L</v>
          </cell>
        </row>
        <row r="231">
          <cell r="L231" t="str">
            <v>BA/ LN</v>
          </cell>
          <cell r="M231" t="str">
            <v>BAE-SYSTEMS-9583545/</v>
          </cell>
          <cell r="N231" t="str">
            <v>BAES.L</v>
          </cell>
          <cell r="O231" t="str">
            <v>BAE Systems PLC</v>
          </cell>
          <cell r="P231" t="str">
            <v>London</v>
          </cell>
          <cell r="Q231" t="str">
            <v>Industrials</v>
          </cell>
          <cell r="R231" t="str">
            <v>Aerospace &amp; Defense</v>
          </cell>
          <cell r="S231" t="str">
            <v>BA.L</v>
          </cell>
        </row>
        <row r="232">
          <cell r="L232" t="str">
            <v>AV/ LN</v>
          </cell>
          <cell r="M232" t="str">
            <v>AVIVA-4000581/</v>
          </cell>
          <cell r="N232" t="str">
            <v>AV.L</v>
          </cell>
          <cell r="O232" t="str">
            <v>Aviva PLC</v>
          </cell>
          <cell r="P232" t="str">
            <v>London</v>
          </cell>
          <cell r="Q232" t="str">
            <v>Financials</v>
          </cell>
          <cell r="R232" t="str">
            <v>Insurance</v>
          </cell>
          <cell r="S232" t="str">
            <v>AV.L</v>
          </cell>
        </row>
        <row r="233">
          <cell r="L233" t="str">
            <v>RR/ LN</v>
          </cell>
          <cell r="M233" t="str">
            <v>ROLLS-ROYCE-4004084/</v>
          </cell>
          <cell r="N233" t="str">
            <v>RR.L</v>
          </cell>
          <cell r="O233" t="str">
            <v>Rolls-Royce Holdings PLC</v>
          </cell>
          <cell r="P233" t="str">
            <v>London</v>
          </cell>
          <cell r="Q233" t="str">
            <v>Industrials</v>
          </cell>
          <cell r="R233" t="str">
            <v>Aerospace &amp; Defense</v>
          </cell>
          <cell r="S233" t="str">
            <v>RR.L</v>
          </cell>
        </row>
        <row r="234">
          <cell r="L234" t="str">
            <v>ABF LN</v>
          </cell>
          <cell r="M234" t="str">
            <v>ASSOCIATED-BRITISH-FOODS-9583547/</v>
          </cell>
          <cell r="N234" t="str">
            <v>ABF.L</v>
          </cell>
          <cell r="O234" t="str">
            <v>Associated British Foods PLC</v>
          </cell>
          <cell r="P234" t="str">
            <v>London</v>
          </cell>
          <cell r="Q234" t="str">
            <v>Consumer Staples</v>
          </cell>
          <cell r="R234" t="str">
            <v>Food Products</v>
          </cell>
          <cell r="S234" t="str">
            <v>ABF.L</v>
          </cell>
        </row>
        <row r="235">
          <cell r="L235" t="str">
            <v>EXPN LN</v>
          </cell>
          <cell r="M235" t="str">
            <v>EXPERIAN-9590128/</v>
          </cell>
          <cell r="N235" t="str">
            <v>EXPN.L</v>
          </cell>
          <cell r="O235" t="str">
            <v>EXPERIAN PLC</v>
          </cell>
          <cell r="P235" t="str">
            <v>London</v>
          </cell>
          <cell r="Q235" t="str">
            <v>Industrials</v>
          </cell>
          <cell r="R235" t="str">
            <v>Professional Services</v>
          </cell>
          <cell r="S235" t="str">
            <v>EXPN.L</v>
          </cell>
        </row>
        <row r="236">
          <cell r="L236" t="str">
            <v>LSE LN</v>
          </cell>
          <cell r="M236" t="str">
            <v>LONDON-STOCK-EXCHANGE-4005918/</v>
          </cell>
          <cell r="N236" t="str">
            <v>LSE.L</v>
          </cell>
          <cell r="O236" t="str">
            <v>London Stock Exchange Group PLC</v>
          </cell>
          <cell r="P236" t="str">
            <v>London</v>
          </cell>
          <cell r="Q236" t="str">
            <v>Financials</v>
          </cell>
          <cell r="R236" t="str">
            <v>Capital Markets</v>
          </cell>
          <cell r="S236" t="str">
            <v>LSE.L</v>
          </cell>
        </row>
        <row r="237">
          <cell r="L237" t="str">
            <v>WPP LN</v>
          </cell>
          <cell r="M237" t="str">
            <v>WPP-GROUP-12281876/</v>
          </cell>
          <cell r="N237" t="str">
            <v>WPP.L</v>
          </cell>
          <cell r="O237" t="str">
            <v>WPP PLC</v>
          </cell>
          <cell r="P237" t="str">
            <v>London</v>
          </cell>
          <cell r="Q237" t="str">
            <v>Consumer Discretionary</v>
          </cell>
          <cell r="R237" t="str">
            <v>Media</v>
          </cell>
          <cell r="S237" t="str">
            <v>WPP.L</v>
          </cell>
        </row>
        <row r="238">
          <cell r="L238" t="str">
            <v>LGEN LN</v>
          </cell>
          <cell r="M238" t="str">
            <v>LEGAL-GENERAL-4002140/</v>
          </cell>
          <cell r="N238" t="str">
            <v>LGEN.L</v>
          </cell>
          <cell r="O238" t="str">
            <v>Legal &amp; General Group PLC</v>
          </cell>
          <cell r="P238" t="str">
            <v>London</v>
          </cell>
          <cell r="Q238" t="str">
            <v>Financials</v>
          </cell>
          <cell r="R238" t="str">
            <v>Insurance</v>
          </cell>
          <cell r="S238" t="str">
            <v>LGEN.L</v>
          </cell>
        </row>
        <row r="239">
          <cell r="L239" t="str">
            <v>IAG LN</v>
          </cell>
          <cell r="M239" t="str">
            <v>INTERNATIONAL-CONSOLIDATE-7233512/</v>
          </cell>
          <cell r="N239" t="str">
            <v>ICAG.L</v>
          </cell>
          <cell r="O239" t="str">
            <v>International Consolidated Airlines Group SA</v>
          </cell>
          <cell r="P239" t="str">
            <v>London</v>
          </cell>
          <cell r="Q239" t="str">
            <v>Industrials</v>
          </cell>
          <cell r="R239" t="str">
            <v>Airlines</v>
          </cell>
          <cell r="S239" t="str">
            <v>IAG.L</v>
          </cell>
        </row>
        <row r="240">
          <cell r="L240" t="str">
            <v>SSE LN</v>
          </cell>
          <cell r="M240" t="str">
            <v>SCOTTISH-AND-SOUTHERN-ENE-4000881/</v>
          </cell>
          <cell r="N240" t="str">
            <v>SSE.L</v>
          </cell>
          <cell r="O240" t="str">
            <v>SSE PLC</v>
          </cell>
          <cell r="P240" t="str">
            <v>London</v>
          </cell>
          <cell r="Q240" t="str">
            <v>Utilities</v>
          </cell>
          <cell r="R240" t="str">
            <v>Electric Utilities</v>
          </cell>
          <cell r="S240" t="str">
            <v>SSE.L</v>
          </cell>
        </row>
        <row r="241">
          <cell r="L241" t="str">
            <v>SN/ LN</v>
          </cell>
          <cell r="M241" t="str">
            <v>SMITH-NEPHEW-9590181/</v>
          </cell>
          <cell r="N241" t="str">
            <v>SN.L</v>
          </cell>
          <cell r="O241" t="str">
            <v>Smith &amp; Nephew PLC</v>
          </cell>
          <cell r="P241" t="str">
            <v>London</v>
          </cell>
          <cell r="Q241" t="str">
            <v>Health Care</v>
          </cell>
          <cell r="R241" t="str">
            <v>Health Care Equipment &amp; Suppli</v>
          </cell>
          <cell r="S241" t="str">
            <v>SN.L</v>
          </cell>
        </row>
        <row r="242">
          <cell r="L242" t="str">
            <v>AHT LN</v>
          </cell>
          <cell r="M242" t="str">
            <v>ASHTEAD-GROUP-4001655/</v>
          </cell>
          <cell r="O242" t="str">
            <v>Ashtead Group PLC</v>
          </cell>
          <cell r="P242" t="str">
            <v>London</v>
          </cell>
          <cell r="Q242" t="str">
            <v>Industrials</v>
          </cell>
          <cell r="R242" t="str">
            <v>Trading Companies &amp; Distributo</v>
          </cell>
          <cell r="S242" t="str">
            <v>AHT.L</v>
          </cell>
        </row>
        <row r="243">
          <cell r="L243" t="str">
            <v>MNDI LN</v>
          </cell>
          <cell r="M243" t="str">
            <v>MONDI-4007006/</v>
          </cell>
          <cell r="N243" t="str">
            <v>MNDI.L</v>
          </cell>
          <cell r="O243" t="str">
            <v>Mondi PLC</v>
          </cell>
          <cell r="P243" t="str">
            <v>London</v>
          </cell>
          <cell r="Q243" t="str">
            <v>Materials</v>
          </cell>
          <cell r="R243" t="str">
            <v>Paper &amp; Forest Products</v>
          </cell>
          <cell r="S243" t="str">
            <v>MNDI.L</v>
          </cell>
        </row>
        <row r="244">
          <cell r="L244" t="str">
            <v>HL/ LN</v>
          </cell>
          <cell r="M244" t="str">
            <v>HARGREAVES-LANSDOWN-4007034/</v>
          </cell>
          <cell r="N244" t="str">
            <v>HRGV.L</v>
          </cell>
          <cell r="O244" t="str">
            <v>Hargreaves Lansdown PLC</v>
          </cell>
          <cell r="P244" t="str">
            <v>London</v>
          </cell>
          <cell r="Q244" t="str">
            <v>Financials</v>
          </cell>
          <cell r="R244" t="str">
            <v>Capital Markets</v>
          </cell>
          <cell r="S244" t="str">
            <v>HL.L</v>
          </cell>
        </row>
        <row r="245">
          <cell r="L245" t="str">
            <v>SLA LN</v>
          </cell>
          <cell r="M245" t="str">
            <v>STANDARD-LIFE-ABERDEEN-21225365/</v>
          </cell>
          <cell r="N245" t="str">
            <v>SLA.L</v>
          </cell>
          <cell r="O245" t="str">
            <v>Standard Life Aberdeen PLC</v>
          </cell>
          <cell r="P245" t="str">
            <v>London</v>
          </cell>
          <cell r="Q245" t="str">
            <v>Financials</v>
          </cell>
          <cell r="R245" t="str">
            <v>Diversified Financial Services</v>
          </cell>
          <cell r="S245" t="str">
            <v>SLA.L</v>
          </cell>
        </row>
        <row r="246">
          <cell r="L246" t="str">
            <v>BRBY LN</v>
          </cell>
          <cell r="M246" t="str">
            <v>BURBERRY-GROUP-4003938/</v>
          </cell>
          <cell r="N246" t="str">
            <v>BRBY.L</v>
          </cell>
          <cell r="O246" t="str">
            <v>Burberry Group PLC</v>
          </cell>
          <cell r="P246" t="str">
            <v>London</v>
          </cell>
          <cell r="Q246" t="str">
            <v>Consumer Discretionary</v>
          </cell>
          <cell r="R246" t="str">
            <v>Textiles, Apparel &amp; Luxury Goo</v>
          </cell>
          <cell r="S246" t="str">
            <v>BRBY.L</v>
          </cell>
        </row>
        <row r="247">
          <cell r="L247" t="str">
            <v>III LN</v>
          </cell>
          <cell r="M247" t="str">
            <v>3I-GROUP-4007143/</v>
          </cell>
          <cell r="N247" t="str">
            <v>III.L</v>
          </cell>
          <cell r="O247" t="str">
            <v>3i Group PLC</v>
          </cell>
          <cell r="P247" t="str">
            <v>London</v>
          </cell>
          <cell r="Q247" t="str">
            <v>Financials</v>
          </cell>
          <cell r="R247" t="str">
            <v>Capital Markets</v>
          </cell>
          <cell r="S247" t="str">
            <v>III.L</v>
          </cell>
        </row>
        <row r="248">
          <cell r="L248" t="str">
            <v>WTB LN</v>
          </cell>
          <cell r="M248" t="str">
            <v>WHITBREAD-4006657/</v>
          </cell>
          <cell r="N248" t="str">
            <v>WTB.L</v>
          </cell>
          <cell r="O248" t="str">
            <v>Whitbread PLC</v>
          </cell>
          <cell r="P248" t="str">
            <v>London</v>
          </cell>
          <cell r="Q248" t="str">
            <v>Consumer Discretionary</v>
          </cell>
          <cell r="R248" t="str">
            <v>Hotels, Restaurants &amp; Leisure</v>
          </cell>
          <cell r="S248" t="str">
            <v>WTB.L</v>
          </cell>
        </row>
        <row r="249">
          <cell r="L249" t="str">
            <v>ITRK LN</v>
          </cell>
          <cell r="M249" t="str">
            <v>INTERTEK-GROUP-4003872/</v>
          </cell>
          <cell r="N249" t="str">
            <v>ITRK.L</v>
          </cell>
          <cell r="O249" t="str">
            <v>Intertek Group PLC</v>
          </cell>
          <cell r="P249" t="str">
            <v>London</v>
          </cell>
          <cell r="Q249" t="str">
            <v>Industrials</v>
          </cell>
          <cell r="R249" t="str">
            <v>Professional Services</v>
          </cell>
          <cell r="S249" t="str">
            <v>ITRK.L</v>
          </cell>
        </row>
        <row r="250">
          <cell r="L250" t="str">
            <v>SDR LN</v>
          </cell>
          <cell r="M250" t="str">
            <v>SCHRODERS-9590124/</v>
          </cell>
          <cell r="N250" t="str">
            <v>SDR.L</v>
          </cell>
          <cell r="O250" t="str">
            <v>Schroders PLC</v>
          </cell>
          <cell r="P250" t="str">
            <v>London</v>
          </cell>
          <cell r="Q250" t="str">
            <v>Financials</v>
          </cell>
          <cell r="R250" t="str">
            <v>Capital Markets</v>
          </cell>
          <cell r="S250" t="str">
            <v>SDR.L</v>
          </cell>
        </row>
        <row r="251">
          <cell r="L251" t="str">
            <v>CNA LN</v>
          </cell>
          <cell r="M251" t="str">
            <v>CENTRICA-9590112/</v>
          </cell>
          <cell r="N251" t="str">
            <v>CNA.L</v>
          </cell>
          <cell r="O251" t="str">
            <v>Centrica PLC</v>
          </cell>
          <cell r="P251" t="str">
            <v>London</v>
          </cell>
          <cell r="Q251" t="str">
            <v>Utilities</v>
          </cell>
          <cell r="R251" t="str">
            <v>Multi-Utilities</v>
          </cell>
          <cell r="S251" t="str">
            <v>CNA.L</v>
          </cell>
        </row>
        <row r="252">
          <cell r="L252" t="str">
            <v>BNZL LN</v>
          </cell>
          <cell r="M252" t="str">
            <v>BUNZL-4005251/</v>
          </cell>
          <cell r="N252" t="str">
            <v>BNZL.L</v>
          </cell>
          <cell r="O252" t="str">
            <v>Bunzl plc</v>
          </cell>
          <cell r="P252" t="str">
            <v>London</v>
          </cell>
          <cell r="Q252" t="str">
            <v>Industrials</v>
          </cell>
          <cell r="R252" t="str">
            <v>Trading Companies &amp; Distributo</v>
          </cell>
          <cell r="S252" t="str">
            <v>BNZL.L</v>
          </cell>
        </row>
        <row r="253">
          <cell r="L253" t="str">
            <v>ANTO LN</v>
          </cell>
          <cell r="M253" t="str">
            <v>ANTOFAGASTA-4001646/</v>
          </cell>
          <cell r="N253" t="str">
            <v>ANTO.L</v>
          </cell>
          <cell r="O253" t="str">
            <v>Antofagasta PLC</v>
          </cell>
          <cell r="P253" t="str">
            <v>London</v>
          </cell>
          <cell r="Q253" t="str">
            <v>Materials</v>
          </cell>
          <cell r="R253" t="str">
            <v>Metals &amp; Mining</v>
          </cell>
          <cell r="S253" t="str">
            <v>ANTO.L</v>
          </cell>
        </row>
        <row r="254">
          <cell r="L254" t="str">
            <v>IHG LN</v>
          </cell>
          <cell r="M254" t="str">
            <v>INTERCONTINENTAL-HOTELS-G-50387540/</v>
          </cell>
          <cell r="O254" t="str">
            <v>InterContinental Hotels Group PLC</v>
          </cell>
          <cell r="P254" t="str">
            <v>London</v>
          </cell>
          <cell r="Q254" t="str">
            <v>Consumer Discretionary</v>
          </cell>
          <cell r="R254" t="str">
            <v>Hotels, Restaurants &amp; Leisure</v>
          </cell>
          <cell r="S254" t="str">
            <v>IHG.L</v>
          </cell>
        </row>
        <row r="255">
          <cell r="L255" t="str">
            <v>OML LN</v>
          </cell>
          <cell r="M255" t="str">
            <v>OLD-MUTUAL-LTD-44403584/</v>
          </cell>
          <cell r="O255" t="str">
            <v>OLD MUTUAL PLC</v>
          </cell>
          <cell r="P255" t="str">
            <v>London</v>
          </cell>
          <cell r="Q255" t="str">
            <v>Financials</v>
          </cell>
          <cell r="R255" t="str">
            <v>Insurance</v>
          </cell>
          <cell r="S255" t="str">
            <v>OML.L</v>
          </cell>
        </row>
        <row r="256">
          <cell r="L256" t="str">
            <v>NXT LN</v>
          </cell>
          <cell r="M256" t="str">
            <v>NEXT-9590100/</v>
          </cell>
          <cell r="N256" t="str">
            <v>NXT.L</v>
          </cell>
          <cell r="O256" t="str">
            <v>Next PLC</v>
          </cell>
          <cell r="P256" t="str">
            <v>London</v>
          </cell>
          <cell r="Q256" t="str">
            <v>Consumer Discretionary</v>
          </cell>
          <cell r="R256" t="str">
            <v>Multiline Retail</v>
          </cell>
          <cell r="S256" t="str">
            <v>NXT.L</v>
          </cell>
        </row>
        <row r="257">
          <cell r="L257" t="str">
            <v>PSN LN</v>
          </cell>
          <cell r="M257" t="str">
            <v>PERSIMMON-4002227/</v>
          </cell>
          <cell r="N257" t="str">
            <v>PSN.L</v>
          </cell>
          <cell r="O257" t="str">
            <v>Persimmon PLC</v>
          </cell>
          <cell r="P257" t="str">
            <v>London</v>
          </cell>
          <cell r="Q257" t="str">
            <v>Consumer Discretionary</v>
          </cell>
          <cell r="R257" t="str">
            <v>Household Durables</v>
          </cell>
          <cell r="S257" t="str">
            <v>PSN.L</v>
          </cell>
        </row>
        <row r="258">
          <cell r="L258" t="str">
            <v>EVR LN</v>
          </cell>
          <cell r="M258" t="str">
            <v>EVRAZ-9428118/</v>
          </cell>
          <cell r="O258" t="str">
            <v>EVRAZ plc</v>
          </cell>
          <cell r="P258" t="str">
            <v>London</v>
          </cell>
          <cell r="Q258" t="str">
            <v>Materials</v>
          </cell>
          <cell r="R258" t="str">
            <v>Metals &amp; Mining</v>
          </cell>
          <cell r="S258" t="str">
            <v>EVR.L</v>
          </cell>
        </row>
        <row r="259">
          <cell r="L259" t="str">
            <v>PSON LN</v>
          </cell>
          <cell r="M259" t="str">
            <v>PEARSON-4000637/</v>
          </cell>
          <cell r="N259" t="str">
            <v>PSON.L</v>
          </cell>
          <cell r="O259" t="str">
            <v>Pearson PLC</v>
          </cell>
          <cell r="P259" t="str">
            <v>London</v>
          </cell>
          <cell r="Q259" t="str">
            <v>Consumer Discretionary</v>
          </cell>
          <cell r="R259" t="str">
            <v>Media</v>
          </cell>
          <cell r="S259" t="str">
            <v>PSON.L</v>
          </cell>
        </row>
        <row r="260">
          <cell r="L260" t="str">
            <v>SBRY LN</v>
          </cell>
          <cell r="M260" t="str">
            <v>J-SAINSBURY-9590189/</v>
          </cell>
          <cell r="N260" t="str">
            <v>SBRY.L</v>
          </cell>
          <cell r="O260" t="str">
            <v>J Sainsbury PLC</v>
          </cell>
          <cell r="P260" t="str">
            <v>London</v>
          </cell>
          <cell r="Q260" t="str">
            <v>Consumer Staples</v>
          </cell>
          <cell r="R260" t="str">
            <v>Food &amp; Staples Retailing</v>
          </cell>
          <cell r="S260" t="str">
            <v>SBRY.L</v>
          </cell>
        </row>
        <row r="261">
          <cell r="L261" t="str">
            <v>SMDS LN</v>
          </cell>
          <cell r="M261" t="str">
            <v>DS-SMITH-9590140/</v>
          </cell>
          <cell r="N261" t="str">
            <v>SMDS.L</v>
          </cell>
          <cell r="O261" t="str">
            <v>DS Smith PLC</v>
          </cell>
          <cell r="P261" t="str">
            <v>London</v>
          </cell>
          <cell r="Q261" t="str">
            <v>Materials</v>
          </cell>
          <cell r="R261" t="str">
            <v>Containers &amp; Packaging</v>
          </cell>
          <cell r="S261" t="str">
            <v>SMDS.L</v>
          </cell>
        </row>
        <row r="262">
          <cell r="L262" t="str">
            <v>RSA LN</v>
          </cell>
          <cell r="M262" t="str">
            <v>RSA-INSURANCE-GROUP-16481694/</v>
          </cell>
          <cell r="N262" t="str">
            <v>RSA.L</v>
          </cell>
          <cell r="O262" t="str">
            <v>RSA Insurance Group PLC</v>
          </cell>
          <cell r="P262" t="str">
            <v>London</v>
          </cell>
          <cell r="Q262" t="str">
            <v>Financials</v>
          </cell>
          <cell r="R262" t="str">
            <v>Insurance</v>
          </cell>
          <cell r="S262" t="str">
            <v>RSA.L</v>
          </cell>
        </row>
        <row r="263">
          <cell r="L263" t="str">
            <v>ITV LN</v>
          </cell>
          <cell r="M263" t="str">
            <v>ITV-4004488/</v>
          </cell>
          <cell r="N263" t="str">
            <v>ITV.L</v>
          </cell>
          <cell r="O263" t="str">
            <v>ITV PLC</v>
          </cell>
          <cell r="P263" t="str">
            <v>London</v>
          </cell>
          <cell r="Q263" t="str">
            <v>Consumer Discretionary</v>
          </cell>
          <cell r="R263" t="str">
            <v>Media</v>
          </cell>
          <cell r="S263" t="str">
            <v>ITV.L</v>
          </cell>
        </row>
        <row r="264">
          <cell r="L264" t="str">
            <v>SMIN LN</v>
          </cell>
          <cell r="M264" t="str">
            <v>SMITHS-GROUP-9590110/</v>
          </cell>
          <cell r="N264" t="str">
            <v>SMIN.L</v>
          </cell>
          <cell r="O264" t="str">
            <v>Smiths Group PLC</v>
          </cell>
          <cell r="P264" t="str">
            <v>London</v>
          </cell>
          <cell r="Q264" t="str">
            <v>Industrials</v>
          </cell>
          <cell r="R264" t="str">
            <v>Industrial Conglomerates</v>
          </cell>
          <cell r="S264" t="str">
            <v>SMIN.L</v>
          </cell>
        </row>
        <row r="265">
          <cell r="L265" t="str">
            <v>LAND LN</v>
          </cell>
          <cell r="M265" t="str">
            <v>LAND-SECURITIES-GROUP-PLC-37940486/</v>
          </cell>
          <cell r="O265" t="str">
            <v>Land Securities Group PLC</v>
          </cell>
          <cell r="P265" t="str">
            <v>London</v>
          </cell>
          <cell r="Q265" t="str">
            <v>Real Estate</v>
          </cell>
          <cell r="R265" t="str">
            <v>Equity Real Estate Investment</v>
          </cell>
          <cell r="S265" t="str">
            <v>LAND.L</v>
          </cell>
        </row>
        <row r="266">
          <cell r="L266" t="str">
            <v>CRDA LN</v>
          </cell>
          <cell r="M266" t="str">
            <v>CRODA-INTERNATIONAL-PLC-27479172/</v>
          </cell>
          <cell r="O266" t="str">
            <v>Croda International PLC</v>
          </cell>
          <cell r="P266" t="str">
            <v>London</v>
          </cell>
          <cell r="Q266" t="str">
            <v>Materials</v>
          </cell>
          <cell r="R266" t="str">
            <v>Chemicals</v>
          </cell>
          <cell r="S266" t="str">
            <v>CRDA.L</v>
          </cell>
        </row>
        <row r="267">
          <cell r="L267" t="str">
            <v>MRW LN</v>
          </cell>
          <cell r="M267" t="str">
            <v>WM-MORRISON-SUPERMARKETS-9590120/</v>
          </cell>
          <cell r="N267" t="str">
            <v>MRW.L</v>
          </cell>
          <cell r="O267" t="str">
            <v>WM Morrison Supermarkets PLC</v>
          </cell>
          <cell r="P267" t="str">
            <v>London</v>
          </cell>
          <cell r="Q267" t="str">
            <v>Consumer Staples</v>
          </cell>
          <cell r="R267" t="str">
            <v>Food &amp; Staples Retailing</v>
          </cell>
          <cell r="S267" t="str">
            <v>MRW.L</v>
          </cell>
        </row>
        <row r="268">
          <cell r="L268" t="str">
            <v>BLND LN</v>
          </cell>
          <cell r="M268" t="str">
            <v>BRITISH-LAND-9583554/</v>
          </cell>
          <cell r="N268" t="str">
            <v>BLND.L</v>
          </cell>
          <cell r="O268" t="str">
            <v>British Land Company PLC</v>
          </cell>
          <cell r="P268" t="str">
            <v>London</v>
          </cell>
          <cell r="Q268" t="str">
            <v>Real Estate</v>
          </cell>
          <cell r="R268" t="str">
            <v>Equity Real Estate Investment</v>
          </cell>
          <cell r="S268" t="str">
            <v>BLND.L</v>
          </cell>
        </row>
        <row r="269">
          <cell r="L269" t="str">
            <v>EZJ LN</v>
          </cell>
          <cell r="M269" t="str">
            <v>EASYJET-10093880/</v>
          </cell>
          <cell r="O269" t="str">
            <v>easyJet plc</v>
          </cell>
          <cell r="P269" t="str">
            <v>London</v>
          </cell>
          <cell r="Q269" t="str">
            <v>Industrials</v>
          </cell>
          <cell r="R269" t="str">
            <v>Airlines</v>
          </cell>
          <cell r="S269" t="str">
            <v>EZJ.L</v>
          </cell>
        </row>
        <row r="270">
          <cell r="L270" t="str">
            <v>ADM LN</v>
          </cell>
          <cell r="M270" t="str">
            <v>ADMIRAL-GROUP-9677065/</v>
          </cell>
          <cell r="N270" t="str">
            <v>ADML.L</v>
          </cell>
          <cell r="O270" t="str">
            <v>Admiral Group PLC</v>
          </cell>
          <cell r="P270" t="str">
            <v>London</v>
          </cell>
          <cell r="Q270" t="str">
            <v>Financials</v>
          </cell>
          <cell r="R270" t="str">
            <v>Insurance</v>
          </cell>
          <cell r="S270" t="str">
            <v>ADM.L</v>
          </cell>
        </row>
        <row r="271">
          <cell r="L271" t="str">
            <v>STJ LN</v>
          </cell>
          <cell r="M271" t="str">
            <v>ST-JAMES-S-PLACE-9590172/</v>
          </cell>
          <cell r="N271" t="str">
            <v>STJ.L</v>
          </cell>
          <cell r="O271" t="str">
            <v>St. James's Place PLC</v>
          </cell>
          <cell r="P271" t="str">
            <v>London</v>
          </cell>
          <cell r="Q271" t="str">
            <v>Financials</v>
          </cell>
          <cell r="R271" t="str">
            <v>Capital Markets</v>
          </cell>
          <cell r="S271" t="str">
            <v>STJ.L</v>
          </cell>
        </row>
        <row r="272">
          <cell r="L272" t="str">
            <v>RTO LN</v>
          </cell>
          <cell r="M272" t="str">
            <v>RENTOKIL-INITIAL-4005234/</v>
          </cell>
          <cell r="N272" t="str">
            <v>RTO.L</v>
          </cell>
          <cell r="O272" t="str">
            <v>Rentokil Initial PLC</v>
          </cell>
          <cell r="P272" t="str">
            <v>London</v>
          </cell>
          <cell r="Q272" t="str">
            <v>Industrials</v>
          </cell>
          <cell r="R272" t="str">
            <v>Commercial Services &amp; Supplies</v>
          </cell>
          <cell r="S272" t="str">
            <v>RTO.L</v>
          </cell>
        </row>
        <row r="273">
          <cell r="L273" t="str">
            <v>KGF LN</v>
          </cell>
          <cell r="M273" t="str">
            <v>KINGFISHER-9590115/</v>
          </cell>
          <cell r="N273" t="str">
            <v>KGF.L</v>
          </cell>
          <cell r="O273" t="str">
            <v>Kingfisher PLC</v>
          </cell>
          <cell r="P273" t="str">
            <v>London</v>
          </cell>
          <cell r="Q273" t="str">
            <v>Consumer Discretionary</v>
          </cell>
          <cell r="R273" t="str">
            <v>Specialty Retail</v>
          </cell>
          <cell r="S273" t="str">
            <v>KGF.L</v>
          </cell>
        </row>
        <row r="274">
          <cell r="L274" t="str">
            <v>BDEV LN</v>
          </cell>
          <cell r="M274" t="str">
            <v>BARRATT-DEVELOPMENTS-9583550/</v>
          </cell>
          <cell r="N274" t="str">
            <v>BDEV.L</v>
          </cell>
          <cell r="O274" t="str">
            <v>Barratt Developments PLC</v>
          </cell>
          <cell r="P274" t="str">
            <v>London</v>
          </cell>
          <cell r="Q274" t="str">
            <v>Consumer Discretionary</v>
          </cell>
          <cell r="R274" t="str">
            <v>Household Durables</v>
          </cell>
          <cell r="S274" t="str">
            <v>BDEV.L</v>
          </cell>
        </row>
        <row r="275">
          <cell r="L275" t="str">
            <v>TW/ LN</v>
          </cell>
          <cell r="M275" t="str">
            <v>TAYLOR-WIMPEY-4003237/</v>
          </cell>
          <cell r="N275" t="str">
            <v>TW.L</v>
          </cell>
          <cell r="O275" t="str">
            <v>Taylor Wimpey PLC</v>
          </cell>
          <cell r="P275" t="str">
            <v>London</v>
          </cell>
          <cell r="Q275" t="str">
            <v>Consumer Discretionary</v>
          </cell>
          <cell r="R275" t="str">
            <v>Household Durables</v>
          </cell>
          <cell r="S275" t="str">
            <v>TW.L</v>
          </cell>
        </row>
        <row r="276">
          <cell r="L276" t="str">
            <v>HLMA LN</v>
          </cell>
          <cell r="M276" t="str">
            <v>HALMA-9590130/</v>
          </cell>
          <cell r="N276" t="str">
            <v>HLMA.L</v>
          </cell>
          <cell r="O276" t="str">
            <v>Halma PLC</v>
          </cell>
          <cell r="P276" t="str">
            <v>London</v>
          </cell>
          <cell r="Q276" t="str">
            <v>Information Technology</v>
          </cell>
          <cell r="R276" t="str">
            <v>Electronic Equipment, Instrume</v>
          </cell>
          <cell r="S276" t="str">
            <v>HLMA.L</v>
          </cell>
        </row>
        <row r="277">
          <cell r="L277" t="str">
            <v>SPX LN</v>
          </cell>
          <cell r="M277" t="str">
            <v>SPIRAX-SARCO-ENGINEERING-22554025/</v>
          </cell>
          <cell r="N277" t="str">
            <v>SPX.L</v>
          </cell>
          <cell r="O277" t="str">
            <v>Spirax-Sarco Engineering PLC</v>
          </cell>
          <cell r="P277" t="str">
            <v>London</v>
          </cell>
          <cell r="Q277" t="str">
            <v>Industrials</v>
          </cell>
          <cell r="R277" t="str">
            <v>Machinery</v>
          </cell>
          <cell r="S277" t="str">
            <v>SPX.L</v>
          </cell>
        </row>
        <row r="278">
          <cell r="L278" t="str">
            <v>INVP LN</v>
          </cell>
          <cell r="M278" t="str">
            <v>INVESTEC-4006220/</v>
          </cell>
          <cell r="N278" t="str">
            <v>INVP.L</v>
          </cell>
          <cell r="O278" t="str">
            <v>Investec PLC</v>
          </cell>
          <cell r="P278" t="str">
            <v>London</v>
          </cell>
          <cell r="Q278" t="str">
            <v>Financials</v>
          </cell>
          <cell r="R278" t="str">
            <v>Capital Markets</v>
          </cell>
          <cell r="S278" t="str">
            <v>INVP.L</v>
          </cell>
        </row>
        <row r="279">
          <cell r="L279" t="str">
            <v>UU/ LN</v>
          </cell>
          <cell r="M279" t="str">
            <v>UNITED-UTILITIES-9590184/</v>
          </cell>
          <cell r="N279" t="str">
            <v>UU.L</v>
          </cell>
          <cell r="O279" t="str">
            <v>United Utilities Group PLC</v>
          </cell>
          <cell r="P279" t="str">
            <v>London</v>
          </cell>
          <cell r="Q279" t="str">
            <v>Utilities</v>
          </cell>
          <cell r="R279" t="str">
            <v>Water Utilities</v>
          </cell>
          <cell r="S279" t="str">
            <v>UU.L</v>
          </cell>
        </row>
        <row r="280">
          <cell r="L280" t="str">
            <v>WG/ LN</v>
          </cell>
          <cell r="M280" t="str">
            <v>JOHN-WOOD-GROUP-4003879/</v>
          </cell>
          <cell r="N280" t="str">
            <v>WG.L</v>
          </cell>
          <cell r="O280" t="str">
            <v>John Wood Group PLC</v>
          </cell>
          <cell r="P280" t="str">
            <v>London</v>
          </cell>
          <cell r="Q280" t="str">
            <v>Energy</v>
          </cell>
          <cell r="R280" t="str">
            <v>Energy Equipment &amp; Services</v>
          </cell>
          <cell r="S280" t="str">
            <v>WG.L</v>
          </cell>
        </row>
        <row r="281">
          <cell r="L281" t="str">
            <v>MKS LN</v>
          </cell>
          <cell r="M281" t="str">
            <v>MARKS-SPENCER-GROUP-9590119/</v>
          </cell>
          <cell r="N281" t="str">
            <v>MKS.L</v>
          </cell>
          <cell r="O281" t="str">
            <v>Marks and Spencer Group PLC</v>
          </cell>
          <cell r="P281" t="str">
            <v>London</v>
          </cell>
          <cell r="Q281" t="str">
            <v>Consumer Discretionary</v>
          </cell>
          <cell r="R281" t="str">
            <v>Multiline Retail</v>
          </cell>
          <cell r="S281" t="str">
            <v>MKS.L</v>
          </cell>
        </row>
        <row r="282">
          <cell r="L282" t="str">
            <v>WEIR LN</v>
          </cell>
          <cell r="M282" t="str">
            <v>WEIR-GROUP-9590176/</v>
          </cell>
          <cell r="N282" t="str">
            <v>WEIR.L</v>
          </cell>
          <cell r="O282" t="str">
            <v>Weir Group PLC</v>
          </cell>
          <cell r="P282" t="str">
            <v>London</v>
          </cell>
          <cell r="Q282" t="str">
            <v>Industrials</v>
          </cell>
          <cell r="R282" t="str">
            <v>Machinery</v>
          </cell>
          <cell r="S282" t="str">
            <v>WEIR.L</v>
          </cell>
        </row>
        <row r="283">
          <cell r="L283" t="str">
            <v>SVT LN</v>
          </cell>
          <cell r="M283" t="str">
            <v>SEVERN-TRENT-9590170/</v>
          </cell>
          <cell r="N283" t="str">
            <v>SVT.L</v>
          </cell>
          <cell r="O283" t="str">
            <v>Severn Trent PLC</v>
          </cell>
          <cell r="P283" t="str">
            <v>London</v>
          </cell>
          <cell r="Q283" t="str">
            <v>Utilities</v>
          </cell>
          <cell r="R283" t="str">
            <v>Water Utilities</v>
          </cell>
          <cell r="S283" t="str">
            <v>SVT.L</v>
          </cell>
        </row>
        <row r="284">
          <cell r="L284" t="str">
            <v>RMG LN</v>
          </cell>
          <cell r="M284" t="str">
            <v>ROYAL-MAIL-14535387/</v>
          </cell>
          <cell r="N284" t="str">
            <v>RMG.L</v>
          </cell>
          <cell r="O284" t="str">
            <v>Royal Mail PLC</v>
          </cell>
          <cell r="P284" t="str">
            <v>London</v>
          </cell>
          <cell r="Q284" t="str">
            <v>Industrials</v>
          </cell>
          <cell r="R284" t="str">
            <v>Air Freight &amp; Logistics</v>
          </cell>
          <cell r="S284" t="str">
            <v>RMG.L</v>
          </cell>
        </row>
        <row r="285">
          <cell r="L285" t="str">
            <v>RMV LN</v>
          </cell>
          <cell r="M285" t="str">
            <v>RIGHTMOVE-GROUP-9590217/</v>
          </cell>
          <cell r="N285" t="str">
            <v>RMV.L</v>
          </cell>
          <cell r="O285" t="str">
            <v>Rightmove PLC</v>
          </cell>
          <cell r="P285" t="str">
            <v>London</v>
          </cell>
          <cell r="Q285" t="str">
            <v>Information Technology</v>
          </cell>
          <cell r="R285" t="str">
            <v>Internet Software &amp; Services</v>
          </cell>
          <cell r="S285" t="str">
            <v>RMV.L</v>
          </cell>
        </row>
        <row r="286">
          <cell r="L286" t="str">
            <v>AUTO LN</v>
          </cell>
          <cell r="M286" t="str">
            <v>AUTO-TRADER-GROUP-21296406/</v>
          </cell>
          <cell r="N286" t="str">
            <v>AUTO.L</v>
          </cell>
          <cell r="O286" t="str">
            <v>Auto Trader Group PLC</v>
          </cell>
          <cell r="P286" t="str">
            <v>London</v>
          </cell>
          <cell r="Q286" t="str">
            <v>Information Technology</v>
          </cell>
          <cell r="R286" t="str">
            <v>Internet Software &amp; Services</v>
          </cell>
          <cell r="S286" t="str">
            <v>AUTO.L</v>
          </cell>
        </row>
        <row r="287">
          <cell r="L287" t="str">
            <v>MGGT LN</v>
          </cell>
          <cell r="M287" t="str">
            <v>MEGGITT-4000710/</v>
          </cell>
          <cell r="N287" t="str">
            <v>MGGT.L</v>
          </cell>
          <cell r="O287" t="str">
            <v>Meggitt PLC</v>
          </cell>
          <cell r="P287" t="str">
            <v>London</v>
          </cell>
          <cell r="Q287" t="str">
            <v>Industrials</v>
          </cell>
          <cell r="R287" t="str">
            <v>Aerospace &amp; Defense</v>
          </cell>
          <cell r="S287" t="str">
            <v>MGGT.L</v>
          </cell>
        </row>
        <row r="288">
          <cell r="L288" t="str">
            <v>GFS LN</v>
          </cell>
          <cell r="M288" t="str">
            <v>G4S-9590209/</v>
          </cell>
          <cell r="N288" t="str">
            <v>GFS.L</v>
          </cell>
          <cell r="O288" t="str">
            <v>G4S PLC</v>
          </cell>
          <cell r="P288" t="str">
            <v>London</v>
          </cell>
          <cell r="Q288" t="str">
            <v>Industrials</v>
          </cell>
          <cell r="R288" t="str">
            <v>Commercial Services &amp; Supplies</v>
          </cell>
          <cell r="S288" t="str">
            <v>GFS.L</v>
          </cell>
        </row>
        <row r="289">
          <cell r="L289" t="str">
            <v>MDC LN</v>
          </cell>
          <cell r="M289" t="str">
            <v>MEDICLINIC-INTERNATIONAL-13450334/</v>
          </cell>
          <cell r="N289" t="str">
            <v>MDC.L</v>
          </cell>
          <cell r="O289" t="str">
            <v>Mediclinic International PLC</v>
          </cell>
          <cell r="P289" t="str">
            <v>London</v>
          </cell>
          <cell r="Q289" t="str">
            <v>Health Care</v>
          </cell>
          <cell r="R289" t="str">
            <v>Health Care Providers &amp; Servic</v>
          </cell>
          <cell r="S289" t="str">
            <v>MDC.L</v>
          </cell>
        </row>
        <row r="290">
          <cell r="L290" t="str">
            <v>HMSO LN</v>
          </cell>
          <cell r="M290" t="str">
            <v>HAMMERSON-9590142/</v>
          </cell>
          <cell r="N290" t="str">
            <v>HMSO.L</v>
          </cell>
          <cell r="O290" t="str">
            <v>Hammerson PLC</v>
          </cell>
          <cell r="P290" t="str">
            <v>London</v>
          </cell>
          <cell r="Q290" t="str">
            <v>Real Estate</v>
          </cell>
          <cell r="R290" t="str">
            <v>Equity Real Estate Investment</v>
          </cell>
          <cell r="S290" t="str">
            <v>HMSO.L</v>
          </cell>
        </row>
        <row r="291">
          <cell r="L291" t="str">
            <v>BWY LN</v>
          </cell>
          <cell r="M291" t="str">
            <v>BELLWAY-9590129/</v>
          </cell>
          <cell r="N291" t="str">
            <v>BWY.L</v>
          </cell>
          <cell r="O291" t="str">
            <v>Bellway PLC</v>
          </cell>
          <cell r="P291" t="str">
            <v>London</v>
          </cell>
          <cell r="Q291" t="str">
            <v>Consumer Discretionary</v>
          </cell>
          <cell r="R291" t="str">
            <v>Household Durables</v>
          </cell>
          <cell r="S291" t="str">
            <v>BWY.L</v>
          </cell>
        </row>
        <row r="292">
          <cell r="L292" t="str">
            <v>BAB LN</v>
          </cell>
          <cell r="M292" t="str">
            <v>BABCOCK-INTERNATIONAL-GRO-9583549/</v>
          </cell>
          <cell r="N292" t="str">
            <v>BAB.L</v>
          </cell>
          <cell r="O292" t="str">
            <v>Babcock International Group PLC</v>
          </cell>
          <cell r="P292" t="str">
            <v>London</v>
          </cell>
          <cell r="Q292" t="str">
            <v>Industrials</v>
          </cell>
          <cell r="R292" t="str">
            <v>Commercial Services &amp; Supplies</v>
          </cell>
          <cell r="S292" t="str">
            <v>BAB.L</v>
          </cell>
        </row>
        <row r="293">
          <cell r="L293" t="str">
            <v>DLN LN</v>
          </cell>
          <cell r="M293" t="str">
            <v>DERWENT-LONDON-9590163/</v>
          </cell>
          <cell r="N293" t="str">
            <v>DLN.L</v>
          </cell>
          <cell r="O293" t="str">
            <v>Derwent London PLC</v>
          </cell>
          <cell r="P293" t="str">
            <v>London</v>
          </cell>
          <cell r="Q293" t="str">
            <v>Real Estate</v>
          </cell>
          <cell r="R293" t="str">
            <v>Equity Real Estate Investment</v>
          </cell>
          <cell r="S293" t="str">
            <v>DLN.L</v>
          </cell>
        </row>
        <row r="294">
          <cell r="L294" t="str">
            <v>TLW LN</v>
          </cell>
          <cell r="M294" t="str">
            <v>TULLOW-OIL-9590152/</v>
          </cell>
          <cell r="N294" t="str">
            <v>TLW.L</v>
          </cell>
          <cell r="O294" t="str">
            <v>Tullow Oil PLC</v>
          </cell>
          <cell r="P294" t="str">
            <v>London</v>
          </cell>
          <cell r="Q294" t="str">
            <v>Energy</v>
          </cell>
          <cell r="R294" t="str">
            <v>Oil, Gas &amp; Consumable Fuels</v>
          </cell>
          <cell r="S294" t="str">
            <v>TLW.L</v>
          </cell>
        </row>
        <row r="295">
          <cell r="L295" t="str">
            <v>IGG LN</v>
          </cell>
          <cell r="M295" t="str">
            <v>IG-GROUP-HOLDINGS-9623111/</v>
          </cell>
          <cell r="N295" t="str">
            <v>IGG.L</v>
          </cell>
          <cell r="O295" t="str">
            <v>IG Group Holdings PLC</v>
          </cell>
          <cell r="P295" t="str">
            <v>London</v>
          </cell>
          <cell r="Q295" t="str">
            <v>Financials</v>
          </cell>
          <cell r="R295" t="str">
            <v>Capital Markets</v>
          </cell>
          <cell r="S295" t="str">
            <v>IGG.L</v>
          </cell>
        </row>
        <row r="296">
          <cell r="L296" t="str">
            <v>ECM LN</v>
          </cell>
          <cell r="M296" t="str">
            <v>ELECTROCOMPONENTS-9590114/</v>
          </cell>
          <cell r="N296" t="str">
            <v>ECM.L</v>
          </cell>
          <cell r="O296" t="str">
            <v>Electrocomponents PLC</v>
          </cell>
          <cell r="P296" t="str">
            <v>London</v>
          </cell>
          <cell r="Q296" t="str">
            <v>Information Technology</v>
          </cell>
          <cell r="R296" t="str">
            <v>Electronic Equipment, Instrume</v>
          </cell>
          <cell r="S296" t="str">
            <v>ECM.L</v>
          </cell>
        </row>
        <row r="297">
          <cell r="L297" t="str">
            <v>PNN LN</v>
          </cell>
          <cell r="M297" t="str">
            <v>PENNON-GROUP-4006254/</v>
          </cell>
          <cell r="N297" t="str">
            <v>PNN.L</v>
          </cell>
          <cell r="O297" t="str">
            <v>Pennon Group PLC</v>
          </cell>
          <cell r="P297" t="str">
            <v>London</v>
          </cell>
          <cell r="Q297" t="str">
            <v>Utilities</v>
          </cell>
          <cell r="R297" t="str">
            <v>Water Utilities</v>
          </cell>
          <cell r="S297" t="str">
            <v>PNN.L</v>
          </cell>
        </row>
        <row r="298">
          <cell r="L298" t="str">
            <v>BBA LN</v>
          </cell>
          <cell r="M298" t="str">
            <v>BBA-AVIATION-9583551/</v>
          </cell>
          <cell r="N298" t="str">
            <v>BBA.L</v>
          </cell>
          <cell r="O298" t="str">
            <v>BBA Aviation PLC</v>
          </cell>
          <cell r="P298" t="str">
            <v>London</v>
          </cell>
          <cell r="Q298" t="str">
            <v>Industrials</v>
          </cell>
          <cell r="R298" t="str">
            <v>Transportation Infrastructure</v>
          </cell>
          <cell r="S298" t="str">
            <v>BBA.L</v>
          </cell>
        </row>
        <row r="299">
          <cell r="L299" t="str">
            <v>TATE LN</v>
          </cell>
          <cell r="M299" t="str">
            <v>TATE-AND-LYLE-4000590/</v>
          </cell>
          <cell r="N299" t="str">
            <v>TATE.L</v>
          </cell>
          <cell r="O299" t="str">
            <v>Tate &amp; Lyle PLC</v>
          </cell>
          <cell r="P299" t="str">
            <v>London</v>
          </cell>
          <cell r="Q299" t="str">
            <v>Consumer Staples</v>
          </cell>
          <cell r="R299" t="str">
            <v>Food Products</v>
          </cell>
          <cell r="S299" t="str">
            <v>TATE.L</v>
          </cell>
        </row>
        <row r="300">
          <cell r="L300" t="str">
            <v>HAS LN</v>
          </cell>
          <cell r="M300" t="str">
            <v>HAYS-4000880/</v>
          </cell>
          <cell r="N300" t="str">
            <v>HAYS.L</v>
          </cell>
          <cell r="O300" t="str">
            <v>Hays PLC</v>
          </cell>
          <cell r="P300" t="str">
            <v>London</v>
          </cell>
          <cell r="Q300" t="str">
            <v>Industrials</v>
          </cell>
          <cell r="R300" t="str">
            <v>Professional Services</v>
          </cell>
          <cell r="S300" t="str">
            <v>HAS.L</v>
          </cell>
        </row>
        <row r="301">
          <cell r="L301" t="str">
            <v>ROR LN</v>
          </cell>
          <cell r="M301" t="str">
            <v>ROTORK-22270202/</v>
          </cell>
          <cell r="N301" t="str">
            <v>ROR.L</v>
          </cell>
          <cell r="O301" t="str">
            <v>Rotork PLC</v>
          </cell>
          <cell r="P301" t="str">
            <v>London</v>
          </cell>
          <cell r="Q301" t="str">
            <v>Industrials</v>
          </cell>
          <cell r="R301" t="str">
            <v>Machinery</v>
          </cell>
          <cell r="S301" t="str">
            <v>ROR.L</v>
          </cell>
        </row>
        <row r="302">
          <cell r="L302" t="str">
            <v>COB LN</v>
          </cell>
          <cell r="M302" t="str">
            <v>COBHAM-4005190/</v>
          </cell>
          <cell r="N302" t="str">
            <v>COB.L</v>
          </cell>
          <cell r="O302" t="str">
            <v>Cobham PLC</v>
          </cell>
          <cell r="P302" t="str">
            <v>London</v>
          </cell>
          <cell r="Q302" t="str">
            <v>Industrials</v>
          </cell>
          <cell r="R302" t="str">
            <v>Aerospace &amp; Defense</v>
          </cell>
          <cell r="S302" t="str">
            <v>COB.L</v>
          </cell>
        </row>
        <row r="303">
          <cell r="L303" t="str">
            <v>CYBG LN</v>
          </cell>
          <cell r="M303" t="str">
            <v>CYBG-26786257/</v>
          </cell>
          <cell r="N303" t="str">
            <v>CYBG.L</v>
          </cell>
          <cell r="O303" t="str">
            <v>CYBG PLC</v>
          </cell>
          <cell r="P303" t="str">
            <v>London</v>
          </cell>
          <cell r="Q303" t="str">
            <v>Financials</v>
          </cell>
          <cell r="R303" t="str">
            <v>Banks</v>
          </cell>
          <cell r="S303" t="str">
            <v>CYBG.L</v>
          </cell>
        </row>
        <row r="304">
          <cell r="L304" t="str">
            <v>RPC LN</v>
          </cell>
          <cell r="M304" t="str">
            <v>RPC-GROUP-PLC-4002256/</v>
          </cell>
          <cell r="N304" t="str">
            <v>RPC.L</v>
          </cell>
          <cell r="O304" t="str">
            <v>RPC Group PLC</v>
          </cell>
          <cell r="P304" t="str">
            <v>London</v>
          </cell>
          <cell r="Q304" t="str">
            <v>Materials</v>
          </cell>
          <cell r="R304" t="str">
            <v>Containers &amp; Packaging</v>
          </cell>
          <cell r="S304" t="str">
            <v>RPC.L</v>
          </cell>
        </row>
        <row r="305">
          <cell r="L305" t="str">
            <v>INCH LN</v>
          </cell>
          <cell r="M305" t="str">
            <v>INCHCAPE-4005916/</v>
          </cell>
          <cell r="N305" t="str">
            <v>INCH.L</v>
          </cell>
          <cell r="O305" t="str">
            <v>Inchcape PLC</v>
          </cell>
          <cell r="P305" t="str">
            <v>London</v>
          </cell>
          <cell r="Q305" t="str">
            <v>Consumer Discretionary</v>
          </cell>
          <cell r="R305" t="str">
            <v>Distributors</v>
          </cell>
          <cell r="S305" t="str">
            <v>INCH.L</v>
          </cell>
        </row>
        <row r="306">
          <cell r="L306" t="str">
            <v>TPK LN</v>
          </cell>
          <cell r="M306" t="str">
            <v>TRAVIS-PERKINS-9590175/</v>
          </cell>
          <cell r="N306" t="str">
            <v>TPK.L</v>
          </cell>
          <cell r="O306" t="str">
            <v>Travis Perkins PLC</v>
          </cell>
          <cell r="P306" t="str">
            <v>London</v>
          </cell>
          <cell r="Q306" t="str">
            <v>Industrials</v>
          </cell>
          <cell r="R306" t="str">
            <v>Trading Companies &amp; Distributo</v>
          </cell>
          <cell r="S306" t="str">
            <v>TPK.L</v>
          </cell>
        </row>
        <row r="307">
          <cell r="L307" t="str">
            <v>VCT LN</v>
          </cell>
          <cell r="M307" t="str">
            <v>VICTREX-9590145/</v>
          </cell>
          <cell r="N307" t="str">
            <v>VCT.L</v>
          </cell>
          <cell r="O307" t="str">
            <v>Victrex PLC</v>
          </cell>
          <cell r="P307" t="str">
            <v>London</v>
          </cell>
          <cell r="Q307" t="str">
            <v>Materials</v>
          </cell>
          <cell r="R307" t="str">
            <v>Chemicals</v>
          </cell>
          <cell r="S307" t="str">
            <v>VCT.L</v>
          </cell>
        </row>
        <row r="308">
          <cell r="L308" t="str">
            <v>SXS LN</v>
          </cell>
          <cell r="M308" t="str">
            <v>SPECTRIS-9590171/</v>
          </cell>
          <cell r="N308" t="str">
            <v>SXS.L</v>
          </cell>
          <cell r="O308" t="str">
            <v>Spectris PLC</v>
          </cell>
          <cell r="P308" t="str">
            <v>London</v>
          </cell>
          <cell r="Q308" t="str">
            <v>Information Technology</v>
          </cell>
          <cell r="R308" t="str">
            <v>Electronic Equipment, Instrume</v>
          </cell>
          <cell r="S308" t="str">
            <v>SXS.L</v>
          </cell>
        </row>
        <row r="309">
          <cell r="L309" t="str">
            <v>QLT LN</v>
          </cell>
          <cell r="M309" t="str">
            <v>QUILTER-44388505/</v>
          </cell>
          <cell r="N309" t="str">
            <v>QLT.L</v>
          </cell>
          <cell r="O309" t="str">
            <v>Quilter PLC</v>
          </cell>
          <cell r="P309" t="str">
            <v>London</v>
          </cell>
          <cell r="Q309" t="str">
            <v>Financials</v>
          </cell>
          <cell r="R309" t="str">
            <v>Capital Markets</v>
          </cell>
          <cell r="S309" t="str">
            <v>QLT.L</v>
          </cell>
        </row>
        <row r="310">
          <cell r="L310" t="str">
            <v>DMGT LN</v>
          </cell>
          <cell r="M310" t="str">
            <v>DAILY-MAIL-AND-GENERAL-TR-4002441/</v>
          </cell>
          <cell r="N310" t="str">
            <v>DMGTa.L</v>
          </cell>
          <cell r="O310" t="str">
            <v>Daily Mail and General Trust P L C</v>
          </cell>
          <cell r="P310" t="str">
            <v>London</v>
          </cell>
          <cell r="Q310" t="str">
            <v>Consumer Discretionary</v>
          </cell>
          <cell r="R310" t="str">
            <v>Media</v>
          </cell>
          <cell r="S310" t="str">
            <v>DMGT.L</v>
          </cell>
        </row>
        <row r="311">
          <cell r="L311" t="str">
            <v>ISAT LN</v>
          </cell>
          <cell r="M311" t="str">
            <v>INMARSAT-4005306/</v>
          </cell>
          <cell r="N311" t="str">
            <v>ISA.L</v>
          </cell>
          <cell r="O311" t="str">
            <v>Inmarsat PLC</v>
          </cell>
          <cell r="P311" t="str">
            <v>London</v>
          </cell>
          <cell r="Q311" t="str">
            <v>Telecommunication Services</v>
          </cell>
          <cell r="R311" t="str">
            <v>Diversified Telecommunication</v>
          </cell>
          <cell r="S311" t="str">
            <v>ISAT.L</v>
          </cell>
        </row>
        <row r="312">
          <cell r="L312" t="str">
            <v>DPH LN</v>
          </cell>
          <cell r="M312" t="str">
            <v>DECHRA-PHARMACEUTICALS-4003059/</v>
          </cell>
          <cell r="N312" t="str">
            <v>DPH.L</v>
          </cell>
          <cell r="O312" t="str">
            <v>Dechra Pharmaceuticals PLC</v>
          </cell>
          <cell r="P312" t="str">
            <v>London</v>
          </cell>
          <cell r="Q312" t="str">
            <v>Health Care</v>
          </cell>
          <cell r="R312" t="str">
            <v>Pharmaceuticals</v>
          </cell>
          <cell r="S312" t="str">
            <v>DPH.L</v>
          </cell>
        </row>
        <row r="313">
          <cell r="L313" t="str">
            <v>CPI LN</v>
          </cell>
          <cell r="M313" t="str">
            <v>CAPITA-4007375/</v>
          </cell>
          <cell r="N313" t="str">
            <v>CPI.L</v>
          </cell>
          <cell r="O313" t="str">
            <v>Capita PLC</v>
          </cell>
          <cell r="P313" t="str">
            <v>London</v>
          </cell>
          <cell r="Q313" t="str">
            <v>Industrials</v>
          </cell>
          <cell r="R313" t="str">
            <v>Professional Services</v>
          </cell>
          <cell r="S313" t="str">
            <v>CPI.L</v>
          </cell>
        </row>
        <row r="314">
          <cell r="L314" t="str">
            <v>CBG LN</v>
          </cell>
          <cell r="M314" t="str">
            <v>CLOSE-BROTHERS-GROUP-9590157/</v>
          </cell>
          <cell r="N314" t="str">
            <v>CBRO.L</v>
          </cell>
          <cell r="O314" t="str">
            <v>Close Brothers Group PLC</v>
          </cell>
          <cell r="P314" t="str">
            <v>London</v>
          </cell>
          <cell r="Q314" t="str">
            <v>Financials</v>
          </cell>
          <cell r="R314" t="str">
            <v>Capital Markets</v>
          </cell>
          <cell r="S314" t="str">
            <v>CBG.L</v>
          </cell>
        </row>
        <row r="315">
          <cell r="L315" t="str">
            <v>SMWH LN</v>
          </cell>
          <cell r="M315" t="str">
            <v>WH-SMITH-9590105/</v>
          </cell>
          <cell r="N315" t="str">
            <v>SMWH.L</v>
          </cell>
          <cell r="O315" t="str">
            <v>WH Smith PLC</v>
          </cell>
          <cell r="P315" t="str">
            <v>London</v>
          </cell>
          <cell r="Q315" t="str">
            <v>Consumer Discretionary</v>
          </cell>
          <cell r="R315" t="str">
            <v>Specialty Retail</v>
          </cell>
          <cell r="S315" t="str">
            <v>SMWH.L</v>
          </cell>
        </row>
        <row r="316">
          <cell r="L316" t="str">
            <v>WMH LN</v>
          </cell>
          <cell r="M316" t="str">
            <v>WILLIAM-HILL-9590202/</v>
          </cell>
          <cell r="N316" t="str">
            <v>WMH.L</v>
          </cell>
          <cell r="O316" t="str">
            <v>William Hill PLC</v>
          </cell>
          <cell r="P316" t="str">
            <v>London</v>
          </cell>
          <cell r="Q316" t="str">
            <v>Consumer Discretionary</v>
          </cell>
          <cell r="R316" t="str">
            <v>Hotels, Restaurants &amp; Leisure</v>
          </cell>
          <cell r="S316" t="str">
            <v>WMH.L</v>
          </cell>
        </row>
        <row r="317">
          <cell r="L317" t="str">
            <v>INTU LN</v>
          </cell>
          <cell r="M317" t="str">
            <v>INTU-PROPERTIES-4002231/</v>
          </cell>
          <cell r="N317" t="str">
            <v>INTU.L</v>
          </cell>
          <cell r="O317" t="str">
            <v>Intu Properties PLC</v>
          </cell>
          <cell r="P317" t="str">
            <v>London</v>
          </cell>
          <cell r="Q317" t="str">
            <v>Real Estate</v>
          </cell>
          <cell r="R317" t="str">
            <v>Equity Real Estate Investment</v>
          </cell>
          <cell r="S317" t="str">
            <v>INTU.L</v>
          </cell>
        </row>
        <row r="318">
          <cell r="L318" t="str">
            <v>BBY LN</v>
          </cell>
          <cell r="M318" t="str">
            <v>BALFOUR-BEATTY-4000600/</v>
          </cell>
          <cell r="N318" t="str">
            <v>BALF.L</v>
          </cell>
          <cell r="O318" t="str">
            <v>Balfour Beatty PLC</v>
          </cell>
          <cell r="P318" t="str">
            <v>London</v>
          </cell>
          <cell r="Q318" t="str">
            <v>Industrials</v>
          </cell>
          <cell r="R318" t="str">
            <v>Construction &amp; Engineering</v>
          </cell>
          <cell r="S318" t="str">
            <v>BBY.L</v>
          </cell>
        </row>
        <row r="319">
          <cell r="L319" t="str">
            <v>INDV LN</v>
          </cell>
          <cell r="M319" t="str">
            <v>INDIVIOR-19344116/</v>
          </cell>
          <cell r="N319" t="str">
            <v>INDV.L</v>
          </cell>
          <cell r="O319" t="str">
            <v>Indivior PLC</v>
          </cell>
          <cell r="P319" t="str">
            <v>London</v>
          </cell>
          <cell r="Q319" t="str">
            <v>Health Care</v>
          </cell>
          <cell r="R319" t="str">
            <v>Pharmaceuticals</v>
          </cell>
          <cell r="S319" t="str">
            <v>INDV.L</v>
          </cell>
        </row>
        <row r="320">
          <cell r="L320" t="str">
            <v>EXAS</v>
          </cell>
          <cell r="M320" t="str">
            <v>EXACT-SCIENCES-CORPORATIO-9232/</v>
          </cell>
          <cell r="N320" t="str">
            <v>EXAS</v>
          </cell>
          <cell r="O320" t="str">
            <v>EXACT SCIENCES</v>
          </cell>
          <cell r="P320" t="str">
            <v>NASDAQ CM</v>
          </cell>
          <cell r="Q320" t="str">
            <v>Health Care</v>
          </cell>
          <cell r="R320" t="str">
            <v>Biotechnology</v>
          </cell>
          <cell r="S320" t="str">
            <v>EXAS</v>
          </cell>
        </row>
        <row r="321">
          <cell r="L321" t="str">
            <v>MDGL</v>
          </cell>
          <cell r="M321" t="str">
            <v>MADRIGAL-PHARMACEUTICALS-30340910/</v>
          </cell>
          <cell r="N321" t="str">
            <v>MDGL</v>
          </cell>
          <cell r="O321" t="str">
            <v>MADRIGAL PHARMAC</v>
          </cell>
          <cell r="P321" t="str">
            <v>NASDAQ CM</v>
          </cell>
          <cell r="Q321" t="str">
            <v>Health Care</v>
          </cell>
          <cell r="R321" t="str">
            <v>Biotechnology</v>
          </cell>
          <cell r="S321" t="str">
            <v>MDGL</v>
          </cell>
        </row>
        <row r="322">
          <cell r="L322" t="str">
            <v>HRTX</v>
          </cell>
          <cell r="M322" t="str">
            <v>HERON-THERAPEUTICS-INC-15590060/</v>
          </cell>
          <cell r="N322" t="str">
            <v>HRTX</v>
          </cell>
          <cell r="O322" t="str">
            <v>HERON THERAPEUTI</v>
          </cell>
          <cell r="P322" t="str">
            <v>NASDAQ CM</v>
          </cell>
          <cell r="Q322" t="str">
            <v>Health Care</v>
          </cell>
          <cell r="R322" t="str">
            <v>Biotechnology</v>
          </cell>
          <cell r="S322" t="str">
            <v>HRTX</v>
          </cell>
        </row>
        <row r="323">
          <cell r="L323" t="str">
            <v>RMR</v>
          </cell>
          <cell r="M323" t="str">
            <v>RMR-GROUP-INC-25012997/</v>
          </cell>
          <cell r="N323" t="str">
            <v>RMR</v>
          </cell>
          <cell r="O323" t="str">
            <v>RMR GROUP-A</v>
          </cell>
          <cell r="P323" t="str">
            <v>NASDAQ CM</v>
          </cell>
          <cell r="Q323" t="str">
            <v>Real Estate</v>
          </cell>
          <cell r="R323" t="str">
            <v>Real Estate Management &amp; Devel</v>
          </cell>
          <cell r="S323" t="str">
            <v>RMR</v>
          </cell>
        </row>
        <row r="324">
          <cell r="L324" t="str">
            <v>GGAL</v>
          </cell>
          <cell r="M324" t="str">
            <v>GRUPO-FINANCIERO-GALICIA-9425/</v>
          </cell>
          <cell r="N324" t="str">
            <v>GGAL</v>
          </cell>
          <cell r="O324" t="str">
            <v>GRUPO GALICI-ADR</v>
          </cell>
          <cell r="P324" t="str">
            <v>NASDAQ CM</v>
          </cell>
          <cell r="Q324" t="str">
            <v>Financials</v>
          </cell>
          <cell r="R324" t="str">
            <v>Banks</v>
          </cell>
          <cell r="S324" t="str">
            <v>GGAL</v>
          </cell>
        </row>
        <row r="325">
          <cell r="L325" t="str">
            <v>TELL</v>
          </cell>
          <cell r="M325" t="str">
            <v>TELLURIAN-INC-34054218/</v>
          </cell>
          <cell r="N325" t="str">
            <v>TELL</v>
          </cell>
          <cell r="O325" t="str">
            <v>TELLURIAN INC</v>
          </cell>
          <cell r="P325" t="str">
            <v>NASDAQ CM</v>
          </cell>
          <cell r="Q325" t="str">
            <v>Energy</v>
          </cell>
          <cell r="R325" t="str">
            <v>Oil, Gas &amp; Consumable Fuels</v>
          </cell>
          <cell r="S325" t="str">
            <v>TELL</v>
          </cell>
        </row>
        <row r="326">
          <cell r="L326" t="str">
            <v>GGAL</v>
          </cell>
          <cell r="M326" t="str">
            <v>GRUPO-AEROPORTUARIO-DEL-C-37847/</v>
          </cell>
          <cell r="N326" t="str">
            <v>GGAL</v>
          </cell>
          <cell r="O326" t="str">
            <v>GRUPO GALICI-ADR</v>
          </cell>
          <cell r="P326" t="str">
            <v>NASDAQ CM</v>
          </cell>
          <cell r="Q326" t="str">
            <v>Financials</v>
          </cell>
          <cell r="R326" t="str">
            <v>Banks</v>
          </cell>
          <cell r="S326" t="str">
            <v>GGAL</v>
          </cell>
        </row>
        <row r="327">
          <cell r="L327" t="str">
            <v>WSC</v>
          </cell>
          <cell r="M327" t="str">
            <v>WILLSCOT-CORP-42413884/</v>
          </cell>
          <cell r="N327" t="str">
            <v>WSC</v>
          </cell>
          <cell r="O327" t="str">
            <v>WILLSCOT CORP</v>
          </cell>
          <cell r="P327" t="str">
            <v>NASDAQ CM</v>
          </cell>
          <cell r="Q327" t="str">
            <v>Industrials</v>
          </cell>
          <cell r="R327" t="str">
            <v>Construction &amp; Engineering</v>
          </cell>
          <cell r="S327" t="str">
            <v>WSC</v>
          </cell>
        </row>
        <row r="328">
          <cell r="L328" t="str">
            <v>CORT</v>
          </cell>
          <cell r="M328" t="str">
            <v>CORCEPT-THERAPEUTICS-INCO-40449488/</v>
          </cell>
          <cell r="N328" t="str">
            <v>CORT</v>
          </cell>
          <cell r="O328" t="str">
            <v>CORCEPT THERA</v>
          </cell>
          <cell r="P328" t="str">
            <v>NASDAQ CM</v>
          </cell>
          <cell r="Q328" t="str">
            <v>Health Care</v>
          </cell>
          <cell r="R328" t="str">
            <v>Pharmaceuticals</v>
          </cell>
          <cell r="S328" t="str">
            <v>CORT</v>
          </cell>
        </row>
        <row r="329">
          <cell r="L329" t="str">
            <v>AXGN</v>
          </cell>
          <cell r="M329" t="str">
            <v>AXOGEN-INC-13919240/</v>
          </cell>
          <cell r="N329" t="str">
            <v>AXGN</v>
          </cell>
          <cell r="O329" t="str">
            <v>AXOGEN INC</v>
          </cell>
          <cell r="P329" t="str">
            <v>NASDAQ CM</v>
          </cell>
          <cell r="Q329" t="str">
            <v>Health Care</v>
          </cell>
          <cell r="R329" t="str">
            <v>Health Care Equipment &amp; Suppli</v>
          </cell>
          <cell r="S329" t="str">
            <v>AXGN</v>
          </cell>
        </row>
        <row r="330">
          <cell r="L330" t="str">
            <v>SMPL</v>
          </cell>
          <cell r="M330" t="str">
            <v>SIMPLY-GOOD-FOODS-CO-37430562/</v>
          </cell>
          <cell r="N330" t="str">
            <v>SMPL</v>
          </cell>
          <cell r="O330" t="str">
            <v>SIMPLY GOOD FOOD</v>
          </cell>
          <cell r="P330" t="str">
            <v>NASDAQ CM</v>
          </cell>
          <cell r="Q330" t="str">
            <v>Consumer Staples</v>
          </cell>
          <cell r="R330" t="str">
            <v>Food Products</v>
          </cell>
          <cell r="S330" t="str">
            <v>SMPL</v>
          </cell>
        </row>
        <row r="331">
          <cell r="L331" t="str">
            <v>TWNK</v>
          </cell>
          <cell r="M331" t="str">
            <v>HOSTESS-BRANDS-INC-31827829/</v>
          </cell>
          <cell r="N331" t="str">
            <v>TWNK</v>
          </cell>
          <cell r="O331" t="str">
            <v>HOSTESS BRANDS</v>
          </cell>
          <cell r="P331" t="str">
            <v>NASDAQ CM</v>
          </cell>
          <cell r="Q331" t="str">
            <v>Consumer Staples</v>
          </cell>
          <cell r="R331" t="str">
            <v>Food Products</v>
          </cell>
          <cell r="S331" t="str">
            <v>TWNK</v>
          </cell>
        </row>
        <row r="332">
          <cell r="L332" t="str">
            <v>NVEE</v>
          </cell>
          <cell r="M332" t="str">
            <v>NV5-GLOBAL-INC-14408853/</v>
          </cell>
          <cell r="N332" t="str">
            <v>NVEE</v>
          </cell>
          <cell r="O332" t="str">
            <v>NV5 GLOBAL INC</v>
          </cell>
          <cell r="P332" t="str">
            <v>NASDAQ CM</v>
          </cell>
          <cell r="Q332" t="str">
            <v>Industrials</v>
          </cell>
          <cell r="R332" t="str">
            <v>Construction &amp; Engineering</v>
          </cell>
          <cell r="S332" t="str">
            <v>NVEE</v>
          </cell>
        </row>
        <row r="333">
          <cell r="L333" t="str">
            <v>TGTX</v>
          </cell>
          <cell r="M333" t="str">
            <v>TG-THERAPEUTICS-INC-13314736/</v>
          </cell>
          <cell r="N333" t="str">
            <v>TGTX</v>
          </cell>
          <cell r="O333" t="str">
            <v>TG THERAPEUTICS</v>
          </cell>
          <cell r="P333" t="str">
            <v>NASDAQ CM</v>
          </cell>
          <cell r="Q333" t="str">
            <v>Health Care</v>
          </cell>
          <cell r="R333" t="str">
            <v>Biotechnology</v>
          </cell>
          <cell r="S333" t="str">
            <v>TGTX</v>
          </cell>
        </row>
        <row r="334">
          <cell r="L334" t="str">
            <v>ASMB</v>
          </cell>
          <cell r="M334" t="str">
            <v>ASSEMBLY-BIOSCIENCES-INC-16917153/</v>
          </cell>
          <cell r="N334" t="str">
            <v>ASMB</v>
          </cell>
          <cell r="O334" t="str">
            <v>ASSEMBLY BIOSCIE</v>
          </cell>
          <cell r="P334" t="str">
            <v>NASDAQ CM</v>
          </cell>
          <cell r="Q334" t="str">
            <v>Health Care</v>
          </cell>
          <cell r="R334" t="str">
            <v>Pharmaceuticals</v>
          </cell>
          <cell r="S334" t="str">
            <v>ASMB</v>
          </cell>
        </row>
        <row r="335">
          <cell r="L335" t="str">
            <v>DENN</v>
          </cell>
          <cell r="M335" t="str">
            <v>DENNY-S-CORP-9065/</v>
          </cell>
          <cell r="N335" t="str">
            <v>DENN</v>
          </cell>
          <cell r="O335" t="str">
            <v>DENNY'S CORP</v>
          </cell>
          <cell r="P335" t="str">
            <v>NASDAQ CM</v>
          </cell>
          <cell r="Q335" t="str">
            <v>Consumer Discretionary</v>
          </cell>
          <cell r="R335" t="str">
            <v>Hotels, Restaurants &amp; Leisure</v>
          </cell>
          <cell r="S335" t="str">
            <v>DENN</v>
          </cell>
        </row>
        <row r="336">
          <cell r="L336" t="str">
            <v>CARO</v>
          </cell>
          <cell r="M336" t="str">
            <v>CAROLINA-FINANCIAL-CORP-16817025/</v>
          </cell>
          <cell r="N336" t="str">
            <v>CARO</v>
          </cell>
          <cell r="O336" t="str">
            <v>CAROLINA FINANCI</v>
          </cell>
          <cell r="P336" t="str">
            <v>NASDAQ CM</v>
          </cell>
          <cell r="Q336" t="str">
            <v>Financials</v>
          </cell>
          <cell r="R336" t="str">
            <v>Banks</v>
          </cell>
          <cell r="S336" t="str">
            <v>CARO</v>
          </cell>
        </row>
        <row r="337">
          <cell r="L337" t="str">
            <v>NXEO</v>
          </cell>
          <cell r="M337" t="str">
            <v>NEXEO-SOLUTIONS-INC-28634335/</v>
          </cell>
          <cell r="N337" t="str">
            <v>NXEO</v>
          </cell>
          <cell r="O337" t="str">
            <v>NEXEO SOLUTIONS</v>
          </cell>
          <cell r="P337" t="str">
            <v>NASDAQ CM</v>
          </cell>
          <cell r="Q337" t="str">
            <v>Industrials</v>
          </cell>
          <cell r="R337" t="str">
            <v>Trading Companies &amp; Distributo</v>
          </cell>
          <cell r="S337" t="str">
            <v>NXEO</v>
          </cell>
        </row>
        <row r="338">
          <cell r="L338" t="str">
            <v>XELA</v>
          </cell>
          <cell r="M338" t="str">
            <v>EXELA-TECHNOLOGIES-INC-36879308/</v>
          </cell>
          <cell r="N338" t="str">
            <v>XELA</v>
          </cell>
          <cell r="O338" t="str">
            <v>EXELA TECHNOLOGI</v>
          </cell>
          <cell r="P338" t="str">
            <v>NASDAQ CM</v>
          </cell>
          <cell r="Q338" t="str">
            <v>Information Technology</v>
          </cell>
          <cell r="R338" t="str">
            <v>IT Services</v>
          </cell>
          <cell r="S338" t="str">
            <v>XELA</v>
          </cell>
        </row>
        <row r="339">
          <cell r="L339" t="str">
            <v>DVAX</v>
          </cell>
          <cell r="M339" t="str">
            <v>DYNAVAX-TECHNOLOGIES-CORP-19120561/</v>
          </cell>
          <cell r="N339" t="str">
            <v>DVAX</v>
          </cell>
          <cell r="O339" t="str">
            <v>DYNAVAX TECHNOLO</v>
          </cell>
          <cell r="P339" t="str">
            <v>NASDAQ CM</v>
          </cell>
          <cell r="Q339" t="str">
            <v>Health Care</v>
          </cell>
          <cell r="R339" t="str">
            <v>Biotechnology</v>
          </cell>
          <cell r="S339" t="str">
            <v>DVAX</v>
          </cell>
        </row>
        <row r="340">
          <cell r="L340" t="str">
            <v>AMR</v>
          </cell>
          <cell r="M340" t="str">
            <v>ALTA-MESA-RESOURCES-INC-40892905/</v>
          </cell>
          <cell r="N340" t="str">
            <v>AMR</v>
          </cell>
          <cell r="O340" t="str">
            <v>ALTA MESA RESOUR</v>
          </cell>
          <cell r="P340" t="str">
            <v>NASDAQ CM</v>
          </cell>
          <cell r="Q340" t="str">
            <v>Energy</v>
          </cell>
          <cell r="R340" t="str">
            <v>Oil, Gas &amp; Consumable Fuels</v>
          </cell>
          <cell r="S340" t="str">
            <v>AMR</v>
          </cell>
        </row>
        <row r="341">
          <cell r="L341" t="str">
            <v>USCR</v>
          </cell>
          <cell r="M341" t="str">
            <v>US-CONCRETE-INC-6742302/</v>
          </cell>
          <cell r="N341" t="str">
            <v>USCR</v>
          </cell>
          <cell r="O341" t="str">
            <v>US CONCRETE INC</v>
          </cell>
          <cell r="P341" t="str">
            <v>NASDAQ CM</v>
          </cell>
          <cell r="Q341" t="str">
            <v>Materials</v>
          </cell>
          <cell r="R341" t="str">
            <v>Construction Materials</v>
          </cell>
          <cell r="S341" t="str">
            <v>USCR</v>
          </cell>
        </row>
        <row r="342">
          <cell r="L342" t="str">
            <v>VKTX</v>
          </cell>
          <cell r="M342" t="str">
            <v>VIKING-THERAPEUTICS-INC-17937582/</v>
          </cell>
          <cell r="N342" t="str">
            <v>VKTX</v>
          </cell>
          <cell r="O342" t="str">
            <v>VIKING THERAPEUT</v>
          </cell>
          <cell r="P342" t="str">
            <v>NASDAQ CM</v>
          </cell>
          <cell r="Q342" t="str">
            <v>Health Care</v>
          </cell>
          <cell r="R342" t="str">
            <v>Biotechnology</v>
          </cell>
          <cell r="S342" t="str">
            <v>VKTX</v>
          </cell>
        </row>
        <row r="343">
          <cell r="L343" t="str">
            <v>HSKA</v>
          </cell>
          <cell r="M343" t="str">
            <v>HESKA-CORP-7098302/</v>
          </cell>
          <cell r="N343" t="str">
            <v>HSKA</v>
          </cell>
          <cell r="O343" t="str">
            <v>HESKA CORP</v>
          </cell>
          <cell r="P343" t="str">
            <v>NASDAQ CM</v>
          </cell>
          <cell r="Q343" t="str">
            <v>Health Care</v>
          </cell>
          <cell r="R343" t="str">
            <v>Health Care Equipment &amp; Suppli</v>
          </cell>
          <cell r="S343" t="str">
            <v>HSKA</v>
          </cell>
        </row>
        <row r="344">
          <cell r="L344" t="str">
            <v>OSPN</v>
          </cell>
          <cell r="M344" t="str">
            <v>ONESPAN-INC-44136861/</v>
          </cell>
          <cell r="N344" t="str">
            <v>OSPN</v>
          </cell>
          <cell r="O344" t="str">
            <v>ONESPAN INC</v>
          </cell>
          <cell r="P344" t="str">
            <v>NASDAQ CM</v>
          </cell>
          <cell r="Q344" t="str">
            <v>Information Technology</v>
          </cell>
          <cell r="R344" t="str">
            <v>Software</v>
          </cell>
          <cell r="S344" t="str">
            <v>OSPN</v>
          </cell>
        </row>
        <row r="345">
          <cell r="L345" t="str">
            <v>MBIN</v>
          </cell>
          <cell r="M345" t="str">
            <v>MERCHANTS-BANCORP-38467005/</v>
          </cell>
          <cell r="N345" t="str">
            <v>MBIN</v>
          </cell>
          <cell r="O345" t="str">
            <v>MERCHANTS BANCOR</v>
          </cell>
          <cell r="P345" t="str">
            <v>NASDAQ CM</v>
          </cell>
          <cell r="Q345" t="str">
            <v>Financials</v>
          </cell>
          <cell r="R345" t="str">
            <v>Thrifts &amp; Mortgage Finance</v>
          </cell>
          <cell r="S345" t="str">
            <v>MBIN</v>
          </cell>
        </row>
        <row r="346">
          <cell r="L346" t="str">
            <v>NEXT</v>
          </cell>
          <cell r="M346" t="str">
            <v>NEXTDECADE-CORP-39027848/</v>
          </cell>
          <cell r="N346" t="str">
            <v>NEXT</v>
          </cell>
          <cell r="O346" t="str">
            <v>NEXTDECADE CORP</v>
          </cell>
          <cell r="P346" t="str">
            <v>NASDAQ CM</v>
          </cell>
          <cell r="Q346" t="str">
            <v>Energy</v>
          </cell>
          <cell r="R346" t="str">
            <v>Oil, Gas &amp; Consumable Fuels</v>
          </cell>
          <cell r="S346" t="str">
            <v>NEXT</v>
          </cell>
        </row>
        <row r="347">
          <cell r="L347" t="str">
            <v>ABEO</v>
          </cell>
          <cell r="M347" t="str">
            <v>ABEONA-THERAPEUTICS-INC-22556751/</v>
          </cell>
          <cell r="N347" t="str">
            <v>ABEO</v>
          </cell>
          <cell r="O347" t="str">
            <v>ABEONA THERAPEUT</v>
          </cell>
          <cell r="P347" t="str">
            <v>NASDAQ CM</v>
          </cell>
          <cell r="Q347" t="str">
            <v>Health Care</v>
          </cell>
          <cell r="R347" t="str">
            <v>Biotechnology</v>
          </cell>
          <cell r="S347" t="str">
            <v>ABEO</v>
          </cell>
        </row>
        <row r="348">
          <cell r="L348" t="str">
            <v>LIND</v>
          </cell>
          <cell r="M348" t="str">
            <v>LINDBLAD-EXPEDITIONS-HOLD-22881460/</v>
          </cell>
          <cell r="N348" t="str">
            <v>LIND</v>
          </cell>
          <cell r="O348" t="str">
            <v>LINDBLAD EXPEDIT</v>
          </cell>
          <cell r="P348" t="str">
            <v>NASDAQ CM</v>
          </cell>
          <cell r="Q348" t="str">
            <v>Consumer Discretionary</v>
          </cell>
          <cell r="R348" t="str">
            <v>Hotels, Restaurants &amp; Leisure</v>
          </cell>
          <cell r="S348" t="str">
            <v>LIND</v>
          </cell>
        </row>
        <row r="349">
          <cell r="L349" t="str">
            <v>SRNE</v>
          </cell>
          <cell r="M349" t="str">
            <v>SORRENTO-THERAPEUTICS-INC-14708339/</v>
          </cell>
          <cell r="N349" t="str">
            <v>SRNE</v>
          </cell>
          <cell r="O349" t="str">
            <v>SORRENTO THERAPE</v>
          </cell>
          <cell r="P349" t="str">
            <v>NASDAQ CM</v>
          </cell>
          <cell r="Q349" t="str">
            <v>Health Care</v>
          </cell>
          <cell r="R349" t="str">
            <v>Biotechnology</v>
          </cell>
          <cell r="S349" t="str">
            <v>SRNE</v>
          </cell>
        </row>
        <row r="350">
          <cell r="L350" t="str">
            <v>MDXG</v>
          </cell>
          <cell r="M350" t="str">
            <v>MIMEDX-GROUP-INC-13074817/</v>
          </cell>
          <cell r="N350" t="str">
            <v>MDXG</v>
          </cell>
          <cell r="O350" t="str">
            <v>MIMEDX GROUP INC</v>
          </cell>
          <cell r="P350" t="str">
            <v>NASDAQ CM</v>
          </cell>
          <cell r="Q350" t="str">
            <v>Health Care</v>
          </cell>
          <cell r="R350" t="str">
            <v>Biotechnology</v>
          </cell>
          <cell r="S350" t="str">
            <v>MDXG</v>
          </cell>
        </row>
        <row r="351">
          <cell r="L351" t="str">
            <v>LJPC</v>
          </cell>
          <cell r="M351" t="str">
            <v>LA-JOLLA-PHARMACEUTICAL-C-23894309/</v>
          </cell>
          <cell r="N351" t="str">
            <v>LJPC</v>
          </cell>
          <cell r="O351" t="str">
            <v>LA JOLLA PHARM</v>
          </cell>
          <cell r="P351" t="str">
            <v>NASDAQ CM</v>
          </cell>
          <cell r="Q351" t="str">
            <v>Health Care</v>
          </cell>
          <cell r="R351" t="str">
            <v>Biotechnology</v>
          </cell>
          <cell r="S351" t="str">
            <v>LJPC</v>
          </cell>
        </row>
        <row r="352">
          <cell r="L352" t="str">
            <v>ABCD</v>
          </cell>
          <cell r="M352" t="str">
            <v>CAMBIUM-LEARNING-GROUP-I-5785279/</v>
          </cell>
          <cell r="N352" t="str">
            <v>ABCD</v>
          </cell>
          <cell r="O352" t="str">
            <v>CAMBIUM LEARNING</v>
          </cell>
          <cell r="P352" t="str">
            <v>NASDAQ CM</v>
          </cell>
          <cell r="Q352" t="str">
            <v>Consumer Discretionary</v>
          </cell>
          <cell r="R352" t="str">
            <v>Diversified Consumer Services</v>
          </cell>
          <cell r="S352" t="str">
            <v>ABCD</v>
          </cell>
        </row>
        <row r="353">
          <cell r="L353" t="str">
            <v>TCX</v>
          </cell>
          <cell r="M353" t="str">
            <v>TUCOWS-INC-USA-15378985/</v>
          </cell>
          <cell r="N353" t="str">
            <v>TCX</v>
          </cell>
          <cell r="O353" t="str">
            <v>TUCOWS INC-A</v>
          </cell>
          <cell r="P353" t="str">
            <v>NASDAQ CM</v>
          </cell>
          <cell r="Q353" t="str">
            <v>Information Technology</v>
          </cell>
          <cell r="R353" t="str">
            <v>Internet Software &amp; Services</v>
          </cell>
          <cell r="S353" t="str">
            <v>TCX</v>
          </cell>
        </row>
        <row r="354">
          <cell r="L354" t="str">
            <v>SSTI</v>
          </cell>
          <cell r="M354" t="str">
            <v>SHOTSPOTTER-INC-35742435/</v>
          </cell>
          <cell r="N354" t="str">
            <v>SSTI</v>
          </cell>
          <cell r="O354" t="str">
            <v>SHOTSPOTTER INC</v>
          </cell>
          <cell r="P354" t="str">
            <v>NASDAQ CM</v>
          </cell>
          <cell r="Q354" t="str">
            <v>Information Technology</v>
          </cell>
          <cell r="R354" t="str">
            <v>Internet Software &amp; Services</v>
          </cell>
          <cell r="S354" t="str">
            <v>SSTI</v>
          </cell>
        </row>
        <row r="355">
          <cell r="L355" t="str">
            <v>CASI</v>
          </cell>
          <cell r="M355" t="str">
            <v>CASI-PHARMACEUTICALS-INC-16699864/</v>
          </cell>
          <cell r="N355" t="str">
            <v>CASI</v>
          </cell>
          <cell r="O355" t="str">
            <v>CASI PHARMACEUTI</v>
          </cell>
          <cell r="P355" t="str">
            <v>NASDAQ CM</v>
          </cell>
          <cell r="Q355" t="str">
            <v>Health Care</v>
          </cell>
          <cell r="R355" t="str">
            <v>Biotechnology</v>
          </cell>
          <cell r="S355" t="str">
            <v>CASI</v>
          </cell>
        </row>
        <row r="356">
          <cell r="L356" t="str">
            <v>DSKE</v>
          </cell>
          <cell r="M356" t="str">
            <v>DASEKE-INC-34151827/</v>
          </cell>
          <cell r="N356" t="str">
            <v>DSKE</v>
          </cell>
          <cell r="O356" t="str">
            <v>DASEKE INC</v>
          </cell>
          <cell r="P356" t="str">
            <v>NASDAQ CM</v>
          </cell>
          <cell r="Q356" t="str">
            <v>Industrials</v>
          </cell>
          <cell r="R356" t="str">
            <v>Road &amp; Rail</v>
          </cell>
          <cell r="S356" t="str">
            <v>DSKE</v>
          </cell>
        </row>
        <row r="357">
          <cell r="L357" t="str">
            <v>OLBK</v>
          </cell>
          <cell r="M357" t="str">
            <v>OLD-LINE-BANCSHARES-INC-10326/</v>
          </cell>
          <cell r="N357" t="str">
            <v>OLBK</v>
          </cell>
          <cell r="O357" t="str">
            <v>OLD LINE BANCSHA</v>
          </cell>
          <cell r="P357" t="str">
            <v>NASDAQ CM</v>
          </cell>
          <cell r="Q357" t="str">
            <v>Financials</v>
          </cell>
          <cell r="R357" t="str">
            <v>Banks</v>
          </cell>
          <cell r="S357" t="str">
            <v>OLBK</v>
          </cell>
        </row>
        <row r="358">
          <cell r="L358" t="str">
            <v>NVEC</v>
          </cell>
          <cell r="M358" t="str">
            <v>NVE-CORP-10283/</v>
          </cell>
          <cell r="N358" t="str">
            <v>NVEC</v>
          </cell>
          <cell r="O358" t="str">
            <v>NVE CORP</v>
          </cell>
          <cell r="P358" t="str">
            <v>NASDAQ CM</v>
          </cell>
          <cell r="Q358" t="str">
            <v>Information Technology</v>
          </cell>
          <cell r="R358" t="str">
            <v>Semiconductors &amp; Semiconductor</v>
          </cell>
          <cell r="S358" t="str">
            <v>NVEC</v>
          </cell>
        </row>
        <row r="359">
          <cell r="L359" t="str">
            <v>ATRS</v>
          </cell>
          <cell r="M359" t="str">
            <v>ANTARES-PHARMA-INC-2956189/</v>
          </cell>
          <cell r="N359" t="str">
            <v>ATRS</v>
          </cell>
          <cell r="O359" t="str">
            <v>ANTARES PHARMA</v>
          </cell>
          <cell r="P359" t="str">
            <v>NASDAQ CM</v>
          </cell>
          <cell r="Q359" t="str">
            <v>Health Care</v>
          </cell>
          <cell r="R359" t="str">
            <v>Health Care Equipment &amp; Suppli</v>
          </cell>
          <cell r="S359" t="str">
            <v>ATRS</v>
          </cell>
        </row>
        <row r="360">
          <cell r="L360" t="str">
            <v>NCBS</v>
          </cell>
          <cell r="M360" t="str">
            <v>NICOLET-BANKSHARES-INC-26704241/</v>
          </cell>
          <cell r="N360" t="str">
            <v>NCBS</v>
          </cell>
          <cell r="O360" t="str">
            <v>NICOLET BANKSHAR</v>
          </cell>
          <cell r="P360" t="str">
            <v>NASDAQ CM</v>
          </cell>
          <cell r="Q360" t="str">
            <v>Financials</v>
          </cell>
          <cell r="R360" t="str">
            <v>Banks</v>
          </cell>
          <cell r="S360" t="str">
            <v>NCBS</v>
          </cell>
        </row>
        <row r="361">
          <cell r="L361" t="str">
            <v>BYSI</v>
          </cell>
          <cell r="M361" t="str">
            <v>BEYONDSPRING-INC-34241928/</v>
          </cell>
          <cell r="N361" t="str">
            <v>BYSI</v>
          </cell>
          <cell r="O361" t="str">
            <v>BEYONDSPRING INC</v>
          </cell>
          <cell r="P361" t="str">
            <v>NASDAQ CM</v>
          </cell>
          <cell r="Q361" t="str">
            <v>Health Care</v>
          </cell>
          <cell r="R361" t="str">
            <v>Biotechnology</v>
          </cell>
          <cell r="S361" t="str">
            <v>BYSI</v>
          </cell>
        </row>
        <row r="362">
          <cell r="L362" t="str">
            <v>STML</v>
          </cell>
          <cell r="M362" t="str">
            <v>STEMLINE-THERAPEUTICS-INC-11168022/</v>
          </cell>
          <cell r="N362" t="str">
            <v>STML</v>
          </cell>
          <cell r="O362" t="str">
            <v>STEMLINE THERAPE</v>
          </cell>
          <cell r="P362" t="str">
            <v>NASDAQ CM</v>
          </cell>
          <cell r="Q362" t="str">
            <v>Health Care</v>
          </cell>
          <cell r="R362" t="str">
            <v>Biotechnology</v>
          </cell>
          <cell r="S362" t="str">
            <v>STML</v>
          </cell>
        </row>
        <row r="363">
          <cell r="L363" t="str">
            <v>VCEL</v>
          </cell>
          <cell r="M363" t="str">
            <v>VERICEL-CORP-18635051/</v>
          </cell>
          <cell r="N363" t="str">
            <v>VCEL</v>
          </cell>
          <cell r="O363" t="str">
            <v>VERICEL CORP</v>
          </cell>
          <cell r="P363" t="str">
            <v>NASDAQ CM</v>
          </cell>
          <cell r="Q363" t="str">
            <v>Health Care</v>
          </cell>
          <cell r="R363" t="str">
            <v>Biotechnology</v>
          </cell>
          <cell r="S363" t="str">
            <v>VCEL</v>
          </cell>
        </row>
        <row r="364">
          <cell r="L364" t="str">
            <v>TACO</v>
          </cell>
          <cell r="M364" t="str">
            <v>DEL-TACO-RESTAURANTS-INC-22779459/</v>
          </cell>
          <cell r="N364" t="str">
            <v>TACO</v>
          </cell>
          <cell r="O364" t="str">
            <v>DEL TACO RESTAUR</v>
          </cell>
          <cell r="P364" t="str">
            <v>NASDAQ CM</v>
          </cell>
          <cell r="Q364" t="str">
            <v>Consumer Discretionary</v>
          </cell>
          <cell r="R364" t="str">
            <v>Hotels, Restaurants &amp; Leisure</v>
          </cell>
          <cell r="S364" t="str">
            <v>TACO</v>
          </cell>
        </row>
        <row r="365">
          <cell r="L365" t="str">
            <v>CTSO</v>
          </cell>
          <cell r="M365" t="str">
            <v>CYTOSORBENTS-CORP-19475884/</v>
          </cell>
          <cell r="N365" t="str">
            <v>CTSO</v>
          </cell>
          <cell r="O365" t="str">
            <v>CYTOSORBENTS COR</v>
          </cell>
          <cell r="P365" t="str">
            <v>NASDAQ CM</v>
          </cell>
          <cell r="Q365" t="str">
            <v>Health Care</v>
          </cell>
          <cell r="R365" t="str">
            <v>Health Care Equipment &amp; Suppli</v>
          </cell>
          <cell r="S365" t="str">
            <v>CTSO</v>
          </cell>
        </row>
        <row r="366">
          <cell r="L366" t="str">
            <v>DRYS</v>
          </cell>
          <cell r="M366" t="str">
            <v>DRYSHIPS-INC-37215908/</v>
          </cell>
          <cell r="N366" t="str">
            <v>DRYS</v>
          </cell>
          <cell r="O366" t="str">
            <v>DRYSHIPS INC</v>
          </cell>
          <cell r="P366" t="str">
            <v>NASDAQ CM</v>
          </cell>
          <cell r="Q366" t="str">
            <v>Industrials</v>
          </cell>
          <cell r="R366" t="str">
            <v>Marine</v>
          </cell>
          <cell r="S366" t="str">
            <v>DRYS</v>
          </cell>
        </row>
        <row r="367">
          <cell r="L367" t="str">
            <v>PDVW</v>
          </cell>
          <cell r="M367" t="str">
            <v>PDVWIRELESS-INC-24872694/</v>
          </cell>
          <cell r="N367" t="str">
            <v>PDVW</v>
          </cell>
          <cell r="O367" t="str">
            <v>PDVWIRELESS INC</v>
          </cell>
          <cell r="P367" t="str">
            <v>NASDAQ CM</v>
          </cell>
          <cell r="Q367" t="str">
            <v>Telecommunication Services</v>
          </cell>
          <cell r="R367" t="str">
            <v>Diversified Telecommunication</v>
          </cell>
          <cell r="S367" t="str">
            <v>PDVW</v>
          </cell>
        </row>
        <row r="368">
          <cell r="L368" t="str">
            <v>PLUG</v>
          </cell>
          <cell r="M368" t="str">
            <v>PLUG-POWER-INC-10490/</v>
          </cell>
          <cell r="N368" t="str">
            <v>PLUG</v>
          </cell>
          <cell r="O368" t="str">
            <v>PLUG POWER INC</v>
          </cell>
          <cell r="P368" t="str">
            <v>NASDAQ CM</v>
          </cell>
          <cell r="Q368" t="str">
            <v>Industrials</v>
          </cell>
          <cell r="R368" t="str">
            <v>Electrical Equipment</v>
          </cell>
          <cell r="S368" t="str">
            <v>PLUG</v>
          </cell>
        </row>
        <row r="369">
          <cell r="L369" t="str">
            <v>ZIOP</v>
          </cell>
          <cell r="M369" t="str">
            <v>ZIOPHARM-ONCOLOGY-INC-33865/</v>
          </cell>
          <cell r="N369" t="str">
            <v>ZIOP</v>
          </cell>
          <cell r="O369" t="str">
            <v>ZIOPHARM ONCOLOG</v>
          </cell>
          <cell r="P369" t="str">
            <v>NASDAQ CM</v>
          </cell>
          <cell r="Q369" t="str">
            <v>Health Care</v>
          </cell>
          <cell r="R369" t="str">
            <v>Biotechnology</v>
          </cell>
          <cell r="S369" t="str">
            <v>ZIOP</v>
          </cell>
        </row>
        <row r="370">
          <cell r="L370" t="str">
            <v>ALBO</v>
          </cell>
          <cell r="M370" t="str">
            <v>ALBIREO-PHARMA-INC-31816183/</v>
          </cell>
          <cell r="N370" t="str">
            <v>ALBO</v>
          </cell>
          <cell r="O370" t="str">
            <v>ALBIREO PHARMA I</v>
          </cell>
          <cell r="P370" t="str">
            <v>NASDAQ CM</v>
          </cell>
          <cell r="Q370" t="str">
            <v>Health Care</v>
          </cell>
          <cell r="R370" t="str">
            <v>Biotechnology</v>
          </cell>
          <cell r="S370" t="str">
            <v>ALBO</v>
          </cell>
        </row>
        <row r="371">
          <cell r="L371" t="str">
            <v>CYRX</v>
          </cell>
          <cell r="M371" t="str">
            <v>CRYOPORT-INC-23132732/</v>
          </cell>
          <cell r="N371" t="str">
            <v>CYRX</v>
          </cell>
          <cell r="O371" t="str">
            <v>CRYOPORT</v>
          </cell>
          <cell r="P371" t="str">
            <v>NASDAQ CM</v>
          </cell>
          <cell r="Q371" t="str">
            <v>Health Care</v>
          </cell>
          <cell r="R371" t="str">
            <v>Health Care Equipment &amp; Suppli</v>
          </cell>
          <cell r="S371" t="str">
            <v>CYRX</v>
          </cell>
        </row>
        <row r="372">
          <cell r="L372" t="str">
            <v>KERX</v>
          </cell>
          <cell r="M372" t="str">
            <v>KERYX-BIOPHARMACEUTICALS-9802/</v>
          </cell>
          <cell r="N372" t="str">
            <v>KERX</v>
          </cell>
          <cell r="O372" t="str">
            <v>KERYX BIOPHARM</v>
          </cell>
          <cell r="P372" t="str">
            <v>NASDAQ CM</v>
          </cell>
          <cell r="Q372" t="str">
            <v>Health Care</v>
          </cell>
          <cell r="R372" t="str">
            <v>Biotechnology</v>
          </cell>
          <cell r="S372" t="str">
            <v>KERX</v>
          </cell>
        </row>
        <row r="373">
          <cell r="L373" t="str">
            <v>RDIB</v>
          </cell>
          <cell r="M373" t="str">
            <v>READING-INTERNATIONAL-IN-5482464/</v>
          </cell>
          <cell r="N373" t="str">
            <v>RDIB</v>
          </cell>
          <cell r="O373" t="str">
            <v>READING INTL-B</v>
          </cell>
          <cell r="P373" t="str">
            <v>NASDAQ CM</v>
          </cell>
          <cell r="Q373" t="str">
            <v>Consumer Discretionary</v>
          </cell>
          <cell r="R373" t="str">
            <v>Media</v>
          </cell>
          <cell r="S373" t="str">
            <v>RDIB</v>
          </cell>
        </row>
        <row r="374">
          <cell r="L374" t="str">
            <v>RDIB</v>
          </cell>
          <cell r="M374" t="str">
            <v>READING-INTERNATIONAL-IN-5482465/</v>
          </cell>
          <cell r="N374" t="str">
            <v>RDIB</v>
          </cell>
          <cell r="O374" t="str">
            <v>READING INTL-B</v>
          </cell>
          <cell r="P374" t="str">
            <v>NASDAQ CM</v>
          </cell>
          <cell r="Q374" t="str">
            <v>Consumer Discretionary</v>
          </cell>
          <cell r="R374" t="str">
            <v>Media</v>
          </cell>
          <cell r="S374" t="str">
            <v>RDIB</v>
          </cell>
        </row>
        <row r="375">
          <cell r="L375" t="str">
            <v>AXAS</v>
          </cell>
          <cell r="M375" t="str">
            <v>ABRAXAS-PETROLEUM-CORP-3933539/</v>
          </cell>
          <cell r="N375" t="str">
            <v>AXAS</v>
          </cell>
          <cell r="O375" t="str">
            <v>ABRAXAS PETRO</v>
          </cell>
          <cell r="P375" t="str">
            <v>NASDAQ CM</v>
          </cell>
          <cell r="Q375" t="str">
            <v>Energy</v>
          </cell>
          <cell r="R375" t="str">
            <v>Oil, Gas &amp; Consumable Fuels</v>
          </cell>
          <cell r="S375" t="str">
            <v>AXAS</v>
          </cell>
        </row>
        <row r="376">
          <cell r="L376" t="str">
            <v>EGAN</v>
          </cell>
          <cell r="M376" t="str">
            <v>EGAIN-CORP-103781/</v>
          </cell>
          <cell r="N376" t="str">
            <v>EGAN</v>
          </cell>
          <cell r="O376" t="str">
            <v>EGAIN CORP</v>
          </cell>
          <cell r="P376" t="str">
            <v>NASDAQ CM</v>
          </cell>
          <cell r="Q376" t="str">
            <v>Information Technology</v>
          </cell>
          <cell r="R376" t="str">
            <v>Internet Software &amp; Services</v>
          </cell>
          <cell r="S376" t="str">
            <v>EGAN</v>
          </cell>
        </row>
        <row r="377">
          <cell r="L377" t="str">
            <v>PCSB</v>
          </cell>
          <cell r="M377" t="str">
            <v>PCSB-FINANCIAL-CORP-34610564/</v>
          </cell>
          <cell r="N377" t="str">
            <v>PCSB</v>
          </cell>
          <cell r="O377" t="str">
            <v>PCSB FINANCIAL C</v>
          </cell>
          <cell r="P377" t="str">
            <v>NASDAQ CM</v>
          </cell>
          <cell r="Q377" t="str">
            <v>Financials</v>
          </cell>
          <cell r="R377" t="str">
            <v>Thrifts &amp; Mortgage Finance</v>
          </cell>
          <cell r="S377" t="str">
            <v>PCSB</v>
          </cell>
        </row>
        <row r="378">
          <cell r="L378" t="str">
            <v>SLP</v>
          </cell>
          <cell r="M378" t="str">
            <v>SIMULATIONS-PLUS-INC-771786/</v>
          </cell>
          <cell r="N378" t="str">
            <v>SLP</v>
          </cell>
          <cell r="O378" t="str">
            <v>SIMULATIONS PLUS</v>
          </cell>
          <cell r="P378" t="str">
            <v>NASDAQ CM</v>
          </cell>
          <cell r="Q378" t="str">
            <v>Health Care</v>
          </cell>
          <cell r="R378" t="str">
            <v>Health Care Technology</v>
          </cell>
          <cell r="S378" t="str">
            <v>SLP</v>
          </cell>
        </row>
        <row r="379">
          <cell r="L379" t="str">
            <v>TGLS</v>
          </cell>
          <cell r="M379" t="str">
            <v>TECNOGLASS-INC-15488701/</v>
          </cell>
          <cell r="N379" t="str">
            <v>TGLS</v>
          </cell>
          <cell r="O379" t="str">
            <v>TECNOGLASS INC</v>
          </cell>
          <cell r="P379" t="str">
            <v>NASDAQ CM</v>
          </cell>
          <cell r="Q379" t="str">
            <v>Materials</v>
          </cell>
          <cell r="R379" t="str">
            <v>Construction Materials</v>
          </cell>
          <cell r="S379" t="str">
            <v>TGLS</v>
          </cell>
        </row>
        <row r="380">
          <cell r="L380" t="str">
            <v>SAGE</v>
          </cell>
          <cell r="M380" t="str">
            <v>SAGE-THERAPEUTICS-INC-16917559/</v>
          </cell>
          <cell r="N380" t="str">
            <v>SAGE</v>
          </cell>
          <cell r="O380" t="str">
            <v>SAGE THERAPEUTIC</v>
          </cell>
          <cell r="P380" t="str">
            <v>NASDAQ GM</v>
          </cell>
          <cell r="Q380" t="str">
            <v>Health Care</v>
          </cell>
          <cell r="R380" t="str">
            <v>Biotechnology</v>
          </cell>
          <cell r="S380" t="str">
            <v>SAGE</v>
          </cell>
        </row>
        <row r="381">
          <cell r="L381" t="str">
            <v>TTD</v>
          </cell>
          <cell r="M381" t="str">
            <v>TRADE-DESK-INC-31370485/</v>
          </cell>
          <cell r="N381" t="str">
            <v>TTD</v>
          </cell>
          <cell r="O381" t="str">
            <v>TRADE DESK INC-A</v>
          </cell>
          <cell r="P381" t="str">
            <v>NASDAQ GM</v>
          </cell>
          <cell r="Q381" t="str">
            <v>Information Technology</v>
          </cell>
          <cell r="R381" t="str">
            <v>Internet Software &amp; Services</v>
          </cell>
          <cell r="S381" t="str">
            <v>TTD</v>
          </cell>
        </row>
        <row r="382">
          <cell r="L382" t="str">
            <v>PFPT</v>
          </cell>
          <cell r="M382" t="str">
            <v>PROOFPOINT-INC-10462749/</v>
          </cell>
          <cell r="N382" t="str">
            <v>PFPT</v>
          </cell>
          <cell r="O382" t="str">
            <v>PROOFPOINT INC</v>
          </cell>
          <cell r="P382" t="str">
            <v>NASDAQ GM</v>
          </cell>
          <cell r="Q382" t="str">
            <v>Information Technology</v>
          </cell>
          <cell r="R382" t="str">
            <v>Software</v>
          </cell>
          <cell r="S382" t="str">
            <v>PFPT</v>
          </cell>
        </row>
        <row r="383">
          <cell r="L383" t="str">
            <v>OLLI</v>
          </cell>
          <cell r="M383" t="str">
            <v>OLLIE-S-BARGAIN-OUTLET-HO-23041139/</v>
          </cell>
          <cell r="N383" t="str">
            <v>OLLI</v>
          </cell>
          <cell r="O383" t="str">
            <v>OLLIE'S BARGAIN</v>
          </cell>
          <cell r="P383" t="str">
            <v>NASDAQ GM</v>
          </cell>
          <cell r="Q383" t="str">
            <v>Consumer Discretionary</v>
          </cell>
          <cell r="R383" t="str">
            <v>Multiline Retail</v>
          </cell>
          <cell r="S383" t="str">
            <v>OLLI</v>
          </cell>
        </row>
        <row r="384">
          <cell r="L384" t="str">
            <v>LGND</v>
          </cell>
          <cell r="M384" t="str">
            <v>LIGAND-PHARMACEUTICALS-IN-17306/</v>
          </cell>
          <cell r="N384" t="str">
            <v>LGND</v>
          </cell>
          <cell r="O384" t="str">
            <v>LIGAND PHARM</v>
          </cell>
          <cell r="P384" t="str">
            <v>NASDAQ GM</v>
          </cell>
          <cell r="Q384" t="str">
            <v>Health Care</v>
          </cell>
          <cell r="R384" t="str">
            <v>Biotechnology</v>
          </cell>
          <cell r="S384" t="str">
            <v>LGND</v>
          </cell>
        </row>
        <row r="385">
          <cell r="L385" t="str">
            <v>LOXO</v>
          </cell>
          <cell r="M385" t="str">
            <v>LOXO-ONCOLOGY-INC-17068136/</v>
          </cell>
          <cell r="N385" t="str">
            <v>LOXO</v>
          </cell>
          <cell r="O385" t="str">
            <v>LOXO ONCOLOGY IN</v>
          </cell>
          <cell r="P385" t="str">
            <v>NASDAQ GM</v>
          </cell>
          <cell r="Q385" t="str">
            <v>Health Care</v>
          </cell>
          <cell r="R385" t="str">
            <v>Biotechnology</v>
          </cell>
          <cell r="S385" t="str">
            <v>LOXO</v>
          </cell>
        </row>
        <row r="386">
          <cell r="L386" t="str">
            <v>IMMU</v>
          </cell>
          <cell r="M386" t="str">
            <v>IMMUNOMEDICS-INC-9671/</v>
          </cell>
          <cell r="N386" t="str">
            <v>IMMU</v>
          </cell>
          <cell r="O386" t="str">
            <v>IMMUNOMEDICS INC</v>
          </cell>
          <cell r="P386" t="str">
            <v>NASDAQ GM</v>
          </cell>
          <cell r="Q386" t="str">
            <v>Health Care</v>
          </cell>
          <cell r="R386" t="str">
            <v>Biotechnology</v>
          </cell>
          <cell r="S386" t="str">
            <v>IMMU</v>
          </cell>
        </row>
        <row r="387">
          <cell r="L387" t="str">
            <v>GDS</v>
          </cell>
          <cell r="M387" t="str">
            <v>GDS-HOLDINGS-LTD-ADR-31781812/</v>
          </cell>
          <cell r="N387" t="str">
            <v>GDS</v>
          </cell>
          <cell r="O387" t="str">
            <v>GDS HLDGS - ADR</v>
          </cell>
          <cell r="P387" t="str">
            <v>NASDAQ GM</v>
          </cell>
          <cell r="Q387" t="str">
            <v>Information Technology</v>
          </cell>
          <cell r="R387" t="str">
            <v>IT Services</v>
          </cell>
          <cell r="S387" t="str">
            <v>GDS</v>
          </cell>
        </row>
        <row r="388">
          <cell r="L388" t="str">
            <v>GWPH</v>
          </cell>
          <cell r="M388" t="str">
            <v>GW-PHARMACEUTICALS-PLC-13112125/</v>
          </cell>
          <cell r="N388" t="str">
            <v>GWPH</v>
          </cell>
          <cell r="O388" t="str">
            <v>GW PHARM-ADR</v>
          </cell>
          <cell r="P388" t="str">
            <v>NASDAQ GM</v>
          </cell>
          <cell r="Q388" t="str">
            <v>Health Care</v>
          </cell>
          <cell r="R388" t="str">
            <v>Pharmaceuticals</v>
          </cell>
          <cell r="S388" t="str">
            <v>GWPH</v>
          </cell>
        </row>
        <row r="389">
          <cell r="L389" t="str">
            <v>MDB</v>
          </cell>
          <cell r="M389" t="str">
            <v>MONGODB-INC-45064741/</v>
          </cell>
          <cell r="N389" t="str">
            <v>MDB</v>
          </cell>
          <cell r="O389" t="str">
            <v>MONGODB INC</v>
          </cell>
          <cell r="P389" t="str">
            <v>NASDAQ GM</v>
          </cell>
          <cell r="Q389" t="str">
            <v>Information Technology</v>
          </cell>
          <cell r="R389" t="str">
            <v>Internet Software &amp; Services</v>
          </cell>
          <cell r="S389" t="str">
            <v>MDB</v>
          </cell>
        </row>
        <row r="390">
          <cell r="L390" t="str">
            <v>ARRY</v>
          </cell>
          <cell r="M390" t="str">
            <v>ARRAY-BIOPHARMA-INC-8433/</v>
          </cell>
          <cell r="N390" t="str">
            <v>ARRY</v>
          </cell>
          <cell r="O390" t="str">
            <v>ARRAY BIOPHARMA</v>
          </cell>
          <cell r="P390" t="str">
            <v>NASDAQ GM</v>
          </cell>
          <cell r="Q390" t="str">
            <v>Health Care</v>
          </cell>
          <cell r="R390" t="str">
            <v>Biotechnology</v>
          </cell>
          <cell r="S390" t="str">
            <v>ARRY</v>
          </cell>
        </row>
        <row r="391">
          <cell r="L391" t="str">
            <v>APPF</v>
          </cell>
          <cell r="M391" t="str">
            <v>APPFOLIO-INC-22619504/</v>
          </cell>
          <cell r="N391" t="str">
            <v>APPF</v>
          </cell>
          <cell r="O391" t="str">
            <v>APPFOLIO INC - A</v>
          </cell>
          <cell r="P391" t="str">
            <v>NASDAQ GM</v>
          </cell>
          <cell r="Q391" t="str">
            <v>Information Technology</v>
          </cell>
          <cell r="R391" t="str">
            <v>Internet Software &amp; Services</v>
          </cell>
          <cell r="S391" t="str">
            <v>APPF</v>
          </cell>
        </row>
        <row r="392">
          <cell r="L392" t="str">
            <v>FIVN</v>
          </cell>
          <cell r="M392" t="str">
            <v>FIVE9-INC-16253042/</v>
          </cell>
          <cell r="N392" t="str">
            <v>FIVN</v>
          </cell>
          <cell r="O392" t="str">
            <v>FIVE9 INC</v>
          </cell>
          <cell r="P392" t="str">
            <v>NASDAQ GM</v>
          </cell>
          <cell r="Q392" t="str">
            <v>Information Technology</v>
          </cell>
          <cell r="R392" t="str">
            <v>Internet Software &amp; Services</v>
          </cell>
          <cell r="S392" t="str">
            <v>FIVN</v>
          </cell>
        </row>
        <row r="393">
          <cell r="L393" t="str">
            <v>AERI</v>
          </cell>
          <cell r="M393" t="str">
            <v>AERIE-PHARMACEUTICALS-INC-14688906/</v>
          </cell>
          <cell r="N393" t="str">
            <v>AERI</v>
          </cell>
          <cell r="O393" t="str">
            <v>AERIE PHARMACEUT</v>
          </cell>
          <cell r="P393" t="str">
            <v>NASDAQ GM</v>
          </cell>
          <cell r="Q393" t="str">
            <v>Health Care</v>
          </cell>
          <cell r="R393" t="str">
            <v>Pharmaceuticals</v>
          </cell>
          <cell r="S393" t="str">
            <v>AERI</v>
          </cell>
        </row>
        <row r="394">
          <cell r="L394" t="str">
            <v>CRSP</v>
          </cell>
          <cell r="M394" t="str">
            <v>CRISPR-THERAPEUTICS-AG-31670652/</v>
          </cell>
          <cell r="N394" t="str">
            <v>CRSP</v>
          </cell>
          <cell r="O394" t="str">
            <v>CRISPR THERAPEUT</v>
          </cell>
          <cell r="P394" t="str">
            <v>NASDAQ GM</v>
          </cell>
          <cell r="Q394" t="str">
            <v>Health Care</v>
          </cell>
          <cell r="R394" t="str">
            <v>Biotechnology</v>
          </cell>
          <cell r="S394" t="str">
            <v>CRSP</v>
          </cell>
        </row>
        <row r="395">
          <cell r="L395" t="str">
            <v>TNDM</v>
          </cell>
          <cell r="M395" t="str">
            <v>TANDEM-DIABETES-CARE-INC-38066231/</v>
          </cell>
          <cell r="N395" t="str">
            <v>TNDM</v>
          </cell>
          <cell r="O395" t="str">
            <v>TANDEM DIABETES</v>
          </cell>
          <cell r="P395" t="str">
            <v>NASDAQ GM</v>
          </cell>
          <cell r="Q395" t="str">
            <v>Health Care</v>
          </cell>
          <cell r="R395" t="str">
            <v>Health Care Equipment &amp; Suppli</v>
          </cell>
          <cell r="S395" t="str">
            <v>TNDM</v>
          </cell>
        </row>
        <row r="396">
          <cell r="L396" t="str">
            <v>FOLD</v>
          </cell>
          <cell r="M396" t="str">
            <v>AMICUS-THERAPEUTICS-INC-40449562/</v>
          </cell>
          <cell r="N396" t="str">
            <v>FOLD</v>
          </cell>
          <cell r="O396" t="str">
            <v>AMICUS THERAPEUT</v>
          </cell>
          <cell r="P396" t="str">
            <v>NASDAQ GM</v>
          </cell>
          <cell r="Q396" t="str">
            <v>Health Care</v>
          </cell>
          <cell r="R396" t="str">
            <v>Biotechnology</v>
          </cell>
          <cell r="S396" t="str">
            <v>FOLD</v>
          </cell>
        </row>
        <row r="397">
          <cell r="L397" t="str">
            <v>RETA</v>
          </cell>
          <cell r="M397" t="str">
            <v>REATA-PHARMACEUTICALS-INC-28377265/</v>
          </cell>
          <cell r="N397" t="str">
            <v>RETA</v>
          </cell>
          <cell r="O397" t="str">
            <v>REATA PHARMACE-A</v>
          </cell>
          <cell r="P397" t="str">
            <v>NASDAQ GM</v>
          </cell>
          <cell r="Q397" t="str">
            <v>Health Care</v>
          </cell>
          <cell r="R397" t="str">
            <v>Pharmaceuticals</v>
          </cell>
          <cell r="S397" t="str">
            <v>RETA</v>
          </cell>
        </row>
        <row r="398">
          <cell r="L398" t="str">
            <v>XLRN</v>
          </cell>
          <cell r="M398" t="str">
            <v>ACCELERON-PHARMA-INC-14297719/</v>
          </cell>
          <cell r="N398" t="str">
            <v>XLRN</v>
          </cell>
          <cell r="O398" t="str">
            <v>ACCELERON PHARMA</v>
          </cell>
          <cell r="P398" t="str">
            <v>NASDAQ GM</v>
          </cell>
          <cell r="Q398" t="str">
            <v>Health Care</v>
          </cell>
          <cell r="R398" t="str">
            <v>Biotechnology</v>
          </cell>
          <cell r="S398" t="str">
            <v>XLRN</v>
          </cell>
        </row>
        <row r="399">
          <cell r="L399" t="str">
            <v>XNCR</v>
          </cell>
          <cell r="M399" t="str">
            <v>XENCOR-INC-14917391/</v>
          </cell>
          <cell r="N399" t="str">
            <v>XNCR</v>
          </cell>
          <cell r="O399" t="str">
            <v>XENCOR INC</v>
          </cell>
          <cell r="P399" t="str">
            <v>NASDAQ GM</v>
          </cell>
          <cell r="Q399" t="str">
            <v>Health Care</v>
          </cell>
          <cell r="R399" t="str">
            <v>Biotechnology</v>
          </cell>
          <cell r="S399" t="str">
            <v>XNCR</v>
          </cell>
        </row>
        <row r="400">
          <cell r="L400" t="str">
            <v>SUPN</v>
          </cell>
          <cell r="M400" t="str">
            <v>SUPERNUS-PHARMACEUTICALS-10523839/</v>
          </cell>
          <cell r="N400" t="str">
            <v>SUPN</v>
          </cell>
          <cell r="O400" t="str">
            <v>SUPERNUS PHARMAC</v>
          </cell>
          <cell r="P400" t="str">
            <v>NASDAQ GM</v>
          </cell>
          <cell r="Q400" t="str">
            <v>Health Care</v>
          </cell>
          <cell r="R400" t="str">
            <v>Pharmaceuticals</v>
          </cell>
          <cell r="S400" t="str">
            <v>SUPN</v>
          </cell>
        </row>
        <row r="401">
          <cell r="L401" t="str">
            <v>APPN</v>
          </cell>
          <cell r="M401" t="str">
            <v>APPIAN-CORP-34991348/</v>
          </cell>
          <cell r="N401" t="str">
            <v>APPN</v>
          </cell>
          <cell r="O401" t="str">
            <v>APPIAN CORP</v>
          </cell>
          <cell r="P401" t="str">
            <v>NASDAQ GM</v>
          </cell>
          <cell r="Q401" t="str">
            <v>Information Technology</v>
          </cell>
          <cell r="R401" t="str">
            <v>Software</v>
          </cell>
          <cell r="S401" t="str">
            <v>APPN</v>
          </cell>
        </row>
        <row r="402">
          <cell r="L402" t="str">
            <v>STAA</v>
          </cell>
          <cell r="M402" t="str">
            <v>STAAR-SURGICAL-COMPANY-10951/</v>
          </cell>
          <cell r="N402" t="str">
            <v>STAA</v>
          </cell>
          <cell r="O402" t="str">
            <v>STAAR SURGICAL</v>
          </cell>
          <cell r="P402" t="str">
            <v>NASDAQ GM</v>
          </cell>
          <cell r="Q402" t="str">
            <v>Health Care</v>
          </cell>
          <cell r="R402" t="str">
            <v>Health Care Equipment &amp; Suppli</v>
          </cell>
          <cell r="S402" t="str">
            <v>STAA</v>
          </cell>
        </row>
        <row r="403">
          <cell r="L403" t="str">
            <v>ZGNX</v>
          </cell>
          <cell r="M403" t="str">
            <v>ZOGENIX-INC-22779450/</v>
          </cell>
          <cell r="N403" t="str">
            <v>ZGNX</v>
          </cell>
          <cell r="O403" t="str">
            <v>ZOGENIX INC</v>
          </cell>
          <cell r="P403" t="str">
            <v>NASDAQ GM</v>
          </cell>
          <cell r="Q403" t="str">
            <v>Health Care</v>
          </cell>
          <cell r="R403" t="str">
            <v>Pharmaceuticals</v>
          </cell>
          <cell r="S403" t="str">
            <v>ZGNX</v>
          </cell>
        </row>
        <row r="404">
          <cell r="L404" t="str">
            <v>LX</v>
          </cell>
          <cell r="M404" t="str">
            <v>LEXINFINTECH-HOLDINGS-LTD-39085195/</v>
          </cell>
          <cell r="N404" t="str">
            <v>LX</v>
          </cell>
          <cell r="O404" t="str">
            <v>LEXINFINTECH-ADR</v>
          </cell>
          <cell r="P404" t="str">
            <v>NASDAQ GM</v>
          </cell>
          <cell r="Q404" t="str">
            <v>Financials</v>
          </cell>
          <cell r="R404" t="str">
            <v>Consumer Finance</v>
          </cell>
          <cell r="S404" t="str">
            <v>LX</v>
          </cell>
        </row>
        <row r="405">
          <cell r="L405" t="str">
            <v>PAHC</v>
          </cell>
          <cell r="M405" t="str">
            <v>PHIBRO-ANIMAL-HEALTH-CORP-16253058/</v>
          </cell>
          <cell r="N405" t="str">
            <v>PAHC</v>
          </cell>
          <cell r="O405" t="str">
            <v>PHIBRO ANIMAL-A</v>
          </cell>
          <cell r="P405" t="str">
            <v>NASDAQ GM</v>
          </cell>
          <cell r="Q405" t="str">
            <v>Health Care</v>
          </cell>
          <cell r="R405" t="str">
            <v>Pharmaceuticals</v>
          </cell>
          <cell r="S405" t="str">
            <v>PAHC</v>
          </cell>
        </row>
        <row r="406">
          <cell r="L406" t="str">
            <v>EVOP</v>
          </cell>
          <cell r="M406" t="str">
            <v>EVO-PAYMENTS-INC-43444422/</v>
          </cell>
          <cell r="N406" t="str">
            <v>EVOP</v>
          </cell>
          <cell r="O406" t="str">
            <v>EVO PAYMENTS-A</v>
          </cell>
          <cell r="P406" t="str">
            <v>NASDAQ GM</v>
          </cell>
          <cell r="Q406" t="str">
            <v>Information Technology</v>
          </cell>
          <cell r="R406" t="str">
            <v>IT Services</v>
          </cell>
          <cell r="S406" t="str">
            <v>EVOP</v>
          </cell>
        </row>
        <row r="407">
          <cell r="L407" t="str">
            <v>TLND</v>
          </cell>
          <cell r="M407" t="str">
            <v>TALEND-SA-ADR-30382141/</v>
          </cell>
          <cell r="N407" t="str">
            <v>TLND</v>
          </cell>
          <cell r="O407" t="str">
            <v>TALEND SA - ADR</v>
          </cell>
          <cell r="P407" t="str">
            <v>NASDAQ GM</v>
          </cell>
          <cell r="Q407" t="str">
            <v>Information Technology</v>
          </cell>
          <cell r="R407" t="str">
            <v>Software</v>
          </cell>
          <cell r="S407" t="str">
            <v>TLND</v>
          </cell>
        </row>
        <row r="408">
          <cell r="L408" t="str">
            <v>RPD</v>
          </cell>
          <cell r="M408" t="str">
            <v>RAPID7-INC-23055722/</v>
          </cell>
          <cell r="N408" t="str">
            <v>RPD</v>
          </cell>
          <cell r="O408" t="str">
            <v>RAPID7 INC</v>
          </cell>
          <cell r="P408" t="str">
            <v>NASDAQ GM</v>
          </cell>
          <cell r="Q408" t="str">
            <v>Information Technology</v>
          </cell>
          <cell r="R408" t="str">
            <v>Software</v>
          </cell>
          <cell r="S408" t="str">
            <v>RPD</v>
          </cell>
        </row>
        <row r="409">
          <cell r="L409" t="str">
            <v>TRHC</v>
          </cell>
          <cell r="M409" t="str">
            <v>TABULA-RASA-HEALTHCARE-IN-31452970/</v>
          </cell>
          <cell r="N409" t="str">
            <v>TRHC</v>
          </cell>
          <cell r="O409" t="str">
            <v>TABULA RASA HEAL</v>
          </cell>
          <cell r="P409" t="str">
            <v>NASDAQ GM</v>
          </cell>
          <cell r="Q409" t="str">
            <v>Health Care</v>
          </cell>
          <cell r="R409" t="str">
            <v>Health Care Technology</v>
          </cell>
          <cell r="S409" t="str">
            <v>TRHC</v>
          </cell>
        </row>
        <row r="410">
          <cell r="L410" t="str">
            <v>MB</v>
          </cell>
          <cell r="M410" t="str">
            <v>MINDBODY-INC-22619511/</v>
          </cell>
          <cell r="N410" t="str">
            <v>MB</v>
          </cell>
          <cell r="O410" t="str">
            <v>MINDBODY INC-A</v>
          </cell>
          <cell r="P410" t="str">
            <v>NASDAQ GM</v>
          </cell>
          <cell r="Q410" t="str">
            <v>Information Technology</v>
          </cell>
          <cell r="R410" t="str">
            <v>Internet Software &amp; Services</v>
          </cell>
          <cell r="S410" t="str">
            <v>MB</v>
          </cell>
        </row>
        <row r="411">
          <cell r="L411" t="str">
            <v>EVBG</v>
          </cell>
          <cell r="M411" t="str">
            <v>EVERBRIDGE-INC-31342201/</v>
          </cell>
          <cell r="N411" t="str">
            <v>EVBG</v>
          </cell>
          <cell r="O411" t="str">
            <v>EVERBRIDGE INC</v>
          </cell>
          <cell r="P411" t="str">
            <v>NASDAQ GM</v>
          </cell>
          <cell r="Q411" t="str">
            <v>Information Technology</v>
          </cell>
          <cell r="R411" t="str">
            <v>Software</v>
          </cell>
          <cell r="S411" t="str">
            <v>EVBG</v>
          </cell>
        </row>
        <row r="412">
          <cell r="L412" t="str">
            <v>APTI</v>
          </cell>
          <cell r="M412" t="str">
            <v>APPTIO-INC-31394935/</v>
          </cell>
          <cell r="N412" t="str">
            <v>APTI</v>
          </cell>
          <cell r="O412" t="str">
            <v>APPTIO INC-CL A</v>
          </cell>
          <cell r="P412" t="str">
            <v>NASDAQ GM</v>
          </cell>
          <cell r="Q412" t="str">
            <v>Information Technology</v>
          </cell>
          <cell r="R412" t="str">
            <v>Internet Software &amp; Services</v>
          </cell>
          <cell r="S412" t="str">
            <v>APTI</v>
          </cell>
        </row>
        <row r="413">
          <cell r="L413" t="str">
            <v>CRON</v>
          </cell>
          <cell r="M413" t="str">
            <v>CRONOS-GROUP-INC-41593543/</v>
          </cell>
          <cell r="N413" t="str">
            <v>CRON</v>
          </cell>
          <cell r="O413" t="str">
            <v>CRONOS GROUP INC</v>
          </cell>
          <cell r="P413" t="str">
            <v>NASDAQ GM</v>
          </cell>
          <cell r="Q413" t="str">
            <v>Health Care</v>
          </cell>
          <cell r="R413" t="str">
            <v>Pharmaceuticals</v>
          </cell>
          <cell r="S413" t="str">
            <v>CRON</v>
          </cell>
        </row>
        <row r="414">
          <cell r="L414" t="str">
            <v>IOVA</v>
          </cell>
          <cell r="M414" t="str">
            <v>IOVANCE-BIOTHERAPEUTICS-I-36879287/</v>
          </cell>
          <cell r="N414" t="str">
            <v>IOVA</v>
          </cell>
          <cell r="O414" t="str">
            <v>IOVANCE BIOTHERA</v>
          </cell>
          <cell r="P414" t="str">
            <v>NASDAQ GM</v>
          </cell>
          <cell r="Q414" t="str">
            <v>Health Care</v>
          </cell>
          <cell r="R414" t="str">
            <v>Biotechnology</v>
          </cell>
          <cell r="S414" t="str">
            <v>IOVA</v>
          </cell>
        </row>
        <row r="415">
          <cell r="L415" t="str">
            <v>WVE</v>
          </cell>
          <cell r="M415" t="str">
            <v>WAVE-LIFE-SCIENCES-LTD-24885566/</v>
          </cell>
          <cell r="N415" t="str">
            <v>WVE</v>
          </cell>
          <cell r="O415" t="str">
            <v>WAVE LIFE SCIENC</v>
          </cell>
          <cell r="P415" t="str">
            <v>NASDAQ GM</v>
          </cell>
          <cell r="Q415" t="str">
            <v>Health Care</v>
          </cell>
          <cell r="R415" t="str">
            <v>Pharmaceuticals</v>
          </cell>
          <cell r="S415" t="str">
            <v>WVE</v>
          </cell>
        </row>
        <row r="416">
          <cell r="L416" t="str">
            <v>IMMU</v>
          </cell>
          <cell r="M416" t="str">
            <v>IMMUNOGEN-INC-9667/</v>
          </cell>
          <cell r="N416" t="str">
            <v>IMMU</v>
          </cell>
          <cell r="O416" t="str">
            <v>IMMUNOMEDICS INC</v>
          </cell>
          <cell r="P416" t="str">
            <v>NASDAQ GM</v>
          </cell>
          <cell r="Q416" t="str">
            <v>Health Care</v>
          </cell>
          <cell r="R416" t="str">
            <v>Biotechnology</v>
          </cell>
          <cell r="S416" t="str">
            <v>IMMU</v>
          </cell>
        </row>
        <row r="417">
          <cell r="L417" t="str">
            <v>NMIH</v>
          </cell>
          <cell r="M417" t="str">
            <v>NMI-HOLDINGS-INC-14870279/</v>
          </cell>
          <cell r="N417" t="str">
            <v>NMIH</v>
          </cell>
          <cell r="O417" t="str">
            <v>NMI HOLDINGS I-A</v>
          </cell>
          <cell r="P417" t="str">
            <v>NASDAQ GM</v>
          </cell>
          <cell r="Q417" t="str">
            <v>Financials</v>
          </cell>
          <cell r="R417" t="str">
            <v>Thrifts &amp; Mortgage Finance</v>
          </cell>
          <cell r="S417" t="str">
            <v>NMIH</v>
          </cell>
        </row>
        <row r="418">
          <cell r="L418" t="str">
            <v>BOLD</v>
          </cell>
          <cell r="M418" t="str">
            <v>AUDENTES-THERAPEUTICS-INC-29774501/</v>
          </cell>
          <cell r="N418" t="str">
            <v>BOLD</v>
          </cell>
          <cell r="O418" t="str">
            <v>AUDENTES THERAPE</v>
          </cell>
          <cell r="P418" t="str">
            <v>NASDAQ GM</v>
          </cell>
          <cell r="Q418" t="str">
            <v>Health Care</v>
          </cell>
          <cell r="R418" t="str">
            <v>Biotechnology</v>
          </cell>
          <cell r="S418" t="str">
            <v>BOLD</v>
          </cell>
        </row>
        <row r="419">
          <cell r="L419" t="str">
            <v>ESPR</v>
          </cell>
          <cell r="M419" t="str">
            <v>ESPERION-THERAPEUTICS-INC-13479951/</v>
          </cell>
          <cell r="N419" t="str">
            <v>ESPR</v>
          </cell>
          <cell r="O419" t="str">
            <v>ESPERION THERAPE</v>
          </cell>
          <cell r="P419" t="str">
            <v>NASDAQ GM</v>
          </cell>
          <cell r="Q419" t="str">
            <v>Health Care</v>
          </cell>
          <cell r="R419" t="str">
            <v>Biotechnology</v>
          </cell>
          <cell r="S419" t="str">
            <v>ESPR</v>
          </cell>
        </row>
        <row r="420">
          <cell r="L420" t="str">
            <v>XLRN</v>
          </cell>
          <cell r="M420" t="str">
            <v>ACCELERATE-DIAGNOSTICS-IN-12239209/</v>
          </cell>
          <cell r="N420" t="str">
            <v>XLRN</v>
          </cell>
          <cell r="O420" t="str">
            <v>ACCELERON PHARMA</v>
          </cell>
          <cell r="P420" t="str">
            <v>NASDAQ GM</v>
          </cell>
          <cell r="Q420" t="str">
            <v>Health Care</v>
          </cell>
          <cell r="R420" t="str">
            <v>Biotechnology</v>
          </cell>
          <cell r="S420" t="str">
            <v>XLRN</v>
          </cell>
        </row>
        <row r="421">
          <cell r="L421" t="str">
            <v>RTRX</v>
          </cell>
          <cell r="M421" t="str">
            <v>RETROPHIN-INC-15458731/</v>
          </cell>
          <cell r="N421" t="str">
            <v>RTRX</v>
          </cell>
          <cell r="O421" t="str">
            <v>RETROPHIN INC</v>
          </cell>
          <cell r="P421" t="str">
            <v>NASDAQ GM</v>
          </cell>
          <cell r="Q421" t="str">
            <v>Health Care</v>
          </cell>
          <cell r="R421" t="str">
            <v>Biotechnology</v>
          </cell>
          <cell r="S421" t="str">
            <v>RTRX</v>
          </cell>
        </row>
        <row r="422">
          <cell r="L422" t="str">
            <v>OMER</v>
          </cell>
          <cell r="M422" t="str">
            <v>OMEROS-CORPORATION-5628248/</v>
          </cell>
          <cell r="N422" t="str">
            <v>OMER</v>
          </cell>
          <cell r="O422" t="str">
            <v>OMEROS CORP</v>
          </cell>
          <cell r="P422" t="str">
            <v>NASDAQ GM</v>
          </cell>
          <cell r="Q422" t="str">
            <v>Health Care</v>
          </cell>
          <cell r="R422" t="str">
            <v>Pharmaceuticals</v>
          </cell>
          <cell r="S422" t="str">
            <v>OMER</v>
          </cell>
        </row>
        <row r="423">
          <cell r="L423" t="str">
            <v>TRUP</v>
          </cell>
          <cell r="M423" t="str">
            <v>TRUPANION-INC-28702333/</v>
          </cell>
          <cell r="N423" t="str">
            <v>TRUP</v>
          </cell>
          <cell r="O423" t="str">
            <v>TRUPANION INC</v>
          </cell>
          <cell r="P423" t="str">
            <v>NASDAQ GM</v>
          </cell>
          <cell r="Q423" t="str">
            <v>Financials</v>
          </cell>
          <cell r="R423" t="str">
            <v>Insurance</v>
          </cell>
          <cell r="S423" t="str">
            <v>TRUP</v>
          </cell>
        </row>
        <row r="424">
          <cell r="L424" t="str">
            <v>MZOR</v>
          </cell>
          <cell r="M424" t="str">
            <v>MAZOR-ROBOTICS-LTD-13292985/</v>
          </cell>
          <cell r="N424" t="str">
            <v>MZOR</v>
          </cell>
          <cell r="O424" t="str">
            <v>MAZOR ROBOTI-ADR</v>
          </cell>
          <cell r="P424" t="str">
            <v>NASDAQ GM</v>
          </cell>
          <cell r="Q424" t="str">
            <v>Health Care</v>
          </cell>
          <cell r="R424" t="str">
            <v>Health Care Equipment &amp; Suppli</v>
          </cell>
          <cell r="S424" t="str">
            <v>MZOR</v>
          </cell>
        </row>
        <row r="425">
          <cell r="L425" t="str">
            <v>TCMD</v>
          </cell>
          <cell r="M425" t="str">
            <v>TACTILE-SYSTEMS-TECHNOLOG-28734716/</v>
          </cell>
          <cell r="N425" t="str">
            <v>TCMD</v>
          </cell>
          <cell r="O425" t="str">
            <v>TACTILE SYSTEMS</v>
          </cell>
          <cell r="P425" t="str">
            <v>NASDAQ GM</v>
          </cell>
          <cell r="Q425" t="str">
            <v>Health Care</v>
          </cell>
          <cell r="R425" t="str">
            <v>Health Care Equipment &amp; Suppli</v>
          </cell>
          <cell r="S425" t="str">
            <v>TCMD</v>
          </cell>
        </row>
        <row r="426">
          <cell r="L426" t="str">
            <v>ALDR</v>
          </cell>
          <cell r="M426" t="str">
            <v>ALDER-BIOPHARMACEUTICALS-16421407/</v>
          </cell>
          <cell r="N426" t="str">
            <v>ALDR</v>
          </cell>
          <cell r="O426" t="str">
            <v>ALDER BIOPHARMAC</v>
          </cell>
          <cell r="P426" t="str">
            <v>NASDAQ GM</v>
          </cell>
          <cell r="Q426" t="str">
            <v>Health Care</v>
          </cell>
          <cell r="R426" t="str">
            <v>Biotechnology</v>
          </cell>
          <cell r="S426" t="str">
            <v>ALDR</v>
          </cell>
        </row>
        <row r="427">
          <cell r="L427" t="str">
            <v>ATRC</v>
          </cell>
          <cell r="M427" t="str">
            <v>ATRICURE-INC-8482/</v>
          </cell>
          <cell r="N427" t="str">
            <v>ATRC</v>
          </cell>
          <cell r="O427" t="str">
            <v>ATRICURE INC</v>
          </cell>
          <cell r="P427" t="str">
            <v>NASDAQ GM</v>
          </cell>
          <cell r="Q427" t="str">
            <v>Health Care</v>
          </cell>
          <cell r="R427" t="str">
            <v>Health Care Equipment &amp; Suppli</v>
          </cell>
          <cell r="S427" t="str">
            <v>ATRC</v>
          </cell>
        </row>
        <row r="428">
          <cell r="L428" t="str">
            <v>CLLS</v>
          </cell>
          <cell r="M428" t="str">
            <v>CELLECTIS-SA-21325383/</v>
          </cell>
          <cell r="N428" t="str">
            <v>CLLS</v>
          </cell>
          <cell r="O428" t="str">
            <v>CELLECTIS - ADR</v>
          </cell>
          <cell r="P428" t="str">
            <v>NASDAQ GM</v>
          </cell>
          <cell r="Q428" t="str">
            <v>Health Care</v>
          </cell>
          <cell r="R428" t="str">
            <v>Biotechnology</v>
          </cell>
          <cell r="S428" t="str">
            <v>CLLS</v>
          </cell>
        </row>
        <row r="429">
          <cell r="L429" t="str">
            <v>RCM</v>
          </cell>
          <cell r="M429" t="str">
            <v>R1-RCM-INC-34325398/</v>
          </cell>
          <cell r="N429" t="str">
            <v>RCM</v>
          </cell>
          <cell r="O429" t="str">
            <v>R1 RCM INC</v>
          </cell>
          <cell r="P429" t="str">
            <v>NASDAQ GM</v>
          </cell>
          <cell r="Q429" t="str">
            <v>Health Care</v>
          </cell>
          <cell r="R429" t="str">
            <v>Health Care Providers &amp; Servic</v>
          </cell>
          <cell r="S429" t="str">
            <v>RCM</v>
          </cell>
        </row>
        <row r="430">
          <cell r="L430" t="str">
            <v>ZLAB</v>
          </cell>
          <cell r="M430" t="str">
            <v>ZAI-LAB-LTD-37797983/</v>
          </cell>
          <cell r="N430" t="str">
            <v>ZLAB</v>
          </cell>
          <cell r="O430" t="str">
            <v>ZAI LAB LTD-ADR</v>
          </cell>
          <cell r="P430" t="str">
            <v>NASDAQ GM</v>
          </cell>
          <cell r="Q430" t="str">
            <v>Health Care</v>
          </cell>
          <cell r="R430" t="str">
            <v>Biotechnology</v>
          </cell>
          <cell r="S430" t="str">
            <v>ZLAB</v>
          </cell>
        </row>
        <row r="431">
          <cell r="L431" t="str">
            <v>RYTM</v>
          </cell>
          <cell r="M431" t="str">
            <v>RHYTHM-PHARMACEUTICALS-IN-37977152/</v>
          </cell>
          <cell r="N431" t="str">
            <v>RYTM</v>
          </cell>
          <cell r="O431" t="str">
            <v>RHYTHM PHARMACEU</v>
          </cell>
          <cell r="P431" t="str">
            <v>NASDAQ GM</v>
          </cell>
          <cell r="Q431" t="str">
            <v>Health Care</v>
          </cell>
          <cell r="R431" t="str">
            <v>Biotechnology</v>
          </cell>
          <cell r="S431" t="str">
            <v>RYTM</v>
          </cell>
        </row>
        <row r="432">
          <cell r="L432" t="str">
            <v>CERS</v>
          </cell>
          <cell r="M432" t="str">
            <v>CERUS-CORPORATION-8745/</v>
          </cell>
          <cell r="N432" t="str">
            <v>CERS</v>
          </cell>
          <cell r="O432" t="str">
            <v>CERUS CORP</v>
          </cell>
          <cell r="P432" t="str">
            <v>NASDAQ GM</v>
          </cell>
          <cell r="Q432" t="str">
            <v>Health Care</v>
          </cell>
          <cell r="R432" t="str">
            <v>Health Care Equipment &amp; Suppli</v>
          </cell>
          <cell r="S432" t="str">
            <v>CERS</v>
          </cell>
        </row>
        <row r="433">
          <cell r="L433" t="str">
            <v>VNDA</v>
          </cell>
          <cell r="M433" t="str">
            <v>VANDA-PHARMACEUTICALS-INC-16742/</v>
          </cell>
          <cell r="N433" t="str">
            <v>VNDA</v>
          </cell>
          <cell r="O433" t="str">
            <v>VANDA PHARMACEUT</v>
          </cell>
          <cell r="P433" t="str">
            <v>NASDAQ GM</v>
          </cell>
          <cell r="Q433" t="str">
            <v>Health Care</v>
          </cell>
          <cell r="R433" t="str">
            <v>Biotechnology</v>
          </cell>
          <cell r="S433" t="str">
            <v>VNDA</v>
          </cell>
        </row>
        <row r="434">
          <cell r="L434" t="str">
            <v>RVNC</v>
          </cell>
          <cell r="M434" t="str">
            <v>REVANCE-THERAPEUTICS-INC-15724812/</v>
          </cell>
          <cell r="N434" t="str">
            <v>RVNC</v>
          </cell>
          <cell r="O434" t="str">
            <v>REVANCE THERAPEU</v>
          </cell>
          <cell r="P434" t="str">
            <v>NASDAQ GM</v>
          </cell>
          <cell r="Q434" t="str">
            <v>Health Care</v>
          </cell>
          <cell r="R434" t="str">
            <v>Pharmaceuticals</v>
          </cell>
          <cell r="S434" t="str">
            <v>RVNC</v>
          </cell>
        </row>
        <row r="435">
          <cell r="L435" t="str">
            <v>MBUU</v>
          </cell>
          <cell r="M435" t="str">
            <v>MALIBU-BOATS-INC-15672073/</v>
          </cell>
          <cell r="N435" t="str">
            <v>MBUU</v>
          </cell>
          <cell r="O435" t="str">
            <v>MALIBU BOATS-A</v>
          </cell>
          <cell r="P435" t="str">
            <v>NASDAQ GM</v>
          </cell>
          <cell r="Q435" t="str">
            <v>Consumer Discretionary</v>
          </cell>
          <cell r="R435" t="str">
            <v>Leisure Products</v>
          </cell>
          <cell r="S435" t="str">
            <v>MBUU</v>
          </cell>
        </row>
        <row r="436">
          <cell r="L436" t="str">
            <v>USAT</v>
          </cell>
          <cell r="M436" t="str">
            <v>USA-TECHNOLOGIES-INC-46310/</v>
          </cell>
          <cell r="N436" t="str">
            <v>USAT</v>
          </cell>
          <cell r="O436" t="str">
            <v>USA TECHNOLOGIES</v>
          </cell>
          <cell r="P436" t="str">
            <v>NASDAQ GM</v>
          </cell>
          <cell r="Q436" t="str">
            <v>Information Technology</v>
          </cell>
          <cell r="R436" t="str">
            <v>Technology Hardware, Storage &amp;</v>
          </cell>
          <cell r="S436" t="str">
            <v>USAT</v>
          </cell>
        </row>
        <row r="437">
          <cell r="L437" t="str">
            <v>TPIC</v>
          </cell>
          <cell r="M437" t="str">
            <v>TPI-COMPOSITES-INC-30049788/</v>
          </cell>
          <cell r="N437" t="str">
            <v>TPIC</v>
          </cell>
          <cell r="O437" t="str">
            <v>TPI COMPOSITES I</v>
          </cell>
          <cell r="P437" t="str">
            <v>NASDAQ GM</v>
          </cell>
          <cell r="Q437" t="str">
            <v>Industrials</v>
          </cell>
          <cell r="R437" t="str">
            <v>Electrical Equipment</v>
          </cell>
          <cell r="S437" t="str">
            <v>TPIC</v>
          </cell>
        </row>
        <row r="438">
          <cell r="L438" t="str">
            <v>RCKT</v>
          </cell>
          <cell r="M438" t="str">
            <v>ROCKET-PHARMACEUTICALS-IN-40561561/</v>
          </cell>
          <cell r="N438" t="str">
            <v>RCKT</v>
          </cell>
          <cell r="O438" t="str">
            <v>ROCKET PHARMACEU</v>
          </cell>
          <cell r="P438" t="str">
            <v>NASDAQ GM</v>
          </cell>
          <cell r="Q438" t="str">
            <v>Health Care</v>
          </cell>
          <cell r="R438" t="str">
            <v>Biotechnology</v>
          </cell>
          <cell r="S438" t="str">
            <v>RCKT</v>
          </cell>
        </row>
        <row r="439">
          <cell r="L439" t="str">
            <v>EXPI</v>
          </cell>
          <cell r="M439" t="str">
            <v>EXP-WORLD-HOLDINGS-INC-43446612/</v>
          </cell>
          <cell r="N439" t="str">
            <v>EXPI</v>
          </cell>
          <cell r="O439" t="str">
            <v>EXP WORLD HOLDIN</v>
          </cell>
          <cell r="P439" t="str">
            <v>NASDAQ GM</v>
          </cell>
          <cell r="Q439" t="str">
            <v>Real Estate</v>
          </cell>
          <cell r="R439" t="str">
            <v>Real Estate Management &amp; Devel</v>
          </cell>
          <cell r="S439" t="str">
            <v>EXPI</v>
          </cell>
        </row>
        <row r="440">
          <cell r="L440" t="str">
            <v>RDUS</v>
          </cell>
          <cell r="M440" t="str">
            <v>RADIUS-HEALTH-INC-16646142/</v>
          </cell>
          <cell r="N440" t="str">
            <v>RDUS</v>
          </cell>
          <cell r="O440" t="str">
            <v>RADIUS HEALTH IN</v>
          </cell>
          <cell r="P440" t="str">
            <v>NASDAQ GM</v>
          </cell>
          <cell r="Q440" t="str">
            <v>Health Care</v>
          </cell>
          <cell r="R440" t="str">
            <v>Biotechnology</v>
          </cell>
          <cell r="S440" t="str">
            <v>RDUS</v>
          </cell>
        </row>
        <row r="441">
          <cell r="L441" t="str">
            <v>OSTK</v>
          </cell>
          <cell r="M441" t="str">
            <v>OVERSTOCK-COM-INC-40295178/</v>
          </cell>
          <cell r="N441" t="str">
            <v>OSTK</v>
          </cell>
          <cell r="O441" t="str">
            <v>OVERSTOCK.COM</v>
          </cell>
          <cell r="P441" t="str">
            <v>NASDAQ GM</v>
          </cell>
          <cell r="Q441" t="str">
            <v>Consumer Discretionary</v>
          </cell>
          <cell r="R441" t="str">
            <v>Internet &amp; Direct Marketing Re</v>
          </cell>
          <cell r="S441" t="str">
            <v>OSTK</v>
          </cell>
        </row>
        <row r="442">
          <cell r="L442" t="str">
            <v>TOUR</v>
          </cell>
          <cell r="M442" t="str">
            <v>TUNIU-CORP-16441311/</v>
          </cell>
          <cell r="N442" t="str">
            <v>TOUR</v>
          </cell>
          <cell r="O442" t="str">
            <v>TUNIU CORP-ADR</v>
          </cell>
          <cell r="P442" t="str">
            <v>NASDAQ GM</v>
          </cell>
          <cell r="Q442" t="str">
            <v>Consumer Discretionary</v>
          </cell>
          <cell r="R442" t="str">
            <v>Hotels, Restaurants &amp; Leisure</v>
          </cell>
          <cell r="S442" t="str">
            <v>TOUR</v>
          </cell>
        </row>
        <row r="443">
          <cell r="L443" t="str">
            <v>CDNA</v>
          </cell>
          <cell r="M443" t="str">
            <v>CAREDX-INC-16917519/</v>
          </cell>
          <cell r="N443" t="str">
            <v>CDNA</v>
          </cell>
          <cell r="O443" t="str">
            <v>CAREDX INC</v>
          </cell>
          <cell r="P443" t="str">
            <v>NASDAQ GM</v>
          </cell>
          <cell r="Q443" t="str">
            <v>Health Care</v>
          </cell>
          <cell r="R443" t="str">
            <v>Biotechnology</v>
          </cell>
          <cell r="S443" t="str">
            <v>CDNA</v>
          </cell>
        </row>
        <row r="444">
          <cell r="L444" t="str">
            <v>FLXN</v>
          </cell>
          <cell r="M444" t="str">
            <v>FLEXION-THERAPEUTICS-INC-15749853/</v>
          </cell>
          <cell r="N444" t="str">
            <v>FLXN</v>
          </cell>
          <cell r="O444" t="str">
            <v>FLEXION THERAPEU</v>
          </cell>
          <cell r="P444" t="str">
            <v>NASDAQ GM</v>
          </cell>
          <cell r="Q444" t="str">
            <v>Health Care</v>
          </cell>
          <cell r="R444" t="str">
            <v>Biotechnology</v>
          </cell>
          <cell r="S444" t="str">
            <v>FLXN</v>
          </cell>
        </row>
        <row r="445">
          <cell r="L445" t="str">
            <v>CARA</v>
          </cell>
          <cell r="M445" t="str">
            <v>CARA-THERAPEUTICS-INC-15672075/</v>
          </cell>
          <cell r="N445" t="str">
            <v>CARA</v>
          </cell>
          <cell r="O445" t="str">
            <v>CARA THERAPEUTIC</v>
          </cell>
          <cell r="P445" t="str">
            <v>NASDAQ GM</v>
          </cell>
          <cell r="Q445" t="str">
            <v>Health Care</v>
          </cell>
          <cell r="R445" t="str">
            <v>Biotechnology</v>
          </cell>
          <cell r="S445" t="str">
            <v>CARA</v>
          </cell>
        </row>
        <row r="446">
          <cell r="L446" t="str">
            <v>UPLD</v>
          </cell>
          <cell r="M446" t="str">
            <v>UPLAND-SOFTWARE-INC-18460922/</v>
          </cell>
          <cell r="N446" t="str">
            <v>UPLD</v>
          </cell>
          <cell r="O446" t="str">
            <v>UPLAND SOFTWARE</v>
          </cell>
          <cell r="P446" t="str">
            <v>NASDAQ GM</v>
          </cell>
          <cell r="Q446" t="str">
            <v>Information Technology</v>
          </cell>
          <cell r="R446" t="str">
            <v>Software</v>
          </cell>
          <cell r="S446" t="str">
            <v>UPLD</v>
          </cell>
        </row>
        <row r="447">
          <cell r="L447" t="str">
            <v>URGN</v>
          </cell>
          <cell r="M447" t="str">
            <v>UROGEN-PHARMA-LTD-34790020/</v>
          </cell>
          <cell r="N447" t="str">
            <v>URGN</v>
          </cell>
          <cell r="O447" t="str">
            <v>UROGEN PHARMA LT</v>
          </cell>
          <cell r="P447" t="str">
            <v>NASDAQ GM</v>
          </cell>
          <cell r="Q447" t="str">
            <v>Health Care</v>
          </cell>
          <cell r="R447" t="str">
            <v>Biotechnology</v>
          </cell>
          <cell r="S447" t="str">
            <v>URGN</v>
          </cell>
        </row>
        <row r="448">
          <cell r="L448" t="str">
            <v>VBTX</v>
          </cell>
          <cell r="M448" t="str">
            <v>VERITEX-HOLDINGS-INC-18177668/</v>
          </cell>
          <cell r="N448" t="str">
            <v>VBTX</v>
          </cell>
          <cell r="O448" t="str">
            <v>VERITEX HOLDINGS</v>
          </cell>
          <cell r="P448" t="str">
            <v>NASDAQ GM</v>
          </cell>
          <cell r="Q448" t="str">
            <v>Financials</v>
          </cell>
          <cell r="R448" t="str">
            <v>Banks</v>
          </cell>
          <cell r="S448" t="str">
            <v>VBTX</v>
          </cell>
        </row>
        <row r="449">
          <cell r="L449" t="str">
            <v>VSTM</v>
          </cell>
          <cell r="M449" t="str">
            <v>VERASTEM-INC-9895017/</v>
          </cell>
          <cell r="N449" t="str">
            <v>VSTM</v>
          </cell>
          <cell r="O449" t="str">
            <v>VERASTEM INC</v>
          </cell>
          <cell r="P449" t="str">
            <v>NASDAQ GM</v>
          </cell>
          <cell r="Q449" t="str">
            <v>Health Care</v>
          </cell>
          <cell r="R449" t="str">
            <v>Biotechnology</v>
          </cell>
          <cell r="S449" t="str">
            <v>VSTM</v>
          </cell>
        </row>
        <row r="450">
          <cell r="L450" t="str">
            <v>DOVA</v>
          </cell>
          <cell r="M450" t="str">
            <v>DOVA-PHARMACEUTICALS-INC-35952873/</v>
          </cell>
          <cell r="N450" t="str">
            <v>DOVA</v>
          </cell>
          <cell r="O450" t="str">
            <v>DOVA PHARMACEUTI</v>
          </cell>
          <cell r="P450" t="str">
            <v>NASDAQ GM</v>
          </cell>
          <cell r="Q450" t="str">
            <v>Health Care</v>
          </cell>
          <cell r="R450" t="str">
            <v>Pharmaceuticals</v>
          </cell>
          <cell r="S450" t="str">
            <v>DOVA</v>
          </cell>
        </row>
        <row r="451">
          <cell r="L451" t="str">
            <v>LMAT</v>
          </cell>
          <cell r="M451" t="str">
            <v>LEMAITRE-VASCULAR-INC-35329/</v>
          </cell>
          <cell r="N451" t="str">
            <v>LMAT</v>
          </cell>
          <cell r="O451" t="str">
            <v>LEMAITRE VASCULA</v>
          </cell>
          <cell r="P451" t="str">
            <v>NASDAQ GM</v>
          </cell>
          <cell r="Q451" t="str">
            <v>Health Care</v>
          </cell>
          <cell r="R451" t="str">
            <v>Health Care Equipment &amp; Suppli</v>
          </cell>
          <cell r="S451" t="str">
            <v>LMAT</v>
          </cell>
        </row>
        <row r="452">
          <cell r="L452" t="str">
            <v>ARQL</v>
          </cell>
          <cell r="M452" t="str">
            <v>ARQULE-INC-8428/</v>
          </cell>
          <cell r="N452" t="str">
            <v>ARQL</v>
          </cell>
          <cell r="O452" t="str">
            <v>ARQULE INC</v>
          </cell>
          <cell r="P452" t="str">
            <v>NASDAQ GM</v>
          </cell>
          <cell r="Q452" t="str">
            <v>Health Care</v>
          </cell>
          <cell r="R452" t="str">
            <v>Biotechnology</v>
          </cell>
          <cell r="S452" t="str">
            <v>ARQL</v>
          </cell>
        </row>
        <row r="453">
          <cell r="L453" t="str">
            <v>BLDP</v>
          </cell>
          <cell r="M453" t="str">
            <v>BALLARD-POWER-SYSTEMS-INC-8579/</v>
          </cell>
          <cell r="N453" t="str">
            <v>BLDP</v>
          </cell>
          <cell r="O453" t="str">
            <v>BALLARD POWER</v>
          </cell>
          <cell r="P453" t="str">
            <v>NASDAQ GM</v>
          </cell>
          <cell r="Q453" t="str">
            <v>Industrials</v>
          </cell>
          <cell r="R453" t="str">
            <v>Electrical Equipment</v>
          </cell>
          <cell r="S453" t="str">
            <v>BLDP</v>
          </cell>
        </row>
        <row r="454">
          <cell r="L454" t="str">
            <v>INSY</v>
          </cell>
          <cell r="M454" t="str">
            <v>INSYS-THERAPEUTICS-INC-40225123/</v>
          </cell>
          <cell r="N454" t="str">
            <v>INSY</v>
          </cell>
          <cell r="O454" t="str">
            <v>INSYS THERAPEUTI</v>
          </cell>
          <cell r="P454" t="str">
            <v>NASDAQ GM</v>
          </cell>
          <cell r="Q454" t="str">
            <v>Health Care</v>
          </cell>
          <cell r="R454" t="str">
            <v>Biotechnology</v>
          </cell>
          <cell r="S454" t="str">
            <v>INSY</v>
          </cell>
        </row>
        <row r="455">
          <cell r="L455" t="str">
            <v>FATE</v>
          </cell>
          <cell r="M455" t="str">
            <v>FATE-THERAPEUTICS-INC-14297698/</v>
          </cell>
          <cell r="N455" t="str">
            <v>FATE</v>
          </cell>
          <cell r="O455" t="str">
            <v>FATE THERAPEUTIC</v>
          </cell>
          <cell r="P455" t="str">
            <v>NASDAQ GM</v>
          </cell>
          <cell r="Q455" t="str">
            <v>Health Care</v>
          </cell>
          <cell r="R455" t="str">
            <v>Biotechnology</v>
          </cell>
          <cell r="S455" t="str">
            <v>FATE</v>
          </cell>
        </row>
        <row r="456">
          <cell r="L456" t="str">
            <v>EOLS</v>
          </cell>
          <cell r="M456" t="str">
            <v>EVOLUS-INC-40647221/</v>
          </cell>
          <cell r="N456" t="str">
            <v>EOLS</v>
          </cell>
          <cell r="O456" t="str">
            <v>EVOLUS INC</v>
          </cell>
          <cell r="P456" t="str">
            <v>NASDAQ GM</v>
          </cell>
          <cell r="Q456" t="str">
            <v>Health Care</v>
          </cell>
          <cell r="R456" t="str">
            <v>Pharmaceuticals</v>
          </cell>
          <cell r="S456" t="str">
            <v>EOLS</v>
          </cell>
        </row>
        <row r="457">
          <cell r="L457" t="str">
            <v>EOLS</v>
          </cell>
          <cell r="M457" t="str">
            <v>EVOLUS-INC-40647221/</v>
          </cell>
          <cell r="N457" t="str">
            <v>EOLS</v>
          </cell>
          <cell r="O457" t="str">
            <v>EVOLUS INC</v>
          </cell>
          <cell r="P457" t="str">
            <v>NASDAQ GM</v>
          </cell>
          <cell r="Q457" t="str">
            <v>Health Care</v>
          </cell>
          <cell r="R457" t="str">
            <v>Pharmaceuticals</v>
          </cell>
          <cell r="S457" t="str">
            <v>EOLS</v>
          </cell>
        </row>
        <row r="458">
          <cell r="L458" t="str">
            <v>QCRH</v>
          </cell>
          <cell r="M458" t="str">
            <v>QCR-HOLDINGS-INC-10594/</v>
          </cell>
          <cell r="N458" t="str">
            <v>QCRH</v>
          </cell>
          <cell r="O458" t="str">
            <v>QCR HOLDINGS INC</v>
          </cell>
          <cell r="P458" t="str">
            <v>NASDAQ GM</v>
          </cell>
          <cell r="Q458" t="str">
            <v>Financials</v>
          </cell>
          <cell r="R458" t="str">
            <v>Banks</v>
          </cell>
          <cell r="S458" t="str">
            <v>QCRH</v>
          </cell>
        </row>
        <row r="459">
          <cell r="L459" t="str">
            <v>ANIP</v>
          </cell>
          <cell r="M459" t="str">
            <v>ANI-PHARMACEUTICALS-INC-13658425/</v>
          </cell>
          <cell r="N459" t="str">
            <v>ANIP</v>
          </cell>
          <cell r="O459" t="str">
            <v>ANI PHARMACEUTIC</v>
          </cell>
          <cell r="P459" t="str">
            <v>NASDAQ GM</v>
          </cell>
          <cell r="Q459" t="str">
            <v>Health Care</v>
          </cell>
          <cell r="R459" t="str">
            <v>Pharmaceuticals</v>
          </cell>
          <cell r="S459" t="str">
            <v>ANIP</v>
          </cell>
        </row>
        <row r="460">
          <cell r="L460" t="str">
            <v>SECO</v>
          </cell>
          <cell r="M460" t="str">
            <v>SECOO-HOLDING-LTD-ADR-37839065/</v>
          </cell>
          <cell r="N460" t="str">
            <v>SECO</v>
          </cell>
          <cell r="O460" t="str">
            <v>SECOO HOLDIN-ADR</v>
          </cell>
          <cell r="P460" t="str">
            <v>NASDAQ GM</v>
          </cell>
          <cell r="Q460" t="str">
            <v>Consumer Discretionary</v>
          </cell>
          <cell r="R460" t="str">
            <v>Internet &amp; Direct Marketing Re</v>
          </cell>
          <cell r="S460" t="str">
            <v>SECO</v>
          </cell>
        </row>
        <row r="461">
          <cell r="L461" t="str">
            <v>TTGT</v>
          </cell>
          <cell r="M461" t="str">
            <v>TECHTARGET-INC-50681/</v>
          </cell>
          <cell r="N461" t="str">
            <v>TTGT</v>
          </cell>
          <cell r="O461" t="str">
            <v>TECHTARGET</v>
          </cell>
          <cell r="P461" t="str">
            <v>NASDAQ GM</v>
          </cell>
          <cell r="Q461" t="str">
            <v>Information Technology</v>
          </cell>
          <cell r="R461" t="str">
            <v>Internet Software &amp; Services</v>
          </cell>
          <cell r="S461" t="str">
            <v>TTGT</v>
          </cell>
        </row>
        <row r="462">
          <cell r="L462" t="str">
            <v>RDNT</v>
          </cell>
          <cell r="M462" t="str">
            <v>RADNET-INC-43423/</v>
          </cell>
          <cell r="N462" t="str">
            <v>RDNT</v>
          </cell>
          <cell r="O462" t="str">
            <v>RADNET INC</v>
          </cell>
          <cell r="P462" t="str">
            <v>NASDAQ GM</v>
          </cell>
          <cell r="Q462" t="str">
            <v>Health Care</v>
          </cell>
          <cell r="R462" t="str">
            <v>Health Care Providers &amp; Servic</v>
          </cell>
          <cell r="S462" t="str">
            <v>RDNT</v>
          </cell>
        </row>
        <row r="463">
          <cell r="L463" t="str">
            <v>GLYC</v>
          </cell>
          <cell r="M463" t="str">
            <v>GLYCOMIMETICS-INC-14850833/</v>
          </cell>
          <cell r="N463" t="str">
            <v>GLYC</v>
          </cell>
          <cell r="O463" t="str">
            <v>GLYCOMIMETICS IN</v>
          </cell>
          <cell r="P463" t="str">
            <v>NASDAQ GM</v>
          </cell>
          <cell r="Q463" t="str">
            <v>Health Care</v>
          </cell>
          <cell r="R463" t="str">
            <v>Biotechnology</v>
          </cell>
          <cell r="S463" t="str">
            <v>GLYC</v>
          </cell>
        </row>
        <row r="464">
          <cell r="L464" t="str">
            <v>REDU</v>
          </cell>
          <cell r="M464" t="str">
            <v>RISE-EDUCATION-CAYMAN-LTD-38166112/</v>
          </cell>
          <cell r="N464" t="str">
            <v>REDU</v>
          </cell>
          <cell r="O464" t="str">
            <v>RISE EDUCAT-ADR</v>
          </cell>
          <cell r="P464" t="str">
            <v>NASDAQ GM</v>
          </cell>
          <cell r="Q464" t="str">
            <v>Consumer Discretionary</v>
          </cell>
          <cell r="R464" t="str">
            <v>Diversified Consumer Services</v>
          </cell>
          <cell r="S464" t="str">
            <v>REDU</v>
          </cell>
        </row>
        <row r="465">
          <cell r="L465" t="str">
            <v>ADMS</v>
          </cell>
          <cell r="M465" t="str">
            <v>ADAMAS-PHARMACEUTICALS-IN-16253069/</v>
          </cell>
          <cell r="N465" t="str">
            <v>ADMS</v>
          </cell>
          <cell r="O465" t="str">
            <v>ADAMAS PHARMACEU</v>
          </cell>
          <cell r="P465" t="str">
            <v>NASDAQ GM</v>
          </cell>
          <cell r="Q465" t="str">
            <v>Health Care</v>
          </cell>
          <cell r="R465" t="str">
            <v>Biotechnology</v>
          </cell>
          <cell r="S465" t="str">
            <v>ADMS</v>
          </cell>
        </row>
        <row r="466">
          <cell r="L466" t="str">
            <v>ACIU</v>
          </cell>
          <cell r="M466" t="str">
            <v>AC-IMMUNE-SA-31394898/</v>
          </cell>
          <cell r="N466" t="str">
            <v>ACIU</v>
          </cell>
          <cell r="O466" t="str">
            <v>AC IMMUNE SA</v>
          </cell>
          <cell r="P466" t="str">
            <v>NASDAQ GM</v>
          </cell>
          <cell r="Q466" t="str">
            <v>Health Care</v>
          </cell>
          <cell r="R466" t="str">
            <v>Biotechnology</v>
          </cell>
          <cell r="S466" t="str">
            <v>ACIU</v>
          </cell>
        </row>
        <row r="467">
          <cell r="L467" t="str">
            <v>ELOX</v>
          </cell>
          <cell r="M467" t="str">
            <v>ELOXX-PHARMACEUTICALS-INC-43180289/</v>
          </cell>
          <cell r="N467" t="str">
            <v>ELOX</v>
          </cell>
          <cell r="O467" t="str">
            <v>ELOXX PHARMACEUT</v>
          </cell>
          <cell r="P467" t="str">
            <v>NASDAQ GM</v>
          </cell>
          <cell r="Q467" t="str">
            <v>Health Care</v>
          </cell>
          <cell r="R467" t="str">
            <v>Pharmaceuticals</v>
          </cell>
          <cell r="S467" t="str">
            <v>ELOX</v>
          </cell>
        </row>
        <row r="468">
          <cell r="L468" t="str">
            <v>RILY</v>
          </cell>
          <cell r="M468" t="str">
            <v>B-RILEY-FINANCIAL-INC-23041121/</v>
          </cell>
          <cell r="N468" t="str">
            <v>RILY</v>
          </cell>
          <cell r="O468" t="str">
            <v>B. RILEY FINANCI</v>
          </cell>
          <cell r="P468" t="str">
            <v>NASDAQ GM</v>
          </cell>
          <cell r="Q468" t="str">
            <v>Financials</v>
          </cell>
          <cell r="R468" t="str">
            <v>Capital Markets</v>
          </cell>
          <cell r="S468" t="str">
            <v>RILY</v>
          </cell>
        </row>
        <row r="469">
          <cell r="L469" t="str">
            <v>LNTH</v>
          </cell>
          <cell r="M469" t="str">
            <v>LANTHEUS-HOLDINGS-INC-17053982/</v>
          </cell>
          <cell r="N469" t="str">
            <v>LNTH</v>
          </cell>
          <cell r="O469" t="str">
            <v>LANTHEUS HOLDING</v>
          </cell>
          <cell r="P469" t="str">
            <v>NASDAQ GM</v>
          </cell>
          <cell r="Q469" t="str">
            <v>Health Care</v>
          </cell>
          <cell r="R469" t="str">
            <v>Health Care Equipment &amp; Suppli</v>
          </cell>
          <cell r="S469" t="str">
            <v>LNTH</v>
          </cell>
        </row>
        <row r="470">
          <cell r="L470" t="str">
            <v>ANCX</v>
          </cell>
          <cell r="M470" t="str">
            <v>ACCESS-NATIONAL-CORPORATI-8373/</v>
          </cell>
          <cell r="N470" t="str">
            <v>ANCX</v>
          </cell>
          <cell r="O470" t="str">
            <v>ACCESS NATL CORP</v>
          </cell>
          <cell r="P470" t="str">
            <v>NASDAQ GM</v>
          </cell>
          <cell r="Q470" t="str">
            <v>Financials</v>
          </cell>
          <cell r="R470" t="str">
            <v>Banks</v>
          </cell>
          <cell r="S470" t="str">
            <v>ANCX</v>
          </cell>
        </row>
        <row r="471">
          <cell r="L471" t="str">
            <v>CLXT</v>
          </cell>
          <cell r="M471" t="str">
            <v>CALYXT-INC-36926678/</v>
          </cell>
          <cell r="N471" t="str">
            <v>CLXT</v>
          </cell>
          <cell r="O471" t="str">
            <v>CALYXT INC</v>
          </cell>
          <cell r="P471" t="str">
            <v>NASDAQ GM</v>
          </cell>
          <cell r="Q471" t="str">
            <v>Health Care</v>
          </cell>
          <cell r="R471" t="str">
            <v>Biotechnology</v>
          </cell>
          <cell r="S471" t="str">
            <v>CLXT</v>
          </cell>
        </row>
        <row r="472">
          <cell r="L472" t="str">
            <v>HMTV</v>
          </cell>
          <cell r="M472" t="str">
            <v>HEMISPHERE-MEDIA-GROUP-IN-13066721/</v>
          </cell>
          <cell r="N472" t="str">
            <v>HMTV</v>
          </cell>
          <cell r="O472" t="str">
            <v>HEMISPHERE MEDIA</v>
          </cell>
          <cell r="P472" t="str">
            <v>NASDAQ GM</v>
          </cell>
          <cell r="Q472" t="str">
            <v>Consumer Discretionary</v>
          </cell>
          <cell r="R472" t="str">
            <v>Media</v>
          </cell>
          <cell r="S472" t="str">
            <v>HMTV</v>
          </cell>
        </row>
        <row r="473">
          <cell r="L473" t="str">
            <v>MCFT</v>
          </cell>
          <cell r="M473" t="str">
            <v>MCBC-HOLDINGS-INC-23055719/</v>
          </cell>
          <cell r="N473" t="str">
            <v>MCFT</v>
          </cell>
          <cell r="O473" t="str">
            <v>MCBC HOLDINGS IN</v>
          </cell>
          <cell r="P473" t="str">
            <v>NASDAQ GM</v>
          </cell>
          <cell r="Q473" t="str">
            <v>Consumer Discretionary</v>
          </cell>
          <cell r="R473" t="str">
            <v>Leisure Products</v>
          </cell>
          <cell r="S473" t="str">
            <v>MCFT</v>
          </cell>
        </row>
        <row r="474">
          <cell r="L474" t="str">
            <v>WINA</v>
          </cell>
          <cell r="M474" t="str">
            <v>WINMARK-CORPORATION-11387/</v>
          </cell>
          <cell r="N474" t="str">
            <v>WINA</v>
          </cell>
          <cell r="O474" t="str">
            <v>WINMARK CORP</v>
          </cell>
          <cell r="P474" t="str">
            <v>NASDAQ GM</v>
          </cell>
          <cell r="Q474" t="str">
            <v>Consumer Discretionary</v>
          </cell>
          <cell r="R474" t="str">
            <v>Specialty Retail</v>
          </cell>
          <cell r="S474" t="str">
            <v>WINA</v>
          </cell>
        </row>
        <row r="475">
          <cell r="L475" t="str">
            <v>AUP</v>
          </cell>
          <cell r="M475" t="str">
            <v>AURINIA-PHARMACEUTICALS-I-17621336/</v>
          </cell>
          <cell r="N475" t="str">
            <v>AUP</v>
          </cell>
          <cell r="O475" t="str">
            <v>AURINIA PHARMACE</v>
          </cell>
          <cell r="P475" t="str">
            <v>NASDAQ GM</v>
          </cell>
          <cell r="Q475" t="str">
            <v>Health Care</v>
          </cell>
          <cell r="R475" t="str">
            <v>Biotechnology</v>
          </cell>
          <cell r="S475" t="str">
            <v>AUP</v>
          </cell>
        </row>
        <row r="476">
          <cell r="L476" t="str">
            <v>NSTG</v>
          </cell>
          <cell r="M476" t="str">
            <v>NANOSTRING-TECHNOLOGIES-I-13479937/</v>
          </cell>
          <cell r="N476" t="str">
            <v>NSTG</v>
          </cell>
          <cell r="O476" t="str">
            <v>NANOSTRING TECHN</v>
          </cell>
          <cell r="P476" t="str">
            <v>NASDAQ GM</v>
          </cell>
          <cell r="Q476" t="str">
            <v>Health Care</v>
          </cell>
          <cell r="R476" t="str">
            <v>Life Sciences Tools &amp; Services</v>
          </cell>
          <cell r="S476" t="str">
            <v>NSTG</v>
          </cell>
        </row>
        <row r="477">
          <cell r="L477" t="str">
            <v>MRUS</v>
          </cell>
          <cell r="M477" t="str">
            <v>MERUS-NV-27548017/</v>
          </cell>
          <cell r="N477" t="str">
            <v>MRUS</v>
          </cell>
          <cell r="O477" t="str">
            <v>MERUS NV</v>
          </cell>
          <cell r="P477" t="str">
            <v>NASDAQ GM</v>
          </cell>
          <cell r="Q477" t="str">
            <v>Health Care</v>
          </cell>
          <cell r="R477" t="str">
            <v>Biotechnology</v>
          </cell>
          <cell r="S477" t="str">
            <v>MRUS</v>
          </cell>
        </row>
        <row r="478">
          <cell r="L478" t="str">
            <v>ENPH</v>
          </cell>
          <cell r="M478" t="str">
            <v>ENPHASE-ENERGY-INC-10335237/</v>
          </cell>
          <cell r="N478" t="str">
            <v>ENPH</v>
          </cell>
          <cell r="O478" t="str">
            <v>ENPHASE ENERGY</v>
          </cell>
          <cell r="P478" t="str">
            <v>NASDAQ GM</v>
          </cell>
          <cell r="Q478" t="str">
            <v>Industrials</v>
          </cell>
          <cell r="R478" t="str">
            <v>Electrical Equipment</v>
          </cell>
          <cell r="S478" t="str">
            <v>ENPH</v>
          </cell>
        </row>
        <row r="479">
          <cell r="L479" t="str">
            <v>GNMK</v>
          </cell>
          <cell r="M479" t="str">
            <v>GENMARK-DIAGNOSTICS-INC-6246066/</v>
          </cell>
          <cell r="N479" t="str">
            <v>GNMK</v>
          </cell>
          <cell r="O479" t="str">
            <v>GENMARK DIAGNOST</v>
          </cell>
          <cell r="P479" t="str">
            <v>NASDAQ GM</v>
          </cell>
          <cell r="Q479" t="str">
            <v>Health Care</v>
          </cell>
          <cell r="R479" t="str">
            <v>Health Care Equipment &amp; Suppli</v>
          </cell>
          <cell r="S479" t="str">
            <v>GNMK</v>
          </cell>
        </row>
        <row r="480">
          <cell r="L480" t="str">
            <v>AKBA</v>
          </cell>
          <cell r="M480" t="str">
            <v>AKEBIA-THERAPEUTICS-INC-16068902/</v>
          </cell>
          <cell r="N480" t="str">
            <v>AKBA</v>
          </cell>
          <cell r="O480" t="str">
            <v>AKEBIA THERAPEUT</v>
          </cell>
          <cell r="P480" t="str">
            <v>NASDAQ GM</v>
          </cell>
          <cell r="Q480" t="str">
            <v>Health Care</v>
          </cell>
          <cell r="R480" t="str">
            <v>Biotechnology</v>
          </cell>
          <cell r="S480" t="str">
            <v>AKBA</v>
          </cell>
        </row>
        <row r="481">
          <cell r="L481" t="str">
            <v>AMOT</v>
          </cell>
          <cell r="M481" t="str">
            <v>ALLIED-MOTION-TECHNOLOGIE-8353/</v>
          </cell>
          <cell r="N481" t="str">
            <v>AMOT</v>
          </cell>
          <cell r="O481" t="str">
            <v>ALLIED MOTION TE</v>
          </cell>
          <cell r="P481" t="str">
            <v>NASDAQ GM</v>
          </cell>
          <cell r="Q481" t="str">
            <v>Industrials</v>
          </cell>
          <cell r="R481" t="str">
            <v>Electrical Equipment</v>
          </cell>
          <cell r="S481" t="str">
            <v>AMOT</v>
          </cell>
        </row>
        <row r="482">
          <cell r="L482" t="str">
            <v>NEWT</v>
          </cell>
          <cell r="M482" t="str">
            <v>NEWTEK-BUSINESS-SERVICES-22598411/</v>
          </cell>
          <cell r="N482" t="str">
            <v>NEWT</v>
          </cell>
          <cell r="O482" t="str">
            <v>NEWTEK BUSINESS</v>
          </cell>
          <cell r="P482" t="str">
            <v>NASDAQ GM</v>
          </cell>
          <cell r="Q482" t="str">
            <v>Financials</v>
          </cell>
          <cell r="R482" t="str">
            <v>Capital Markets</v>
          </cell>
          <cell r="S482" t="str">
            <v>NEWT</v>
          </cell>
        </row>
        <row r="483">
          <cell r="L483" t="str">
            <v>ADVM</v>
          </cell>
          <cell r="M483" t="str">
            <v>ADVERUM-BIOTECHNOLOGIES-I-27535811/</v>
          </cell>
          <cell r="N483" t="str">
            <v>ADVM</v>
          </cell>
          <cell r="O483" t="str">
            <v>ADVERUM BIOTECHN</v>
          </cell>
          <cell r="P483" t="str">
            <v>NASDAQ GM</v>
          </cell>
          <cell r="Q483" t="str">
            <v>Health Care</v>
          </cell>
          <cell r="R483" t="str">
            <v>Biotechnology</v>
          </cell>
          <cell r="S483" t="str">
            <v>ADVM</v>
          </cell>
        </row>
        <row r="484">
          <cell r="L484" t="str">
            <v>CDLX</v>
          </cell>
          <cell r="M484" t="str">
            <v>CARDLYTICS-INC-40680969/</v>
          </cell>
          <cell r="N484" t="str">
            <v>CDLX</v>
          </cell>
          <cell r="O484" t="str">
            <v>CARDLYTICS INC</v>
          </cell>
          <cell r="P484" t="str">
            <v>NASDAQ GM</v>
          </cell>
          <cell r="Q484" t="str">
            <v>Information Technology</v>
          </cell>
          <cell r="R484" t="str">
            <v>Internet Software &amp; Services</v>
          </cell>
          <cell r="S484" t="str">
            <v>CDLX</v>
          </cell>
        </row>
        <row r="485">
          <cell r="L485" t="str">
            <v>HX</v>
          </cell>
          <cell r="M485" t="str">
            <v>HEXINDAI-INC-ADR-38549323/</v>
          </cell>
          <cell r="N485" t="str">
            <v>HX</v>
          </cell>
          <cell r="O485" t="str">
            <v>HEXINDAI INC-ADR</v>
          </cell>
          <cell r="P485" t="str">
            <v>NASDAQ GM</v>
          </cell>
          <cell r="Q485" t="str">
            <v>Financials</v>
          </cell>
          <cell r="R485" t="str">
            <v>Consumer Finance</v>
          </cell>
          <cell r="S485" t="str">
            <v>HX</v>
          </cell>
        </row>
        <row r="486">
          <cell r="L486" t="str">
            <v>IESC</v>
          </cell>
          <cell r="M486" t="str">
            <v>IES-HOLDINGS-INC-28376742/</v>
          </cell>
          <cell r="N486" t="str">
            <v>IESC</v>
          </cell>
          <cell r="O486" t="str">
            <v>IES HOLDINGS INC</v>
          </cell>
          <cell r="P486" t="str">
            <v>NASDAQ GM</v>
          </cell>
          <cell r="Q486" t="str">
            <v>Industrials</v>
          </cell>
          <cell r="R486" t="str">
            <v>Construction &amp; Engineering</v>
          </cell>
          <cell r="S486" t="str">
            <v>IESC</v>
          </cell>
        </row>
        <row r="487">
          <cell r="L487" t="str">
            <v>BSTC</v>
          </cell>
          <cell r="M487" t="str">
            <v>BIOSPECIFICS-TECHNOLOGIES-866015/</v>
          </cell>
          <cell r="N487" t="str">
            <v>BSTC</v>
          </cell>
          <cell r="O487" t="str">
            <v>BIOSPECIFICS TEC</v>
          </cell>
          <cell r="P487" t="str">
            <v>NASDAQ GM</v>
          </cell>
          <cell r="Q487" t="str">
            <v>Health Care</v>
          </cell>
          <cell r="R487" t="str">
            <v>Biotechnology</v>
          </cell>
          <cell r="S487" t="str">
            <v>BSTC</v>
          </cell>
        </row>
        <row r="488">
          <cell r="L488" t="str">
            <v>CBMG</v>
          </cell>
          <cell r="M488" t="str">
            <v>CELLULAR-BIOMEDICINE-GROU-16860801/</v>
          </cell>
          <cell r="N488" t="str">
            <v>CBMG</v>
          </cell>
          <cell r="O488" t="str">
            <v>CELLULAR BIOMEDI</v>
          </cell>
          <cell r="P488" t="str">
            <v>NASDAQ GM</v>
          </cell>
          <cell r="Q488" t="str">
            <v>Health Care</v>
          </cell>
          <cell r="R488" t="str">
            <v>Biotechnology</v>
          </cell>
          <cell r="S488" t="str">
            <v>CBMG</v>
          </cell>
        </row>
        <row r="489">
          <cell r="L489" t="str">
            <v>CNCE</v>
          </cell>
          <cell r="M489" t="str">
            <v>CONCERT-PHARMACEUTICALS-I-15789602/</v>
          </cell>
          <cell r="N489" t="str">
            <v>CNCE</v>
          </cell>
          <cell r="O489" t="str">
            <v>CONCERT PHARMACE</v>
          </cell>
          <cell r="P489" t="str">
            <v>NASDAQ GM</v>
          </cell>
          <cell r="Q489" t="str">
            <v>Health Care</v>
          </cell>
          <cell r="R489" t="str">
            <v>Biotechnology</v>
          </cell>
          <cell r="S489" t="str">
            <v>CNCE</v>
          </cell>
        </row>
        <row r="490">
          <cell r="L490" t="str">
            <v>CAMT</v>
          </cell>
          <cell r="M490" t="str">
            <v>CAMTEK-LTD-8665/</v>
          </cell>
          <cell r="N490" t="str">
            <v>CAMT</v>
          </cell>
          <cell r="O490" t="str">
            <v>CAMTEK LTD</v>
          </cell>
          <cell r="P490" t="str">
            <v>NASDAQ GM</v>
          </cell>
          <cell r="Q490" t="str">
            <v>Information Technology</v>
          </cell>
          <cell r="R490" t="str">
            <v>Semiconductors &amp; Semiconductor</v>
          </cell>
          <cell r="S490" t="str">
            <v>CAMT</v>
          </cell>
        </row>
        <row r="491">
          <cell r="L491" t="str">
            <v>CORI</v>
          </cell>
          <cell r="M491" t="str">
            <v>CORIUM-INTERNATIONAL-INC-20234973/</v>
          </cell>
          <cell r="N491" t="str">
            <v>CORI</v>
          </cell>
          <cell r="O491" t="str">
            <v>CORIUM INTERNATI</v>
          </cell>
          <cell r="P491" t="str">
            <v>NASDAQ GM</v>
          </cell>
          <cell r="Q491" t="str">
            <v>Health Care</v>
          </cell>
          <cell r="R491" t="str">
            <v>Pharmaceuticals</v>
          </cell>
          <cell r="S491" t="str">
            <v>CORI</v>
          </cell>
        </row>
        <row r="492">
          <cell r="L492" t="str">
            <v>AAPL</v>
          </cell>
          <cell r="M492" t="str">
            <v>APPLE-4849/</v>
          </cell>
          <cell r="N492" t="str">
            <v>AAPL</v>
          </cell>
          <cell r="O492" t="str">
            <v>APPLE INC</v>
          </cell>
          <cell r="P492" t="str">
            <v>NASDAQ GS</v>
          </cell>
          <cell r="Q492" t="str">
            <v>Information Technology</v>
          </cell>
          <cell r="R492" t="str">
            <v>Technology Hardware, Storage &amp;</v>
          </cell>
          <cell r="S492" t="str">
            <v>AAPL</v>
          </cell>
        </row>
        <row r="493">
          <cell r="L493" t="str">
            <v>AMZN</v>
          </cell>
          <cell r="M493" t="str">
            <v>AMAZON-COM-12864605/</v>
          </cell>
          <cell r="N493" t="str">
            <v>AMZN</v>
          </cell>
          <cell r="O493" t="str">
            <v>AMAZON.COM INC</v>
          </cell>
          <cell r="P493" t="str">
            <v>NASDAQ GS</v>
          </cell>
          <cell r="Q493" t="str">
            <v>Consumer Discretionary</v>
          </cell>
          <cell r="R493" t="str">
            <v>Internet &amp; Direct Marketing Re</v>
          </cell>
          <cell r="S493" t="str">
            <v>AMZN</v>
          </cell>
        </row>
        <row r="494">
          <cell r="L494" t="str">
            <v>FB</v>
          </cell>
          <cell r="M494" t="str">
            <v>FACEBOOK-10547141/</v>
          </cell>
          <cell r="N494" t="str">
            <v>FB</v>
          </cell>
          <cell r="O494" t="str">
            <v>FACEBOOK INC-A</v>
          </cell>
          <cell r="P494" t="str">
            <v>NASDAQ GS</v>
          </cell>
          <cell r="Q494" t="str">
            <v>Information Technology</v>
          </cell>
          <cell r="R494" t="str">
            <v>Internet Software &amp; Services</v>
          </cell>
          <cell r="S494" t="str">
            <v>FB</v>
          </cell>
        </row>
        <row r="495">
          <cell r="L495" t="str">
            <v>CSCO</v>
          </cell>
          <cell r="M495" t="str">
            <v>CISCO-SYSTEMS-4862/</v>
          </cell>
          <cell r="N495" t="str">
            <v>CSCO</v>
          </cell>
          <cell r="O495" t="str">
            <v>CISCO SYSTEMS</v>
          </cell>
          <cell r="P495" t="str">
            <v>NASDAQ GS</v>
          </cell>
          <cell r="Q495" t="str">
            <v>Information Technology</v>
          </cell>
          <cell r="R495" t="str">
            <v>Communications Equipment</v>
          </cell>
          <cell r="S495" t="str">
            <v>CSCO</v>
          </cell>
        </row>
        <row r="496">
          <cell r="L496" t="str">
            <v>INTC</v>
          </cell>
          <cell r="M496" t="str">
            <v>INTEL-CORPORATION-4829/</v>
          </cell>
          <cell r="N496" t="str">
            <v>INTC</v>
          </cell>
          <cell r="O496" t="str">
            <v>INTEL CORP</v>
          </cell>
          <cell r="P496" t="str">
            <v>NASDAQ GS</v>
          </cell>
          <cell r="Q496" t="str">
            <v>Information Technology</v>
          </cell>
          <cell r="R496" t="str">
            <v>Semiconductors &amp; Semiconductor</v>
          </cell>
          <cell r="S496" t="str">
            <v>INTC</v>
          </cell>
        </row>
        <row r="497">
          <cell r="L497" t="str">
            <v>NVDA</v>
          </cell>
          <cell r="M497" t="str">
            <v>NVIDIA-CORPORATION-10282/</v>
          </cell>
          <cell r="N497" t="str">
            <v>NVDA</v>
          </cell>
          <cell r="O497" t="str">
            <v>NVIDIA CORP</v>
          </cell>
          <cell r="P497" t="str">
            <v>NASDAQ GS</v>
          </cell>
          <cell r="Q497" t="str">
            <v>Information Technology</v>
          </cell>
          <cell r="R497" t="str">
            <v>Semiconductors &amp; Semiconductor</v>
          </cell>
          <cell r="S497" t="str">
            <v>NVDA</v>
          </cell>
        </row>
        <row r="498">
          <cell r="L498" t="str">
            <v>NFLX</v>
          </cell>
          <cell r="M498" t="str">
            <v>NETFLIX-44292425/</v>
          </cell>
          <cell r="N498" t="str">
            <v>NFLX</v>
          </cell>
          <cell r="O498" t="str">
            <v>NETFLIX INC</v>
          </cell>
          <cell r="P498" t="str">
            <v>NASDAQ GS</v>
          </cell>
          <cell r="Q498" t="str">
            <v>Consumer Discretionary</v>
          </cell>
          <cell r="R498" t="str">
            <v>Internet &amp; Direct Marketing Re</v>
          </cell>
          <cell r="S498" t="str">
            <v>NFLX</v>
          </cell>
        </row>
        <row r="499">
          <cell r="L499" t="str">
            <v>PEP</v>
          </cell>
          <cell r="M499" t="str">
            <v>PEPSICO-39085159/</v>
          </cell>
          <cell r="N499" t="str">
            <v>PEP</v>
          </cell>
          <cell r="O499" t="str">
            <v>PEPSICO INC</v>
          </cell>
          <cell r="P499" t="str">
            <v>NASDAQ GS</v>
          </cell>
          <cell r="Q499" t="str">
            <v>Consumer Staples</v>
          </cell>
          <cell r="R499" t="str">
            <v>Beverages</v>
          </cell>
          <cell r="S499" t="str">
            <v>PEP</v>
          </cell>
        </row>
        <row r="500">
          <cell r="L500" t="str">
            <v>NFLX</v>
          </cell>
          <cell r="M500" t="str">
            <v>NETFLIX-44292425/</v>
          </cell>
          <cell r="N500" t="str">
            <v>NFLX</v>
          </cell>
          <cell r="O500" t="str">
            <v>NETFLIX INC</v>
          </cell>
          <cell r="P500" t="str">
            <v>NASDAQ GS</v>
          </cell>
          <cell r="Q500" t="str">
            <v>Consumer Discretionary</v>
          </cell>
          <cell r="R500" t="str">
            <v>Internet &amp; Direct Marketing Re</v>
          </cell>
          <cell r="S500" t="str">
            <v>NFLX</v>
          </cell>
        </row>
        <row r="501">
          <cell r="L501" t="str">
            <v>PEP</v>
          </cell>
          <cell r="M501" t="str">
            <v>PEPSICO-39085159/</v>
          </cell>
          <cell r="N501" t="str">
            <v>PEP</v>
          </cell>
          <cell r="O501" t="str">
            <v>PEPSICO INC</v>
          </cell>
          <cell r="P501" t="str">
            <v>NASDAQ GS</v>
          </cell>
          <cell r="Q501" t="str">
            <v>Consumer Staples</v>
          </cell>
          <cell r="R501" t="str">
            <v>Beverages</v>
          </cell>
          <cell r="S501" t="str">
            <v>PEP</v>
          </cell>
        </row>
        <row r="502">
          <cell r="L502" t="str">
            <v>AMGN</v>
          </cell>
          <cell r="M502" t="str">
            <v>AMGEN-4847/</v>
          </cell>
          <cell r="N502" t="str">
            <v>AMGN</v>
          </cell>
          <cell r="O502" t="str">
            <v>AMGEN INC</v>
          </cell>
          <cell r="P502" t="str">
            <v>NASDAQ GS</v>
          </cell>
          <cell r="Q502" t="str">
            <v>Health Care</v>
          </cell>
          <cell r="R502" t="str">
            <v>Biotechnology</v>
          </cell>
          <cell r="S502" t="str">
            <v>AMGN</v>
          </cell>
        </row>
        <row r="503">
          <cell r="L503" t="str">
            <v>ADBE</v>
          </cell>
          <cell r="M503" t="str">
            <v>ADOBE-SYSTEMS-4844/</v>
          </cell>
          <cell r="N503" t="str">
            <v>ADBE</v>
          </cell>
          <cell r="O503" t="str">
            <v>ADOBE SYS INC</v>
          </cell>
          <cell r="P503" t="str">
            <v>NASDAQ GS</v>
          </cell>
          <cell r="Q503" t="str">
            <v>Information Technology</v>
          </cell>
          <cell r="R503" t="str">
            <v>Software</v>
          </cell>
          <cell r="S503" t="str">
            <v>ADBE</v>
          </cell>
        </row>
        <row r="504">
          <cell r="L504" t="str">
            <v>AMGN</v>
          </cell>
          <cell r="M504" t="str">
            <v>AMGEN-4847/</v>
          </cell>
          <cell r="N504" t="str">
            <v>AMGN</v>
          </cell>
          <cell r="O504" t="str">
            <v>AMGEN INC</v>
          </cell>
          <cell r="P504" t="str">
            <v>NASDAQ GS</v>
          </cell>
          <cell r="Q504" t="str">
            <v>Health Care</v>
          </cell>
          <cell r="R504" t="str">
            <v>Biotechnology</v>
          </cell>
          <cell r="S504" t="str">
            <v>AMGN</v>
          </cell>
        </row>
        <row r="505">
          <cell r="L505" t="str">
            <v>ADBE</v>
          </cell>
          <cell r="M505" t="str">
            <v>ADOBE-SYSTEMS-4844/</v>
          </cell>
          <cell r="N505" t="str">
            <v>ADBE</v>
          </cell>
          <cell r="O505" t="str">
            <v>ADOBE SYS INC</v>
          </cell>
          <cell r="P505" t="str">
            <v>NASDAQ GS</v>
          </cell>
          <cell r="Q505" t="str">
            <v>Information Technology</v>
          </cell>
          <cell r="R505" t="str">
            <v>Software</v>
          </cell>
          <cell r="S505" t="str">
            <v>ADBE</v>
          </cell>
        </row>
        <row r="506">
          <cell r="L506" t="str">
            <v>CMCSA</v>
          </cell>
          <cell r="M506" t="str">
            <v>COMCAST-CORPORATION-4864/</v>
          </cell>
          <cell r="N506" t="str">
            <v>CMCSA</v>
          </cell>
          <cell r="O506" t="str">
            <v>COMCAST CORP-A</v>
          </cell>
          <cell r="P506" t="str">
            <v>NASDAQ GS</v>
          </cell>
          <cell r="Q506" t="str">
            <v>Consumer Discretionary</v>
          </cell>
          <cell r="R506" t="str">
            <v>Media</v>
          </cell>
          <cell r="S506" t="str">
            <v>CMCSA</v>
          </cell>
        </row>
        <row r="507">
          <cell r="L507" t="str">
            <v>AAPL</v>
          </cell>
          <cell r="M507" t="str">
            <v>APPLE-4849/</v>
          </cell>
          <cell r="N507" t="str">
            <v>AAPL</v>
          </cell>
          <cell r="O507" t="str">
            <v>APPLE INC</v>
          </cell>
          <cell r="P507" t="str">
            <v>NASDAQ GS</v>
          </cell>
          <cell r="Q507" t="str">
            <v>Information Technology</v>
          </cell>
          <cell r="R507" t="str">
            <v>Technology Hardware, Storage &amp;</v>
          </cell>
          <cell r="S507" t="str">
            <v>AAPL</v>
          </cell>
        </row>
        <row r="508">
          <cell r="L508" t="str">
            <v>AMZN</v>
          </cell>
          <cell r="M508" t="str">
            <v>AMAZON-COM-12864605/</v>
          </cell>
          <cell r="N508" t="str">
            <v>AMZN</v>
          </cell>
          <cell r="O508" t="str">
            <v>AMAZON.COM INC</v>
          </cell>
          <cell r="P508" t="str">
            <v>NASDAQ GS</v>
          </cell>
          <cell r="Q508" t="str">
            <v>Consumer Discretionary</v>
          </cell>
          <cell r="R508" t="str">
            <v>Internet &amp; Direct Marketing Re</v>
          </cell>
          <cell r="S508" t="str">
            <v>AMZN</v>
          </cell>
        </row>
        <row r="509">
          <cell r="L509" t="str">
            <v>MSFT</v>
          </cell>
          <cell r="M509" t="str">
            <v>MICROSOFT-CORPORATION-4835/</v>
          </cell>
          <cell r="N509" t="str">
            <v>MSFT</v>
          </cell>
          <cell r="O509" t="str">
            <v>MICROSOFT CORP</v>
          </cell>
          <cell r="P509" t="str">
            <v>NASDAQ GS</v>
          </cell>
          <cell r="Q509" t="str">
            <v>Information Technology</v>
          </cell>
          <cell r="R509" t="str">
            <v>Software</v>
          </cell>
          <cell r="S509" t="str">
            <v>MSFT</v>
          </cell>
        </row>
        <row r="510">
          <cell r="L510" t="str">
            <v>GOOGL</v>
          </cell>
          <cell r="M510" t="str">
            <v>ALPHABET-24203373/</v>
          </cell>
          <cell r="N510" t="str">
            <v>GOOGL</v>
          </cell>
          <cell r="O510" t="str">
            <v>ALPHABET INC-A</v>
          </cell>
          <cell r="P510" t="str">
            <v>NASDAQ GS</v>
          </cell>
          <cell r="Q510" t="str">
            <v>Information Technology</v>
          </cell>
          <cell r="R510" t="str">
            <v>Internet Software &amp; Services</v>
          </cell>
          <cell r="S510" t="str">
            <v>GOOGL</v>
          </cell>
        </row>
        <row r="511">
          <cell r="L511" t="str">
            <v>GOOGL</v>
          </cell>
          <cell r="M511" t="str">
            <v>ALPHABET-INC-24203385/</v>
          </cell>
          <cell r="N511" t="str">
            <v>GOOGL</v>
          </cell>
          <cell r="O511" t="str">
            <v>ALPHABET INC-A</v>
          </cell>
          <cell r="P511" t="str">
            <v>NASDAQ GS</v>
          </cell>
          <cell r="Q511" t="str">
            <v>Information Technology</v>
          </cell>
          <cell r="R511" t="str">
            <v>Internet Software &amp; Services</v>
          </cell>
          <cell r="S511" t="str">
            <v>GOOGL</v>
          </cell>
        </row>
        <row r="512">
          <cell r="L512" t="str">
            <v>FB</v>
          </cell>
          <cell r="M512" t="str">
            <v>FACEBOOK-10547141/</v>
          </cell>
          <cell r="N512" t="str">
            <v>FB</v>
          </cell>
          <cell r="O512" t="str">
            <v>FACEBOOK INC-A</v>
          </cell>
          <cell r="P512" t="str">
            <v>NASDAQ GS</v>
          </cell>
          <cell r="Q512" t="str">
            <v>Information Technology</v>
          </cell>
          <cell r="R512" t="str">
            <v>Internet Software &amp; Services</v>
          </cell>
          <cell r="S512" t="str">
            <v>FB</v>
          </cell>
        </row>
        <row r="513">
          <cell r="L513" t="str">
            <v>CSCO</v>
          </cell>
          <cell r="M513" t="str">
            <v>CISCO-SYSTEMS-4862/</v>
          </cell>
          <cell r="N513" t="str">
            <v>CSCO</v>
          </cell>
          <cell r="O513" t="str">
            <v>CISCO SYSTEMS</v>
          </cell>
          <cell r="P513" t="str">
            <v>NASDAQ GS</v>
          </cell>
          <cell r="Q513" t="str">
            <v>Information Technology</v>
          </cell>
          <cell r="R513" t="str">
            <v>Communications Equipment</v>
          </cell>
          <cell r="S513" t="str">
            <v>CSCO</v>
          </cell>
        </row>
        <row r="514">
          <cell r="L514" t="str">
            <v>INTC</v>
          </cell>
          <cell r="M514" t="str">
            <v>INTEL-CORPORATION-4829/</v>
          </cell>
          <cell r="N514" t="str">
            <v>INTC</v>
          </cell>
          <cell r="O514" t="str">
            <v>INTEL CORP</v>
          </cell>
          <cell r="P514" t="str">
            <v>NASDAQ GS</v>
          </cell>
          <cell r="Q514" t="str">
            <v>Information Technology</v>
          </cell>
          <cell r="R514" t="str">
            <v>Semiconductors &amp; Semiconductor</v>
          </cell>
          <cell r="S514" t="str">
            <v>INTC</v>
          </cell>
        </row>
        <row r="515">
          <cell r="L515" t="str">
            <v>NVDA</v>
          </cell>
          <cell r="M515" t="str">
            <v>NVIDIA-CORPORATION-10282/</v>
          </cell>
          <cell r="N515" t="str">
            <v>NVDA</v>
          </cell>
          <cell r="O515" t="str">
            <v>NVIDIA CORP</v>
          </cell>
          <cell r="P515" t="str">
            <v>NASDAQ GS</v>
          </cell>
          <cell r="Q515" t="str">
            <v>Information Technology</v>
          </cell>
          <cell r="R515" t="str">
            <v>Semiconductors &amp; Semiconductor</v>
          </cell>
          <cell r="S515" t="str">
            <v>NVDA</v>
          </cell>
        </row>
        <row r="516">
          <cell r="L516" t="str">
            <v>CMCSA</v>
          </cell>
          <cell r="M516" t="str">
            <v>COMCAST-CORPORATION-4864/</v>
          </cell>
          <cell r="N516" t="str">
            <v>CMCSA</v>
          </cell>
          <cell r="O516" t="str">
            <v>COMCAST CORP-A</v>
          </cell>
          <cell r="P516" t="str">
            <v>NASDAQ GS</v>
          </cell>
          <cell r="Q516" t="str">
            <v>Consumer Discretionary</v>
          </cell>
          <cell r="R516" t="str">
            <v>Media</v>
          </cell>
          <cell r="S516" t="str">
            <v>CMCSA</v>
          </cell>
        </row>
        <row r="517">
          <cell r="L517" t="str">
            <v>NFLX</v>
          </cell>
          <cell r="M517" t="str">
            <v>NETFLIX-44292425/</v>
          </cell>
          <cell r="N517" t="str">
            <v>NFLX</v>
          </cell>
          <cell r="O517" t="str">
            <v>NETFLIX INC</v>
          </cell>
          <cell r="P517" t="str">
            <v>NASDAQ GS</v>
          </cell>
          <cell r="Q517" t="str">
            <v>Consumer Discretionary</v>
          </cell>
          <cell r="R517" t="str">
            <v>Internet &amp; Direct Marketing Re</v>
          </cell>
          <cell r="S517" t="str">
            <v>NFLX</v>
          </cell>
        </row>
        <row r="518">
          <cell r="L518" t="str">
            <v>PEP</v>
          </cell>
          <cell r="M518" t="str">
            <v>PEPSICO-39085159/</v>
          </cell>
          <cell r="N518" t="str">
            <v>PEP</v>
          </cell>
          <cell r="O518" t="str">
            <v>PEPSICO INC</v>
          </cell>
          <cell r="P518" t="str">
            <v>NASDAQ GS</v>
          </cell>
          <cell r="Q518" t="str">
            <v>Consumer Staples</v>
          </cell>
          <cell r="R518" t="str">
            <v>Beverages</v>
          </cell>
          <cell r="S518" t="str">
            <v>PEP</v>
          </cell>
        </row>
        <row r="519">
          <cell r="L519" t="str">
            <v>ADBE</v>
          </cell>
          <cell r="M519" t="str">
            <v>ADOBE-SYSTEMS-4844/</v>
          </cell>
          <cell r="N519" t="str">
            <v>ADBE</v>
          </cell>
          <cell r="O519" t="str">
            <v>ADOBE SYS INC</v>
          </cell>
          <cell r="P519" t="str">
            <v>NASDAQ GS</v>
          </cell>
          <cell r="Q519" t="str">
            <v>Information Technology</v>
          </cell>
          <cell r="R519" t="str">
            <v>Software</v>
          </cell>
          <cell r="S519" t="str">
            <v>ADBE</v>
          </cell>
        </row>
        <row r="520">
          <cell r="L520" t="str">
            <v>AMGN</v>
          </cell>
          <cell r="M520" t="str">
            <v>AMGEN-4847/</v>
          </cell>
          <cell r="N520" t="str">
            <v>AMGN</v>
          </cell>
          <cell r="O520" t="str">
            <v>AMGEN INC</v>
          </cell>
          <cell r="P520" t="str">
            <v>NASDAQ GS</v>
          </cell>
          <cell r="Q520" t="str">
            <v>Health Care</v>
          </cell>
          <cell r="R520" t="str">
            <v>Biotechnology</v>
          </cell>
          <cell r="S520" t="str">
            <v>AMGN</v>
          </cell>
        </row>
        <row r="521">
          <cell r="L521" t="str">
            <v>PYPL</v>
          </cell>
          <cell r="M521" t="str">
            <v>PAYPAL-HOLDINGS-23377703/</v>
          </cell>
          <cell r="N521" t="str">
            <v>PYPL</v>
          </cell>
          <cell r="O521" t="str">
            <v>PAYPAL HOLDINGS</v>
          </cell>
          <cell r="P521" t="str">
            <v>NASDAQ GS</v>
          </cell>
          <cell r="Q521" t="str">
            <v>Information Technology</v>
          </cell>
          <cell r="R521" t="str">
            <v>IT Services</v>
          </cell>
          <cell r="S521" t="str">
            <v>PYPL</v>
          </cell>
        </row>
        <row r="522">
          <cell r="L522" t="str">
            <v>TXN</v>
          </cell>
          <cell r="M522" t="str">
            <v>TEXAS-INSTRUMENTS-9730651/</v>
          </cell>
          <cell r="N522" t="str">
            <v>TXN</v>
          </cell>
          <cell r="O522" t="str">
            <v>TEXAS INSTRUMENT</v>
          </cell>
          <cell r="P522" t="str">
            <v>NASDAQ GS</v>
          </cell>
          <cell r="Q522" t="str">
            <v>Information Technology</v>
          </cell>
          <cell r="R522" t="str">
            <v>Semiconductors &amp; Semiconductor</v>
          </cell>
          <cell r="S522" t="str">
            <v>TXN</v>
          </cell>
        </row>
        <row r="523">
          <cell r="L523" t="str">
            <v>COST</v>
          </cell>
          <cell r="M523" t="str">
            <v>COSTCO-WHOLESALE-CORPORAT-4866/</v>
          </cell>
          <cell r="N523" t="str">
            <v>COST</v>
          </cell>
          <cell r="O523" t="str">
            <v>COSTCO WHOLESALE</v>
          </cell>
          <cell r="P523" t="str">
            <v>NASDAQ GS</v>
          </cell>
          <cell r="Q523" t="str">
            <v>Consumer Staples</v>
          </cell>
          <cell r="R523" t="str">
            <v>Food &amp; Staples Retailing</v>
          </cell>
          <cell r="S523" t="str">
            <v>COST</v>
          </cell>
        </row>
        <row r="524">
          <cell r="L524" t="str">
            <v>QCOM</v>
          </cell>
          <cell r="M524" t="str">
            <v>QUALCOMM-4897/</v>
          </cell>
          <cell r="N524" t="str">
            <v>QCOM</v>
          </cell>
          <cell r="O524" t="str">
            <v>QUALCOMM INC</v>
          </cell>
          <cell r="P524" t="str">
            <v>NASDAQ GS</v>
          </cell>
          <cell r="Q524" t="str">
            <v>Information Technology</v>
          </cell>
          <cell r="R524" t="str">
            <v>Semiconductors &amp; Semiconductor</v>
          </cell>
          <cell r="S524" t="str">
            <v>QCOM</v>
          </cell>
        </row>
        <row r="525">
          <cell r="L525" t="str">
            <v>GILD</v>
          </cell>
          <cell r="M525" t="str">
            <v>GILEAD-SCIENCES-4876/</v>
          </cell>
          <cell r="N525" t="str">
            <v>GILD</v>
          </cell>
          <cell r="O525" t="str">
            <v>GILEAD SCIENCES</v>
          </cell>
          <cell r="P525" t="str">
            <v>NASDAQ GS</v>
          </cell>
          <cell r="Q525" t="str">
            <v>Health Care</v>
          </cell>
          <cell r="R525" t="str">
            <v>Biotechnology</v>
          </cell>
          <cell r="S525" t="str">
            <v>GILD</v>
          </cell>
        </row>
        <row r="526">
          <cell r="L526" t="str">
            <v>AVGO</v>
          </cell>
          <cell r="M526" t="str">
            <v>BROADCOM-INC-42668543/</v>
          </cell>
          <cell r="N526" t="str">
            <v>AVGO</v>
          </cell>
          <cell r="O526" t="str">
            <v>BROADCOM INC</v>
          </cell>
          <cell r="P526" t="str">
            <v>NASDAQ GS</v>
          </cell>
          <cell r="Q526" t="str">
            <v>Information Technology</v>
          </cell>
          <cell r="R526" t="str">
            <v>Semiconductors &amp; Semiconductor</v>
          </cell>
          <cell r="S526" t="str">
            <v>AVGO</v>
          </cell>
        </row>
        <row r="527">
          <cell r="L527" t="str">
            <v>BKNG</v>
          </cell>
          <cell r="M527" t="str">
            <v>BOOKING-HOLDINGS-INC-41613106/</v>
          </cell>
          <cell r="N527" t="str">
            <v>BKNG</v>
          </cell>
          <cell r="O527" t="str">
            <v>BOOKING HOLDINGS</v>
          </cell>
          <cell r="P527" t="str">
            <v>NASDAQ GS</v>
          </cell>
          <cell r="Q527" t="str">
            <v>Consumer Discretionary</v>
          </cell>
          <cell r="R527" t="str">
            <v>Internet &amp; Direct Marketing Re</v>
          </cell>
          <cell r="S527" t="str">
            <v>BKNG</v>
          </cell>
        </row>
        <row r="528">
          <cell r="L528" t="str">
            <v>FOXA</v>
          </cell>
          <cell r="M528" t="str">
            <v>TWENTY-FIRST-CENTURY-FOX-13440463/</v>
          </cell>
          <cell r="N528" t="str">
            <v>FOXA</v>
          </cell>
          <cell r="O528" t="str">
            <v>TWENTY-FIRST C-A</v>
          </cell>
          <cell r="P528" t="str">
            <v>NASDAQ GS</v>
          </cell>
          <cell r="Q528" t="str">
            <v>Consumer Discretionary</v>
          </cell>
          <cell r="R528" t="str">
            <v>Media</v>
          </cell>
          <cell r="S528" t="str">
            <v>FOXA</v>
          </cell>
        </row>
        <row r="529">
          <cell r="L529" t="str">
            <v>CHTR</v>
          </cell>
          <cell r="M529" t="str">
            <v>CHARTER-COMMUNICATIONS-IN-27738754/</v>
          </cell>
          <cell r="N529" t="str">
            <v>CHTR</v>
          </cell>
          <cell r="O529" t="str">
            <v>CHARTER COMMUN-A</v>
          </cell>
          <cell r="P529" t="str">
            <v>NASDAQ GS</v>
          </cell>
          <cell r="Q529" t="str">
            <v>Consumer Discretionary</v>
          </cell>
          <cell r="R529" t="str">
            <v>Media</v>
          </cell>
          <cell r="S529" t="str">
            <v>CHTR</v>
          </cell>
        </row>
        <row r="530">
          <cell r="L530" t="str">
            <v>SBUX</v>
          </cell>
          <cell r="M530" t="str">
            <v>STARBUCKS-CORPORATION-4905/</v>
          </cell>
          <cell r="N530" t="str">
            <v>SBUX</v>
          </cell>
          <cell r="O530" t="str">
            <v>STARBUCKS CORP</v>
          </cell>
          <cell r="P530" t="str">
            <v>NASDAQ GS</v>
          </cell>
          <cell r="Q530" t="str">
            <v>Consumer Discretionary</v>
          </cell>
          <cell r="R530" t="str">
            <v>Hotels, Restaurants &amp; Leisure</v>
          </cell>
          <cell r="S530" t="str">
            <v>SBUX</v>
          </cell>
        </row>
        <row r="531">
          <cell r="L531" t="str">
            <v>BIIB</v>
          </cell>
          <cell r="M531" t="str">
            <v>BIOGEN-4853/</v>
          </cell>
          <cell r="N531" t="str">
            <v>BIIB</v>
          </cell>
          <cell r="O531" t="str">
            <v>BIOGEN INC</v>
          </cell>
          <cell r="P531" t="str">
            <v>NASDAQ GS</v>
          </cell>
          <cell r="Q531" t="str">
            <v>Health Care</v>
          </cell>
          <cell r="R531" t="str">
            <v>Biotechnology</v>
          </cell>
          <cell r="S531" t="str">
            <v>BIIB</v>
          </cell>
        </row>
        <row r="532">
          <cell r="L532" t="str">
            <v>KHC</v>
          </cell>
          <cell r="M532" t="str">
            <v>THE-KRAFT-HEINZ-COMPANY-22816979/</v>
          </cell>
          <cell r="N532" t="str">
            <v>KHC</v>
          </cell>
          <cell r="O532" t="str">
            <v>KRAFT HEINZ CO/T</v>
          </cell>
          <cell r="P532" t="str">
            <v>NASDAQ GS</v>
          </cell>
          <cell r="Q532" t="str">
            <v>Consumer Staples</v>
          </cell>
          <cell r="R532" t="str">
            <v>Food Products</v>
          </cell>
          <cell r="S532" t="str">
            <v>KHC</v>
          </cell>
        </row>
        <row r="533">
          <cell r="L533" t="str">
            <v>WBA</v>
          </cell>
          <cell r="M533" t="str">
            <v>WALGREENS-BOOTS-ALLIANCE-19356230/</v>
          </cell>
          <cell r="N533" t="str">
            <v>WBA</v>
          </cell>
          <cell r="O533" t="str">
            <v>WALGREENS BOOTS</v>
          </cell>
          <cell r="P533" t="str">
            <v>NASDAQ GS</v>
          </cell>
          <cell r="Q533" t="str">
            <v>Consumer Staples</v>
          </cell>
          <cell r="R533" t="str">
            <v>Food &amp; Staples Retailing</v>
          </cell>
          <cell r="S533" t="str">
            <v>WBA</v>
          </cell>
        </row>
        <row r="534">
          <cell r="L534" t="str">
            <v>CELG</v>
          </cell>
          <cell r="M534" t="str">
            <v>CELGENE-CORPORATION-8736/</v>
          </cell>
          <cell r="N534" t="str">
            <v>CELG</v>
          </cell>
          <cell r="O534" t="str">
            <v>CELGENE CORP</v>
          </cell>
          <cell r="P534" t="str">
            <v>NASDAQ GS</v>
          </cell>
          <cell r="Q534" t="str">
            <v>Health Care</v>
          </cell>
          <cell r="R534" t="str">
            <v>Biotechnology</v>
          </cell>
          <cell r="S534" t="str">
            <v>CELG</v>
          </cell>
        </row>
        <row r="535">
          <cell r="L535" t="str">
            <v>CSX</v>
          </cell>
          <cell r="M535" t="str">
            <v>CSX-CORPORATION-25500636/</v>
          </cell>
          <cell r="N535" t="str">
            <v>CSX</v>
          </cell>
          <cell r="O535" t="str">
            <v>CSX CORP</v>
          </cell>
          <cell r="P535" t="str">
            <v>NASDAQ GS</v>
          </cell>
          <cell r="Q535" t="str">
            <v>Industrials</v>
          </cell>
          <cell r="R535" t="str">
            <v>Road &amp; Rail</v>
          </cell>
          <cell r="S535" t="str">
            <v>CSX</v>
          </cell>
        </row>
        <row r="536">
          <cell r="L536" t="str">
            <v>ADP</v>
          </cell>
          <cell r="M536" t="str">
            <v>AUTOMATIC-DATA-PROCESSING-11713/</v>
          </cell>
          <cell r="N536" t="str">
            <v>ADP</v>
          </cell>
          <cell r="O536" t="str">
            <v>AUTOMATIC DATA</v>
          </cell>
          <cell r="P536" t="str">
            <v>NASDAQ GS</v>
          </cell>
          <cell r="Q536" t="str">
            <v>Information Technology</v>
          </cell>
          <cell r="R536" t="str">
            <v>IT Services</v>
          </cell>
          <cell r="S536" t="str">
            <v>ADP</v>
          </cell>
        </row>
        <row r="537">
          <cell r="L537" t="str">
            <v>ISRG</v>
          </cell>
          <cell r="M537" t="str">
            <v>INTUITIVE-SURGICAL-9740/</v>
          </cell>
          <cell r="N537" t="str">
            <v>ISRG</v>
          </cell>
          <cell r="O537" t="str">
            <v>INTUITIVE SURGIC</v>
          </cell>
          <cell r="P537" t="str">
            <v>NASDAQ GS</v>
          </cell>
          <cell r="Q537" t="str">
            <v>Health Care</v>
          </cell>
          <cell r="R537" t="str">
            <v>Health Care Equipment &amp; Suppli</v>
          </cell>
          <cell r="S537" t="str">
            <v>ISRG</v>
          </cell>
        </row>
        <row r="538">
          <cell r="L538" t="str">
            <v>MDLZ</v>
          </cell>
          <cell r="M538" t="str">
            <v>MONDELEZ-INTERNATIONAL-11499018/</v>
          </cell>
          <cell r="N538" t="str">
            <v>MDLZ</v>
          </cell>
          <cell r="O538" t="str">
            <v>MONDELEZ INTER-A</v>
          </cell>
          <cell r="P538" t="str">
            <v>NASDAQ GS</v>
          </cell>
          <cell r="Q538" t="str">
            <v>Consumer Staples</v>
          </cell>
          <cell r="R538" t="str">
            <v>Food Products</v>
          </cell>
          <cell r="S538" t="str">
            <v>MDLZ</v>
          </cell>
        </row>
        <row r="539">
          <cell r="L539" t="str">
            <v>CME</v>
          </cell>
          <cell r="M539" t="str">
            <v>CME-GROUP-3782767/</v>
          </cell>
          <cell r="N539" t="str">
            <v>CME</v>
          </cell>
          <cell r="O539" t="str">
            <v>CME GROUP INC</v>
          </cell>
          <cell r="P539" t="str">
            <v>NASDAQ GS</v>
          </cell>
          <cell r="Q539" t="str">
            <v>Financials</v>
          </cell>
          <cell r="R539" t="str">
            <v>Capital Markets</v>
          </cell>
          <cell r="S539" t="str">
            <v>CME</v>
          </cell>
        </row>
        <row r="540">
          <cell r="L540" t="str">
            <v>MSFT</v>
          </cell>
          <cell r="M540" t="str">
            <v>MICRON-TECHNOLOGY-13639/</v>
          </cell>
          <cell r="N540" t="str">
            <v>MSFT</v>
          </cell>
          <cell r="O540" t="str">
            <v>MICROSOFT CORP</v>
          </cell>
          <cell r="P540" t="str">
            <v>NASDAQ GS</v>
          </cell>
          <cell r="Q540" t="str">
            <v>Information Technology</v>
          </cell>
          <cell r="R540" t="str">
            <v>Software</v>
          </cell>
          <cell r="S540" t="str">
            <v>MSFT</v>
          </cell>
        </row>
        <row r="541">
          <cell r="L541" t="str">
            <v>ISRG</v>
          </cell>
          <cell r="M541" t="str">
            <v>INTUIT-23277275/</v>
          </cell>
          <cell r="N541" t="str">
            <v>ISRG</v>
          </cell>
          <cell r="O541" t="str">
            <v>INTUITIVE SURGIC</v>
          </cell>
          <cell r="P541" t="str">
            <v>NASDAQ GS</v>
          </cell>
          <cell r="Q541" t="str">
            <v>Health Care</v>
          </cell>
          <cell r="R541" t="str">
            <v>Health Care Equipment &amp; Suppli</v>
          </cell>
          <cell r="S541" t="str">
            <v>ISRG</v>
          </cell>
        </row>
        <row r="542">
          <cell r="L542" t="str">
            <v>ATVI</v>
          </cell>
          <cell r="M542" t="str">
            <v>ACTIVISION-BLIZZARD-3780631/</v>
          </cell>
          <cell r="N542" t="str">
            <v>ATVI</v>
          </cell>
          <cell r="O542" t="str">
            <v>ACTIVISION BLIZZ</v>
          </cell>
          <cell r="P542" t="str">
            <v>NASDAQ GS</v>
          </cell>
          <cell r="Q542" t="str">
            <v>Information Technology</v>
          </cell>
          <cell r="R542" t="str">
            <v>Software</v>
          </cell>
          <cell r="S542" t="str">
            <v>ATVI</v>
          </cell>
        </row>
        <row r="543">
          <cell r="L543" t="str">
            <v>ILMN</v>
          </cell>
          <cell r="M543" t="str">
            <v>ILLUMINA-9659/</v>
          </cell>
          <cell r="N543" t="str">
            <v>ILMN</v>
          </cell>
          <cell r="O543" t="str">
            <v>ILLUMINA INC</v>
          </cell>
          <cell r="P543" t="str">
            <v>NASDAQ GS</v>
          </cell>
          <cell r="Q543" t="str">
            <v>Health Care</v>
          </cell>
          <cell r="R543" t="str">
            <v>Life Sciences Tools &amp; Services</v>
          </cell>
          <cell r="S543" t="str">
            <v>ILMN</v>
          </cell>
        </row>
        <row r="544">
          <cell r="L544" t="str">
            <v>ESRX</v>
          </cell>
          <cell r="M544" t="str">
            <v>EXPRESS-SCRIPTS-HOLDING-C-10515323/</v>
          </cell>
          <cell r="N544" t="str">
            <v>ESRX</v>
          </cell>
          <cell r="O544" t="str">
            <v>EXPRESS SCRIPTS</v>
          </cell>
          <cell r="P544" t="str">
            <v>NASDAQ GS</v>
          </cell>
          <cell r="Q544" t="str">
            <v>Health Care</v>
          </cell>
          <cell r="R544" t="str">
            <v>Health Care Providers &amp; Servic</v>
          </cell>
          <cell r="S544" t="str">
            <v>ESRX</v>
          </cell>
        </row>
        <row r="545">
          <cell r="L545" t="str">
            <v>VRTX</v>
          </cell>
          <cell r="M545" t="str">
            <v>VERTEX-PHARMACEUTICALS-11321/</v>
          </cell>
          <cell r="N545" t="str">
            <v>VRTX</v>
          </cell>
          <cell r="O545" t="str">
            <v>VERTEX PHARM</v>
          </cell>
          <cell r="P545" t="str">
            <v>NASDAQ GS</v>
          </cell>
          <cell r="Q545" t="str">
            <v>Health Care</v>
          </cell>
          <cell r="R545" t="str">
            <v>Biotechnology</v>
          </cell>
          <cell r="S545" t="str">
            <v>VRTX</v>
          </cell>
        </row>
        <row r="546">
          <cell r="L546" t="str">
            <v>MAR</v>
          </cell>
          <cell r="M546" t="str">
            <v>MARRIOTT-INTERNATIONAL-14633490/</v>
          </cell>
          <cell r="N546" t="str">
            <v>MAR</v>
          </cell>
          <cell r="O546" t="str">
            <v>MARRIOTT INTL-A</v>
          </cell>
          <cell r="P546" t="str">
            <v>NASDAQ GS</v>
          </cell>
          <cell r="Q546" t="str">
            <v>Consumer Discretionary</v>
          </cell>
          <cell r="R546" t="str">
            <v>Hotels, Restaurants &amp; Leisure</v>
          </cell>
          <cell r="S546" t="str">
            <v>MAR</v>
          </cell>
        </row>
        <row r="547">
          <cell r="L547" t="str">
            <v>CTSH</v>
          </cell>
          <cell r="M547" t="str">
            <v>COGNIZANT-TECHNOLOGY-SOLU-23219296/</v>
          </cell>
          <cell r="N547" t="str">
            <v>CTSH</v>
          </cell>
          <cell r="O547" t="str">
            <v>COGNIZANT TECH-A</v>
          </cell>
          <cell r="P547" t="str">
            <v>NASDAQ GS</v>
          </cell>
          <cell r="Q547" t="str">
            <v>Information Technology</v>
          </cell>
          <cell r="R547" t="str">
            <v>IT Services</v>
          </cell>
          <cell r="S547" t="str">
            <v>CTSH</v>
          </cell>
        </row>
        <row r="548">
          <cell r="L548" t="str">
            <v>REGN</v>
          </cell>
          <cell r="M548" t="str">
            <v>REGENERON-PHARMACEUTICALS-10649/</v>
          </cell>
          <cell r="N548" t="str">
            <v>REGN</v>
          </cell>
          <cell r="O548" t="str">
            <v>REGENERON PHARM</v>
          </cell>
          <cell r="P548" t="str">
            <v>NASDAQ GS</v>
          </cell>
          <cell r="Q548" t="str">
            <v>Health Care</v>
          </cell>
          <cell r="R548" t="str">
            <v>Biotechnology</v>
          </cell>
          <cell r="S548" t="str">
            <v>REGN</v>
          </cell>
        </row>
        <row r="549">
          <cell r="L549" t="str">
            <v>AMAT</v>
          </cell>
          <cell r="M549" t="str">
            <v>APPLIED-MATERIALS-4850/</v>
          </cell>
          <cell r="N549" t="str">
            <v>AMAT</v>
          </cell>
          <cell r="O549" t="str">
            <v>APPLIED MATERIAL</v>
          </cell>
          <cell r="P549" t="str">
            <v>NASDAQ GS</v>
          </cell>
          <cell r="Q549" t="str">
            <v>Information Technology</v>
          </cell>
          <cell r="R549" t="str">
            <v>Semiconductors &amp; Semiconductor</v>
          </cell>
          <cell r="S549" t="str">
            <v>AMAT</v>
          </cell>
        </row>
        <row r="550">
          <cell r="L550" t="str">
            <v>ROST</v>
          </cell>
          <cell r="M550" t="str">
            <v>ROSS-STORES-4927/</v>
          </cell>
          <cell r="N550" t="str">
            <v>ROST</v>
          </cell>
          <cell r="O550" t="str">
            <v>ROSS STORES INC</v>
          </cell>
          <cell r="P550" t="str">
            <v>NASDAQ GS</v>
          </cell>
          <cell r="Q550" t="str">
            <v>Consumer Discretionary</v>
          </cell>
          <cell r="R550" t="str">
            <v>Specialty Retail</v>
          </cell>
          <cell r="S550" t="str">
            <v>ROST</v>
          </cell>
        </row>
        <row r="551">
          <cell r="L551" t="str">
            <v>ADI</v>
          </cell>
          <cell r="M551" t="str">
            <v>ANALOG-DEVICES-10345717/</v>
          </cell>
          <cell r="N551" t="str">
            <v>ADI</v>
          </cell>
          <cell r="O551" t="str">
            <v>ANALOG DEVICES</v>
          </cell>
          <cell r="P551" t="str">
            <v>NASDAQ GS</v>
          </cell>
          <cell r="Q551" t="str">
            <v>Information Technology</v>
          </cell>
          <cell r="R551" t="str">
            <v>Semiconductors &amp; Semiconductor</v>
          </cell>
          <cell r="S551" t="str">
            <v>ADI</v>
          </cell>
        </row>
        <row r="552">
          <cell r="L552" t="str">
            <v>EA</v>
          </cell>
          <cell r="M552" t="str">
            <v>ELECTRONIC-ARTS-9664624/</v>
          </cell>
          <cell r="N552" t="str">
            <v>EA</v>
          </cell>
          <cell r="O552" t="str">
            <v>ELECTRONIC ARTS</v>
          </cell>
          <cell r="P552" t="str">
            <v>NASDAQ GS</v>
          </cell>
          <cell r="Q552" t="str">
            <v>Information Technology</v>
          </cell>
          <cell r="R552" t="str">
            <v>Software</v>
          </cell>
          <cell r="S552" t="str">
            <v>EA</v>
          </cell>
        </row>
        <row r="553">
          <cell r="L553" t="str">
            <v>EBAY</v>
          </cell>
          <cell r="M553" t="str">
            <v>EBAY-4869/</v>
          </cell>
          <cell r="N553" t="str">
            <v>EBAY</v>
          </cell>
          <cell r="O553" t="str">
            <v>EBAY INC</v>
          </cell>
          <cell r="P553" t="str">
            <v>NASDAQ GS</v>
          </cell>
          <cell r="Q553" t="str">
            <v>Information Technology</v>
          </cell>
          <cell r="R553" t="str">
            <v>Internet Software &amp; Services</v>
          </cell>
          <cell r="S553" t="str">
            <v>EBAY</v>
          </cell>
        </row>
        <row r="554">
          <cell r="L554" t="str">
            <v>EQIX</v>
          </cell>
          <cell r="M554" t="str">
            <v>EQUINIX-INC-20565916/</v>
          </cell>
          <cell r="N554" t="str">
            <v>EQIX</v>
          </cell>
          <cell r="O554" t="str">
            <v>EQUINIX INC</v>
          </cell>
          <cell r="P554" t="str">
            <v>NASDAQ GS</v>
          </cell>
          <cell r="Q554" t="str">
            <v>Real Estate</v>
          </cell>
          <cell r="R554" t="str">
            <v>Equity Real Estate Investment</v>
          </cell>
          <cell r="S554" t="str">
            <v>EQIX</v>
          </cell>
        </row>
        <row r="555">
          <cell r="L555" t="str">
            <v>MNST</v>
          </cell>
          <cell r="M555" t="str">
            <v>MONSTER-BEVERAGE-CORP-22497283/</v>
          </cell>
          <cell r="N555" t="str">
            <v>MNST</v>
          </cell>
          <cell r="O555" t="str">
            <v>MONSTER BEVERAGE</v>
          </cell>
          <cell r="P555" t="str">
            <v>NASDAQ GS</v>
          </cell>
          <cell r="Q555" t="str">
            <v>Consumer Staples</v>
          </cell>
          <cell r="R555" t="str">
            <v>Beverages</v>
          </cell>
          <cell r="S555" t="str">
            <v>MNST</v>
          </cell>
        </row>
        <row r="556">
          <cell r="L556" t="str">
            <v>ADSK</v>
          </cell>
          <cell r="M556" t="str">
            <v>AUTODESK-40246776/</v>
          </cell>
          <cell r="N556" t="str">
            <v>ADSK</v>
          </cell>
          <cell r="O556" t="str">
            <v>AUTODESK INC</v>
          </cell>
          <cell r="P556" t="str">
            <v>NASDAQ GS</v>
          </cell>
          <cell r="Q556" t="str">
            <v>Information Technology</v>
          </cell>
          <cell r="R556" t="str">
            <v>Software</v>
          </cell>
          <cell r="S556" t="str">
            <v>ADSK</v>
          </cell>
        </row>
        <row r="557">
          <cell r="L557" t="str">
            <v>FISV</v>
          </cell>
          <cell r="M557" t="str">
            <v>FISERV-4873/</v>
          </cell>
          <cell r="N557" t="str">
            <v>FISV</v>
          </cell>
          <cell r="O557" t="str">
            <v>FISERV INC</v>
          </cell>
          <cell r="P557" t="str">
            <v>NASDAQ GS</v>
          </cell>
          <cell r="Q557" t="str">
            <v>Information Technology</v>
          </cell>
          <cell r="R557" t="str">
            <v>IT Services</v>
          </cell>
          <cell r="S557" t="str">
            <v>FISV</v>
          </cell>
        </row>
        <row r="558">
          <cell r="L558" t="str">
            <v>ALGN</v>
          </cell>
          <cell r="M558" t="str">
            <v>ALIGN-TECHNOLOGY-8316/</v>
          </cell>
          <cell r="N558" t="str">
            <v>ALGN</v>
          </cell>
          <cell r="O558" t="str">
            <v>ALIGN TECHNOLOGY</v>
          </cell>
          <cell r="P558" t="str">
            <v>NASDAQ GS</v>
          </cell>
          <cell r="Q558" t="str">
            <v>Health Care</v>
          </cell>
          <cell r="R558" t="str">
            <v>Health Care Equipment &amp; Suppli</v>
          </cell>
          <cell r="S558" t="str">
            <v>ALGN</v>
          </cell>
        </row>
        <row r="559">
          <cell r="L559" t="str">
            <v>TROW</v>
          </cell>
          <cell r="M559" t="str">
            <v>T-ROWE-PRICE-GROUP-40311214/</v>
          </cell>
          <cell r="N559" t="str">
            <v>TROW</v>
          </cell>
          <cell r="O559" t="str">
            <v>T ROWE PRICE GRP</v>
          </cell>
          <cell r="P559" t="str">
            <v>NASDAQ GS</v>
          </cell>
          <cell r="Q559" t="str">
            <v>Financials</v>
          </cell>
          <cell r="R559" t="str">
            <v>Capital Markets</v>
          </cell>
          <cell r="S559" t="str">
            <v>TROW</v>
          </cell>
        </row>
        <row r="560">
          <cell r="L560" t="str">
            <v>ORLY</v>
          </cell>
          <cell r="M560" t="str">
            <v>O-REILLY-AUTOMOTIVE-INC-10363/</v>
          </cell>
          <cell r="N560" t="str">
            <v>ORLY</v>
          </cell>
          <cell r="O560" t="str">
            <v>O'REILLY AUTOMOT</v>
          </cell>
          <cell r="P560" t="str">
            <v>NASDAQ GS</v>
          </cell>
          <cell r="Q560" t="str">
            <v>Consumer Discretionary</v>
          </cell>
          <cell r="R560" t="str">
            <v>Specialty Retail</v>
          </cell>
          <cell r="S560" t="str">
            <v>ORLY</v>
          </cell>
        </row>
        <row r="561">
          <cell r="L561" t="str">
            <v>LRCX</v>
          </cell>
          <cell r="M561" t="str">
            <v>LAM-RESEARCH-CORPORATION-4877/</v>
          </cell>
          <cell r="N561" t="str">
            <v>LRCX</v>
          </cell>
          <cell r="O561" t="str">
            <v>LAM RESEARCH</v>
          </cell>
          <cell r="P561" t="str">
            <v>NASDAQ GS</v>
          </cell>
          <cell r="Q561" t="str">
            <v>Information Technology</v>
          </cell>
          <cell r="R561" t="str">
            <v>Semiconductors &amp; Semiconductor</v>
          </cell>
          <cell r="S561" t="str">
            <v>LRCX</v>
          </cell>
        </row>
        <row r="562">
          <cell r="L562" t="str">
            <v>ALXN</v>
          </cell>
          <cell r="M562" t="str">
            <v>ALEXION-PHARMACEUTICALS-8334/</v>
          </cell>
          <cell r="N562" t="str">
            <v>ALXN</v>
          </cell>
          <cell r="O562" t="str">
            <v>ALEXION PHARM</v>
          </cell>
          <cell r="P562" t="str">
            <v>NASDAQ GS</v>
          </cell>
          <cell r="Q562" t="str">
            <v>Health Care</v>
          </cell>
          <cell r="R562" t="str">
            <v>Biotechnology</v>
          </cell>
          <cell r="S562" t="str">
            <v>ALXN</v>
          </cell>
        </row>
        <row r="563">
          <cell r="L563" t="str">
            <v>PAYX</v>
          </cell>
          <cell r="M563" t="str">
            <v>PAYCHEX-4894/</v>
          </cell>
          <cell r="N563" t="str">
            <v>PAYX</v>
          </cell>
          <cell r="O563" t="str">
            <v>PAYCHEX INC</v>
          </cell>
          <cell r="P563" t="str">
            <v>NASDAQ GS</v>
          </cell>
          <cell r="Q563" t="str">
            <v>Information Technology</v>
          </cell>
          <cell r="R563" t="str">
            <v>IT Services</v>
          </cell>
          <cell r="S563" t="str">
            <v>PAYX</v>
          </cell>
        </row>
        <row r="564">
          <cell r="L564" t="str">
            <v>XEL</v>
          </cell>
          <cell r="M564" t="str">
            <v>XCEL-ENERGY-39742648/</v>
          </cell>
          <cell r="N564" t="str">
            <v>XEL</v>
          </cell>
          <cell r="O564" t="str">
            <v>XCEL ENERGY INC</v>
          </cell>
          <cell r="P564" t="str">
            <v>NASDAQ GS</v>
          </cell>
          <cell r="Q564" t="str">
            <v>Utilities</v>
          </cell>
          <cell r="R564" t="str">
            <v>Electric Utilities</v>
          </cell>
          <cell r="S564" t="str">
            <v>XEL</v>
          </cell>
        </row>
        <row r="565">
          <cell r="L565" t="str">
            <v>PCAR</v>
          </cell>
          <cell r="M565" t="str">
            <v>PACCAR-4893/</v>
          </cell>
          <cell r="N565" t="str">
            <v>PCAR</v>
          </cell>
          <cell r="O565" t="str">
            <v>PACCAR INC</v>
          </cell>
          <cell r="P565" t="str">
            <v>NASDAQ GS</v>
          </cell>
          <cell r="Q565" t="str">
            <v>Industrials</v>
          </cell>
          <cell r="R565" t="str">
            <v>Machinery</v>
          </cell>
          <cell r="S565" t="str">
            <v>PCAR</v>
          </cell>
        </row>
        <row r="566">
          <cell r="L566" t="str">
            <v>CTAS</v>
          </cell>
          <cell r="M566" t="str">
            <v>CINTAS-CORPORATION-4861/</v>
          </cell>
          <cell r="N566" t="str">
            <v>CTAS</v>
          </cell>
          <cell r="O566" t="str">
            <v>CINTAS CORP</v>
          </cell>
          <cell r="P566" t="str">
            <v>NASDAQ GS</v>
          </cell>
          <cell r="Q566" t="str">
            <v>Industrials</v>
          </cell>
          <cell r="R566" t="str">
            <v>Commercial Services &amp; Supplies</v>
          </cell>
          <cell r="S566" t="str">
            <v>CTAS</v>
          </cell>
        </row>
        <row r="567">
          <cell r="L567" t="str">
            <v>NTAP</v>
          </cell>
          <cell r="M567" t="str">
            <v>NETAPP-4889/</v>
          </cell>
          <cell r="N567" t="str">
            <v>NTAP</v>
          </cell>
          <cell r="O567" t="str">
            <v>NETAPP INC</v>
          </cell>
          <cell r="P567" t="str">
            <v>NASDAQ GS</v>
          </cell>
          <cell r="Q567" t="str">
            <v>Information Technology</v>
          </cell>
          <cell r="R567" t="str">
            <v>Technology Hardware, Storage &amp;</v>
          </cell>
          <cell r="S567" t="str">
            <v>NTAP</v>
          </cell>
        </row>
        <row r="568">
          <cell r="L568" t="str">
            <v>INFO</v>
          </cell>
          <cell r="M568" t="str">
            <v>IHS-MARKIT-29752230/</v>
          </cell>
          <cell r="N568" t="str">
            <v>INFO</v>
          </cell>
          <cell r="O568" t="str">
            <v>IHS MARKIT LTD</v>
          </cell>
          <cell r="P568" t="str">
            <v>NASDAQ GS</v>
          </cell>
          <cell r="Q568" t="str">
            <v>Industrials</v>
          </cell>
          <cell r="R568" t="str">
            <v>Professional Services</v>
          </cell>
          <cell r="S568" t="str">
            <v>INFO</v>
          </cell>
        </row>
        <row r="569">
          <cell r="L569" t="str">
            <v>IDXX</v>
          </cell>
          <cell r="M569" t="str">
            <v>IDEXX-LABORATORIES-9641/</v>
          </cell>
          <cell r="N569" t="str">
            <v>IDXX</v>
          </cell>
          <cell r="O569" t="str">
            <v>IDEXX LABS</v>
          </cell>
          <cell r="P569" t="str">
            <v>NASDAQ GS</v>
          </cell>
          <cell r="Q569" t="str">
            <v>Health Care</v>
          </cell>
          <cell r="R569" t="str">
            <v>Health Care Equipment &amp; Suppli</v>
          </cell>
          <cell r="S569" t="str">
            <v>IDXX</v>
          </cell>
        </row>
        <row r="570">
          <cell r="L570" t="str">
            <v>CERN</v>
          </cell>
          <cell r="M570" t="str">
            <v>CERNER-CORPORATION-8744/</v>
          </cell>
          <cell r="N570" t="str">
            <v>CERN</v>
          </cell>
          <cell r="O570" t="str">
            <v>CERNER CORP</v>
          </cell>
          <cell r="P570" t="str">
            <v>NASDAQ GS</v>
          </cell>
          <cell r="Q570" t="str">
            <v>Health Care</v>
          </cell>
          <cell r="R570" t="str">
            <v>Health Care Technology</v>
          </cell>
          <cell r="S570" t="str">
            <v>CERN</v>
          </cell>
        </row>
        <row r="571">
          <cell r="L571" t="str">
            <v>MSFT</v>
          </cell>
          <cell r="M571" t="str">
            <v>MICROCHIP-TECHNOLOGY-4887/</v>
          </cell>
          <cell r="N571" t="str">
            <v>MSFT</v>
          </cell>
          <cell r="O571" t="str">
            <v>MICROSOFT CORP</v>
          </cell>
          <cell r="P571" t="str">
            <v>NASDAQ GS</v>
          </cell>
          <cell r="Q571" t="str">
            <v>Information Technology</v>
          </cell>
          <cell r="R571" t="str">
            <v>Software</v>
          </cell>
          <cell r="S571" t="str">
            <v>MSFT</v>
          </cell>
        </row>
        <row r="572">
          <cell r="L572" t="str">
            <v>MYL</v>
          </cell>
          <cell r="M572" t="str">
            <v>MYLAN-NV-21077045/</v>
          </cell>
          <cell r="N572" t="str">
            <v>MYL</v>
          </cell>
          <cell r="O572" t="str">
            <v>MYLAN NV</v>
          </cell>
          <cell r="P572" t="str">
            <v>NASDAQ GS</v>
          </cell>
          <cell r="Q572" t="str">
            <v>Health Care</v>
          </cell>
          <cell r="R572" t="str">
            <v>Pharmaceuticals</v>
          </cell>
          <cell r="S572" t="str">
            <v>MYL</v>
          </cell>
        </row>
        <row r="573">
          <cell r="L573" t="str">
            <v>XLNX</v>
          </cell>
          <cell r="M573" t="str">
            <v>XILINX-4917/</v>
          </cell>
          <cell r="N573" t="str">
            <v>XLNX</v>
          </cell>
          <cell r="O573" t="str">
            <v>XILINX INC</v>
          </cell>
          <cell r="P573" t="str">
            <v>NASDAQ GS</v>
          </cell>
          <cell r="Q573" t="str">
            <v>Information Technology</v>
          </cell>
          <cell r="R573" t="str">
            <v>Semiconductors &amp; Semiconductor</v>
          </cell>
          <cell r="S573" t="str">
            <v>XLNX</v>
          </cell>
        </row>
        <row r="574">
          <cell r="L574" t="str">
            <v>VRSK</v>
          </cell>
          <cell r="M574" t="str">
            <v>VERISK-ANALYTICS-5628469/</v>
          </cell>
          <cell r="N574" t="str">
            <v>VRSK</v>
          </cell>
          <cell r="O574" t="str">
            <v>VERISK ANALYTI</v>
          </cell>
          <cell r="P574" t="str">
            <v>NASDAQ GS</v>
          </cell>
          <cell r="Q574" t="str">
            <v>Industrials</v>
          </cell>
          <cell r="R574" t="str">
            <v>Professional Services</v>
          </cell>
          <cell r="S574" t="str">
            <v>VRSK</v>
          </cell>
        </row>
        <row r="575">
          <cell r="L575" t="str">
            <v>FITB</v>
          </cell>
          <cell r="M575" t="str">
            <v>FIFTH-THIRD-BANCORP-40311116/</v>
          </cell>
          <cell r="N575" t="str">
            <v>FITB</v>
          </cell>
          <cell r="O575" t="str">
            <v>FIFTH THIRD BANC</v>
          </cell>
          <cell r="P575" t="str">
            <v>NASDAQ GS</v>
          </cell>
          <cell r="Q575" t="str">
            <v>Financials</v>
          </cell>
          <cell r="R575" t="str">
            <v>Banks</v>
          </cell>
          <cell r="S575" t="str">
            <v>FITB</v>
          </cell>
        </row>
        <row r="576">
          <cell r="L576" t="str">
            <v>VRSK</v>
          </cell>
          <cell r="M576" t="str">
            <v>VERISIGN-4912/</v>
          </cell>
          <cell r="N576" t="str">
            <v>VRSK</v>
          </cell>
          <cell r="O576" t="str">
            <v>VERISK ANALYTI</v>
          </cell>
          <cell r="P576" t="str">
            <v>NASDAQ GS</v>
          </cell>
          <cell r="Q576" t="str">
            <v>Industrials</v>
          </cell>
          <cell r="R576" t="str">
            <v>Professional Services</v>
          </cell>
          <cell r="S576" t="str">
            <v>VRSK</v>
          </cell>
        </row>
        <row r="577">
          <cell r="L577" t="str">
            <v>EXPE</v>
          </cell>
          <cell r="M577" t="str">
            <v>EXPEDIA-GROUP-INC-9605918/</v>
          </cell>
          <cell r="N577" t="str">
            <v>EXPE</v>
          </cell>
          <cell r="O577" t="str">
            <v>EXPEDIA GROUP IN</v>
          </cell>
          <cell r="P577" t="str">
            <v>NASDAQ GS</v>
          </cell>
          <cell r="Q577" t="str">
            <v>Consumer Discretionary</v>
          </cell>
          <cell r="R577" t="str">
            <v>Internet &amp; Direct Marketing Re</v>
          </cell>
          <cell r="S577" t="str">
            <v>EXPE</v>
          </cell>
        </row>
        <row r="578">
          <cell r="L578" t="str">
            <v>ABMD</v>
          </cell>
          <cell r="M578" t="str">
            <v>ABIOMED-INC-8215/</v>
          </cell>
          <cell r="N578" t="str">
            <v>ABMD</v>
          </cell>
          <cell r="O578" t="str">
            <v>ABIOMED INC</v>
          </cell>
          <cell r="P578" t="str">
            <v>NASDAQ GS</v>
          </cell>
          <cell r="Q578" t="str">
            <v>Health Care</v>
          </cell>
          <cell r="R578" t="str">
            <v>Health Care Equipment &amp; Suppli</v>
          </cell>
          <cell r="S578" t="str">
            <v>ABMD</v>
          </cell>
        </row>
        <row r="579">
          <cell r="L579" t="str">
            <v>KLAC</v>
          </cell>
          <cell r="M579" t="str">
            <v>KLA-TENCOR-CORPORATION-40328827/</v>
          </cell>
          <cell r="N579" t="str">
            <v>KLAC</v>
          </cell>
          <cell r="O579" t="str">
            <v>KLA-TENCOR CORP</v>
          </cell>
          <cell r="P579" t="str">
            <v>NASDAQ GS</v>
          </cell>
          <cell r="Q579" t="str">
            <v>Information Technology</v>
          </cell>
          <cell r="R579" t="str">
            <v>Semiconductors &amp; Semiconductor</v>
          </cell>
          <cell r="S579" t="str">
            <v>KLAC</v>
          </cell>
        </row>
        <row r="580">
          <cell r="L580" t="str">
            <v>HBAN</v>
          </cell>
          <cell r="M580" t="str">
            <v>HUNTINGTON-BANCSHARES-40328830/</v>
          </cell>
          <cell r="N580" t="str">
            <v>HBAN</v>
          </cell>
          <cell r="O580" t="str">
            <v>HUNTINGTON BANC</v>
          </cell>
          <cell r="P580" t="str">
            <v>NASDAQ GS</v>
          </cell>
          <cell r="Q580" t="str">
            <v>Financials</v>
          </cell>
          <cell r="R580" t="str">
            <v>Banks</v>
          </cell>
          <cell r="S580" t="str">
            <v>HBAN</v>
          </cell>
        </row>
        <row r="581">
          <cell r="L581" t="str">
            <v>SBAC</v>
          </cell>
          <cell r="M581" t="str">
            <v>SBA-COMMUNICATIONS-CORPOR-33339190/</v>
          </cell>
          <cell r="N581" t="str">
            <v>SBAC</v>
          </cell>
          <cell r="O581" t="str">
            <v>SBA COMM CORP</v>
          </cell>
          <cell r="P581" t="str">
            <v>NASDAQ GS</v>
          </cell>
          <cell r="Q581" t="str">
            <v>Real Estate</v>
          </cell>
          <cell r="R581" t="str">
            <v>Equity Real Estate Investment</v>
          </cell>
          <cell r="S581" t="str">
            <v>SBAC</v>
          </cell>
        </row>
        <row r="582">
          <cell r="L582" t="str">
            <v>WDC</v>
          </cell>
          <cell r="M582" t="str">
            <v>WESTERN-DIGITAL-10721582/</v>
          </cell>
          <cell r="N582" t="str">
            <v>WDC</v>
          </cell>
          <cell r="O582" t="str">
            <v>WESTERN DIGITAL</v>
          </cell>
          <cell r="P582" t="str">
            <v>NASDAQ GS</v>
          </cell>
          <cell r="Q582" t="str">
            <v>Information Technology</v>
          </cell>
          <cell r="R582" t="str">
            <v>Technology Hardware, Storage &amp;</v>
          </cell>
          <cell r="S582" t="str">
            <v>WDC</v>
          </cell>
        </row>
        <row r="583">
          <cell r="L583" t="str">
            <v>SIVB</v>
          </cell>
          <cell r="M583" t="str">
            <v>SVB-FINANCIAL-GROUP-10840/</v>
          </cell>
          <cell r="N583" t="str">
            <v>SIVB</v>
          </cell>
          <cell r="O583" t="str">
            <v>SVB FINANCIAL GR</v>
          </cell>
          <cell r="P583" t="str">
            <v>NASDAQ GS</v>
          </cell>
          <cell r="Q583" t="str">
            <v>Financials</v>
          </cell>
          <cell r="R583" t="str">
            <v>Banks</v>
          </cell>
          <cell r="S583" t="str">
            <v>SIVB</v>
          </cell>
        </row>
        <row r="584">
          <cell r="L584" t="str">
            <v>FAST</v>
          </cell>
          <cell r="M584" t="str">
            <v>FASTENAL-COMPANY-4901/</v>
          </cell>
          <cell r="N584" t="str">
            <v>FAST</v>
          </cell>
          <cell r="O584" t="str">
            <v>FASTENAL CO</v>
          </cell>
          <cell r="P584" t="str">
            <v>NASDAQ GS</v>
          </cell>
          <cell r="Q584" t="str">
            <v>Industrials</v>
          </cell>
          <cell r="R584" t="str">
            <v>Trading Companies &amp; Distributo</v>
          </cell>
          <cell r="S584" t="str">
            <v>FAST</v>
          </cell>
        </row>
        <row r="585">
          <cell r="L585" t="str">
            <v>ULTA</v>
          </cell>
          <cell r="M585" t="str">
            <v>ULTA-BEAUTY-65158/</v>
          </cell>
          <cell r="N585" t="str">
            <v>ULTA</v>
          </cell>
          <cell r="O585" t="str">
            <v>ULTA BEAUTY INC</v>
          </cell>
          <cell r="P585" t="str">
            <v>NASDAQ GS</v>
          </cell>
          <cell r="Q585" t="str">
            <v>Consumer Discretionary</v>
          </cell>
          <cell r="R585" t="str">
            <v>Specialty Retail</v>
          </cell>
          <cell r="S585" t="str">
            <v>ULTA</v>
          </cell>
        </row>
        <row r="586">
          <cell r="L586" t="str">
            <v>DISH</v>
          </cell>
          <cell r="M586" t="str">
            <v>DISH-NETWORK-CORPORATION-4870/</v>
          </cell>
          <cell r="N586" t="str">
            <v>DISH</v>
          </cell>
          <cell r="O586" t="str">
            <v>DISH NETWORK-A</v>
          </cell>
          <cell r="P586" t="str">
            <v>NASDAQ GS</v>
          </cell>
          <cell r="Q586" t="str">
            <v>Consumer Discretionary</v>
          </cell>
          <cell r="R586" t="str">
            <v>Media</v>
          </cell>
          <cell r="S586" t="str">
            <v>DISH</v>
          </cell>
        </row>
        <row r="587">
          <cell r="L587" t="str">
            <v>SWKS</v>
          </cell>
          <cell r="M587" t="str">
            <v>SKYWORKS-SOLUTIONS-11014/</v>
          </cell>
          <cell r="N587" t="str">
            <v>SWKS</v>
          </cell>
          <cell r="O587" t="str">
            <v>SKYWORKS SOLUTIO</v>
          </cell>
          <cell r="P587" t="str">
            <v>NASDAQ GS</v>
          </cell>
          <cell r="Q587" t="str">
            <v>Information Technology</v>
          </cell>
          <cell r="R587" t="str">
            <v>Semiconductors &amp; Semiconductor</v>
          </cell>
          <cell r="S587" t="str">
            <v>SWKS</v>
          </cell>
        </row>
        <row r="588">
          <cell r="L588" t="str">
            <v>NDAQ</v>
          </cell>
          <cell r="M588" t="str">
            <v>NASDAQ-10173/</v>
          </cell>
          <cell r="N588" t="str">
            <v>NDAQ</v>
          </cell>
          <cell r="O588" t="str">
            <v>NASDAQ INC</v>
          </cell>
          <cell r="P588" t="str">
            <v>NASDAQ GS</v>
          </cell>
          <cell r="Q588" t="str">
            <v>Financials</v>
          </cell>
          <cell r="R588" t="str">
            <v>Capital Markets</v>
          </cell>
          <cell r="S588" t="str">
            <v>NDAQ</v>
          </cell>
        </row>
        <row r="589">
          <cell r="L589" t="str">
            <v>AVGO</v>
          </cell>
          <cell r="M589" t="str">
            <v>BROADRIDGE-FINANCIAL-SOLU-11906/</v>
          </cell>
          <cell r="N589" t="str">
            <v>AVGO</v>
          </cell>
          <cell r="O589" t="str">
            <v>BROADCOM INC</v>
          </cell>
          <cell r="P589" t="str">
            <v>NASDAQ GS</v>
          </cell>
          <cell r="Q589" t="str">
            <v>Information Technology</v>
          </cell>
          <cell r="R589" t="str">
            <v>Semiconductors &amp; Semiconductor</v>
          </cell>
          <cell r="S589" t="str">
            <v>AVGO</v>
          </cell>
        </row>
        <row r="590">
          <cell r="L590" t="str">
            <v>PFG</v>
          </cell>
          <cell r="M590" t="str">
            <v>PRINCIPAL-FINANCIAL-GROUP-39051261/</v>
          </cell>
          <cell r="N590" t="str">
            <v>PFG</v>
          </cell>
          <cell r="O590" t="str">
            <v>PRINCIPAL FINL</v>
          </cell>
          <cell r="P590" t="str">
            <v>NASDAQ GS</v>
          </cell>
          <cell r="Q590" t="str">
            <v>Financials</v>
          </cell>
          <cell r="R590" t="str">
            <v>Insurance</v>
          </cell>
          <cell r="S590" t="str">
            <v>PFG</v>
          </cell>
        </row>
        <row r="591">
          <cell r="L591" t="str">
            <v>ANSS</v>
          </cell>
          <cell r="M591" t="str">
            <v>ANSYS-40311135/</v>
          </cell>
          <cell r="N591" t="str">
            <v>ANSS</v>
          </cell>
          <cell r="O591" t="str">
            <v>ANSYS INC</v>
          </cell>
          <cell r="P591" t="str">
            <v>NASDAQ GS</v>
          </cell>
          <cell r="Q591" t="str">
            <v>Information Technology</v>
          </cell>
          <cell r="R591" t="str">
            <v>Software</v>
          </cell>
          <cell r="S591" t="str">
            <v>ANSS</v>
          </cell>
        </row>
        <row r="592">
          <cell r="L592" t="str">
            <v>INCY</v>
          </cell>
          <cell r="M592" t="str">
            <v>INCYTE-CORPORATION-9675/</v>
          </cell>
          <cell r="N592" t="str">
            <v>INCY</v>
          </cell>
          <cell r="O592" t="str">
            <v>INCYTE CORP</v>
          </cell>
          <cell r="P592" t="str">
            <v>NASDAQ GS</v>
          </cell>
          <cell r="Q592" t="str">
            <v>Health Care</v>
          </cell>
          <cell r="R592" t="str">
            <v>Biotechnology</v>
          </cell>
          <cell r="S592" t="str">
            <v>INCY</v>
          </cell>
        </row>
        <row r="593">
          <cell r="L593" t="str">
            <v>WYNN</v>
          </cell>
          <cell r="M593" t="str">
            <v>WYNN-RESORTS-4859/</v>
          </cell>
          <cell r="N593" t="str">
            <v>WYNN</v>
          </cell>
          <cell r="O593" t="str">
            <v>WYNN RESORTS LTD</v>
          </cell>
          <cell r="P593" t="str">
            <v>NASDAQ GS</v>
          </cell>
          <cell r="Q593" t="str">
            <v>Consumer Discretionary</v>
          </cell>
          <cell r="R593" t="str">
            <v>Hotels, Restaurants &amp; Leisure</v>
          </cell>
          <cell r="S593" t="str">
            <v>WYNN</v>
          </cell>
        </row>
        <row r="594">
          <cell r="L594" t="str">
            <v>ETFC</v>
          </cell>
          <cell r="M594" t="str">
            <v>E-TRADE-FINANCIAL-CORP-6274212/</v>
          </cell>
          <cell r="N594" t="str">
            <v>ETFC</v>
          </cell>
          <cell r="O594" t="str">
            <v>E*TRADE FINANCIA</v>
          </cell>
          <cell r="P594" t="str">
            <v>NASDAQ GS</v>
          </cell>
          <cell r="Q594" t="str">
            <v>Financials</v>
          </cell>
          <cell r="R594" t="str">
            <v>Capital Markets</v>
          </cell>
          <cell r="S594" t="str">
            <v>ETFC</v>
          </cell>
        </row>
        <row r="595">
          <cell r="L595" t="str">
            <v>CTXS</v>
          </cell>
          <cell r="M595" t="str">
            <v>CITRIX-SYSTEMS-4863/</v>
          </cell>
          <cell r="N595" t="str">
            <v>CTXS</v>
          </cell>
          <cell r="O595" t="str">
            <v>CITRIX SYSTEMS</v>
          </cell>
          <cell r="P595" t="str">
            <v>NASDAQ GS</v>
          </cell>
          <cell r="Q595" t="str">
            <v>Information Technology</v>
          </cell>
          <cell r="R595" t="str">
            <v>Software</v>
          </cell>
          <cell r="S595" t="str">
            <v>CTXS</v>
          </cell>
        </row>
        <row r="596">
          <cell r="L596" t="str">
            <v>TTWO</v>
          </cell>
          <cell r="M596" t="str">
            <v>TAKE-TWO-INTERACTIVE-SOFT-11178/</v>
          </cell>
          <cell r="N596" t="str">
            <v>TTWO</v>
          </cell>
          <cell r="O596" t="str">
            <v>TAKE-TWO INTERAC</v>
          </cell>
          <cell r="P596" t="str">
            <v>NASDAQ GS</v>
          </cell>
          <cell r="Q596" t="str">
            <v>Information Technology</v>
          </cell>
          <cell r="R596" t="str">
            <v>Software</v>
          </cell>
          <cell r="S596" t="str">
            <v>TTWO</v>
          </cell>
        </row>
        <row r="597">
          <cell r="L597" t="str">
            <v>SNPS</v>
          </cell>
          <cell r="M597" t="str">
            <v>SYNOPSYS-4908/</v>
          </cell>
          <cell r="N597" t="str">
            <v>SNPS</v>
          </cell>
          <cell r="O597" t="str">
            <v>SYNOPSYS INC</v>
          </cell>
          <cell r="P597" t="str">
            <v>NASDAQ GS</v>
          </cell>
          <cell r="Q597" t="str">
            <v>Information Technology</v>
          </cell>
          <cell r="R597" t="str">
            <v>Software</v>
          </cell>
          <cell r="S597" t="str">
            <v>SNPS</v>
          </cell>
        </row>
        <row r="598">
          <cell r="L598" t="str">
            <v>CPRT</v>
          </cell>
          <cell r="M598" t="str">
            <v>COPART-INC-8879/</v>
          </cell>
          <cell r="N598" t="str">
            <v>CPRT</v>
          </cell>
          <cell r="O598" t="str">
            <v>COPART INC</v>
          </cell>
          <cell r="P598" t="str">
            <v>NASDAQ GS</v>
          </cell>
          <cell r="Q598" t="str">
            <v>Industrials</v>
          </cell>
          <cell r="R598" t="str">
            <v>Commercial Services &amp; Supplies</v>
          </cell>
          <cell r="S598" t="str">
            <v>CPRT</v>
          </cell>
        </row>
        <row r="599">
          <cell r="L599" t="str">
            <v>STX</v>
          </cell>
          <cell r="M599" t="str">
            <v>SEAGATE-TECHNOLOGY-PLC-14501/</v>
          </cell>
          <cell r="N599" t="str">
            <v>STX</v>
          </cell>
          <cell r="O599" t="str">
            <v>SEAGATE TECHNOLO</v>
          </cell>
          <cell r="P599" t="str">
            <v>NASDAQ GS</v>
          </cell>
          <cell r="Q599" t="str">
            <v>Information Technology</v>
          </cell>
          <cell r="R599" t="str">
            <v>Technology Hardware, Storage &amp;</v>
          </cell>
          <cell r="S599" t="str">
            <v>STX</v>
          </cell>
        </row>
        <row r="600">
          <cell r="L600" t="str">
            <v>GRMN</v>
          </cell>
          <cell r="M600" t="str">
            <v>GARMIN-4933/</v>
          </cell>
          <cell r="N600" t="str">
            <v>GRMN</v>
          </cell>
          <cell r="O600" t="str">
            <v>GARMIN LTD</v>
          </cell>
          <cell r="P600" t="str">
            <v>NASDAQ GS</v>
          </cell>
          <cell r="Q600" t="str">
            <v>Consumer Discretionary</v>
          </cell>
          <cell r="R600" t="str">
            <v>Household Durables</v>
          </cell>
          <cell r="S600" t="str">
            <v>GRMN</v>
          </cell>
        </row>
        <row r="601">
          <cell r="L601" t="str">
            <v>CHRW</v>
          </cell>
          <cell r="M601" t="str">
            <v>CH-ROBINSON-WORLDWIDE-4915/</v>
          </cell>
          <cell r="N601" t="str">
            <v>CHRW</v>
          </cell>
          <cell r="O601" t="str">
            <v>CH ROBINSON</v>
          </cell>
          <cell r="P601" t="str">
            <v>NASDAQ GS</v>
          </cell>
          <cell r="Q601" t="str">
            <v>Industrials</v>
          </cell>
          <cell r="R601" t="str">
            <v>Air Freight &amp; Logistics</v>
          </cell>
          <cell r="S601" t="str">
            <v>CHRW</v>
          </cell>
        </row>
        <row r="602">
          <cell r="L602" t="str">
            <v>CDNS</v>
          </cell>
          <cell r="M602" t="str">
            <v>CADENCE-DESIGN-SYSTEMS-8724/</v>
          </cell>
          <cell r="N602" t="str">
            <v>CDNS</v>
          </cell>
          <cell r="O602" t="str">
            <v>CADENCE DESIGN</v>
          </cell>
          <cell r="P602" t="str">
            <v>NASDAQ GS</v>
          </cell>
          <cell r="Q602" t="str">
            <v>Information Technology</v>
          </cell>
          <cell r="R602" t="str">
            <v>Software</v>
          </cell>
          <cell r="S602" t="str">
            <v>CDNS</v>
          </cell>
        </row>
        <row r="603">
          <cell r="L603" t="str">
            <v>JBHT</v>
          </cell>
          <cell r="M603" t="str">
            <v>JB-HUNT-TRANSPORT-SERVICE-9769/</v>
          </cell>
          <cell r="N603" t="str">
            <v>JBHT</v>
          </cell>
          <cell r="O603" t="str">
            <v>HUNT (JB) TRANS</v>
          </cell>
          <cell r="P603" t="str">
            <v>NASDAQ GS</v>
          </cell>
          <cell r="Q603" t="str">
            <v>Industrials</v>
          </cell>
          <cell r="R603" t="str">
            <v>Road &amp; Rail</v>
          </cell>
          <cell r="S603" t="str">
            <v>JBHT</v>
          </cell>
        </row>
        <row r="604">
          <cell r="L604" t="str">
            <v>EXPE</v>
          </cell>
          <cell r="M604" t="str">
            <v>EXPEDITORS-INTERNATIONAL-4900/</v>
          </cell>
          <cell r="N604" t="str">
            <v>EXPE</v>
          </cell>
          <cell r="O604" t="str">
            <v>EXPEDIA GROUP IN</v>
          </cell>
          <cell r="P604" t="str">
            <v>NASDAQ GS</v>
          </cell>
          <cell r="Q604" t="str">
            <v>Consumer Discretionary</v>
          </cell>
          <cell r="R604" t="str">
            <v>Internet &amp; Direct Marketing Re</v>
          </cell>
          <cell r="S604" t="str">
            <v>EXPE</v>
          </cell>
        </row>
        <row r="605">
          <cell r="L605" t="str">
            <v>AKAM</v>
          </cell>
          <cell r="M605" t="str">
            <v>AKAMAI-TECHNOLOGIES-8303/</v>
          </cell>
          <cell r="N605" t="str">
            <v>AKAM</v>
          </cell>
          <cell r="O605" t="str">
            <v>AKAMAI TECHNOLOG</v>
          </cell>
          <cell r="P605" t="str">
            <v>NASDAQ GS</v>
          </cell>
          <cell r="Q605" t="str">
            <v>Information Technology</v>
          </cell>
          <cell r="R605" t="str">
            <v>Internet Software &amp; Services</v>
          </cell>
          <cell r="S605" t="str">
            <v>AKAM</v>
          </cell>
        </row>
        <row r="606">
          <cell r="L606" t="str">
            <v>HAS</v>
          </cell>
          <cell r="M606" t="str">
            <v>HASBRO-12874/</v>
          </cell>
          <cell r="N606" t="str">
            <v>HAS</v>
          </cell>
          <cell r="O606" t="str">
            <v>HASBRO INC</v>
          </cell>
          <cell r="P606" t="str">
            <v>NASDAQ GS</v>
          </cell>
          <cell r="Q606" t="str">
            <v>Consumer Discretionary</v>
          </cell>
          <cell r="R606" t="str">
            <v>Leisure Products</v>
          </cell>
          <cell r="S606" t="str">
            <v>HAS</v>
          </cell>
        </row>
        <row r="607">
          <cell r="L607" t="str">
            <v>CINF</v>
          </cell>
          <cell r="M607" t="str">
            <v>CINCINNATI-FINANCIAL-CORP-40311119/</v>
          </cell>
          <cell r="N607" t="str">
            <v>CINF</v>
          </cell>
          <cell r="O607" t="str">
            <v>CINCINNATI FIN</v>
          </cell>
          <cell r="P607" t="str">
            <v>NASDAQ GS</v>
          </cell>
          <cell r="Q607" t="str">
            <v>Financials</v>
          </cell>
          <cell r="R607" t="str">
            <v>Insurance</v>
          </cell>
          <cell r="S607" t="str">
            <v>CINF</v>
          </cell>
        </row>
        <row r="608">
          <cell r="L608" t="str">
            <v>SYMC</v>
          </cell>
          <cell r="M608" t="str">
            <v>SYMANTEC-CORPORATION-4907/</v>
          </cell>
          <cell r="N608" t="str">
            <v>SYMC</v>
          </cell>
          <cell r="O608" t="str">
            <v>SYMANTEC CORP</v>
          </cell>
          <cell r="P608" t="str">
            <v>NASDAQ GS</v>
          </cell>
          <cell r="Q608" t="str">
            <v>Information Technology</v>
          </cell>
          <cell r="R608" t="str">
            <v>Software</v>
          </cell>
          <cell r="S608" t="str">
            <v>SYMC</v>
          </cell>
        </row>
        <row r="609">
          <cell r="L609" t="str">
            <v>VIA</v>
          </cell>
          <cell r="M609" t="str">
            <v>VIACOM-9555153/</v>
          </cell>
          <cell r="N609" t="str">
            <v>VIA</v>
          </cell>
          <cell r="O609" t="str">
            <v>VIACOM INC-A</v>
          </cell>
          <cell r="P609" t="str">
            <v>NASDAQ GS</v>
          </cell>
          <cell r="Q609" t="str">
            <v>Consumer Discretionary</v>
          </cell>
          <cell r="R609" t="str">
            <v>Media</v>
          </cell>
          <cell r="S609" t="str">
            <v>VIA</v>
          </cell>
        </row>
        <row r="610">
          <cell r="L610" t="str">
            <v>HSIC</v>
          </cell>
          <cell r="M610" t="str">
            <v>HENRY-SCHEIN-9582/</v>
          </cell>
          <cell r="N610" t="str">
            <v>HSIC</v>
          </cell>
          <cell r="O610" t="str">
            <v>HENRY SCHEIN INC</v>
          </cell>
          <cell r="P610" t="str">
            <v>NASDAQ GS</v>
          </cell>
          <cell r="Q610" t="str">
            <v>Health Care</v>
          </cell>
          <cell r="R610" t="str">
            <v>Health Care Providers &amp; Servic</v>
          </cell>
          <cell r="S610" t="str">
            <v>HSIC</v>
          </cell>
        </row>
        <row r="611">
          <cell r="L611" t="str">
            <v>NKTR</v>
          </cell>
          <cell r="M611" t="str">
            <v>NEKTAR-THERAPEUTICS-45013433/</v>
          </cell>
          <cell r="N611" t="str">
            <v>NKTR</v>
          </cell>
          <cell r="O611" t="str">
            <v>NEKTAR THERAPEUT</v>
          </cell>
          <cell r="P611" t="str">
            <v>NASDAQ GS</v>
          </cell>
          <cell r="Q611" t="str">
            <v>Health Care</v>
          </cell>
          <cell r="R611" t="str">
            <v>Pharmaceuticals</v>
          </cell>
          <cell r="S611" t="str">
            <v>NKTR</v>
          </cell>
        </row>
        <row r="612">
          <cell r="L612" t="str">
            <v>CBOE</v>
          </cell>
          <cell r="M612" t="str">
            <v>CBOE-GLOBAL-MARKETS-6306029/</v>
          </cell>
          <cell r="N612" t="str">
            <v>CBOE</v>
          </cell>
          <cell r="O612" t="str">
            <v>CBOE GLOBAL MARK</v>
          </cell>
          <cell r="P612" t="str">
            <v>NASDAQ GS</v>
          </cell>
          <cell r="Q612" t="str">
            <v>Financials</v>
          </cell>
          <cell r="R612" t="str">
            <v>Capital Markets</v>
          </cell>
          <cell r="S612" t="str">
            <v>CBOE</v>
          </cell>
        </row>
        <row r="613">
          <cell r="L613" t="str">
            <v>FFIV</v>
          </cell>
          <cell r="M613" t="str">
            <v>F5-NETWORKS-23277278/</v>
          </cell>
          <cell r="N613" t="str">
            <v>FFIV</v>
          </cell>
          <cell r="O613" t="str">
            <v>F5 NETWORKS</v>
          </cell>
          <cell r="P613" t="str">
            <v>NASDAQ GS</v>
          </cell>
          <cell r="Q613" t="str">
            <v>Information Technology</v>
          </cell>
          <cell r="R613" t="str">
            <v>Communications Equipment</v>
          </cell>
          <cell r="S613" t="str">
            <v>FFIV</v>
          </cell>
        </row>
        <row r="614">
          <cell r="L614" t="str">
            <v>TSCO</v>
          </cell>
          <cell r="M614" t="str">
            <v>TRACTOR-SUPPLY-COMPANY-11162/</v>
          </cell>
          <cell r="N614" t="str">
            <v>TSCO</v>
          </cell>
          <cell r="O614" t="str">
            <v>TRACTOR SUPPLY</v>
          </cell>
          <cell r="P614" t="str">
            <v>NASDAQ GS</v>
          </cell>
          <cell r="Q614" t="str">
            <v>Consumer Discretionary</v>
          </cell>
          <cell r="R614" t="str">
            <v>Specialty Retail</v>
          </cell>
          <cell r="S614" t="str">
            <v>TSCO</v>
          </cell>
        </row>
        <row r="615">
          <cell r="L615" t="str">
            <v>REGN</v>
          </cell>
          <cell r="M615" t="str">
            <v>REGENCY-CENTERS-CORPORATI-40311152/</v>
          </cell>
          <cell r="N615" t="str">
            <v>REGN</v>
          </cell>
          <cell r="O615" t="str">
            <v>REGENERON PHARM</v>
          </cell>
          <cell r="P615" t="str">
            <v>NASDAQ GS</v>
          </cell>
          <cell r="Q615" t="str">
            <v>Health Care</v>
          </cell>
          <cell r="R615" t="str">
            <v>Biotechnology</v>
          </cell>
          <cell r="S615" t="str">
            <v>REGN</v>
          </cell>
        </row>
        <row r="616">
          <cell r="L616" t="str">
            <v>LKQ</v>
          </cell>
          <cell r="M616" t="str">
            <v>LKQ-CORPORATION-40328841/</v>
          </cell>
          <cell r="N616" t="str">
            <v>LKQ</v>
          </cell>
          <cell r="O616" t="str">
            <v>LKQ CORP</v>
          </cell>
          <cell r="P616" t="str">
            <v>NASDAQ GS</v>
          </cell>
          <cell r="Q616" t="str">
            <v>Consumer Discretionary</v>
          </cell>
          <cell r="R616" t="str">
            <v>Distributors</v>
          </cell>
          <cell r="S616" t="str">
            <v>LKQ</v>
          </cell>
        </row>
        <row r="617">
          <cell r="L617" t="str">
            <v>HOLX</v>
          </cell>
          <cell r="M617" t="str">
            <v>HOLOGIC-9566/</v>
          </cell>
          <cell r="N617" t="str">
            <v>HOLX</v>
          </cell>
          <cell r="O617" t="str">
            <v>HOLOGIC INC</v>
          </cell>
          <cell r="P617" t="str">
            <v>NASDAQ GS</v>
          </cell>
          <cell r="Q617" t="str">
            <v>Health Care</v>
          </cell>
          <cell r="R617" t="str">
            <v>Health Care Equipment &amp; Suppli</v>
          </cell>
          <cell r="S617" t="str">
            <v>HOLX</v>
          </cell>
        </row>
        <row r="618">
          <cell r="L618" t="str">
            <v>HBAN</v>
          </cell>
          <cell r="M618" t="str">
            <v>HUNTINGTON-INGALLS-INDUST-7642101/</v>
          </cell>
          <cell r="N618" t="str">
            <v>HBAN</v>
          </cell>
          <cell r="O618" t="str">
            <v>HUNTINGTON BANC</v>
          </cell>
          <cell r="P618" t="str">
            <v>NASDAQ GS</v>
          </cell>
          <cell r="Q618" t="str">
            <v>Financials</v>
          </cell>
          <cell r="R618" t="str">
            <v>Banks</v>
          </cell>
          <cell r="S618" t="str">
            <v>HBAN</v>
          </cell>
        </row>
        <row r="619">
          <cell r="L619" t="str">
            <v>ZION</v>
          </cell>
          <cell r="M619" t="str">
            <v>ZIONS-BANCORPORATION-40311097/</v>
          </cell>
          <cell r="N619" t="str">
            <v>ZION</v>
          </cell>
          <cell r="O619" t="str">
            <v>ZIONS BANCORP</v>
          </cell>
          <cell r="P619" t="str">
            <v>NASDAQ GS</v>
          </cell>
          <cell r="Q619" t="str">
            <v>Financials</v>
          </cell>
          <cell r="R619" t="str">
            <v>Banks</v>
          </cell>
          <cell r="S619" t="str">
            <v>ZION</v>
          </cell>
        </row>
        <row r="620">
          <cell r="L620" t="str">
            <v>QRVO</v>
          </cell>
          <cell r="M620" t="str">
            <v>QORVO-19476284/</v>
          </cell>
          <cell r="N620" t="str">
            <v>QRVO</v>
          </cell>
          <cell r="O620" t="str">
            <v>QORVO INC</v>
          </cell>
          <cell r="P620" t="str">
            <v>NASDAQ GS</v>
          </cell>
          <cell r="Q620" t="str">
            <v>Information Technology</v>
          </cell>
          <cell r="R620" t="str">
            <v>Semiconductors &amp; Semiconductor</v>
          </cell>
          <cell r="S620" t="str">
            <v>QRVO</v>
          </cell>
        </row>
        <row r="621">
          <cell r="L621" t="str">
            <v>IPGP</v>
          </cell>
          <cell r="M621" t="str">
            <v>IPG-PHOTONICS-CORPORATION-40311217/</v>
          </cell>
          <cell r="N621" t="str">
            <v>IPGP</v>
          </cell>
          <cell r="O621" t="str">
            <v>IPG PHOTONICS</v>
          </cell>
          <cell r="P621" t="str">
            <v>NASDAQ GS</v>
          </cell>
          <cell r="Q621" t="str">
            <v>Information Technology</v>
          </cell>
          <cell r="R621" t="str">
            <v>Electronic Equipment, Instrume</v>
          </cell>
          <cell r="S621" t="str">
            <v>IPGP</v>
          </cell>
        </row>
        <row r="622">
          <cell r="L622" t="str">
            <v>FLIR</v>
          </cell>
          <cell r="M622" t="str">
            <v>FLIR-SYSTEMS-9314/</v>
          </cell>
          <cell r="N622" t="str">
            <v>FLIR</v>
          </cell>
          <cell r="O622" t="str">
            <v>FLIR SYSTEMS</v>
          </cell>
          <cell r="P622" t="str">
            <v>NASDAQ GS</v>
          </cell>
          <cell r="Q622" t="str">
            <v>Information Technology</v>
          </cell>
          <cell r="R622" t="str">
            <v>Electronic Equipment, Instrume</v>
          </cell>
          <cell r="S622" t="str">
            <v>FLIR</v>
          </cell>
        </row>
        <row r="623">
          <cell r="L623" t="str">
            <v>XRAY</v>
          </cell>
          <cell r="M623" t="str">
            <v>DENTSPLY-SIRONA-INC-40311122/</v>
          </cell>
          <cell r="N623" t="str">
            <v>XRAY</v>
          </cell>
          <cell r="O623" t="str">
            <v>DENTSPLY SIRONA</v>
          </cell>
          <cell r="P623" t="str">
            <v>NASDAQ GS</v>
          </cell>
          <cell r="Q623" t="str">
            <v>Health Care</v>
          </cell>
          <cell r="R623" t="str">
            <v>Health Care Equipment &amp; Suppli</v>
          </cell>
          <cell r="S623" t="str">
            <v>XRAY</v>
          </cell>
        </row>
        <row r="624">
          <cell r="L624" t="str">
            <v>WDC</v>
          </cell>
          <cell r="M624" t="str">
            <v>WESTERN-UNION-33821/</v>
          </cell>
          <cell r="N624" t="str">
            <v>WDC</v>
          </cell>
          <cell r="O624" t="str">
            <v>WESTERN DIGITAL</v>
          </cell>
          <cell r="P624" t="str">
            <v>NASDAQ GS</v>
          </cell>
          <cell r="Q624" t="str">
            <v>Information Technology</v>
          </cell>
          <cell r="R624" t="str">
            <v>Technology Hardware, Storage &amp;</v>
          </cell>
          <cell r="S624" t="str">
            <v>WDC</v>
          </cell>
        </row>
        <row r="625">
          <cell r="L625" t="str">
            <v>NWS</v>
          </cell>
          <cell r="M625" t="str">
            <v>NEWS-CORP-13439787/</v>
          </cell>
          <cell r="N625" t="str">
            <v>NWS</v>
          </cell>
          <cell r="O625" t="str">
            <v>NEWS CORP-CL B</v>
          </cell>
          <cell r="P625" t="str">
            <v>NASDAQ GS</v>
          </cell>
          <cell r="Q625" t="str">
            <v>Consumer Discretionary</v>
          </cell>
          <cell r="R625" t="str">
            <v>Media</v>
          </cell>
          <cell r="S625" t="str">
            <v>NWS</v>
          </cell>
        </row>
        <row r="626">
          <cell r="L626" t="str">
            <v>TRIP</v>
          </cell>
          <cell r="M626" t="str">
            <v>TRIPADVISOR-9597196/</v>
          </cell>
          <cell r="N626" t="str">
            <v>TRIP</v>
          </cell>
          <cell r="O626" t="str">
            <v>TRIPADVISOR INC</v>
          </cell>
          <cell r="P626" t="str">
            <v>NASDAQ GS</v>
          </cell>
          <cell r="Q626" t="str">
            <v>Consumer Discretionary</v>
          </cell>
          <cell r="R626" t="str">
            <v>Internet &amp; Direct Marketing Re</v>
          </cell>
          <cell r="S626" t="str">
            <v>TRIP</v>
          </cell>
        </row>
        <row r="627">
          <cell r="L627" t="str">
            <v>PBCT</v>
          </cell>
          <cell r="M627" t="str">
            <v>PEOPLE-S-UNITED-FINANCIAL-10401/</v>
          </cell>
          <cell r="N627" t="str">
            <v>PBCT</v>
          </cell>
          <cell r="O627" t="str">
            <v>PEOPLE'S UNITED</v>
          </cell>
          <cell r="P627" t="str">
            <v>NASDAQ GS</v>
          </cell>
          <cell r="Q627" t="str">
            <v>Financials</v>
          </cell>
          <cell r="R627" t="str">
            <v>Banks</v>
          </cell>
          <cell r="S627" t="str">
            <v>PBCT</v>
          </cell>
        </row>
        <row r="628">
          <cell r="L628" t="str">
            <v>MAT</v>
          </cell>
          <cell r="M628" t="str">
            <v>MATTEL-13462/</v>
          </cell>
          <cell r="N628" t="str">
            <v>MAT</v>
          </cell>
          <cell r="O628" t="str">
            <v>MATTEL INC</v>
          </cell>
          <cell r="P628" t="str">
            <v>NASDAQ GS</v>
          </cell>
          <cell r="Q628" t="str">
            <v>Consumer Discretionary</v>
          </cell>
          <cell r="R628" t="str">
            <v>Leisure Products</v>
          </cell>
          <cell r="S628" t="str">
            <v>MAT</v>
          </cell>
        </row>
        <row r="629">
          <cell r="L629" t="str">
            <v>GT</v>
          </cell>
          <cell r="M629" t="str">
            <v>GOODYEAR-TIRE-RUBBER-CO-12202146/</v>
          </cell>
          <cell r="N629" t="str">
            <v>GT</v>
          </cell>
          <cell r="O629" t="str">
            <v>GOODYEAR TIRE</v>
          </cell>
          <cell r="P629" t="str">
            <v>NASDAQ GS</v>
          </cell>
          <cell r="Q629" t="str">
            <v>Consumer Discretionary</v>
          </cell>
          <cell r="R629" t="str">
            <v>Auto Components</v>
          </cell>
          <cell r="S629" t="str">
            <v>GT</v>
          </cell>
        </row>
        <row r="630">
          <cell r="L630" t="str">
            <v>FOX</v>
          </cell>
          <cell r="M630" t="str">
            <v>21ST-CENTURY-FOX-22620993/</v>
          </cell>
          <cell r="N630" t="str">
            <v>FOX</v>
          </cell>
          <cell r="O630" t="str">
            <v>TWENTY-FIRST - B</v>
          </cell>
          <cell r="P630" t="str">
            <v>NASDAQ GS</v>
          </cell>
          <cell r="Q630" t="str">
            <v>Consumer Discretionary</v>
          </cell>
          <cell r="R630" t="str">
            <v>Media</v>
          </cell>
          <cell r="S630" t="str">
            <v>FOX</v>
          </cell>
        </row>
        <row r="631">
          <cell r="L631" t="str">
            <v>NWS</v>
          </cell>
          <cell r="M631" t="str">
            <v>NEWS-CORP-40311465/</v>
          </cell>
          <cell r="N631" t="str">
            <v>NWS</v>
          </cell>
          <cell r="O631" t="str">
            <v>NEWS CORP-CL B</v>
          </cell>
          <cell r="P631" t="str">
            <v>NASDAQ GS</v>
          </cell>
          <cell r="Q631" t="str">
            <v>Consumer Discretionary</v>
          </cell>
          <cell r="R631" t="str">
            <v>Media</v>
          </cell>
          <cell r="S631" t="str">
            <v>NWS</v>
          </cell>
        </row>
        <row r="632">
          <cell r="L632" t="str">
            <v>AAPL</v>
          </cell>
          <cell r="M632" t="str">
            <v>APPLE-4849/</v>
          </cell>
          <cell r="N632" t="str">
            <v>AAPL</v>
          </cell>
          <cell r="O632" t="str">
            <v>APPLE INC</v>
          </cell>
          <cell r="P632" t="str">
            <v>NASDAQ GS</v>
          </cell>
          <cell r="Q632" t="str">
            <v>Information Technology</v>
          </cell>
          <cell r="R632" t="str">
            <v>Technology Hardware, Storage &amp;</v>
          </cell>
          <cell r="S632" t="str">
            <v>AAPL</v>
          </cell>
        </row>
        <row r="633">
          <cell r="L633" t="str">
            <v>AMZN</v>
          </cell>
          <cell r="M633" t="str">
            <v>AMAZON-COM-12864605/</v>
          </cell>
          <cell r="N633" t="str">
            <v>AMZN</v>
          </cell>
          <cell r="O633" t="str">
            <v>AMAZON.COM INC</v>
          </cell>
          <cell r="P633" t="str">
            <v>NASDAQ GS</v>
          </cell>
          <cell r="Q633" t="str">
            <v>Consumer Discretionary</v>
          </cell>
          <cell r="R633" t="str">
            <v>Internet &amp; Direct Marketing Re</v>
          </cell>
          <cell r="S633" t="str">
            <v>AMZN</v>
          </cell>
        </row>
        <row r="634">
          <cell r="L634" t="str">
            <v>MSFT</v>
          </cell>
          <cell r="M634" t="str">
            <v>MICROSOFT-CORPORATION-4835/</v>
          </cell>
          <cell r="N634" t="str">
            <v>MSFT</v>
          </cell>
          <cell r="O634" t="str">
            <v>MICROSOFT CORP</v>
          </cell>
          <cell r="P634" t="str">
            <v>NASDAQ GS</v>
          </cell>
          <cell r="Q634" t="str">
            <v>Information Technology</v>
          </cell>
          <cell r="R634" t="str">
            <v>Software</v>
          </cell>
          <cell r="S634" t="str">
            <v>MSFT</v>
          </cell>
        </row>
        <row r="635">
          <cell r="L635" t="str">
            <v>GOOGL</v>
          </cell>
          <cell r="M635" t="str">
            <v>ALPHABET-24203373/</v>
          </cell>
          <cell r="N635" t="str">
            <v>GOOGL</v>
          </cell>
          <cell r="O635" t="str">
            <v>ALPHABET INC-A</v>
          </cell>
          <cell r="P635" t="str">
            <v>NASDAQ GS</v>
          </cell>
          <cell r="Q635" t="str">
            <v>Information Technology</v>
          </cell>
          <cell r="R635" t="str">
            <v>Internet Software &amp; Services</v>
          </cell>
          <cell r="S635" t="str">
            <v>GOOGL</v>
          </cell>
        </row>
        <row r="636">
          <cell r="L636" t="str">
            <v>GOOGL</v>
          </cell>
          <cell r="M636" t="str">
            <v>ALPHABET-INC-24203385/</v>
          </cell>
          <cell r="N636" t="str">
            <v>GOOGL</v>
          </cell>
          <cell r="O636" t="str">
            <v>ALPHABET INC-A</v>
          </cell>
          <cell r="P636" t="str">
            <v>NASDAQ GS</v>
          </cell>
          <cell r="Q636" t="str">
            <v>Information Technology</v>
          </cell>
          <cell r="R636" t="str">
            <v>Internet Software &amp; Services</v>
          </cell>
          <cell r="S636" t="str">
            <v>GOOGL</v>
          </cell>
        </row>
        <row r="637">
          <cell r="L637" t="str">
            <v>FB</v>
          </cell>
          <cell r="M637" t="str">
            <v>FACEBOOK-10547141/</v>
          </cell>
          <cell r="N637" t="str">
            <v>FB</v>
          </cell>
          <cell r="O637" t="str">
            <v>FACEBOOK INC-A</v>
          </cell>
          <cell r="P637" t="str">
            <v>NASDAQ GS</v>
          </cell>
          <cell r="Q637" t="str">
            <v>Information Technology</v>
          </cell>
          <cell r="R637" t="str">
            <v>Internet Software &amp; Services</v>
          </cell>
          <cell r="S637" t="str">
            <v>FB</v>
          </cell>
        </row>
        <row r="638">
          <cell r="L638" t="str">
            <v>CSCO</v>
          </cell>
          <cell r="M638" t="str">
            <v>CISCO-SYSTEMS-4862/</v>
          </cell>
          <cell r="N638" t="str">
            <v>CSCO</v>
          </cell>
          <cell r="O638" t="str">
            <v>CISCO SYSTEMS</v>
          </cell>
          <cell r="P638" t="str">
            <v>NASDAQ GS</v>
          </cell>
          <cell r="Q638" t="str">
            <v>Information Technology</v>
          </cell>
          <cell r="R638" t="str">
            <v>Communications Equipment</v>
          </cell>
          <cell r="S638" t="str">
            <v>CSCO</v>
          </cell>
        </row>
        <row r="639">
          <cell r="L639" t="str">
            <v>INTC</v>
          </cell>
          <cell r="M639" t="str">
            <v>INTEL-CORPORATION-4829/</v>
          </cell>
          <cell r="N639" t="str">
            <v>INTC</v>
          </cell>
          <cell r="O639" t="str">
            <v>INTEL CORP</v>
          </cell>
          <cell r="P639" t="str">
            <v>NASDAQ GS</v>
          </cell>
          <cell r="Q639" t="str">
            <v>Information Technology</v>
          </cell>
          <cell r="R639" t="str">
            <v>Semiconductors &amp; Semiconductor</v>
          </cell>
          <cell r="S639" t="str">
            <v>INTC</v>
          </cell>
        </row>
        <row r="640">
          <cell r="L640" t="str">
            <v>NVDA</v>
          </cell>
          <cell r="M640" t="str">
            <v>NVIDIA-CORPORATION-10282/</v>
          </cell>
          <cell r="N640" t="str">
            <v>NVDA</v>
          </cell>
          <cell r="O640" t="str">
            <v>NVIDIA CORP</v>
          </cell>
          <cell r="P640" t="str">
            <v>NASDAQ GS</v>
          </cell>
          <cell r="Q640" t="str">
            <v>Information Technology</v>
          </cell>
          <cell r="R640" t="str">
            <v>Semiconductors &amp; Semiconductor</v>
          </cell>
          <cell r="S640" t="str">
            <v>NVDA</v>
          </cell>
        </row>
        <row r="641">
          <cell r="L641" t="str">
            <v>CMCSA</v>
          </cell>
          <cell r="M641" t="str">
            <v>COMCAST-CORPORATION-4864/</v>
          </cell>
          <cell r="N641" t="str">
            <v>CMCSA</v>
          </cell>
          <cell r="O641" t="str">
            <v>COMCAST CORP-A</v>
          </cell>
          <cell r="P641" t="str">
            <v>NASDAQ GS</v>
          </cell>
          <cell r="Q641" t="str">
            <v>Consumer Discretionary</v>
          </cell>
          <cell r="R641" t="str">
            <v>Media</v>
          </cell>
          <cell r="S641" t="str">
            <v>CMCSA</v>
          </cell>
        </row>
        <row r="642">
          <cell r="L642" t="str">
            <v>NFLX</v>
          </cell>
          <cell r="M642" t="str">
            <v>NETFLIX-44292425/</v>
          </cell>
          <cell r="N642" t="str">
            <v>NFLX</v>
          </cell>
          <cell r="O642" t="str">
            <v>NETFLIX INC</v>
          </cell>
          <cell r="P642" t="str">
            <v>NASDAQ GS</v>
          </cell>
          <cell r="Q642" t="str">
            <v>Consumer Discretionary</v>
          </cell>
          <cell r="R642" t="str">
            <v>Internet &amp; Direct Marketing Re</v>
          </cell>
          <cell r="S642" t="str">
            <v>NFLX</v>
          </cell>
        </row>
        <row r="643">
          <cell r="L643" t="str">
            <v>PEP</v>
          </cell>
          <cell r="M643" t="str">
            <v>PEPSICO-39085159/</v>
          </cell>
          <cell r="N643" t="str">
            <v>PEP</v>
          </cell>
          <cell r="O643" t="str">
            <v>PEPSICO INC</v>
          </cell>
          <cell r="P643" t="str">
            <v>NASDAQ GS</v>
          </cell>
          <cell r="Q643" t="str">
            <v>Consumer Staples</v>
          </cell>
          <cell r="R643" t="str">
            <v>Beverages</v>
          </cell>
          <cell r="S643" t="str">
            <v>PEP</v>
          </cell>
        </row>
        <row r="644">
          <cell r="L644" t="str">
            <v>ADBE</v>
          </cell>
          <cell r="M644" t="str">
            <v>ADOBE-SYSTEMS-4844/</v>
          </cell>
          <cell r="N644" t="str">
            <v>ADBE</v>
          </cell>
          <cell r="O644" t="str">
            <v>ADOBE SYS INC</v>
          </cell>
          <cell r="P644" t="str">
            <v>NASDAQ GS</v>
          </cell>
          <cell r="Q644" t="str">
            <v>Information Technology</v>
          </cell>
          <cell r="R644" t="str">
            <v>Software</v>
          </cell>
          <cell r="S644" t="str">
            <v>ADBE</v>
          </cell>
        </row>
        <row r="645">
          <cell r="L645" t="str">
            <v>AMGN</v>
          </cell>
          <cell r="M645" t="str">
            <v>AMGEN-4847/</v>
          </cell>
          <cell r="N645" t="str">
            <v>AMGN</v>
          </cell>
          <cell r="O645" t="str">
            <v>AMGEN INC</v>
          </cell>
          <cell r="P645" t="str">
            <v>NASDAQ GS</v>
          </cell>
          <cell r="Q645" t="str">
            <v>Health Care</v>
          </cell>
          <cell r="R645" t="str">
            <v>Biotechnology</v>
          </cell>
          <cell r="S645" t="str">
            <v>AMGN</v>
          </cell>
        </row>
        <row r="646">
          <cell r="L646" t="str">
            <v>PYPL</v>
          </cell>
          <cell r="M646" t="str">
            <v>PAYPAL-HOLDINGS-23377703/</v>
          </cell>
          <cell r="N646" t="str">
            <v>PYPL</v>
          </cell>
          <cell r="O646" t="str">
            <v>PAYPAL HOLDINGS</v>
          </cell>
          <cell r="P646" t="str">
            <v>NASDAQ GS</v>
          </cell>
          <cell r="Q646" t="str">
            <v>Information Technology</v>
          </cell>
          <cell r="R646" t="str">
            <v>IT Services</v>
          </cell>
          <cell r="S646" t="str">
            <v>PYPL</v>
          </cell>
        </row>
        <row r="647">
          <cell r="L647" t="str">
            <v>TXN</v>
          </cell>
          <cell r="M647" t="str">
            <v>TEXAS-INSTRUMENTS-9730651/</v>
          </cell>
          <cell r="N647" t="str">
            <v>TXN</v>
          </cell>
          <cell r="O647" t="str">
            <v>TEXAS INSTRUMENT</v>
          </cell>
          <cell r="P647" t="str">
            <v>NASDAQ GS</v>
          </cell>
          <cell r="Q647" t="str">
            <v>Information Technology</v>
          </cell>
          <cell r="R647" t="str">
            <v>Semiconductors &amp; Semiconductor</v>
          </cell>
          <cell r="S647" t="str">
            <v>TXN</v>
          </cell>
        </row>
        <row r="648">
          <cell r="L648" t="str">
            <v>COST</v>
          </cell>
          <cell r="M648" t="str">
            <v>COSTCO-WHOLESALE-CORPORAT-4866/</v>
          </cell>
          <cell r="N648" t="str">
            <v>COST</v>
          </cell>
          <cell r="O648" t="str">
            <v>COSTCO WHOLESALE</v>
          </cell>
          <cell r="P648" t="str">
            <v>NASDAQ GS</v>
          </cell>
          <cell r="Q648" t="str">
            <v>Consumer Staples</v>
          </cell>
          <cell r="R648" t="str">
            <v>Food &amp; Staples Retailing</v>
          </cell>
          <cell r="S648" t="str">
            <v>COST</v>
          </cell>
        </row>
        <row r="649">
          <cell r="L649" t="str">
            <v>QCOM</v>
          </cell>
          <cell r="M649" t="str">
            <v>QUALCOMM-4897/</v>
          </cell>
          <cell r="N649" t="str">
            <v>QCOM</v>
          </cell>
          <cell r="O649" t="str">
            <v>QUALCOMM INC</v>
          </cell>
          <cell r="P649" t="str">
            <v>NASDAQ GS</v>
          </cell>
          <cell r="Q649" t="str">
            <v>Information Technology</v>
          </cell>
          <cell r="R649" t="str">
            <v>Semiconductors &amp; Semiconductor</v>
          </cell>
          <cell r="S649" t="str">
            <v>QCOM</v>
          </cell>
        </row>
        <row r="650">
          <cell r="L650" t="str">
            <v>GILD</v>
          </cell>
          <cell r="M650" t="str">
            <v>GILEAD-SCIENCES-4876/</v>
          </cell>
          <cell r="N650" t="str">
            <v>GILD</v>
          </cell>
          <cell r="O650" t="str">
            <v>GILEAD SCIENCES</v>
          </cell>
          <cell r="P650" t="str">
            <v>NASDAQ GS</v>
          </cell>
          <cell r="Q650" t="str">
            <v>Health Care</v>
          </cell>
          <cell r="R650" t="str">
            <v>Biotechnology</v>
          </cell>
          <cell r="S650" t="str">
            <v>GILD</v>
          </cell>
        </row>
        <row r="651">
          <cell r="L651" t="str">
            <v>AVGO</v>
          </cell>
          <cell r="M651" t="str">
            <v>BROADCOM-INC-42668543/</v>
          </cell>
          <cell r="N651" t="str">
            <v>AVGO</v>
          </cell>
          <cell r="O651" t="str">
            <v>BROADCOM INC</v>
          </cell>
          <cell r="P651" t="str">
            <v>NASDAQ GS</v>
          </cell>
          <cell r="Q651" t="str">
            <v>Information Technology</v>
          </cell>
          <cell r="R651" t="str">
            <v>Semiconductors &amp; Semiconductor</v>
          </cell>
          <cell r="S651" t="str">
            <v>AVGO</v>
          </cell>
        </row>
        <row r="652">
          <cell r="L652" t="str">
            <v>BKNG</v>
          </cell>
          <cell r="M652" t="str">
            <v>BOOKING-HOLDINGS-INC-41613106/</v>
          </cell>
          <cell r="N652" t="str">
            <v>BKNG</v>
          </cell>
          <cell r="O652" t="str">
            <v>BOOKING HOLDINGS</v>
          </cell>
          <cell r="P652" t="str">
            <v>NASDAQ GS</v>
          </cell>
          <cell r="Q652" t="str">
            <v>Consumer Discretionary</v>
          </cell>
          <cell r="R652" t="str">
            <v>Internet &amp; Direct Marketing Re</v>
          </cell>
          <cell r="S652" t="str">
            <v>BKNG</v>
          </cell>
        </row>
        <row r="653">
          <cell r="L653" t="str">
            <v>ASML</v>
          </cell>
          <cell r="M653" t="str">
            <v>ASML-HOLDING-NV-12012067/</v>
          </cell>
          <cell r="N653" t="str">
            <v>ASML</v>
          </cell>
          <cell r="O653" t="str">
            <v>ASML HOLDING-NY</v>
          </cell>
          <cell r="P653" t="str">
            <v>NASDAQ GS</v>
          </cell>
          <cell r="Q653" t="str">
            <v>Information Technology</v>
          </cell>
          <cell r="R653" t="str">
            <v>Semiconductors &amp; Semiconductor</v>
          </cell>
          <cell r="S653" t="str">
            <v>ASML</v>
          </cell>
        </row>
        <row r="654">
          <cell r="L654" t="str">
            <v>FOXA</v>
          </cell>
          <cell r="M654" t="str">
            <v>TWENTY-FIRST-CENTURY-FOX-13440463/</v>
          </cell>
          <cell r="N654" t="str">
            <v>FOXA</v>
          </cell>
          <cell r="O654" t="str">
            <v>TWENTY-FIRST C-A</v>
          </cell>
          <cell r="P654" t="str">
            <v>NASDAQ GS</v>
          </cell>
          <cell r="Q654" t="str">
            <v>Consumer Discretionary</v>
          </cell>
          <cell r="R654" t="str">
            <v>Media</v>
          </cell>
          <cell r="S654" t="str">
            <v>FOXA</v>
          </cell>
        </row>
        <row r="655">
          <cell r="L655" t="str">
            <v>BIDU</v>
          </cell>
          <cell r="M655" t="str">
            <v>BAIDU-8563/</v>
          </cell>
          <cell r="N655" t="str">
            <v>BIDU</v>
          </cell>
          <cell r="O655" t="str">
            <v>BAIDU INC-SP ADR</v>
          </cell>
          <cell r="P655" t="str">
            <v>NASDAQ GS</v>
          </cell>
          <cell r="Q655" t="str">
            <v>Information Technology</v>
          </cell>
          <cell r="R655" t="str">
            <v>Internet Software &amp; Services</v>
          </cell>
          <cell r="S655" t="str">
            <v>BIDU</v>
          </cell>
        </row>
        <row r="656">
          <cell r="L656" t="str">
            <v>CHTR</v>
          </cell>
          <cell r="M656" t="str">
            <v>CHARTER-COMMUNICATIONS-IN-27738754/</v>
          </cell>
          <cell r="N656" t="str">
            <v>CHTR</v>
          </cell>
          <cell r="O656" t="str">
            <v>CHARTER COMMUN-A</v>
          </cell>
          <cell r="P656" t="str">
            <v>NASDAQ GS</v>
          </cell>
          <cell r="Q656" t="str">
            <v>Consumer Discretionary</v>
          </cell>
          <cell r="R656" t="str">
            <v>Media</v>
          </cell>
          <cell r="S656" t="str">
            <v>CHTR</v>
          </cell>
        </row>
        <row r="657">
          <cell r="L657" t="str">
            <v>SBUX</v>
          </cell>
          <cell r="M657" t="str">
            <v>STARBUCKS-CORPORATION-4905/</v>
          </cell>
          <cell r="N657" t="str">
            <v>SBUX</v>
          </cell>
          <cell r="O657" t="str">
            <v>STARBUCKS CORP</v>
          </cell>
          <cell r="P657" t="str">
            <v>NASDAQ GS</v>
          </cell>
          <cell r="Q657" t="str">
            <v>Consumer Discretionary</v>
          </cell>
          <cell r="R657" t="str">
            <v>Hotels, Restaurants &amp; Leisure</v>
          </cell>
          <cell r="S657" t="str">
            <v>SBUX</v>
          </cell>
        </row>
        <row r="658">
          <cell r="L658" t="str">
            <v>BIIB</v>
          </cell>
          <cell r="M658" t="str">
            <v>BIOGEN-4853/</v>
          </cell>
          <cell r="N658" t="str">
            <v>BIIB</v>
          </cell>
          <cell r="O658" t="str">
            <v>BIOGEN INC</v>
          </cell>
          <cell r="P658" t="str">
            <v>NASDAQ GS</v>
          </cell>
          <cell r="Q658" t="str">
            <v>Health Care</v>
          </cell>
          <cell r="R658" t="str">
            <v>Biotechnology</v>
          </cell>
          <cell r="S658" t="str">
            <v>BIIB</v>
          </cell>
        </row>
        <row r="659">
          <cell r="L659" t="str">
            <v>WBA</v>
          </cell>
          <cell r="M659" t="str">
            <v>WALGREENS-BOOTS-ALLIANCE-19356230/</v>
          </cell>
          <cell r="N659" t="str">
            <v>WBA</v>
          </cell>
          <cell r="O659" t="str">
            <v>WALGREENS BOOTS</v>
          </cell>
          <cell r="P659" t="str">
            <v>NASDAQ GS</v>
          </cell>
          <cell r="Q659" t="str">
            <v>Consumer Staples</v>
          </cell>
          <cell r="R659" t="str">
            <v>Food &amp; Staples Retailing</v>
          </cell>
          <cell r="S659" t="str">
            <v>WBA</v>
          </cell>
        </row>
        <row r="660">
          <cell r="L660" t="str">
            <v>CELG</v>
          </cell>
          <cell r="M660" t="str">
            <v>CELGENE-CORPORATION-8736/</v>
          </cell>
          <cell r="N660" t="str">
            <v>CELG</v>
          </cell>
          <cell r="O660" t="str">
            <v>CELGENE CORP</v>
          </cell>
          <cell r="P660" t="str">
            <v>NASDAQ GS</v>
          </cell>
          <cell r="Q660" t="str">
            <v>Health Care</v>
          </cell>
          <cell r="R660" t="str">
            <v>Biotechnology</v>
          </cell>
          <cell r="S660" t="str">
            <v>CELG</v>
          </cell>
        </row>
        <row r="661">
          <cell r="L661" t="str">
            <v>CSX</v>
          </cell>
          <cell r="M661" t="str">
            <v>CSX-CORPORATION-25500636/</v>
          </cell>
          <cell r="N661" t="str">
            <v>CSX</v>
          </cell>
          <cell r="O661" t="str">
            <v>CSX CORP</v>
          </cell>
          <cell r="P661" t="str">
            <v>NASDAQ GS</v>
          </cell>
          <cell r="Q661" t="str">
            <v>Industrials</v>
          </cell>
          <cell r="R661" t="str">
            <v>Road &amp; Rail</v>
          </cell>
          <cell r="S661" t="str">
            <v>CSX</v>
          </cell>
        </row>
        <row r="662">
          <cell r="L662" t="str">
            <v>ADP</v>
          </cell>
          <cell r="M662" t="str">
            <v>AUTOMATIC-DATA-PROCESSING-11713/</v>
          </cell>
          <cell r="N662" t="str">
            <v>ADP</v>
          </cell>
          <cell r="O662" t="str">
            <v>AUTOMATIC DATA</v>
          </cell>
          <cell r="P662" t="str">
            <v>NASDAQ GS</v>
          </cell>
          <cell r="Q662" t="str">
            <v>Information Technology</v>
          </cell>
          <cell r="R662" t="str">
            <v>IT Services</v>
          </cell>
          <cell r="S662" t="str">
            <v>ADP</v>
          </cell>
        </row>
        <row r="663">
          <cell r="L663" t="str">
            <v>ISRG</v>
          </cell>
          <cell r="M663" t="str">
            <v>INTUITIVE-SURGICAL-9740/</v>
          </cell>
          <cell r="N663" t="str">
            <v>ISRG</v>
          </cell>
          <cell r="O663" t="str">
            <v>INTUITIVE SURGIC</v>
          </cell>
          <cell r="P663" t="str">
            <v>NASDAQ GS</v>
          </cell>
          <cell r="Q663" t="str">
            <v>Health Care</v>
          </cell>
          <cell r="R663" t="str">
            <v>Health Care Equipment &amp; Suppli</v>
          </cell>
          <cell r="S663" t="str">
            <v>ISRG</v>
          </cell>
        </row>
        <row r="664">
          <cell r="L664" t="str">
            <v>MDLZ</v>
          </cell>
          <cell r="M664" t="str">
            <v>MONDELEZ-INTERNATIONAL-11499018/</v>
          </cell>
          <cell r="N664" t="str">
            <v>MDLZ</v>
          </cell>
          <cell r="O664" t="str">
            <v>MONDELEZ INTER-A</v>
          </cell>
          <cell r="P664" t="str">
            <v>NASDAQ GS</v>
          </cell>
          <cell r="Q664" t="str">
            <v>Consumer Staples</v>
          </cell>
          <cell r="R664" t="str">
            <v>Food Products</v>
          </cell>
          <cell r="S664" t="str">
            <v>MDLZ</v>
          </cell>
        </row>
        <row r="665">
          <cell r="L665" t="str">
            <v>CME</v>
          </cell>
          <cell r="M665" t="str">
            <v>CME-GROUP-3782767/</v>
          </cell>
          <cell r="N665" t="str">
            <v>CME</v>
          </cell>
          <cell r="O665" t="str">
            <v>CME GROUP INC</v>
          </cell>
          <cell r="P665" t="str">
            <v>NASDAQ GS</v>
          </cell>
          <cell r="Q665" t="str">
            <v>Financials</v>
          </cell>
          <cell r="R665" t="str">
            <v>Capital Markets</v>
          </cell>
          <cell r="S665" t="str">
            <v>CME</v>
          </cell>
        </row>
        <row r="666">
          <cell r="L666" t="str">
            <v>MSFT</v>
          </cell>
          <cell r="M666" t="str">
            <v>MICRON-TECHNOLOGY-13639/</v>
          </cell>
          <cell r="N666" t="str">
            <v>MSFT</v>
          </cell>
          <cell r="O666" t="str">
            <v>MICROSOFT CORP</v>
          </cell>
          <cell r="P666" t="str">
            <v>NASDAQ GS</v>
          </cell>
          <cell r="Q666" t="str">
            <v>Information Technology</v>
          </cell>
          <cell r="R666" t="str">
            <v>Software</v>
          </cell>
          <cell r="S666" t="str">
            <v>MSFT</v>
          </cell>
        </row>
        <row r="667">
          <cell r="L667" t="str">
            <v>ISRG</v>
          </cell>
          <cell r="M667" t="str">
            <v>INTUIT-23277275/</v>
          </cell>
          <cell r="N667" t="str">
            <v>ISRG</v>
          </cell>
          <cell r="O667" t="str">
            <v>INTUITIVE SURGIC</v>
          </cell>
          <cell r="P667" t="str">
            <v>NASDAQ GS</v>
          </cell>
          <cell r="Q667" t="str">
            <v>Health Care</v>
          </cell>
          <cell r="R667" t="str">
            <v>Health Care Equipment &amp; Suppli</v>
          </cell>
          <cell r="S667" t="str">
            <v>ISRG</v>
          </cell>
        </row>
        <row r="668">
          <cell r="L668" t="str">
            <v>VOD</v>
          </cell>
          <cell r="M668" t="str">
            <v>VODAFONE-GROUP-PLC-15867078/</v>
          </cell>
          <cell r="N668" t="str">
            <v>VOD</v>
          </cell>
          <cell r="O668" t="str">
            <v>VODAFONE GRP-ADR</v>
          </cell>
          <cell r="P668" t="str">
            <v>NASDAQ GS</v>
          </cell>
          <cell r="Q668" t="str">
            <v>Telecommunication Services</v>
          </cell>
          <cell r="R668" t="str">
            <v>Wireless Telecommunication Ser</v>
          </cell>
          <cell r="S668" t="str">
            <v>VOD</v>
          </cell>
        </row>
        <row r="669">
          <cell r="L669" t="str">
            <v>TMUS</v>
          </cell>
          <cell r="M669" t="str">
            <v>T-MOBILE-US-24717887/</v>
          </cell>
          <cell r="N669" t="str">
            <v>TMUS</v>
          </cell>
          <cell r="O669" t="str">
            <v>T-MOBILE US INC</v>
          </cell>
          <cell r="P669" t="str">
            <v>NASDAQ GS</v>
          </cell>
          <cell r="Q669" t="str">
            <v>Telecommunication Services</v>
          </cell>
          <cell r="R669" t="str">
            <v>Wireless Telecommunication Ser</v>
          </cell>
          <cell r="S669" t="str">
            <v>TMUS</v>
          </cell>
        </row>
        <row r="670">
          <cell r="L670" t="str">
            <v>ATVI</v>
          </cell>
          <cell r="M670" t="str">
            <v>ACTIVISION-BLIZZARD-3780631/</v>
          </cell>
          <cell r="N670" t="str">
            <v>ATVI</v>
          </cell>
          <cell r="O670" t="str">
            <v>ACTIVISION BLIZZ</v>
          </cell>
          <cell r="P670" t="str">
            <v>NASDAQ GS</v>
          </cell>
          <cell r="Q670" t="str">
            <v>Information Technology</v>
          </cell>
          <cell r="R670" t="str">
            <v>Software</v>
          </cell>
          <cell r="S670" t="str">
            <v>ATVI</v>
          </cell>
        </row>
        <row r="671">
          <cell r="L671" t="str">
            <v>SHPG</v>
          </cell>
          <cell r="M671" t="str">
            <v>SHIRE-PLC-10825/</v>
          </cell>
          <cell r="N671" t="str">
            <v>SHPG</v>
          </cell>
          <cell r="O671" t="str">
            <v>SHIRE PLC-ADR</v>
          </cell>
          <cell r="P671" t="str">
            <v>NASDAQ GS</v>
          </cell>
          <cell r="Q671" t="str">
            <v>Health Care</v>
          </cell>
          <cell r="R671" t="str">
            <v>Biotechnology</v>
          </cell>
          <cell r="S671" t="str">
            <v>SHPG</v>
          </cell>
        </row>
        <row r="672">
          <cell r="L672" t="str">
            <v>ILMN</v>
          </cell>
          <cell r="M672" t="str">
            <v>ILLUMINA-9659/</v>
          </cell>
          <cell r="N672" t="str">
            <v>ILMN</v>
          </cell>
          <cell r="O672" t="str">
            <v>ILLUMINA INC</v>
          </cell>
          <cell r="P672" t="str">
            <v>NASDAQ GS</v>
          </cell>
          <cell r="Q672" t="str">
            <v>Health Care</v>
          </cell>
          <cell r="R672" t="str">
            <v>Life Sciences Tools &amp; Services</v>
          </cell>
          <cell r="S672" t="str">
            <v>ILMN</v>
          </cell>
        </row>
        <row r="673">
          <cell r="L673" t="str">
            <v>TSLA</v>
          </cell>
          <cell r="M673" t="str">
            <v>TESLA-6344549/</v>
          </cell>
          <cell r="N673" t="str">
            <v>TSLA</v>
          </cell>
          <cell r="O673" t="str">
            <v>TESLA INC</v>
          </cell>
          <cell r="P673" t="str">
            <v>NASDAQ GS</v>
          </cell>
          <cell r="Q673" t="str">
            <v>Consumer Discretionary</v>
          </cell>
          <cell r="R673" t="str">
            <v>Automobiles</v>
          </cell>
          <cell r="S673" t="str">
            <v>TSLA</v>
          </cell>
        </row>
        <row r="674">
          <cell r="L674" t="str">
            <v>ESRX</v>
          </cell>
          <cell r="M674" t="str">
            <v>EXPRESS-SCRIPTS-HOLDING-C-10515323/</v>
          </cell>
          <cell r="N674" t="str">
            <v>ESRX</v>
          </cell>
          <cell r="O674" t="str">
            <v>EXPRESS SCRIPTS</v>
          </cell>
          <cell r="P674" t="str">
            <v>NASDAQ GS</v>
          </cell>
          <cell r="Q674" t="str">
            <v>Health Care</v>
          </cell>
          <cell r="R674" t="str">
            <v>Health Care Providers &amp; Servic</v>
          </cell>
          <cell r="S674" t="str">
            <v>ESRX</v>
          </cell>
        </row>
        <row r="675">
          <cell r="L675" t="str">
            <v>VRTX</v>
          </cell>
          <cell r="M675" t="str">
            <v>VERTEX-PHARMACEUTICALS-11321/</v>
          </cell>
          <cell r="N675" t="str">
            <v>VRTX</v>
          </cell>
          <cell r="O675" t="str">
            <v>VERTEX PHARM</v>
          </cell>
          <cell r="P675" t="str">
            <v>NASDAQ GS</v>
          </cell>
          <cell r="Q675" t="str">
            <v>Health Care</v>
          </cell>
          <cell r="R675" t="str">
            <v>Biotechnology</v>
          </cell>
          <cell r="S675" t="str">
            <v>VRTX</v>
          </cell>
        </row>
        <row r="676">
          <cell r="L676" t="str">
            <v>MAR</v>
          </cell>
          <cell r="M676" t="str">
            <v>MARRIOTT-INTERNATIONAL-14633490/</v>
          </cell>
          <cell r="N676" t="str">
            <v>MAR</v>
          </cell>
          <cell r="O676" t="str">
            <v>MARRIOTT INTL-A</v>
          </cell>
          <cell r="P676" t="str">
            <v>NASDAQ GS</v>
          </cell>
          <cell r="Q676" t="str">
            <v>Consumer Discretionary</v>
          </cell>
          <cell r="R676" t="str">
            <v>Hotels, Restaurants &amp; Leisure</v>
          </cell>
          <cell r="S676" t="str">
            <v>MAR</v>
          </cell>
        </row>
        <row r="677">
          <cell r="L677" t="str">
            <v>CTSH</v>
          </cell>
          <cell r="M677" t="str">
            <v>COGNIZANT-TECHNOLOGY-SOLU-23219296/</v>
          </cell>
          <cell r="N677" t="str">
            <v>CTSH</v>
          </cell>
          <cell r="O677" t="str">
            <v>COGNIZANT TECH-A</v>
          </cell>
          <cell r="P677" t="str">
            <v>NASDAQ GS</v>
          </cell>
          <cell r="Q677" t="str">
            <v>Information Technology</v>
          </cell>
          <cell r="R677" t="str">
            <v>IT Services</v>
          </cell>
          <cell r="S677" t="str">
            <v>CTSH</v>
          </cell>
        </row>
        <row r="678">
          <cell r="L678" t="str">
            <v>REGN</v>
          </cell>
          <cell r="M678" t="str">
            <v>REGENERON-PHARMACEUTICALS-10649/</v>
          </cell>
          <cell r="N678" t="str">
            <v>REGN</v>
          </cell>
          <cell r="O678" t="str">
            <v>REGENERON PHARM</v>
          </cell>
          <cell r="P678" t="str">
            <v>NASDAQ GS</v>
          </cell>
          <cell r="Q678" t="str">
            <v>Health Care</v>
          </cell>
          <cell r="R678" t="str">
            <v>Biotechnology</v>
          </cell>
          <cell r="S678" t="str">
            <v>REGN</v>
          </cell>
        </row>
        <row r="679">
          <cell r="L679" t="str">
            <v>JD</v>
          </cell>
          <cell r="M679" t="str">
            <v>JD-COM-16538052/</v>
          </cell>
          <cell r="N679" t="str">
            <v>JD</v>
          </cell>
          <cell r="O679" t="str">
            <v>JD.COM INC-ADR</v>
          </cell>
          <cell r="P679" t="str">
            <v>NASDAQ GS</v>
          </cell>
          <cell r="Q679" t="str">
            <v>Consumer Discretionary</v>
          </cell>
          <cell r="R679" t="str">
            <v>Internet &amp; Direct Marketing Re</v>
          </cell>
          <cell r="S679" t="str">
            <v>JD</v>
          </cell>
        </row>
        <row r="680">
          <cell r="L680" t="str">
            <v>AMAT</v>
          </cell>
          <cell r="M680" t="str">
            <v>APPLIED-MATERIALS-4850/</v>
          </cell>
          <cell r="N680" t="str">
            <v>AMAT</v>
          </cell>
          <cell r="O680" t="str">
            <v>APPLIED MATERIAL</v>
          </cell>
          <cell r="P680" t="str">
            <v>NASDAQ GS</v>
          </cell>
          <cell r="Q680" t="str">
            <v>Information Technology</v>
          </cell>
          <cell r="R680" t="str">
            <v>Semiconductors &amp; Semiconductor</v>
          </cell>
          <cell r="S680" t="str">
            <v>AMAT</v>
          </cell>
        </row>
        <row r="681">
          <cell r="L681" t="str">
            <v>ROST</v>
          </cell>
          <cell r="M681" t="str">
            <v>ROSS-STORES-4927/</v>
          </cell>
          <cell r="N681" t="str">
            <v>ROST</v>
          </cell>
          <cell r="O681" t="str">
            <v>ROSS STORES INC</v>
          </cell>
          <cell r="P681" t="str">
            <v>NASDAQ GS</v>
          </cell>
          <cell r="Q681" t="str">
            <v>Consumer Discretionary</v>
          </cell>
          <cell r="R681" t="str">
            <v>Specialty Retail</v>
          </cell>
          <cell r="S681" t="str">
            <v>ROST</v>
          </cell>
        </row>
        <row r="682">
          <cell r="L682" t="str">
            <v>ADI</v>
          </cell>
          <cell r="M682" t="str">
            <v>ANALOG-DEVICES-10345717/</v>
          </cell>
          <cell r="N682" t="str">
            <v>ADI</v>
          </cell>
          <cell r="O682" t="str">
            <v>ANALOG DEVICES</v>
          </cell>
          <cell r="P682" t="str">
            <v>NASDAQ GS</v>
          </cell>
          <cell r="Q682" t="str">
            <v>Information Technology</v>
          </cell>
          <cell r="R682" t="str">
            <v>Semiconductors &amp; Semiconductor</v>
          </cell>
          <cell r="S682" t="str">
            <v>ADI</v>
          </cell>
        </row>
        <row r="683">
          <cell r="L683" t="str">
            <v>EA</v>
          </cell>
          <cell r="M683" t="str">
            <v>ELECTRONIC-ARTS-9664624/</v>
          </cell>
          <cell r="N683" t="str">
            <v>EA</v>
          </cell>
          <cell r="O683" t="str">
            <v>ELECTRONIC ARTS</v>
          </cell>
          <cell r="P683" t="str">
            <v>NASDAQ GS</v>
          </cell>
          <cell r="Q683" t="str">
            <v>Information Technology</v>
          </cell>
          <cell r="R683" t="str">
            <v>Software</v>
          </cell>
          <cell r="S683" t="str">
            <v>EA</v>
          </cell>
        </row>
        <row r="684">
          <cell r="L684" t="str">
            <v>EQIX</v>
          </cell>
          <cell r="M684" t="str">
            <v>EQUINIX-INC-20565916/</v>
          </cell>
          <cell r="N684" t="str">
            <v>EQIX</v>
          </cell>
          <cell r="O684" t="str">
            <v>EQUINIX INC</v>
          </cell>
          <cell r="P684" t="str">
            <v>NASDAQ GS</v>
          </cell>
          <cell r="Q684" t="str">
            <v>Real Estate</v>
          </cell>
          <cell r="R684" t="str">
            <v>Equity Real Estate Investment</v>
          </cell>
          <cell r="S684" t="str">
            <v>EQIX</v>
          </cell>
        </row>
        <row r="685">
          <cell r="L685" t="str">
            <v>WDAY</v>
          </cell>
          <cell r="M685" t="str">
            <v>WORKDAY-37866670/</v>
          </cell>
          <cell r="N685" t="str">
            <v>WDAY</v>
          </cell>
          <cell r="O685" t="str">
            <v>WORKDAY INC-A</v>
          </cell>
          <cell r="P685" t="str">
            <v>NASDAQ GS</v>
          </cell>
          <cell r="Q685" t="str">
            <v>Information Technology</v>
          </cell>
          <cell r="R685" t="str">
            <v>Software</v>
          </cell>
          <cell r="S685" t="str">
            <v>WDAY</v>
          </cell>
        </row>
        <row r="686">
          <cell r="L686" t="str">
            <v>MNST</v>
          </cell>
          <cell r="M686" t="str">
            <v>MONSTER-BEVERAGE-CORP-22497283/</v>
          </cell>
          <cell r="N686" t="str">
            <v>MNST</v>
          </cell>
          <cell r="O686" t="str">
            <v>MONSTER BEVERAGE</v>
          </cell>
          <cell r="P686" t="str">
            <v>NASDAQ GS</v>
          </cell>
          <cell r="Q686" t="str">
            <v>Consumer Staples</v>
          </cell>
          <cell r="R686" t="str">
            <v>Beverages</v>
          </cell>
          <cell r="S686" t="str">
            <v>MNST</v>
          </cell>
        </row>
        <row r="687">
          <cell r="L687" t="str">
            <v>ADSK</v>
          </cell>
          <cell r="M687" t="str">
            <v>AUTODESK-40246776/</v>
          </cell>
          <cell r="N687" t="str">
            <v>ADSK</v>
          </cell>
          <cell r="O687" t="str">
            <v>AUTODESK INC</v>
          </cell>
          <cell r="P687" t="str">
            <v>NASDAQ GS</v>
          </cell>
          <cell r="Q687" t="str">
            <v>Information Technology</v>
          </cell>
          <cell r="R687" t="str">
            <v>Software</v>
          </cell>
          <cell r="S687" t="str">
            <v>ADSK</v>
          </cell>
        </row>
        <row r="688">
          <cell r="L688" t="str">
            <v>AMTD</v>
          </cell>
          <cell r="M688" t="str">
            <v>TD-AMERITRADE-HOLDING-COR-8368/</v>
          </cell>
          <cell r="N688" t="str">
            <v>AMTD</v>
          </cell>
          <cell r="O688" t="str">
            <v>TD AMERITRADE HO</v>
          </cell>
          <cell r="P688" t="str">
            <v>NASDAQ GS</v>
          </cell>
          <cell r="Q688" t="str">
            <v>Financials</v>
          </cell>
          <cell r="R688" t="str">
            <v>Capital Markets</v>
          </cell>
          <cell r="S688" t="str">
            <v>AMTD</v>
          </cell>
        </row>
        <row r="689">
          <cell r="L689" t="str">
            <v>NXPI</v>
          </cell>
          <cell r="M689" t="str">
            <v>NXP-SEMICONDUCTORS-NV-6467512/</v>
          </cell>
          <cell r="N689" t="str">
            <v>NXPI</v>
          </cell>
          <cell r="O689" t="str">
            <v>NXP SEMICONDUCTO</v>
          </cell>
          <cell r="P689" t="str">
            <v>NASDAQ GS</v>
          </cell>
          <cell r="Q689" t="str">
            <v>Information Technology</v>
          </cell>
          <cell r="R689" t="str">
            <v>Semiconductors &amp; Semiconductor</v>
          </cell>
          <cell r="S689" t="str">
            <v>NXPI</v>
          </cell>
        </row>
        <row r="690">
          <cell r="L690" t="str">
            <v>FISV</v>
          </cell>
          <cell r="M690" t="str">
            <v>FISERV-4873/</v>
          </cell>
          <cell r="N690" t="str">
            <v>FISV</v>
          </cell>
          <cell r="O690" t="str">
            <v>FISERV INC</v>
          </cell>
          <cell r="P690" t="str">
            <v>NASDAQ GS</v>
          </cell>
          <cell r="Q690" t="str">
            <v>Information Technology</v>
          </cell>
          <cell r="R690" t="str">
            <v>IT Services</v>
          </cell>
          <cell r="S690" t="str">
            <v>FISV</v>
          </cell>
        </row>
        <row r="691">
          <cell r="L691" t="str">
            <v>SIRI</v>
          </cell>
          <cell r="M691" t="str">
            <v>SIRIUS-XM-HOLDINGS-INC-14962202/</v>
          </cell>
          <cell r="N691" t="str">
            <v>SIRI</v>
          </cell>
          <cell r="O691" t="str">
            <v>SIRIUS XM HOLDIN</v>
          </cell>
          <cell r="P691" t="str">
            <v>NASDAQ GS</v>
          </cell>
          <cell r="Q691" t="str">
            <v>Consumer Discretionary</v>
          </cell>
          <cell r="R691" t="str">
            <v>Media</v>
          </cell>
          <cell r="S691" t="str">
            <v>SIRI</v>
          </cell>
        </row>
        <row r="692">
          <cell r="L692" t="str">
            <v>ALGN</v>
          </cell>
          <cell r="M692" t="str">
            <v>ALIGN-TECHNOLOGY-8316/</v>
          </cell>
          <cell r="N692" t="str">
            <v>ALGN</v>
          </cell>
          <cell r="O692" t="str">
            <v>ALIGN TECHNOLOGY</v>
          </cell>
          <cell r="P692" t="str">
            <v>NASDAQ GS</v>
          </cell>
          <cell r="Q692" t="str">
            <v>Health Care</v>
          </cell>
          <cell r="R692" t="str">
            <v>Health Care Equipment &amp; Suppli</v>
          </cell>
          <cell r="S692" t="str">
            <v>ALGN</v>
          </cell>
        </row>
        <row r="693">
          <cell r="L693" t="str">
            <v>ORLY</v>
          </cell>
          <cell r="M693" t="str">
            <v>O-REILLY-AUTOMOTIVE-INC-10363/</v>
          </cell>
          <cell r="N693" t="str">
            <v>ORLY</v>
          </cell>
          <cell r="O693" t="str">
            <v>O'REILLY AUTOMOT</v>
          </cell>
          <cell r="P693" t="str">
            <v>NASDAQ GS</v>
          </cell>
          <cell r="Q693" t="str">
            <v>Consumer Discretionary</v>
          </cell>
          <cell r="R693" t="str">
            <v>Specialty Retail</v>
          </cell>
          <cell r="S693" t="str">
            <v>ORLY</v>
          </cell>
        </row>
        <row r="694">
          <cell r="L694" t="str">
            <v>LRCX</v>
          </cell>
          <cell r="M694" t="str">
            <v>LAM-RESEARCH-CORPORATION-4877/</v>
          </cell>
          <cell r="N694" t="str">
            <v>LRCX</v>
          </cell>
          <cell r="O694" t="str">
            <v>LAM RESEARCH</v>
          </cell>
          <cell r="P694" t="str">
            <v>NASDAQ GS</v>
          </cell>
          <cell r="Q694" t="str">
            <v>Information Technology</v>
          </cell>
          <cell r="R694" t="str">
            <v>Semiconductors &amp; Semiconductor</v>
          </cell>
          <cell r="S694" t="str">
            <v>LRCX</v>
          </cell>
        </row>
        <row r="695">
          <cell r="L695" t="str">
            <v>ALXN</v>
          </cell>
          <cell r="M695" t="str">
            <v>ALEXION-PHARMACEUTICALS-8334/</v>
          </cell>
          <cell r="N695" t="str">
            <v>ALXN</v>
          </cell>
          <cell r="O695" t="str">
            <v>ALEXION PHARM</v>
          </cell>
          <cell r="P695" t="str">
            <v>NASDAQ GS</v>
          </cell>
          <cell r="Q695" t="str">
            <v>Health Care</v>
          </cell>
          <cell r="R695" t="str">
            <v>Biotechnology</v>
          </cell>
          <cell r="S695" t="str">
            <v>ALXN</v>
          </cell>
        </row>
        <row r="696">
          <cell r="L696" t="str">
            <v>PAYX</v>
          </cell>
          <cell r="M696" t="str">
            <v>PAYCHEX-4894/</v>
          </cell>
          <cell r="N696" t="str">
            <v>PAYX</v>
          </cell>
          <cell r="O696" t="str">
            <v>PAYCHEX INC</v>
          </cell>
          <cell r="P696" t="str">
            <v>NASDAQ GS</v>
          </cell>
          <cell r="Q696" t="str">
            <v>Information Technology</v>
          </cell>
          <cell r="R696" t="str">
            <v>IT Services</v>
          </cell>
          <cell r="S696" t="str">
            <v>PAYX</v>
          </cell>
        </row>
        <row r="697">
          <cell r="L697" t="str">
            <v>NTES</v>
          </cell>
          <cell r="M697" t="str">
            <v>NETEASE-10259/</v>
          </cell>
          <cell r="N697" t="str">
            <v>NTES</v>
          </cell>
          <cell r="O697" t="str">
            <v>NETEASE INC-ADR</v>
          </cell>
          <cell r="P697" t="str">
            <v>NASDAQ GS</v>
          </cell>
          <cell r="Q697" t="str">
            <v>Information Technology</v>
          </cell>
          <cell r="R697" t="str">
            <v>Internet Software &amp; Services</v>
          </cell>
          <cell r="S697" t="str">
            <v>NTES</v>
          </cell>
        </row>
        <row r="698">
          <cell r="L698" t="str">
            <v>LBTYB</v>
          </cell>
          <cell r="M698" t="str">
            <v>LIBERTY-BRAVES-GROUP-27114221/</v>
          </cell>
          <cell r="N698" t="str">
            <v>LBTYB</v>
          </cell>
          <cell r="O698" t="str">
            <v>LIBERTY GLOBAL-B</v>
          </cell>
          <cell r="P698" t="str">
            <v>NASDAQ GS</v>
          </cell>
          <cell r="Q698" t="str">
            <v>Consumer Discretionary</v>
          </cell>
          <cell r="R698" t="str">
            <v>Media</v>
          </cell>
          <cell r="S698" t="str">
            <v>LBTYB</v>
          </cell>
        </row>
        <row r="699">
          <cell r="L699" t="str">
            <v>LBTYB</v>
          </cell>
          <cell r="M699" t="str">
            <v>LIBERTY-MEDIA-FORMULA-ONE-27316636/</v>
          </cell>
          <cell r="N699" t="str">
            <v>LBTYB</v>
          </cell>
          <cell r="O699" t="str">
            <v>LIBERTY GLOBAL-B</v>
          </cell>
          <cell r="P699" t="str">
            <v>NASDAQ GS</v>
          </cell>
          <cell r="Q699" t="str">
            <v>Consumer Discretionary</v>
          </cell>
          <cell r="R699" t="str">
            <v>Media</v>
          </cell>
          <cell r="S699" t="str">
            <v>LBTYB</v>
          </cell>
        </row>
        <row r="700">
          <cell r="L700" t="str">
            <v>LBTYB</v>
          </cell>
          <cell r="M700" t="str">
            <v>LIBERTY-SIRIUS-XM-GROUP-27316603/</v>
          </cell>
          <cell r="N700" t="str">
            <v>LBTYB</v>
          </cell>
          <cell r="O700" t="str">
            <v>LIBERTY GLOBAL-B</v>
          </cell>
          <cell r="P700" t="str">
            <v>NASDAQ GS</v>
          </cell>
          <cell r="Q700" t="str">
            <v>Consumer Discretionary</v>
          </cell>
          <cell r="R700" t="str">
            <v>Media</v>
          </cell>
          <cell r="S700" t="str">
            <v>LBTYB</v>
          </cell>
        </row>
        <row r="701">
          <cell r="L701" t="str">
            <v>XEL</v>
          </cell>
          <cell r="M701" t="str">
            <v>XCEL-ENERGY-39742648/</v>
          </cell>
          <cell r="N701" t="str">
            <v>XEL</v>
          </cell>
          <cell r="O701" t="str">
            <v>XCEL ENERGY INC</v>
          </cell>
          <cell r="P701" t="str">
            <v>NASDAQ GS</v>
          </cell>
          <cell r="Q701" t="str">
            <v>Utilities</v>
          </cell>
          <cell r="R701" t="str">
            <v>Electric Utilities</v>
          </cell>
          <cell r="S701" t="str">
            <v>XEL</v>
          </cell>
        </row>
        <row r="702">
          <cell r="L702" t="str">
            <v>PCAR</v>
          </cell>
          <cell r="M702" t="str">
            <v>PACCAR-4893/</v>
          </cell>
          <cell r="N702" t="str">
            <v>PCAR</v>
          </cell>
          <cell r="O702" t="str">
            <v>PACCAR INC</v>
          </cell>
          <cell r="P702" t="str">
            <v>NASDAQ GS</v>
          </cell>
          <cell r="Q702" t="str">
            <v>Industrials</v>
          </cell>
          <cell r="R702" t="str">
            <v>Machinery</v>
          </cell>
          <cell r="S702" t="str">
            <v>PCAR</v>
          </cell>
        </row>
        <row r="703">
          <cell r="L703" t="str">
            <v>CTAS</v>
          </cell>
          <cell r="M703" t="str">
            <v>CINTAS-CORPORATION-4861/</v>
          </cell>
          <cell r="N703" t="str">
            <v>CTAS</v>
          </cell>
          <cell r="O703" t="str">
            <v>CINTAS CORP</v>
          </cell>
          <cell r="P703" t="str">
            <v>NASDAQ GS</v>
          </cell>
          <cell r="Q703" t="str">
            <v>Industrials</v>
          </cell>
          <cell r="R703" t="str">
            <v>Commercial Services &amp; Supplies</v>
          </cell>
          <cell r="S703" t="str">
            <v>CTAS</v>
          </cell>
        </row>
        <row r="704">
          <cell r="L704" t="str">
            <v>NTAP</v>
          </cell>
          <cell r="M704" t="str">
            <v>NETAPP-4889/</v>
          </cell>
          <cell r="N704" t="str">
            <v>NTAP</v>
          </cell>
          <cell r="O704" t="str">
            <v>NETAPP INC</v>
          </cell>
          <cell r="P704" t="str">
            <v>NASDAQ GS</v>
          </cell>
          <cell r="Q704" t="str">
            <v>Information Technology</v>
          </cell>
          <cell r="R704" t="str">
            <v>Technology Hardware, Storage &amp;</v>
          </cell>
          <cell r="S704" t="str">
            <v>NTAP</v>
          </cell>
        </row>
        <row r="705">
          <cell r="L705" t="str">
            <v>INFO</v>
          </cell>
          <cell r="M705" t="str">
            <v>IHS-MARKIT-29752230/</v>
          </cell>
          <cell r="N705" t="str">
            <v>INFO</v>
          </cell>
          <cell r="O705" t="str">
            <v>IHS MARKIT LTD</v>
          </cell>
          <cell r="P705" t="str">
            <v>NASDAQ GS</v>
          </cell>
          <cell r="Q705" t="str">
            <v>Industrials</v>
          </cell>
          <cell r="R705" t="str">
            <v>Professional Services</v>
          </cell>
          <cell r="S705" t="str">
            <v>INFO</v>
          </cell>
        </row>
        <row r="706">
          <cell r="L706" t="str">
            <v>IDXX</v>
          </cell>
          <cell r="M706" t="str">
            <v>IDEXX-LABORATORIES-9641/</v>
          </cell>
          <cell r="N706" t="str">
            <v>IDXX</v>
          </cell>
          <cell r="O706" t="str">
            <v>IDEXX LABS</v>
          </cell>
          <cell r="P706" t="str">
            <v>NASDAQ GS</v>
          </cell>
          <cell r="Q706" t="str">
            <v>Health Care</v>
          </cell>
          <cell r="R706" t="str">
            <v>Health Care Equipment &amp; Suppli</v>
          </cell>
          <cell r="S706" t="str">
            <v>IDXX</v>
          </cell>
        </row>
        <row r="707">
          <cell r="L707" t="str">
            <v>TEAM</v>
          </cell>
          <cell r="M707" t="str">
            <v>ATLASSIAN-CORPORATION-PLC-25531314/</v>
          </cell>
          <cell r="N707" t="str">
            <v>TEAM</v>
          </cell>
          <cell r="O707" t="str">
            <v>ATLASSIAN CORP-A</v>
          </cell>
          <cell r="P707" t="str">
            <v>NASDAQ GS</v>
          </cell>
          <cell r="Q707" t="str">
            <v>Information Technology</v>
          </cell>
          <cell r="R707" t="str">
            <v>Software</v>
          </cell>
          <cell r="S707" t="str">
            <v>TEAM</v>
          </cell>
        </row>
        <row r="708">
          <cell r="L708" t="str">
            <v>LULU</v>
          </cell>
          <cell r="M708" t="str">
            <v>LULULEMON-ATHLETICA-INC-40449575/</v>
          </cell>
          <cell r="N708" t="str">
            <v>LULU</v>
          </cell>
          <cell r="O708" t="str">
            <v>LULULEMON ATH</v>
          </cell>
          <cell r="P708" t="str">
            <v>NASDAQ GS</v>
          </cell>
          <cell r="Q708" t="str">
            <v>Consumer Discretionary</v>
          </cell>
          <cell r="R708" t="str">
            <v>Textiles, Apparel &amp; Luxury Goo</v>
          </cell>
          <cell r="S708" t="str">
            <v>LULU</v>
          </cell>
        </row>
        <row r="709">
          <cell r="L709" t="str">
            <v>CERN</v>
          </cell>
          <cell r="M709" t="str">
            <v>CERNER-CORPORATION-8744/</v>
          </cell>
          <cell r="N709" t="str">
            <v>CERN</v>
          </cell>
          <cell r="O709" t="str">
            <v>CERNER CORP</v>
          </cell>
          <cell r="P709" t="str">
            <v>NASDAQ GS</v>
          </cell>
          <cell r="Q709" t="str">
            <v>Health Care</v>
          </cell>
          <cell r="R709" t="str">
            <v>Health Care Technology</v>
          </cell>
          <cell r="S709" t="str">
            <v>CERN</v>
          </cell>
        </row>
        <row r="710">
          <cell r="L710" t="str">
            <v>CTRP</v>
          </cell>
          <cell r="M710" t="str">
            <v>CTRIP-COM-INTERNATIONAL-40311225/</v>
          </cell>
          <cell r="N710" t="str">
            <v>CTRP</v>
          </cell>
          <cell r="O710" t="str">
            <v>CTRIP.COM-ADR</v>
          </cell>
          <cell r="P710" t="str">
            <v>NASDAQ GS</v>
          </cell>
          <cell r="Q710" t="str">
            <v>Consumer Discretionary</v>
          </cell>
          <cell r="R710" t="str">
            <v>Internet &amp; Direct Marketing Re</v>
          </cell>
          <cell r="S710" t="str">
            <v>CTRP</v>
          </cell>
        </row>
        <row r="711">
          <cell r="L711" t="str">
            <v>IQ</v>
          </cell>
          <cell r="M711" t="str">
            <v>IQIYI-INC-42529120/</v>
          </cell>
          <cell r="N711" t="str">
            <v>IQ</v>
          </cell>
          <cell r="O711" t="str">
            <v>IQIYI INC-ADR</v>
          </cell>
          <cell r="P711" t="str">
            <v>NASDAQ GS</v>
          </cell>
          <cell r="Q711" t="str">
            <v>Information Technology</v>
          </cell>
          <cell r="R711" t="str">
            <v>Internet Software &amp; Services</v>
          </cell>
          <cell r="S711" t="str">
            <v>IQ</v>
          </cell>
        </row>
        <row r="712">
          <cell r="L712" t="str">
            <v>MSFT</v>
          </cell>
          <cell r="M712" t="str">
            <v>MICROCHIP-TECHNOLOGY-4887/</v>
          </cell>
          <cell r="N712" t="str">
            <v>MSFT</v>
          </cell>
          <cell r="O712" t="str">
            <v>MICROSOFT CORP</v>
          </cell>
          <cell r="P712" t="str">
            <v>NASDAQ GS</v>
          </cell>
          <cell r="Q712" t="str">
            <v>Information Technology</v>
          </cell>
          <cell r="R712" t="str">
            <v>Software</v>
          </cell>
          <cell r="S712" t="str">
            <v>MSFT</v>
          </cell>
        </row>
        <row r="713">
          <cell r="L713" t="str">
            <v>MYL</v>
          </cell>
          <cell r="M713" t="str">
            <v>MYLAN-NV-21077045/</v>
          </cell>
          <cell r="N713" t="str">
            <v>MYL</v>
          </cell>
          <cell r="O713" t="str">
            <v>MYLAN NV</v>
          </cell>
          <cell r="P713" t="str">
            <v>NASDAQ GS</v>
          </cell>
          <cell r="Q713" t="str">
            <v>Health Care</v>
          </cell>
          <cell r="R713" t="str">
            <v>Pharmaceuticals</v>
          </cell>
          <cell r="S713" t="str">
            <v>MYL</v>
          </cell>
        </row>
        <row r="714">
          <cell r="L714" t="str">
            <v>XLNX</v>
          </cell>
          <cell r="M714" t="str">
            <v>XILINX-4917/</v>
          </cell>
          <cell r="N714" t="str">
            <v>XLNX</v>
          </cell>
          <cell r="O714" t="str">
            <v>XILINX INC</v>
          </cell>
          <cell r="P714" t="str">
            <v>NASDAQ GS</v>
          </cell>
          <cell r="Q714" t="str">
            <v>Information Technology</v>
          </cell>
          <cell r="R714" t="str">
            <v>Semiconductors &amp; Semiconductor</v>
          </cell>
          <cell r="S714" t="str">
            <v>XLNX</v>
          </cell>
        </row>
        <row r="715">
          <cell r="L715" t="str">
            <v>LBTYB</v>
          </cell>
          <cell r="M715" t="str">
            <v>LIBERTY-GLOBAL-PLC-13450308/</v>
          </cell>
          <cell r="N715" t="str">
            <v>LBTYB</v>
          </cell>
          <cell r="O715" t="str">
            <v>LIBERTY GLOBAL-B</v>
          </cell>
          <cell r="P715" t="str">
            <v>NASDAQ GS</v>
          </cell>
          <cell r="Q715" t="str">
            <v>Consumer Discretionary</v>
          </cell>
          <cell r="R715" t="str">
            <v>Media</v>
          </cell>
          <cell r="S715" t="str">
            <v>LBTYB</v>
          </cell>
        </row>
        <row r="716">
          <cell r="L716" t="str">
            <v>VRSK</v>
          </cell>
          <cell r="M716" t="str">
            <v>VERISK-ANALYTICS-5628469/</v>
          </cell>
          <cell r="N716" t="str">
            <v>VRSK</v>
          </cell>
          <cell r="O716" t="str">
            <v>VERISK ANALYTI</v>
          </cell>
          <cell r="P716" t="str">
            <v>NASDAQ GS</v>
          </cell>
          <cell r="Q716" t="str">
            <v>Industrials</v>
          </cell>
          <cell r="R716" t="str">
            <v>Professional Services</v>
          </cell>
          <cell r="S716" t="str">
            <v>VRSK</v>
          </cell>
        </row>
        <row r="717">
          <cell r="L717" t="str">
            <v>FITB</v>
          </cell>
          <cell r="M717" t="str">
            <v>FIFTH-THIRD-BANCORP-40311116/</v>
          </cell>
          <cell r="N717" t="str">
            <v>FITB</v>
          </cell>
          <cell r="O717" t="str">
            <v>FIFTH THIRD BANC</v>
          </cell>
          <cell r="P717" t="str">
            <v>NASDAQ GS</v>
          </cell>
          <cell r="Q717" t="str">
            <v>Financials</v>
          </cell>
          <cell r="R717" t="str">
            <v>Banks</v>
          </cell>
          <cell r="S717" t="str">
            <v>FITB</v>
          </cell>
        </row>
        <row r="718">
          <cell r="L718" t="str">
            <v>VRSK</v>
          </cell>
          <cell r="M718" t="str">
            <v>VERISIGN-4912/</v>
          </cell>
          <cell r="N718" t="str">
            <v>VRSK</v>
          </cell>
          <cell r="O718" t="str">
            <v>VERISK ANALYTI</v>
          </cell>
          <cell r="P718" t="str">
            <v>NASDAQ GS</v>
          </cell>
          <cell r="Q718" t="str">
            <v>Industrials</v>
          </cell>
          <cell r="R718" t="str">
            <v>Professional Services</v>
          </cell>
          <cell r="S718" t="str">
            <v>VRSK</v>
          </cell>
        </row>
        <row r="719">
          <cell r="L719" t="str">
            <v>EXPE</v>
          </cell>
          <cell r="M719" t="str">
            <v>EXPEDIA-GROUP-INC-9605918/</v>
          </cell>
          <cell r="N719" t="str">
            <v>EXPE</v>
          </cell>
          <cell r="O719" t="str">
            <v>EXPEDIA GROUP IN</v>
          </cell>
          <cell r="P719" t="str">
            <v>NASDAQ GS</v>
          </cell>
          <cell r="Q719" t="str">
            <v>Consumer Discretionary</v>
          </cell>
          <cell r="R719" t="str">
            <v>Internet &amp; Direct Marketing Re</v>
          </cell>
          <cell r="S719" t="str">
            <v>EXPE</v>
          </cell>
        </row>
        <row r="720">
          <cell r="L720" t="str">
            <v>SPLK</v>
          </cell>
          <cell r="M720" t="str">
            <v>SPLUNK-INC-10454129/</v>
          </cell>
          <cell r="N720" t="str">
            <v>SPLK</v>
          </cell>
          <cell r="O720" t="str">
            <v>SPLUNK INC</v>
          </cell>
          <cell r="P720" t="str">
            <v>NASDAQ GS</v>
          </cell>
          <cell r="Q720" t="str">
            <v>Information Technology</v>
          </cell>
          <cell r="R720" t="str">
            <v>Software</v>
          </cell>
          <cell r="S720" t="str">
            <v>SPLK</v>
          </cell>
        </row>
        <row r="721">
          <cell r="L721" t="str">
            <v>CHKP</v>
          </cell>
          <cell r="M721" t="str">
            <v>CHECK-POINT-SOFTWARE-TECH-4858/</v>
          </cell>
          <cell r="N721" t="str">
            <v>CHKP</v>
          </cell>
          <cell r="O721" t="str">
            <v>CHECK POINT SOFT</v>
          </cell>
          <cell r="P721" t="str">
            <v>NASDAQ GS</v>
          </cell>
          <cell r="Q721" t="str">
            <v>Information Technology</v>
          </cell>
          <cell r="R721" t="str">
            <v>Software</v>
          </cell>
          <cell r="S721" t="str">
            <v>CHKP</v>
          </cell>
        </row>
        <row r="722">
          <cell r="L722" t="str">
            <v>ABMD</v>
          </cell>
          <cell r="M722" t="str">
            <v>ABIOMED-INC-8215/</v>
          </cell>
          <cell r="N722" t="str">
            <v>ABMD</v>
          </cell>
          <cell r="O722" t="str">
            <v>ABIOMED INC</v>
          </cell>
          <cell r="P722" t="str">
            <v>NASDAQ GS</v>
          </cell>
          <cell r="Q722" t="str">
            <v>Health Care</v>
          </cell>
          <cell r="R722" t="str">
            <v>Health Care Equipment &amp; Suppli</v>
          </cell>
          <cell r="S722" t="str">
            <v>ABMD</v>
          </cell>
        </row>
        <row r="723">
          <cell r="L723" t="str">
            <v>KLAC</v>
          </cell>
          <cell r="M723" t="str">
            <v>KLA-TENCOR-CORPORATION-40328827/</v>
          </cell>
          <cell r="N723" t="str">
            <v>KLAC</v>
          </cell>
          <cell r="O723" t="str">
            <v>KLA-TENCOR CORP</v>
          </cell>
          <cell r="P723" t="str">
            <v>NASDAQ GS</v>
          </cell>
          <cell r="Q723" t="str">
            <v>Information Technology</v>
          </cell>
          <cell r="R723" t="str">
            <v>Semiconductors &amp; Semiconductor</v>
          </cell>
          <cell r="S723" t="str">
            <v>KLAC</v>
          </cell>
        </row>
        <row r="724">
          <cell r="L724" t="str">
            <v>RYAAY</v>
          </cell>
          <cell r="M724" t="str">
            <v>RYANAIR-HOLDINGS-PLC-24809854/</v>
          </cell>
          <cell r="N724" t="str">
            <v>RYAAY</v>
          </cell>
          <cell r="O724" t="str">
            <v>RYANAIR HLDG-ADR</v>
          </cell>
          <cell r="P724" t="str">
            <v>NASDAQ GS</v>
          </cell>
          <cell r="Q724" t="str">
            <v>Industrials</v>
          </cell>
          <cell r="R724" t="str">
            <v>Airlines</v>
          </cell>
          <cell r="S724" t="str">
            <v>RYAAY</v>
          </cell>
        </row>
        <row r="725">
          <cell r="L725" t="str">
            <v>HBAN</v>
          </cell>
          <cell r="M725" t="str">
            <v>HUNTINGTON-BANCSHARES-40328830/</v>
          </cell>
          <cell r="N725" t="str">
            <v>HBAN</v>
          </cell>
          <cell r="O725" t="str">
            <v>HUNTINGTON BANC</v>
          </cell>
          <cell r="P725" t="str">
            <v>NASDAQ GS</v>
          </cell>
          <cell r="Q725" t="str">
            <v>Financials</v>
          </cell>
          <cell r="R725" t="str">
            <v>Banks</v>
          </cell>
          <cell r="S725" t="str">
            <v>HBAN</v>
          </cell>
        </row>
        <row r="726">
          <cell r="L726" t="str">
            <v>GRFS</v>
          </cell>
          <cell r="M726" t="str">
            <v>GRIFOLS-SA-ADR-11104734/</v>
          </cell>
          <cell r="N726" t="str">
            <v>GRFS</v>
          </cell>
          <cell r="O726" t="str">
            <v>GRIFOLS SA-ADR</v>
          </cell>
          <cell r="P726" t="str">
            <v>NASDAQ GS</v>
          </cell>
          <cell r="Q726" t="str">
            <v>Health Care</v>
          </cell>
          <cell r="R726" t="str">
            <v>Biotechnology</v>
          </cell>
          <cell r="S726" t="str">
            <v>GRFS</v>
          </cell>
        </row>
        <row r="727">
          <cell r="L727" t="str">
            <v>SBAC</v>
          </cell>
          <cell r="M727" t="str">
            <v>SBA-COMMUNICATIONS-CORPOR-33339190/</v>
          </cell>
          <cell r="N727" t="str">
            <v>SBAC</v>
          </cell>
          <cell r="O727" t="str">
            <v>SBA COMM CORP</v>
          </cell>
          <cell r="P727" t="str">
            <v>NASDAQ GS</v>
          </cell>
          <cell r="Q727" t="str">
            <v>Real Estate</v>
          </cell>
          <cell r="R727" t="str">
            <v>Equity Real Estate Investment</v>
          </cell>
          <cell r="S727" t="str">
            <v>SBAC</v>
          </cell>
        </row>
        <row r="728">
          <cell r="L728" t="str">
            <v>WDC</v>
          </cell>
          <cell r="M728" t="str">
            <v>WESTERN-DIGITAL-10721582/</v>
          </cell>
          <cell r="N728" t="str">
            <v>WDC</v>
          </cell>
          <cell r="O728" t="str">
            <v>WESTERN DIGITAL</v>
          </cell>
          <cell r="P728" t="str">
            <v>NASDAQ GS</v>
          </cell>
          <cell r="Q728" t="str">
            <v>Information Technology</v>
          </cell>
          <cell r="R728" t="str">
            <v>Technology Hardware, Storage &amp;</v>
          </cell>
          <cell r="S728" t="str">
            <v>WDC</v>
          </cell>
        </row>
        <row r="729">
          <cell r="L729" t="str">
            <v>SIVB</v>
          </cell>
          <cell r="M729" t="str">
            <v>SVB-FINANCIAL-GROUP-10840/</v>
          </cell>
          <cell r="N729" t="str">
            <v>SIVB</v>
          </cell>
          <cell r="O729" t="str">
            <v>SVB FINANCIAL GR</v>
          </cell>
          <cell r="P729" t="str">
            <v>NASDAQ GS</v>
          </cell>
          <cell r="Q729" t="str">
            <v>Financials</v>
          </cell>
          <cell r="R729" t="str">
            <v>Banks</v>
          </cell>
          <cell r="S729" t="str">
            <v>SIVB</v>
          </cell>
        </row>
        <row r="730">
          <cell r="L730" t="str">
            <v>BMRN</v>
          </cell>
          <cell r="M730" t="str">
            <v>BIOMARIN-PHARMACEUTICAL-8587/</v>
          </cell>
          <cell r="N730" t="str">
            <v>BMRN</v>
          </cell>
          <cell r="O730" t="str">
            <v>BIOMARIN PHARMAC</v>
          </cell>
          <cell r="P730" t="str">
            <v>NASDAQ GS</v>
          </cell>
          <cell r="Q730" t="str">
            <v>Health Care</v>
          </cell>
          <cell r="R730" t="str">
            <v>Biotechnology</v>
          </cell>
          <cell r="S730" t="str">
            <v>BMRN</v>
          </cell>
        </row>
        <row r="731">
          <cell r="L731" t="str">
            <v>WB</v>
          </cell>
          <cell r="M731" t="str">
            <v>WEIBO-CORP-ADR-16300127/</v>
          </cell>
          <cell r="N731" t="str">
            <v>WB</v>
          </cell>
          <cell r="O731" t="str">
            <v>WEIBO CORP-ADR</v>
          </cell>
          <cell r="P731" t="str">
            <v>NASDAQ GS</v>
          </cell>
          <cell r="Q731" t="str">
            <v>Information Technology</v>
          </cell>
          <cell r="R731" t="str">
            <v>Internet Software &amp; Services</v>
          </cell>
          <cell r="S731" t="str">
            <v>WB</v>
          </cell>
        </row>
        <row r="732">
          <cell r="L732" t="str">
            <v>FAST</v>
          </cell>
          <cell r="M732" t="str">
            <v>FASTENAL-COMPANY-4901/</v>
          </cell>
          <cell r="N732" t="str">
            <v>FAST</v>
          </cell>
          <cell r="O732" t="str">
            <v>FASTENAL CO</v>
          </cell>
          <cell r="P732" t="str">
            <v>NASDAQ GS</v>
          </cell>
          <cell r="Q732" t="str">
            <v>Industrials</v>
          </cell>
          <cell r="R732" t="str">
            <v>Trading Companies &amp; Distributo</v>
          </cell>
          <cell r="S732" t="str">
            <v>FAST</v>
          </cell>
        </row>
        <row r="733">
          <cell r="L733" t="str">
            <v>MXIM</v>
          </cell>
          <cell r="M733" t="str">
            <v>MAXIM-INTEGRATED-PRODUCTS-69728/</v>
          </cell>
          <cell r="N733" t="str">
            <v>MXIM</v>
          </cell>
          <cell r="O733" t="str">
            <v>MAXIM INTEGRATED</v>
          </cell>
          <cell r="P733" t="str">
            <v>NASDAQ GS</v>
          </cell>
          <cell r="Q733" t="str">
            <v>Information Technology</v>
          </cell>
          <cell r="R733" t="str">
            <v>Semiconductors &amp; Semiconductor</v>
          </cell>
          <cell r="S733" t="str">
            <v>MXIM</v>
          </cell>
        </row>
        <row r="734">
          <cell r="L734" t="str">
            <v>IAC</v>
          </cell>
          <cell r="M734" t="str">
            <v>IAC-INTERACTIVECORP-4697058/</v>
          </cell>
          <cell r="N734" t="str">
            <v>IAC</v>
          </cell>
          <cell r="O734" t="str">
            <v>IAC/INTERACTIVEC</v>
          </cell>
          <cell r="P734" t="str">
            <v>NASDAQ GS</v>
          </cell>
          <cell r="Q734" t="str">
            <v>Information Technology</v>
          </cell>
          <cell r="R734" t="str">
            <v>Internet Software &amp; Services</v>
          </cell>
          <cell r="S734" t="str">
            <v>IAC</v>
          </cell>
        </row>
        <row r="735">
          <cell r="L735" t="str">
            <v>ULTA</v>
          </cell>
          <cell r="M735" t="str">
            <v>ULTA-BEAUTY-65158/</v>
          </cell>
          <cell r="N735" t="str">
            <v>ULTA</v>
          </cell>
          <cell r="O735" t="str">
            <v>ULTA BEAUTY INC</v>
          </cell>
          <cell r="P735" t="str">
            <v>NASDAQ GS</v>
          </cell>
          <cell r="Q735" t="str">
            <v>Consumer Discretionary</v>
          </cell>
          <cell r="R735" t="str">
            <v>Specialty Retail</v>
          </cell>
          <cell r="S735" t="str">
            <v>ULTA</v>
          </cell>
        </row>
        <row r="736">
          <cell r="L736" t="str">
            <v>DISH</v>
          </cell>
          <cell r="M736" t="str">
            <v>DISH-NETWORK-CORPORATION-4870/</v>
          </cell>
          <cell r="N736" t="str">
            <v>DISH</v>
          </cell>
          <cell r="O736" t="str">
            <v>DISH NETWORK-A</v>
          </cell>
          <cell r="P736" t="str">
            <v>NASDAQ GS</v>
          </cell>
          <cell r="Q736" t="str">
            <v>Consumer Discretionary</v>
          </cell>
          <cell r="R736" t="str">
            <v>Media</v>
          </cell>
          <cell r="S736" t="str">
            <v>DISH</v>
          </cell>
        </row>
        <row r="737">
          <cell r="L737" t="str">
            <v>CSGP</v>
          </cell>
          <cell r="M737" t="str">
            <v>COSTAR-GROUP-INC-8923/</v>
          </cell>
          <cell r="N737" t="str">
            <v>CSGP</v>
          </cell>
          <cell r="O737" t="str">
            <v>COSTAR GROUP INC</v>
          </cell>
          <cell r="P737" t="str">
            <v>NASDAQ GS</v>
          </cell>
          <cell r="Q737" t="str">
            <v>Industrials</v>
          </cell>
          <cell r="R737" t="str">
            <v>Professional Services</v>
          </cell>
          <cell r="S737" t="str">
            <v>CSGP</v>
          </cell>
        </row>
        <row r="738">
          <cell r="L738" t="str">
            <v>SWKS</v>
          </cell>
          <cell r="M738" t="str">
            <v>SKYWORKS-SOLUTIONS-11014/</v>
          </cell>
          <cell r="N738" t="str">
            <v>SWKS</v>
          </cell>
          <cell r="O738" t="str">
            <v>SKYWORKS SOLUTIO</v>
          </cell>
          <cell r="P738" t="str">
            <v>NASDAQ GS</v>
          </cell>
          <cell r="Q738" t="str">
            <v>Information Technology</v>
          </cell>
          <cell r="R738" t="str">
            <v>Semiconductors &amp; Semiconductor</v>
          </cell>
          <cell r="S738" t="str">
            <v>SWKS</v>
          </cell>
        </row>
        <row r="739">
          <cell r="L739" t="str">
            <v>NDAQ</v>
          </cell>
          <cell r="M739" t="str">
            <v>NASDAQ-10173/</v>
          </cell>
          <cell r="N739" t="str">
            <v>NDAQ</v>
          </cell>
          <cell r="O739" t="str">
            <v>NASDAQ INC</v>
          </cell>
          <cell r="P739" t="str">
            <v>NASDAQ GS</v>
          </cell>
          <cell r="Q739" t="str">
            <v>Financials</v>
          </cell>
          <cell r="R739" t="str">
            <v>Capital Markets</v>
          </cell>
          <cell r="S739" t="str">
            <v>NDAQ</v>
          </cell>
        </row>
        <row r="740">
          <cell r="L740" t="str">
            <v>PFG</v>
          </cell>
          <cell r="M740" t="str">
            <v>PRINCIPAL-FINANCIAL-GROUP-39051261/</v>
          </cell>
          <cell r="N740" t="str">
            <v>PFG</v>
          </cell>
          <cell r="O740" t="str">
            <v>PRINCIPAL FINL</v>
          </cell>
          <cell r="P740" t="str">
            <v>NASDAQ GS</v>
          </cell>
          <cell r="Q740" t="str">
            <v>Financials</v>
          </cell>
          <cell r="R740" t="str">
            <v>Insurance</v>
          </cell>
          <cell r="S740" t="str">
            <v>PFG</v>
          </cell>
        </row>
        <row r="741">
          <cell r="L741" t="str">
            <v>ANSS</v>
          </cell>
          <cell r="M741" t="str">
            <v>ANSYS-40311135/</v>
          </cell>
          <cell r="N741" t="str">
            <v>ANSS</v>
          </cell>
          <cell r="O741" t="str">
            <v>ANSYS INC</v>
          </cell>
          <cell r="P741" t="str">
            <v>NASDAQ GS</v>
          </cell>
          <cell r="Q741" t="str">
            <v>Information Technology</v>
          </cell>
          <cell r="R741" t="str">
            <v>Software</v>
          </cell>
          <cell r="S741" t="str">
            <v>ANSS</v>
          </cell>
        </row>
        <row r="742">
          <cell r="L742" t="str">
            <v>INCY</v>
          </cell>
          <cell r="M742" t="str">
            <v>INCYTE-CORPORATION-9675/</v>
          </cell>
          <cell r="N742" t="str">
            <v>INCY</v>
          </cell>
          <cell r="O742" t="str">
            <v>INCYTE CORP</v>
          </cell>
          <cell r="P742" t="str">
            <v>NASDAQ GS</v>
          </cell>
          <cell r="Q742" t="str">
            <v>Health Care</v>
          </cell>
          <cell r="R742" t="str">
            <v>Biotechnology</v>
          </cell>
          <cell r="S742" t="str">
            <v>INCY</v>
          </cell>
        </row>
        <row r="743">
          <cell r="L743" t="str">
            <v>WYNN</v>
          </cell>
          <cell r="M743" t="str">
            <v>WYNN-RESORTS-4859/</v>
          </cell>
          <cell r="N743" t="str">
            <v>WYNN</v>
          </cell>
          <cell r="O743" t="str">
            <v>WYNN RESORTS LTD</v>
          </cell>
          <cell r="P743" t="str">
            <v>NASDAQ GS</v>
          </cell>
          <cell r="Q743" t="str">
            <v>Consumer Discretionary</v>
          </cell>
          <cell r="R743" t="str">
            <v>Hotels, Restaurants &amp; Leisure</v>
          </cell>
          <cell r="S743" t="str">
            <v>WYNN</v>
          </cell>
        </row>
        <row r="744">
          <cell r="L744" t="str">
            <v>ETFC</v>
          </cell>
          <cell r="M744" t="str">
            <v>E-TRADE-FINANCIAL-CORP-6274212/</v>
          </cell>
          <cell r="N744" t="str">
            <v>ETFC</v>
          </cell>
          <cell r="O744" t="str">
            <v>E*TRADE FINANCIA</v>
          </cell>
          <cell r="P744" t="str">
            <v>NASDAQ GS</v>
          </cell>
          <cell r="Q744" t="str">
            <v>Financials</v>
          </cell>
          <cell r="R744" t="str">
            <v>Capital Markets</v>
          </cell>
          <cell r="S744" t="str">
            <v>ETFC</v>
          </cell>
        </row>
        <row r="745">
          <cell r="L745" t="str">
            <v>CTXS</v>
          </cell>
          <cell r="M745" t="str">
            <v>CITRIX-SYSTEMS-4863/</v>
          </cell>
          <cell r="N745" t="str">
            <v>CTXS</v>
          </cell>
          <cell r="O745" t="str">
            <v>CITRIX SYSTEMS</v>
          </cell>
          <cell r="P745" t="str">
            <v>NASDAQ GS</v>
          </cell>
          <cell r="Q745" t="str">
            <v>Information Technology</v>
          </cell>
          <cell r="R745" t="str">
            <v>Software</v>
          </cell>
          <cell r="S745" t="str">
            <v>CTXS</v>
          </cell>
        </row>
        <row r="746">
          <cell r="L746" t="str">
            <v>TTWO</v>
          </cell>
          <cell r="M746" t="str">
            <v>TAKE-TWO-INTERACTIVE-SOFT-11178/</v>
          </cell>
          <cell r="N746" t="str">
            <v>TTWO</v>
          </cell>
          <cell r="O746" t="str">
            <v>TAKE-TWO INTERAC</v>
          </cell>
          <cell r="P746" t="str">
            <v>NASDAQ GS</v>
          </cell>
          <cell r="Q746" t="str">
            <v>Information Technology</v>
          </cell>
          <cell r="R746" t="str">
            <v>Software</v>
          </cell>
          <cell r="S746" t="str">
            <v>TTWO</v>
          </cell>
        </row>
        <row r="747">
          <cell r="L747" t="str">
            <v>SNPS</v>
          </cell>
          <cell r="M747" t="str">
            <v>SYNOPSYS-4908/</v>
          </cell>
          <cell r="N747" t="str">
            <v>SNPS</v>
          </cell>
          <cell r="O747" t="str">
            <v>SYNOPSYS INC</v>
          </cell>
          <cell r="P747" t="str">
            <v>NASDAQ GS</v>
          </cell>
          <cell r="Q747" t="str">
            <v>Information Technology</v>
          </cell>
          <cell r="R747" t="str">
            <v>Software</v>
          </cell>
          <cell r="S747" t="str">
            <v>SNPS</v>
          </cell>
        </row>
        <row r="748">
          <cell r="L748" t="str">
            <v>MELI</v>
          </cell>
          <cell r="M748" t="str">
            <v>MERCADOLIBRE-58469/</v>
          </cell>
          <cell r="N748" t="str">
            <v>MELI</v>
          </cell>
          <cell r="O748" t="str">
            <v>MERCADOLIBRE INC</v>
          </cell>
          <cell r="P748" t="str">
            <v>NASDAQ GS</v>
          </cell>
          <cell r="Q748" t="str">
            <v>Information Technology</v>
          </cell>
          <cell r="R748" t="str">
            <v>Internet Software &amp; Services</v>
          </cell>
          <cell r="S748" t="str">
            <v>MELI</v>
          </cell>
        </row>
        <row r="749">
          <cell r="L749" t="str">
            <v>CPRT</v>
          </cell>
          <cell r="M749" t="str">
            <v>COPART-INC-8879/</v>
          </cell>
          <cell r="N749" t="str">
            <v>CPRT</v>
          </cell>
          <cell r="O749" t="str">
            <v>COPART INC</v>
          </cell>
          <cell r="P749" t="str">
            <v>NASDAQ GS</v>
          </cell>
          <cell r="Q749" t="str">
            <v>Industrials</v>
          </cell>
          <cell r="R749" t="str">
            <v>Commercial Services &amp; Supplies</v>
          </cell>
          <cell r="S749" t="str">
            <v>CPRT</v>
          </cell>
        </row>
        <row r="750">
          <cell r="L750" t="str">
            <v>LBTYB</v>
          </cell>
          <cell r="M750" t="str">
            <v>LIBERTY-BROADBAND-CORP-18445410/</v>
          </cell>
          <cell r="N750" t="str">
            <v>LBTYB</v>
          </cell>
          <cell r="O750" t="str">
            <v>LIBERTY GLOBAL-B</v>
          </cell>
          <cell r="P750" t="str">
            <v>NASDAQ GS</v>
          </cell>
          <cell r="Q750" t="str">
            <v>Consumer Discretionary</v>
          </cell>
          <cell r="R750" t="str">
            <v>Media</v>
          </cell>
          <cell r="S750" t="str">
            <v>LBTYB</v>
          </cell>
        </row>
        <row r="751">
          <cell r="L751" t="str">
            <v>MTCH</v>
          </cell>
          <cell r="M751" t="str">
            <v>MATCH-GROUP-INC-24949016/</v>
          </cell>
          <cell r="N751" t="str">
            <v>MTCH</v>
          </cell>
          <cell r="O751" t="str">
            <v>MATCH GROUP INC</v>
          </cell>
          <cell r="P751" t="str">
            <v>NASDAQ GS</v>
          </cell>
          <cell r="Q751" t="str">
            <v>Information Technology</v>
          </cell>
          <cell r="R751" t="str">
            <v>Internet Software &amp; Services</v>
          </cell>
          <cell r="S751" t="str">
            <v>MTCH</v>
          </cell>
        </row>
        <row r="752">
          <cell r="L752" t="str">
            <v>STX</v>
          </cell>
          <cell r="M752" t="str">
            <v>SEAGATE-TECHNOLOGY-PLC-14501/</v>
          </cell>
          <cell r="N752" t="str">
            <v>STX</v>
          </cell>
          <cell r="O752" t="str">
            <v>SEAGATE TECHNOLO</v>
          </cell>
          <cell r="P752" t="str">
            <v>NASDAQ GS</v>
          </cell>
          <cell r="Q752" t="str">
            <v>Information Technology</v>
          </cell>
          <cell r="R752" t="str">
            <v>Technology Hardware, Storage &amp;</v>
          </cell>
          <cell r="S752" t="str">
            <v>STX</v>
          </cell>
        </row>
        <row r="753">
          <cell r="L753" t="str">
            <v>SSNC</v>
          </cell>
          <cell r="M753" t="str">
            <v>SS-C-TECHNOLOGIES-HOLDING-6098270/</v>
          </cell>
          <cell r="N753" t="str">
            <v>SSNC</v>
          </cell>
          <cell r="O753" t="str">
            <v>SS&amp;C TECHNOLOGIE</v>
          </cell>
          <cell r="P753" t="str">
            <v>NASDAQ GS</v>
          </cell>
          <cell r="Q753" t="str">
            <v>Information Technology</v>
          </cell>
          <cell r="R753" t="str">
            <v>Software</v>
          </cell>
          <cell r="S753" t="str">
            <v>SSNC</v>
          </cell>
        </row>
        <row r="754">
          <cell r="L754" t="str">
            <v>MRVL</v>
          </cell>
          <cell r="M754" t="str">
            <v>MARVELL-TECHNOLOGY-GROUP-4934/</v>
          </cell>
          <cell r="N754" t="str">
            <v>MRVL</v>
          </cell>
          <cell r="O754" t="str">
            <v>MARVELL TECH GRP</v>
          </cell>
          <cell r="P754" t="str">
            <v>NASDAQ GS</v>
          </cell>
          <cell r="Q754" t="str">
            <v>Information Technology</v>
          </cell>
          <cell r="R754" t="str">
            <v>Semiconductors &amp; Semiconductor</v>
          </cell>
          <cell r="S754" t="str">
            <v>MRVL</v>
          </cell>
        </row>
        <row r="755">
          <cell r="L755" t="str">
            <v>GRMN</v>
          </cell>
          <cell r="M755" t="str">
            <v>GARMIN-4933/</v>
          </cell>
          <cell r="N755" t="str">
            <v>GRMN</v>
          </cell>
          <cell r="O755" t="str">
            <v>GARMIN LTD</v>
          </cell>
          <cell r="P755" t="str">
            <v>NASDAQ GS</v>
          </cell>
          <cell r="Q755" t="str">
            <v>Consumer Discretionary</v>
          </cell>
          <cell r="R755" t="str">
            <v>Household Durables</v>
          </cell>
          <cell r="S755" t="str">
            <v>GRMN</v>
          </cell>
        </row>
        <row r="756">
          <cell r="L756" t="str">
            <v>IEP</v>
          </cell>
          <cell r="M756" t="str">
            <v>ICAHN-ENTERPRISES-LP-11900131/</v>
          </cell>
          <cell r="N756" t="str">
            <v>IEP</v>
          </cell>
          <cell r="O756" t="str">
            <v>ICAHN ENTERPRISE</v>
          </cell>
          <cell r="P756" t="str">
            <v>NASDAQ GS</v>
          </cell>
          <cell r="Q756" t="str">
            <v>Industrials</v>
          </cell>
          <cell r="R756" t="str">
            <v>Industrial Conglomerates</v>
          </cell>
          <cell r="S756" t="str">
            <v>IEP</v>
          </cell>
        </row>
        <row r="757">
          <cell r="L757" t="str">
            <v>CHRW</v>
          </cell>
          <cell r="M757" t="str">
            <v>CH-ROBINSON-WORLDWIDE-4915/</v>
          </cell>
          <cell r="N757" t="str">
            <v>CHRW</v>
          </cell>
          <cell r="O757" t="str">
            <v>CH ROBINSON</v>
          </cell>
          <cell r="P757" t="str">
            <v>NASDAQ GS</v>
          </cell>
          <cell r="Q757" t="str">
            <v>Industrials</v>
          </cell>
          <cell r="R757" t="str">
            <v>Air Freight &amp; Logistics</v>
          </cell>
          <cell r="S757" t="str">
            <v>CHRW</v>
          </cell>
        </row>
        <row r="758">
          <cell r="L758" t="str">
            <v>CDW</v>
          </cell>
          <cell r="M758" t="str">
            <v>CDW-CORP-13495389/</v>
          </cell>
          <cell r="N758" t="str">
            <v>CDW</v>
          </cell>
          <cell r="O758" t="str">
            <v>CDW CORP/DE</v>
          </cell>
          <cell r="P758" t="str">
            <v>NASDAQ GS</v>
          </cell>
          <cell r="Q758" t="str">
            <v>Information Technology</v>
          </cell>
          <cell r="R758" t="str">
            <v>Electronic Equipment, Instrume</v>
          </cell>
          <cell r="S758" t="str">
            <v>CDW</v>
          </cell>
        </row>
        <row r="759">
          <cell r="L759" t="str">
            <v>CDNS</v>
          </cell>
          <cell r="M759" t="str">
            <v>CADENCE-DESIGN-SYSTEMS-8724/</v>
          </cell>
          <cell r="N759" t="str">
            <v>CDNS</v>
          </cell>
          <cell r="O759" t="str">
            <v>CADENCE DESIGN</v>
          </cell>
          <cell r="P759" t="str">
            <v>NASDAQ GS</v>
          </cell>
          <cell r="Q759" t="str">
            <v>Information Technology</v>
          </cell>
          <cell r="R759" t="str">
            <v>Software</v>
          </cell>
          <cell r="S759" t="str">
            <v>CDNS</v>
          </cell>
        </row>
        <row r="760">
          <cell r="L760" t="str">
            <v>DXCM</v>
          </cell>
          <cell r="M760" t="str">
            <v>DEXCOM-INC-9115/</v>
          </cell>
          <cell r="N760" t="str">
            <v>DXCM</v>
          </cell>
          <cell r="O760" t="str">
            <v>DEXCOM</v>
          </cell>
          <cell r="P760" t="str">
            <v>NASDAQ GS</v>
          </cell>
          <cell r="Q760" t="str">
            <v>Health Care</v>
          </cell>
          <cell r="R760" t="str">
            <v>Health Care Equipment &amp; Suppli</v>
          </cell>
          <cell r="S760" t="str">
            <v>DXCM</v>
          </cell>
        </row>
        <row r="761">
          <cell r="L761" t="str">
            <v>EXPE</v>
          </cell>
          <cell r="M761" t="str">
            <v>EXPEDITORS-INTERNATIONAL-4900/</v>
          </cell>
          <cell r="N761" t="str">
            <v>EXPE</v>
          </cell>
          <cell r="O761" t="str">
            <v>EXPEDIA GROUP IN</v>
          </cell>
          <cell r="P761" t="str">
            <v>NASDAQ GS</v>
          </cell>
          <cell r="Q761" t="str">
            <v>Consumer Discretionary</v>
          </cell>
          <cell r="R761" t="str">
            <v>Internet &amp; Direct Marketing Re</v>
          </cell>
          <cell r="S761" t="str">
            <v>EXPE</v>
          </cell>
        </row>
        <row r="762">
          <cell r="L762" t="str">
            <v>AKAM</v>
          </cell>
          <cell r="M762" t="str">
            <v>AKAMAI-TECHNOLOGIES-8303/</v>
          </cell>
          <cell r="N762" t="str">
            <v>AKAM</v>
          </cell>
          <cell r="O762" t="str">
            <v>AKAMAI TECHNOLOG</v>
          </cell>
          <cell r="P762" t="str">
            <v>NASDAQ GS</v>
          </cell>
          <cell r="Q762" t="str">
            <v>Information Technology</v>
          </cell>
          <cell r="R762" t="str">
            <v>Internet Software &amp; Services</v>
          </cell>
          <cell r="S762" t="str">
            <v>AKAM</v>
          </cell>
        </row>
        <row r="763">
          <cell r="L763" t="str">
            <v>ODFL</v>
          </cell>
          <cell r="M763" t="str">
            <v>OLD-DOMINION-FREIGHT-LINE-10317/</v>
          </cell>
          <cell r="N763" t="str">
            <v>ODFL</v>
          </cell>
          <cell r="O763" t="str">
            <v>OLD DOMINION FRT</v>
          </cell>
          <cell r="P763" t="str">
            <v>NASDAQ GS</v>
          </cell>
          <cell r="Q763" t="str">
            <v>Industrials</v>
          </cell>
          <cell r="R763" t="str">
            <v>Road &amp; Rail</v>
          </cell>
          <cell r="S763" t="str">
            <v>ODFL</v>
          </cell>
        </row>
        <row r="764">
          <cell r="L764" t="str">
            <v>HAS</v>
          </cell>
          <cell r="M764" t="str">
            <v>HASBRO-12874/</v>
          </cell>
          <cell r="N764" t="str">
            <v>HAS</v>
          </cell>
          <cell r="O764" t="str">
            <v>HASBRO INC</v>
          </cell>
          <cell r="P764" t="str">
            <v>NASDAQ GS</v>
          </cell>
          <cell r="Q764" t="str">
            <v>Consumer Discretionary</v>
          </cell>
          <cell r="R764" t="str">
            <v>Leisure Products</v>
          </cell>
          <cell r="S764" t="str">
            <v>HAS</v>
          </cell>
        </row>
        <row r="765">
          <cell r="L765" t="str">
            <v>CINF</v>
          </cell>
          <cell r="M765" t="str">
            <v>CINCINNATI-FINANCIAL-CORP-40311119/</v>
          </cell>
          <cell r="N765" t="str">
            <v>CINF</v>
          </cell>
          <cell r="O765" t="str">
            <v>CINCINNATI FIN</v>
          </cell>
          <cell r="P765" t="str">
            <v>NASDAQ GS</v>
          </cell>
          <cell r="Q765" t="str">
            <v>Financials</v>
          </cell>
          <cell r="R765" t="str">
            <v>Insurance</v>
          </cell>
          <cell r="S765" t="str">
            <v>CINF</v>
          </cell>
        </row>
        <row r="766">
          <cell r="L766" t="str">
            <v>SYMC</v>
          </cell>
          <cell r="M766" t="str">
            <v>SYMANTEC-CORPORATION-4907/</v>
          </cell>
          <cell r="N766" t="str">
            <v>SYMC</v>
          </cell>
          <cell r="O766" t="str">
            <v>SYMANTEC CORP</v>
          </cell>
          <cell r="P766" t="str">
            <v>NASDAQ GS</v>
          </cell>
          <cell r="Q766" t="str">
            <v>Information Technology</v>
          </cell>
          <cell r="R766" t="str">
            <v>Software</v>
          </cell>
          <cell r="S766" t="str">
            <v>SYMC</v>
          </cell>
        </row>
        <row r="767">
          <cell r="L767" t="str">
            <v>ACGL</v>
          </cell>
          <cell r="M767" t="str">
            <v>ARCH-CAPITAL-GROUP-LTD-8233/</v>
          </cell>
          <cell r="N767" t="str">
            <v>ACGL</v>
          </cell>
          <cell r="O767" t="str">
            <v>ARCH CAPITAL GRP</v>
          </cell>
          <cell r="P767" t="str">
            <v>NASDAQ GS</v>
          </cell>
          <cell r="Q767" t="str">
            <v>Financials</v>
          </cell>
          <cell r="R767" t="str">
            <v>Insurance</v>
          </cell>
          <cell r="S767" t="str">
            <v>ACGL</v>
          </cell>
        </row>
        <row r="768">
          <cell r="L768" t="str">
            <v>JKHY</v>
          </cell>
          <cell r="M768" t="str">
            <v>JACK-HENRY-ASSOCIATES-9781/</v>
          </cell>
          <cell r="N768" t="str">
            <v>JKHY</v>
          </cell>
          <cell r="O768" t="str">
            <v>JACK HENRY</v>
          </cell>
          <cell r="P768" t="str">
            <v>NASDAQ GS</v>
          </cell>
          <cell r="Q768" t="str">
            <v>Information Technology</v>
          </cell>
          <cell r="R768" t="str">
            <v>IT Services</v>
          </cell>
          <cell r="S768" t="str">
            <v>JKHY</v>
          </cell>
        </row>
        <row r="769">
          <cell r="L769" t="str">
            <v>SGEN</v>
          </cell>
          <cell r="M769" t="str">
            <v>SEATTLE-GENETICS-INC-10808/</v>
          </cell>
          <cell r="N769" t="str">
            <v>SGEN</v>
          </cell>
          <cell r="O769" t="str">
            <v>SEATTLE GENETICS</v>
          </cell>
          <cell r="P769" t="str">
            <v>NASDAQ GS</v>
          </cell>
          <cell r="Q769" t="str">
            <v>Health Care</v>
          </cell>
          <cell r="R769" t="str">
            <v>Biotechnology</v>
          </cell>
          <cell r="S769" t="str">
            <v>SGEN</v>
          </cell>
        </row>
        <row r="770">
          <cell r="L770" t="str">
            <v>VIA</v>
          </cell>
          <cell r="M770" t="str">
            <v>VIACOM-9555153/</v>
          </cell>
          <cell r="N770" t="str">
            <v>VIA</v>
          </cell>
          <cell r="O770" t="str">
            <v>VIACOM INC-A</v>
          </cell>
          <cell r="P770" t="str">
            <v>NASDAQ GS</v>
          </cell>
          <cell r="Q770" t="str">
            <v>Consumer Discretionary</v>
          </cell>
          <cell r="R770" t="str">
            <v>Media</v>
          </cell>
          <cell r="S770" t="str">
            <v>VIA</v>
          </cell>
        </row>
        <row r="771">
          <cell r="L771" t="str">
            <v>VIA</v>
          </cell>
          <cell r="M771" t="str">
            <v>VIACOM-INC-9548248/</v>
          </cell>
          <cell r="N771" t="str">
            <v>VIA</v>
          </cell>
          <cell r="O771" t="str">
            <v>VIACOM INC-A</v>
          </cell>
          <cell r="P771" t="str">
            <v>NASDAQ GS</v>
          </cell>
          <cell r="Q771" t="str">
            <v>Consumer Discretionary</v>
          </cell>
          <cell r="R771" t="str">
            <v>Media</v>
          </cell>
          <cell r="S771" t="str">
            <v>VIA</v>
          </cell>
        </row>
        <row r="772">
          <cell r="L772" t="str">
            <v>ALNY</v>
          </cell>
          <cell r="M772" t="str">
            <v>ALNYLAM-PHARMACEUTICALS-8322/</v>
          </cell>
          <cell r="N772" t="str">
            <v>ALNY</v>
          </cell>
          <cell r="O772" t="str">
            <v>ALNYLAM PHARMACE</v>
          </cell>
          <cell r="P772" t="str">
            <v>NASDAQ GS</v>
          </cell>
          <cell r="Q772" t="str">
            <v>Health Care</v>
          </cell>
          <cell r="R772" t="str">
            <v>Biotechnology</v>
          </cell>
          <cell r="S772" t="str">
            <v>ALNY</v>
          </cell>
        </row>
        <row r="773">
          <cell r="L773" t="str">
            <v>HSIC</v>
          </cell>
          <cell r="M773" t="str">
            <v>HENRY-SCHEIN-9582/</v>
          </cell>
          <cell r="N773" t="str">
            <v>HSIC</v>
          </cell>
          <cell r="O773" t="str">
            <v>HENRY SCHEIN INC</v>
          </cell>
          <cell r="P773" t="str">
            <v>NASDAQ GS</v>
          </cell>
          <cell r="Q773" t="str">
            <v>Health Care</v>
          </cell>
          <cell r="R773" t="str">
            <v>Health Care Providers &amp; Servic</v>
          </cell>
          <cell r="S773" t="str">
            <v>HSIC</v>
          </cell>
        </row>
        <row r="774">
          <cell r="L774" t="str">
            <v>PTC</v>
          </cell>
          <cell r="M774" t="str">
            <v>PTC-INC-12445262/</v>
          </cell>
          <cell r="N774" t="str">
            <v>PTC</v>
          </cell>
          <cell r="O774" t="str">
            <v>PTC INC</v>
          </cell>
          <cell r="P774" t="str">
            <v>NASDAQ GS</v>
          </cell>
          <cell r="Q774" t="str">
            <v>Information Technology</v>
          </cell>
          <cell r="R774" t="str">
            <v>Software</v>
          </cell>
          <cell r="S774" t="str">
            <v>PTC</v>
          </cell>
        </row>
        <row r="775">
          <cell r="L775" t="str">
            <v>FANG</v>
          </cell>
          <cell r="M775" t="str">
            <v>DIAMONDBACK-ENERGY-INC-11732858/</v>
          </cell>
          <cell r="N775" t="str">
            <v>FANG</v>
          </cell>
          <cell r="O775" t="str">
            <v>DIAMONDBACK ENER</v>
          </cell>
          <cell r="P775" t="str">
            <v>NASDAQ GS</v>
          </cell>
          <cell r="Q775" t="str">
            <v>Energy</v>
          </cell>
          <cell r="R775" t="str">
            <v>Oil, Gas &amp; Consumable Fuels</v>
          </cell>
          <cell r="S775" t="str">
            <v>FANG</v>
          </cell>
        </row>
        <row r="776">
          <cell r="L776" t="str">
            <v>NKTR</v>
          </cell>
          <cell r="M776" t="str">
            <v>NEKTAR-THERAPEUTICS-45013433/</v>
          </cell>
          <cell r="N776" t="str">
            <v>NKTR</v>
          </cell>
          <cell r="O776" t="str">
            <v>NEKTAR THERAPEUT</v>
          </cell>
          <cell r="P776" t="str">
            <v>NASDAQ GS</v>
          </cell>
          <cell r="Q776" t="str">
            <v>Health Care</v>
          </cell>
          <cell r="R776" t="str">
            <v>Pharmaceuticals</v>
          </cell>
          <cell r="S776" t="str">
            <v>NKTR</v>
          </cell>
        </row>
        <row r="777">
          <cell r="L777" t="str">
            <v>CBOE</v>
          </cell>
          <cell r="M777" t="str">
            <v>CBOE-GLOBAL-MARKETS-6306029/</v>
          </cell>
          <cell r="N777" t="str">
            <v>CBOE</v>
          </cell>
          <cell r="O777" t="str">
            <v>CBOE GLOBAL MARK</v>
          </cell>
          <cell r="P777" t="str">
            <v>NASDAQ GS</v>
          </cell>
          <cell r="Q777" t="str">
            <v>Financials</v>
          </cell>
          <cell r="R777" t="str">
            <v>Capital Markets</v>
          </cell>
          <cell r="S777" t="str">
            <v>CBOE</v>
          </cell>
        </row>
        <row r="778">
          <cell r="L778" t="str">
            <v>MLCO</v>
          </cell>
          <cell r="M778" t="str">
            <v>MELCO-RESORTS-ENTERTAIN-39737/</v>
          </cell>
          <cell r="N778" t="str">
            <v>MLCO</v>
          </cell>
          <cell r="O778" t="str">
            <v>MELCO RESO-ADR</v>
          </cell>
          <cell r="P778" t="str">
            <v>NASDAQ GS</v>
          </cell>
          <cell r="Q778" t="str">
            <v>Consumer Discretionary</v>
          </cell>
          <cell r="R778" t="str">
            <v>Hotels, Restaurants &amp; Leisure</v>
          </cell>
          <cell r="S778" t="str">
            <v>MLCO</v>
          </cell>
        </row>
        <row r="779">
          <cell r="L779" t="str">
            <v>FFIV</v>
          </cell>
          <cell r="M779" t="str">
            <v>F5-NETWORKS-23277278/</v>
          </cell>
          <cell r="N779" t="str">
            <v>FFIV</v>
          </cell>
          <cell r="O779" t="str">
            <v>F5 NETWORKS</v>
          </cell>
          <cell r="P779" t="str">
            <v>NASDAQ GS</v>
          </cell>
          <cell r="Q779" t="str">
            <v>Information Technology</v>
          </cell>
          <cell r="R779" t="str">
            <v>Communications Equipment</v>
          </cell>
          <cell r="S779" t="str">
            <v>FFIV</v>
          </cell>
        </row>
        <row r="780">
          <cell r="L780" t="str">
            <v>NBIX</v>
          </cell>
          <cell r="M780" t="str">
            <v>NEUROCRINE-BIOSCIENCES-I-10163/</v>
          </cell>
          <cell r="N780" t="str">
            <v>NBIX</v>
          </cell>
          <cell r="O780" t="str">
            <v>NEUROCRINE BIOSC</v>
          </cell>
          <cell r="P780" t="str">
            <v>NASDAQ GS</v>
          </cell>
          <cell r="Q780" t="str">
            <v>Health Care</v>
          </cell>
          <cell r="R780" t="str">
            <v>Biotechnology</v>
          </cell>
          <cell r="S780" t="str">
            <v>NBIX</v>
          </cell>
        </row>
        <row r="781">
          <cell r="L781" t="str">
            <v>TSCO</v>
          </cell>
          <cell r="M781" t="str">
            <v>TRACTOR-SUPPLY-COMPANY-11162/</v>
          </cell>
          <cell r="N781" t="str">
            <v>TSCO</v>
          </cell>
          <cell r="O781" t="str">
            <v>TRACTOR SUPPLY</v>
          </cell>
          <cell r="P781" t="str">
            <v>NASDAQ GS</v>
          </cell>
          <cell r="Q781" t="str">
            <v>Consumer Discretionary</v>
          </cell>
          <cell r="R781" t="str">
            <v>Specialty Retail</v>
          </cell>
          <cell r="S781" t="str">
            <v>TSCO</v>
          </cell>
        </row>
        <row r="782">
          <cell r="L782" t="str">
            <v>LKQ</v>
          </cell>
          <cell r="M782" t="str">
            <v>LKQ-CORPORATION-40328841/</v>
          </cell>
          <cell r="N782" t="str">
            <v>LKQ</v>
          </cell>
          <cell r="O782" t="str">
            <v>LKQ CORP</v>
          </cell>
          <cell r="P782" t="str">
            <v>NASDAQ GS</v>
          </cell>
          <cell r="Q782" t="str">
            <v>Consumer Discretionary</v>
          </cell>
          <cell r="R782" t="str">
            <v>Distributors</v>
          </cell>
          <cell r="S782" t="str">
            <v>LKQ</v>
          </cell>
        </row>
        <row r="783">
          <cell r="L783" t="str">
            <v>HOLX</v>
          </cell>
          <cell r="M783" t="str">
            <v>HOLOGIC-9566/</v>
          </cell>
          <cell r="N783" t="str">
            <v>HOLX</v>
          </cell>
          <cell r="O783" t="str">
            <v>HOLOGIC INC</v>
          </cell>
          <cell r="P783" t="str">
            <v>NASDAQ GS</v>
          </cell>
          <cell r="Q783" t="str">
            <v>Health Care</v>
          </cell>
          <cell r="R783" t="str">
            <v>Health Care Equipment &amp; Suppli</v>
          </cell>
          <cell r="S783" t="str">
            <v>HOLX</v>
          </cell>
        </row>
        <row r="784">
          <cell r="L784" t="str">
            <v>DBX</v>
          </cell>
          <cell r="M784" t="str">
            <v>DROPBOX-INC-45013534/</v>
          </cell>
          <cell r="N784" t="str">
            <v>DBX</v>
          </cell>
          <cell r="O784" t="str">
            <v>DROPBOX INC-A</v>
          </cell>
          <cell r="P784" t="str">
            <v>NASDAQ GS</v>
          </cell>
          <cell r="Q784" t="str">
            <v>Information Technology</v>
          </cell>
          <cell r="R784" t="str">
            <v>Internet Software &amp; Services</v>
          </cell>
          <cell r="S784" t="str">
            <v>DBX</v>
          </cell>
        </row>
        <row r="785">
          <cell r="L785" t="str">
            <v>STLD</v>
          </cell>
          <cell r="M785" t="str">
            <v>STEEL-DYNAMICS-INC-10970/</v>
          </cell>
          <cell r="N785" t="str">
            <v>STLD</v>
          </cell>
          <cell r="O785" t="str">
            <v>STEEL DYNAMICS</v>
          </cell>
          <cell r="P785" t="str">
            <v>NASDAQ GS</v>
          </cell>
          <cell r="Q785" t="str">
            <v>Materials</v>
          </cell>
          <cell r="R785" t="str">
            <v>Metals &amp; Mining</v>
          </cell>
          <cell r="S785" t="str">
            <v>STLD</v>
          </cell>
        </row>
        <row r="786">
          <cell r="L786" t="str">
            <v>TRMB</v>
          </cell>
          <cell r="M786" t="str">
            <v>TRIMBLE-INC-11147/</v>
          </cell>
          <cell r="N786" t="str">
            <v>TRMB</v>
          </cell>
          <cell r="O786" t="str">
            <v>TRIMBLE INC</v>
          </cell>
          <cell r="P786" t="str">
            <v>NASDAQ GS</v>
          </cell>
          <cell r="Q786" t="str">
            <v>Information Technology</v>
          </cell>
          <cell r="R786" t="str">
            <v>Electronic Equipment, Instrume</v>
          </cell>
          <cell r="S786" t="str">
            <v>TRMB</v>
          </cell>
        </row>
        <row r="787">
          <cell r="L787" t="str">
            <v>OTEX</v>
          </cell>
          <cell r="M787" t="str">
            <v>OPEN-TEXT-CORP-USA-10374/</v>
          </cell>
          <cell r="N787" t="str">
            <v>OTEX</v>
          </cell>
          <cell r="O787" t="str">
            <v>OPEN TEXT CORP</v>
          </cell>
          <cell r="P787" t="str">
            <v>NASDAQ GS</v>
          </cell>
          <cell r="Q787" t="str">
            <v>Information Technology</v>
          </cell>
          <cell r="R787" t="str">
            <v>Software</v>
          </cell>
          <cell r="S787" t="str">
            <v>OTEX</v>
          </cell>
        </row>
        <row r="788">
          <cell r="L788" t="str">
            <v>YNDX</v>
          </cell>
          <cell r="M788" t="str">
            <v>YANDEX-8037501/</v>
          </cell>
          <cell r="N788" t="str">
            <v>YNDX</v>
          </cell>
          <cell r="O788" t="str">
            <v>YANDEX NV-A</v>
          </cell>
          <cell r="P788" t="str">
            <v>NASDAQ GS</v>
          </cell>
          <cell r="Q788" t="str">
            <v>Information Technology</v>
          </cell>
          <cell r="R788" t="str">
            <v>Internet Software &amp; Services</v>
          </cell>
          <cell r="S788" t="str">
            <v>YNDX</v>
          </cell>
        </row>
        <row r="789">
          <cell r="L789" t="str">
            <v>ZION</v>
          </cell>
          <cell r="M789" t="str">
            <v>ZIONS-BANCORPORATION-40311097/</v>
          </cell>
          <cell r="N789" t="str">
            <v>ZION</v>
          </cell>
          <cell r="O789" t="str">
            <v>ZIONS BANCORP</v>
          </cell>
          <cell r="P789" t="str">
            <v>NASDAQ GS</v>
          </cell>
          <cell r="Q789" t="str">
            <v>Financials</v>
          </cell>
          <cell r="R789" t="str">
            <v>Banks</v>
          </cell>
          <cell r="S789" t="str">
            <v>ZION</v>
          </cell>
        </row>
        <row r="790">
          <cell r="L790" t="str">
            <v>JAZZ</v>
          </cell>
          <cell r="M790" t="str">
            <v>JAZZ-PHARMACEUTICALS-PLC-9829261/</v>
          </cell>
          <cell r="N790" t="str">
            <v>JAZZ</v>
          </cell>
          <cell r="O790" t="str">
            <v>JAZZ PHARMACEUTI</v>
          </cell>
          <cell r="P790" t="str">
            <v>NASDAQ GS</v>
          </cell>
          <cell r="Q790" t="str">
            <v>Health Care</v>
          </cell>
          <cell r="R790" t="str">
            <v>Pharmaceuticals</v>
          </cell>
          <cell r="S790" t="str">
            <v>JAZZ</v>
          </cell>
        </row>
        <row r="791">
          <cell r="L791" t="str">
            <v>QRVO</v>
          </cell>
          <cell r="M791" t="str">
            <v>QORVO-19476284/</v>
          </cell>
          <cell r="N791" t="str">
            <v>QRVO</v>
          </cell>
          <cell r="O791" t="str">
            <v>QORVO INC</v>
          </cell>
          <cell r="P791" t="str">
            <v>NASDAQ GS</v>
          </cell>
          <cell r="Q791" t="str">
            <v>Information Technology</v>
          </cell>
          <cell r="R791" t="str">
            <v>Semiconductors &amp; Semiconductor</v>
          </cell>
          <cell r="S791" t="str">
            <v>QRVO</v>
          </cell>
        </row>
        <row r="792">
          <cell r="L792" t="str">
            <v>SEIC</v>
          </cell>
          <cell r="M792" t="str">
            <v>SEI-INVESTMENTS-COMPANY-10793/</v>
          </cell>
          <cell r="N792" t="str">
            <v>SEIC</v>
          </cell>
          <cell r="O792" t="str">
            <v>SEI INVESTMENTS</v>
          </cell>
          <cell r="P792" t="str">
            <v>NASDAQ GS</v>
          </cell>
          <cell r="Q792" t="str">
            <v>Financials</v>
          </cell>
          <cell r="R792" t="str">
            <v>Capital Markets</v>
          </cell>
          <cell r="S792" t="str">
            <v>SEIC</v>
          </cell>
        </row>
        <row r="793">
          <cell r="L793" t="str">
            <v>ZG</v>
          </cell>
          <cell r="M793" t="str">
            <v>ZILLOW-GROUP-INC-20814107/</v>
          </cell>
          <cell r="N793" t="str">
            <v>ZG</v>
          </cell>
          <cell r="O793" t="str">
            <v>ZILLOW GROUP I-A</v>
          </cell>
          <cell r="P793" t="str">
            <v>NASDAQ GS</v>
          </cell>
          <cell r="Q793" t="str">
            <v>Information Technology</v>
          </cell>
          <cell r="R793" t="str">
            <v>Internet Software &amp; Services</v>
          </cell>
          <cell r="S793" t="str">
            <v>ZG</v>
          </cell>
        </row>
        <row r="794">
          <cell r="L794" t="str">
            <v>NTNX</v>
          </cell>
          <cell r="M794" t="str">
            <v>NUTANIX-INC-31497437/</v>
          </cell>
          <cell r="N794" t="str">
            <v>NTNX</v>
          </cell>
          <cell r="O794" t="str">
            <v>NUTANIX INC - A</v>
          </cell>
          <cell r="P794" t="str">
            <v>NASDAQ GS</v>
          </cell>
          <cell r="Q794" t="str">
            <v>Information Technology</v>
          </cell>
          <cell r="R794" t="str">
            <v>Internet Software &amp; Services</v>
          </cell>
          <cell r="S794" t="str">
            <v>NTNX</v>
          </cell>
        </row>
        <row r="795">
          <cell r="L795" t="str">
            <v>QRTEA</v>
          </cell>
          <cell r="M795" t="str">
            <v>QURATE-RETAIL-INC-42750209/</v>
          </cell>
          <cell r="N795" t="str">
            <v>QRTEA</v>
          </cell>
          <cell r="O795" t="str">
            <v>QURATE RETAIL IN</v>
          </cell>
          <cell r="P795" t="str">
            <v>NASDAQ GS</v>
          </cell>
          <cell r="Q795" t="str">
            <v>Consumer Discretionary</v>
          </cell>
          <cell r="R795" t="str">
            <v>Internet &amp; Direct Marketing Re</v>
          </cell>
          <cell r="S795" t="str">
            <v>QRTEA</v>
          </cell>
        </row>
        <row r="796">
          <cell r="L796" t="str">
            <v>SRPT</v>
          </cell>
          <cell r="M796" t="str">
            <v>SAREPTA-THERAPEUTICS-INC-11204214/</v>
          </cell>
          <cell r="N796" t="str">
            <v>SRPT</v>
          </cell>
          <cell r="O796" t="str">
            <v>SAREPTA THERAPEU</v>
          </cell>
          <cell r="P796" t="str">
            <v>NASDAQ GS</v>
          </cell>
          <cell r="Q796" t="str">
            <v>Health Care</v>
          </cell>
          <cell r="R796" t="str">
            <v>Biotechnology</v>
          </cell>
          <cell r="S796" t="str">
            <v>SRPT</v>
          </cell>
        </row>
        <row r="797">
          <cell r="L797" t="str">
            <v>MOMO</v>
          </cell>
          <cell r="M797" t="str">
            <v>MOMO-INC-ADR-19157094/</v>
          </cell>
          <cell r="N797" t="str">
            <v>MOMO</v>
          </cell>
          <cell r="O797" t="str">
            <v>MOMO INC-ADR</v>
          </cell>
          <cell r="P797" t="str">
            <v>NASDAQ GS</v>
          </cell>
          <cell r="Q797" t="str">
            <v>Information Technology</v>
          </cell>
          <cell r="R797" t="str">
            <v>Internet Software &amp; Services</v>
          </cell>
          <cell r="S797" t="str">
            <v>MOMO</v>
          </cell>
        </row>
        <row r="798">
          <cell r="L798" t="str">
            <v>DOX</v>
          </cell>
          <cell r="M798" t="str">
            <v>AMDOCS-LIMITED-15295069/</v>
          </cell>
          <cell r="N798" t="str">
            <v>DOX</v>
          </cell>
          <cell r="O798" t="str">
            <v>AMDOCS LTD</v>
          </cell>
          <cell r="P798" t="str">
            <v>NASDAQ GS</v>
          </cell>
          <cell r="Q798" t="str">
            <v>Information Technology</v>
          </cell>
          <cell r="R798" t="str">
            <v>IT Services</v>
          </cell>
          <cell r="S798" t="str">
            <v>DOX</v>
          </cell>
        </row>
        <row r="799">
          <cell r="L799" t="str">
            <v>EWBC</v>
          </cell>
          <cell r="M799" t="str">
            <v>EAST-WEST-BANCORP-INC-9227/</v>
          </cell>
          <cell r="N799" t="str">
            <v>EWBC</v>
          </cell>
          <cell r="O799" t="str">
            <v>EAST WEST BNCRP</v>
          </cell>
          <cell r="P799" t="str">
            <v>NASDAQ GS</v>
          </cell>
          <cell r="Q799" t="str">
            <v>Financials</v>
          </cell>
          <cell r="R799" t="str">
            <v>Banks</v>
          </cell>
          <cell r="S799" t="str">
            <v>EWBC</v>
          </cell>
        </row>
        <row r="800">
          <cell r="L800" t="str">
            <v>CGNX</v>
          </cell>
          <cell r="M800" t="str">
            <v>COGNEX-CORPORATION-40246780/</v>
          </cell>
          <cell r="N800" t="str">
            <v>CGNX</v>
          </cell>
          <cell r="O800" t="str">
            <v>COGNEX CORP</v>
          </cell>
          <cell r="P800" t="str">
            <v>NASDAQ GS</v>
          </cell>
          <cell r="Q800" t="str">
            <v>Information Technology</v>
          </cell>
          <cell r="R800" t="str">
            <v>Electronic Equipment, Instrume</v>
          </cell>
          <cell r="S800" t="str">
            <v>CGNX</v>
          </cell>
        </row>
        <row r="801">
          <cell r="L801" t="str">
            <v>ZBRA</v>
          </cell>
          <cell r="M801" t="str">
            <v>ZEBRA-TECHNOLOGIES-CORP-11466/</v>
          </cell>
          <cell r="N801" t="str">
            <v>ZBRA</v>
          </cell>
          <cell r="O801" t="str">
            <v>ZEBRA TECH CORP</v>
          </cell>
          <cell r="P801" t="str">
            <v>NASDAQ GS</v>
          </cell>
          <cell r="Q801" t="str">
            <v>Information Technology</v>
          </cell>
          <cell r="R801" t="str">
            <v>Electronic Equipment, Instrume</v>
          </cell>
          <cell r="S801" t="str">
            <v>ZBRA</v>
          </cell>
        </row>
        <row r="802">
          <cell r="L802" t="str">
            <v>ON</v>
          </cell>
          <cell r="M802" t="str">
            <v>ON-SEMICONDUCTOR-CORP-10340/</v>
          </cell>
          <cell r="N802" t="str">
            <v>ON</v>
          </cell>
          <cell r="O802" t="str">
            <v>ON SEMICONDUCTOR</v>
          </cell>
          <cell r="P802" t="str">
            <v>NASDAQ GS</v>
          </cell>
          <cell r="Q802" t="str">
            <v>Information Technology</v>
          </cell>
          <cell r="R802" t="str">
            <v>Semiconductors &amp; Semiconductor</v>
          </cell>
          <cell r="S802" t="str">
            <v>ON</v>
          </cell>
        </row>
        <row r="803">
          <cell r="L803" t="str">
            <v>AGNC</v>
          </cell>
          <cell r="M803" t="str">
            <v>AGNC-INVESTMENT-CORP-31513839/</v>
          </cell>
          <cell r="N803" t="str">
            <v>AGNC</v>
          </cell>
          <cell r="O803" t="str">
            <v>AGNC INVESTMENT</v>
          </cell>
          <cell r="P803" t="str">
            <v>NASDAQ GS</v>
          </cell>
          <cell r="Q803" t="str">
            <v>Financials</v>
          </cell>
          <cell r="R803" t="str">
            <v>Mortgage Real Estate Investmen</v>
          </cell>
          <cell r="S803" t="str">
            <v>AGNC</v>
          </cell>
        </row>
        <row r="804">
          <cell r="L804" t="str">
            <v>IPGP</v>
          </cell>
          <cell r="M804" t="str">
            <v>IPG-PHOTONICS-CORPORATION-40311217/</v>
          </cell>
          <cell r="N804" t="str">
            <v>IPGP</v>
          </cell>
          <cell r="O804" t="str">
            <v>IPG PHOTONICS</v>
          </cell>
          <cell r="P804" t="str">
            <v>NASDAQ GS</v>
          </cell>
          <cell r="Q804" t="str">
            <v>Information Technology</v>
          </cell>
          <cell r="R804" t="str">
            <v>Electronic Equipment, Instrume</v>
          </cell>
          <cell r="S804" t="str">
            <v>IPGP</v>
          </cell>
        </row>
        <row r="805">
          <cell r="L805" t="str">
            <v>BLUE</v>
          </cell>
          <cell r="M805" t="str">
            <v>BLUEBIRD-BIO-INC-13430435/</v>
          </cell>
          <cell r="N805" t="str">
            <v>BLUE</v>
          </cell>
          <cell r="O805" t="str">
            <v>BLUEBIRD BIO INC</v>
          </cell>
          <cell r="P805" t="str">
            <v>NASDAQ GS</v>
          </cell>
          <cell r="Q805" t="str">
            <v>Health Care</v>
          </cell>
          <cell r="R805" t="str">
            <v>Biotechnology</v>
          </cell>
          <cell r="S805" t="str">
            <v>BLUE</v>
          </cell>
        </row>
        <row r="806">
          <cell r="L806" t="str">
            <v>CACC</v>
          </cell>
          <cell r="M806" t="str">
            <v>CREDIT-ACCEPTANCE-CORP-16820/</v>
          </cell>
          <cell r="N806" t="str">
            <v>CACC</v>
          </cell>
          <cell r="O806" t="str">
            <v>CREDIT ACCEPTANC</v>
          </cell>
          <cell r="P806" t="str">
            <v>NASDAQ GS</v>
          </cell>
          <cell r="Q806" t="str">
            <v>Financials</v>
          </cell>
          <cell r="R806" t="str">
            <v>Consumer Finance</v>
          </cell>
          <cell r="S806" t="str">
            <v>CACC</v>
          </cell>
        </row>
        <row r="807">
          <cell r="L807" t="str">
            <v>FLIR</v>
          </cell>
          <cell r="M807" t="str">
            <v>FLIR-SYSTEMS-9314/</v>
          </cell>
          <cell r="N807" t="str">
            <v>FLIR</v>
          </cell>
          <cell r="O807" t="str">
            <v>FLIR SYSTEMS</v>
          </cell>
          <cell r="P807" t="str">
            <v>NASDAQ GS</v>
          </cell>
          <cell r="Q807" t="str">
            <v>Information Technology</v>
          </cell>
          <cell r="R807" t="str">
            <v>Electronic Equipment, Instrume</v>
          </cell>
          <cell r="S807" t="str">
            <v>FLIR</v>
          </cell>
        </row>
        <row r="808">
          <cell r="L808" t="str">
            <v>XRAY</v>
          </cell>
          <cell r="M808" t="str">
            <v>DENTSPLY-SIRONA-INC-40311122/</v>
          </cell>
          <cell r="N808" t="str">
            <v>XRAY</v>
          </cell>
          <cell r="O808" t="str">
            <v>DENTSPLY SIRONA</v>
          </cell>
          <cell r="P808" t="str">
            <v>NASDAQ GS</v>
          </cell>
          <cell r="Q808" t="str">
            <v>Health Care</v>
          </cell>
          <cell r="R808" t="str">
            <v>Health Care Equipment &amp; Suppli</v>
          </cell>
          <cell r="S808" t="str">
            <v>XRAY</v>
          </cell>
        </row>
        <row r="809">
          <cell r="L809" t="str">
            <v>LOGN</v>
          </cell>
          <cell r="M809" t="str">
            <v>LOGITECH-INTERNATIONAL-9900/</v>
          </cell>
          <cell r="N809" t="str">
            <v>LOGN</v>
          </cell>
          <cell r="O809" t="str">
            <v>LOGITECH INTER-R</v>
          </cell>
          <cell r="P809" t="str">
            <v>NASDAQ GS</v>
          </cell>
          <cell r="Q809" t="str">
            <v>Information Technology</v>
          </cell>
          <cell r="R809" t="str">
            <v>Technology Hardware, Storage &amp;</v>
          </cell>
          <cell r="S809" t="str">
            <v>LOGN.VX</v>
          </cell>
        </row>
        <row r="810">
          <cell r="L810" t="str">
            <v>HDS</v>
          </cell>
          <cell r="M810" t="str">
            <v>HD-SUPPLY-HOLDINGS-INC-13479939/</v>
          </cell>
          <cell r="N810" t="str">
            <v>HDS</v>
          </cell>
          <cell r="O810" t="str">
            <v>HD SUPPLY HOLDIN</v>
          </cell>
          <cell r="P810" t="str">
            <v>NASDAQ GS</v>
          </cell>
          <cell r="Q810" t="str">
            <v>Industrials</v>
          </cell>
          <cell r="R810" t="str">
            <v>Trading Companies &amp; Distributo</v>
          </cell>
          <cell r="S810" t="str">
            <v>HDS</v>
          </cell>
        </row>
        <row r="811">
          <cell r="L811" t="str">
            <v>AZPN</v>
          </cell>
          <cell r="M811" t="str">
            <v>ASPEN-TECHNOLOGY-INC-8515/</v>
          </cell>
          <cell r="N811" t="str">
            <v>AZPN</v>
          </cell>
          <cell r="O811" t="str">
            <v>ASPEN TECHNOLOGY</v>
          </cell>
          <cell r="P811" t="str">
            <v>NASDAQ GS</v>
          </cell>
          <cell r="Q811" t="str">
            <v>Information Technology</v>
          </cell>
          <cell r="R811" t="str">
            <v>Software</v>
          </cell>
          <cell r="S811" t="str">
            <v>AZPN</v>
          </cell>
        </row>
        <row r="812">
          <cell r="L812" t="str">
            <v>ICLR</v>
          </cell>
          <cell r="M812" t="str">
            <v>ICON-PLC-12685103/</v>
          </cell>
          <cell r="N812" t="str">
            <v>ICLR</v>
          </cell>
          <cell r="O812" t="str">
            <v>ICON PLC</v>
          </cell>
          <cell r="P812" t="str">
            <v>NASDAQ GS</v>
          </cell>
          <cell r="Q812" t="str">
            <v>Health Care</v>
          </cell>
          <cell r="R812" t="str">
            <v>Life Sciences Tools &amp; Services</v>
          </cell>
          <cell r="S812" t="str">
            <v>ICLR</v>
          </cell>
        </row>
        <row r="813">
          <cell r="L813" t="str">
            <v>CDK</v>
          </cell>
          <cell r="M813" t="str">
            <v>CDK-GLOBAL-INC-18052701/</v>
          </cell>
          <cell r="N813" t="str">
            <v>CDK</v>
          </cell>
          <cell r="O813" t="str">
            <v>CDK GLOBAL INC</v>
          </cell>
          <cell r="P813" t="str">
            <v>NASDAQ GS</v>
          </cell>
          <cell r="Q813" t="str">
            <v>Information Technology</v>
          </cell>
          <cell r="R813" t="str">
            <v>Software</v>
          </cell>
          <cell r="S813" t="str">
            <v>CDK</v>
          </cell>
        </row>
        <row r="814">
          <cell r="L814" t="str">
            <v>LAMR</v>
          </cell>
          <cell r="M814" t="str">
            <v>LAMAR-ADVERTISING-CO-18603401/</v>
          </cell>
          <cell r="N814" t="str">
            <v>LAMR</v>
          </cell>
          <cell r="O814" t="str">
            <v>LAMAR ADVERTIS-A</v>
          </cell>
          <cell r="P814" t="str">
            <v>NASDAQ GS</v>
          </cell>
          <cell r="Q814" t="str">
            <v>Real Estate</v>
          </cell>
          <cell r="R814" t="str">
            <v>Equity Real Estate Investment</v>
          </cell>
          <cell r="S814" t="str">
            <v>LAMR</v>
          </cell>
        </row>
        <row r="815">
          <cell r="L815" t="str">
            <v>NWS</v>
          </cell>
          <cell r="M815" t="str">
            <v>NEWS-CORP-13439787/</v>
          </cell>
          <cell r="N815" t="str">
            <v>NWS</v>
          </cell>
          <cell r="O815" t="str">
            <v>NEWS CORP-CL B</v>
          </cell>
          <cell r="P815" t="str">
            <v>NASDAQ GS</v>
          </cell>
          <cell r="Q815" t="str">
            <v>Consumer Discretionary</v>
          </cell>
          <cell r="R815" t="str">
            <v>Media</v>
          </cell>
          <cell r="S815" t="str">
            <v>NWS</v>
          </cell>
        </row>
        <row r="816">
          <cell r="L816" t="str">
            <v>CBSH</v>
          </cell>
          <cell r="M816" t="str">
            <v>COMMERCE-BANCSHARES-INC-8698/</v>
          </cell>
          <cell r="N816" t="str">
            <v>CBSH</v>
          </cell>
          <cell r="O816" t="str">
            <v>COMMERCE BCSHS</v>
          </cell>
          <cell r="P816" t="str">
            <v>NASDAQ GS</v>
          </cell>
          <cell r="Q816" t="str">
            <v>Financials</v>
          </cell>
          <cell r="R816" t="str">
            <v>Banks</v>
          </cell>
          <cell r="S816" t="str">
            <v>CBSH</v>
          </cell>
        </row>
        <row r="817">
          <cell r="L817" t="str">
            <v>GLPI</v>
          </cell>
          <cell r="M817" t="str">
            <v>GAMING-AND-LEISURE-PROPER-14571051/</v>
          </cell>
          <cell r="N817" t="str">
            <v>GLPI</v>
          </cell>
          <cell r="O817" t="str">
            <v>GAMING AND LEISU</v>
          </cell>
          <cell r="P817" t="str">
            <v>NASDAQ GS</v>
          </cell>
          <cell r="Q817" t="str">
            <v>Real Estate</v>
          </cell>
          <cell r="R817" t="str">
            <v>Equity Real Estate Investment</v>
          </cell>
          <cell r="S817" t="str">
            <v>GLPI</v>
          </cell>
        </row>
        <row r="818">
          <cell r="L818" t="str">
            <v>FLEX</v>
          </cell>
          <cell r="M818" t="str">
            <v>FLEX-LTD-4874/</v>
          </cell>
          <cell r="N818" t="str">
            <v>FLEX</v>
          </cell>
          <cell r="O818" t="str">
            <v>FLEX LTD</v>
          </cell>
          <cell r="P818" t="str">
            <v>NASDAQ GS</v>
          </cell>
          <cell r="Q818" t="str">
            <v>Information Technology</v>
          </cell>
          <cell r="R818" t="str">
            <v>Electronic Equipment, Instrume</v>
          </cell>
          <cell r="S818" t="str">
            <v>FLEX</v>
          </cell>
        </row>
        <row r="819">
          <cell r="L819" t="str">
            <v>TRIP</v>
          </cell>
          <cell r="M819" t="str">
            <v>TRIPADVISOR-9597196/</v>
          </cell>
          <cell r="N819" t="str">
            <v>TRIP</v>
          </cell>
          <cell r="O819" t="str">
            <v>TRIPADVISOR INC</v>
          </cell>
          <cell r="P819" t="str">
            <v>NASDAQ GS</v>
          </cell>
          <cell r="Q819" t="str">
            <v>Consumer Discretionary</v>
          </cell>
          <cell r="R819" t="str">
            <v>Internet &amp; Direct Marketing Re</v>
          </cell>
          <cell r="S819" t="str">
            <v>TRIP</v>
          </cell>
        </row>
        <row r="820">
          <cell r="L820" t="str">
            <v>TECH</v>
          </cell>
          <cell r="M820" t="str">
            <v>BIO-TECHNE-CORP-18468619/</v>
          </cell>
          <cell r="N820" t="str">
            <v>TECH</v>
          </cell>
          <cell r="O820" t="str">
            <v>BIO-TECHNE CORP</v>
          </cell>
          <cell r="P820" t="str">
            <v>NASDAQ GS</v>
          </cell>
          <cell r="Q820" t="str">
            <v>Health Care</v>
          </cell>
          <cell r="R820" t="str">
            <v>Life Sciences Tools &amp; Services</v>
          </cell>
          <cell r="S820" t="str">
            <v>TECH</v>
          </cell>
        </row>
        <row r="821">
          <cell r="L821" t="str">
            <v>UHAL</v>
          </cell>
          <cell r="M821" t="str">
            <v>AMERCO-11227/</v>
          </cell>
          <cell r="N821" t="str">
            <v>UHAL</v>
          </cell>
          <cell r="O821" t="str">
            <v>AMERCO</v>
          </cell>
          <cell r="P821" t="str">
            <v>NASDAQ GS</v>
          </cell>
          <cell r="Q821" t="str">
            <v>Industrials</v>
          </cell>
          <cell r="R821" t="str">
            <v>Road &amp; Rail</v>
          </cell>
          <cell r="S821" t="str">
            <v>UHAL</v>
          </cell>
        </row>
        <row r="822">
          <cell r="L822" t="str">
            <v>SABR</v>
          </cell>
          <cell r="M822" t="str">
            <v>SABRE-CORP-16290162/</v>
          </cell>
          <cell r="N822" t="str">
            <v>SABR</v>
          </cell>
          <cell r="O822" t="str">
            <v>SABRE CORP</v>
          </cell>
          <cell r="P822" t="str">
            <v>NASDAQ GS</v>
          </cell>
          <cell r="Q822" t="str">
            <v>Information Technology</v>
          </cell>
          <cell r="R822" t="str">
            <v>IT Services</v>
          </cell>
          <cell r="S822" t="str">
            <v>SABR</v>
          </cell>
        </row>
        <row r="823">
          <cell r="L823" t="str">
            <v>NICE</v>
          </cell>
          <cell r="M823" t="str">
            <v>NICE-LTD-10201/</v>
          </cell>
          <cell r="N823" t="str">
            <v>NICE</v>
          </cell>
          <cell r="O823" t="str">
            <v>NICE LTD -SP ADR</v>
          </cell>
          <cell r="P823" t="str">
            <v>NASDAQ GS</v>
          </cell>
          <cell r="Q823" t="str">
            <v>Information Technology</v>
          </cell>
          <cell r="R823" t="str">
            <v>Software</v>
          </cell>
          <cell r="S823" t="str">
            <v>NICE</v>
          </cell>
        </row>
        <row r="824">
          <cell r="L824" t="str">
            <v>TSGI</v>
          </cell>
          <cell r="M824" t="str">
            <v>STARS-GROUP-INC-37278226/</v>
          </cell>
          <cell r="N824" t="str">
            <v>TSGI</v>
          </cell>
          <cell r="O824" t="str">
            <v>STARS GROUP INC/</v>
          </cell>
          <cell r="P824" t="str">
            <v>NASDAQ GS</v>
          </cell>
          <cell r="Q824" t="str">
            <v>Consumer Discretionary</v>
          </cell>
          <cell r="R824" t="str">
            <v>Hotels, Restaurants &amp; Leisure</v>
          </cell>
          <cell r="S824" t="str">
            <v>TSGI</v>
          </cell>
        </row>
        <row r="825">
          <cell r="L825" t="str">
            <v>PRAH</v>
          </cell>
          <cell r="M825" t="str">
            <v>PRA-HEALTH-SCIENCES-INC-18521333/</v>
          </cell>
          <cell r="N825" t="str">
            <v>PRAH</v>
          </cell>
          <cell r="O825" t="str">
            <v>PRA HEALTH SCIEN</v>
          </cell>
          <cell r="P825" t="str">
            <v>NASDAQ GS</v>
          </cell>
          <cell r="Q825" t="str">
            <v>Health Care</v>
          </cell>
          <cell r="R825" t="str">
            <v>Life Sciences Tools &amp; Services</v>
          </cell>
          <cell r="S825" t="str">
            <v>PRAH</v>
          </cell>
        </row>
        <row r="826">
          <cell r="L826" t="str">
            <v>ALKS</v>
          </cell>
          <cell r="M826" t="str">
            <v>ALKERMES-PLC-13323547/</v>
          </cell>
          <cell r="N826" t="str">
            <v>ALKS</v>
          </cell>
          <cell r="O826" t="str">
            <v>ALKERMES PLC</v>
          </cell>
          <cell r="P826" t="str">
            <v>NASDAQ GS</v>
          </cell>
          <cell r="Q826" t="str">
            <v>Health Care</v>
          </cell>
          <cell r="R826" t="str">
            <v>Biotechnology</v>
          </cell>
          <cell r="S826" t="str">
            <v>ALKS</v>
          </cell>
        </row>
        <row r="827">
          <cell r="L827" t="str">
            <v>CZR</v>
          </cell>
          <cell r="M827" t="str">
            <v>CAESARS-ENTERTAINMENT-COR-6881150/</v>
          </cell>
          <cell r="N827" t="str">
            <v>CZR</v>
          </cell>
          <cell r="O827" t="str">
            <v>CAESARS ENTERTAI</v>
          </cell>
          <cell r="P827" t="str">
            <v>NASDAQ GS</v>
          </cell>
          <cell r="Q827" t="str">
            <v>Consumer Discretionary</v>
          </cell>
          <cell r="R827" t="str">
            <v>Hotels, Restaurants &amp; Leisure</v>
          </cell>
          <cell r="S827" t="str">
            <v>CZR</v>
          </cell>
        </row>
        <row r="828">
          <cell r="L828" t="str">
            <v>MIDD</v>
          </cell>
          <cell r="M828" t="str">
            <v>MIDDLEBY-CORP-10026/</v>
          </cell>
          <cell r="N828" t="str">
            <v>MIDD</v>
          </cell>
          <cell r="O828" t="str">
            <v>MIDDLEBY CORP</v>
          </cell>
          <cell r="P828" t="str">
            <v>NASDAQ GS</v>
          </cell>
          <cell r="Q828" t="str">
            <v>Industrials</v>
          </cell>
          <cell r="R828" t="str">
            <v>Machinery</v>
          </cell>
          <cell r="S828" t="str">
            <v>MIDD</v>
          </cell>
        </row>
        <row r="829">
          <cell r="L829" t="str">
            <v>BOKF</v>
          </cell>
          <cell r="M829" t="str">
            <v>BOK-FINANCIAL-CORPORATION-8599/</v>
          </cell>
          <cell r="N829" t="str">
            <v>BOKF</v>
          </cell>
          <cell r="O829" t="str">
            <v>BOK FINL CORP</v>
          </cell>
          <cell r="P829" t="str">
            <v>NASDAQ GS</v>
          </cell>
          <cell r="Q829" t="str">
            <v>Financials</v>
          </cell>
          <cell r="R829" t="str">
            <v>Banks</v>
          </cell>
          <cell r="S829" t="str">
            <v>BOKF</v>
          </cell>
        </row>
        <row r="830">
          <cell r="L830" t="str">
            <v>POOL</v>
          </cell>
          <cell r="M830" t="str">
            <v>POOL-CORPORATION-10514/</v>
          </cell>
          <cell r="N830" t="str">
            <v>POOL</v>
          </cell>
          <cell r="O830" t="str">
            <v>POOL CORP</v>
          </cell>
          <cell r="P830" t="str">
            <v>NASDAQ GS</v>
          </cell>
          <cell r="Q830" t="str">
            <v>Consumer Discretionary</v>
          </cell>
          <cell r="R830" t="str">
            <v>Distributors</v>
          </cell>
          <cell r="S830" t="str">
            <v>POOL</v>
          </cell>
        </row>
        <row r="831">
          <cell r="L831" t="str">
            <v>FIVE</v>
          </cell>
          <cell r="M831" t="str">
            <v>FIVE-BELOW-INC-11076428/</v>
          </cell>
          <cell r="N831" t="str">
            <v>FIVE</v>
          </cell>
          <cell r="O831" t="str">
            <v>FIVE BELOW</v>
          </cell>
          <cell r="P831" t="str">
            <v>NASDAQ GS</v>
          </cell>
          <cell r="Q831" t="str">
            <v>Consumer Discretionary</v>
          </cell>
          <cell r="R831" t="str">
            <v>Specialty Retail</v>
          </cell>
          <cell r="S831" t="str">
            <v>FIVE</v>
          </cell>
        </row>
        <row r="832">
          <cell r="L832" t="str">
            <v>UBNT</v>
          </cell>
          <cell r="M832" t="str">
            <v>UBIQUITI-NETWORKS-INC-9155775/</v>
          </cell>
          <cell r="N832" t="str">
            <v>UBNT</v>
          </cell>
          <cell r="O832" t="str">
            <v>UBIQUITI NETWORK</v>
          </cell>
          <cell r="P832" t="str">
            <v>NASDAQ GS</v>
          </cell>
          <cell r="Q832" t="str">
            <v>Information Technology</v>
          </cell>
          <cell r="R832" t="str">
            <v>Communications Equipment</v>
          </cell>
          <cell r="S832" t="str">
            <v>UBNT</v>
          </cell>
        </row>
        <row r="833">
          <cell r="L833" t="str">
            <v>ERIE</v>
          </cell>
          <cell r="M833" t="str">
            <v>ERIE-INDEMNITY-COMPANY-9204/</v>
          </cell>
          <cell r="N833" t="str">
            <v>ERIE</v>
          </cell>
          <cell r="O833" t="str">
            <v>ERIE INDEMNITY-A</v>
          </cell>
          <cell r="P833" t="str">
            <v>NASDAQ GS</v>
          </cell>
          <cell r="Q833" t="str">
            <v>Financials</v>
          </cell>
          <cell r="R833" t="str">
            <v>Insurance</v>
          </cell>
          <cell r="S833" t="str">
            <v>ERIE</v>
          </cell>
        </row>
        <row r="834">
          <cell r="L834" t="str">
            <v>OKTA</v>
          </cell>
          <cell r="M834" t="str">
            <v>OKTA-INC-34515216/</v>
          </cell>
          <cell r="N834" t="str">
            <v>OKTA</v>
          </cell>
          <cell r="O834" t="str">
            <v>OKTA INC</v>
          </cell>
          <cell r="P834" t="str">
            <v>NASDAQ GS</v>
          </cell>
          <cell r="Q834" t="str">
            <v>Information Technology</v>
          </cell>
          <cell r="R834" t="str">
            <v>Internet Software &amp; Services</v>
          </cell>
          <cell r="S834" t="str">
            <v>OKTA</v>
          </cell>
        </row>
        <row r="835">
          <cell r="L835" t="str">
            <v>CONE</v>
          </cell>
          <cell r="M835" t="str">
            <v>CYRUSONE-INC-12389462/</v>
          </cell>
          <cell r="N835" t="str">
            <v>CONE</v>
          </cell>
          <cell r="O835" t="str">
            <v>CYRUSONE INC</v>
          </cell>
          <cell r="P835" t="str">
            <v>NASDAQ GS</v>
          </cell>
          <cell r="Q835" t="str">
            <v>Real Estate</v>
          </cell>
          <cell r="R835" t="str">
            <v>Equity Real Estate Investment</v>
          </cell>
          <cell r="S835" t="str">
            <v>CONE</v>
          </cell>
        </row>
        <row r="836">
          <cell r="L836" t="str">
            <v>SBNY</v>
          </cell>
          <cell r="M836" t="str">
            <v>SIGNATURE-BANK-10755/</v>
          </cell>
          <cell r="N836" t="str">
            <v>SBNY</v>
          </cell>
          <cell r="O836" t="str">
            <v>SIGNATURE BANK</v>
          </cell>
          <cell r="P836" t="str">
            <v>NASDAQ GS</v>
          </cell>
          <cell r="Q836" t="str">
            <v>Financials</v>
          </cell>
          <cell r="R836" t="str">
            <v>Banks</v>
          </cell>
          <cell r="S836" t="str">
            <v>SBNY</v>
          </cell>
        </row>
        <row r="837">
          <cell r="L837" t="str">
            <v>PBCT</v>
          </cell>
          <cell r="M837" t="str">
            <v>PEOPLE-S-UNITED-FINANCIAL-10401/</v>
          </cell>
          <cell r="N837" t="str">
            <v>PBCT</v>
          </cell>
          <cell r="O837" t="str">
            <v>PEOPLE'S UNITED</v>
          </cell>
          <cell r="P837" t="str">
            <v>NASDAQ GS</v>
          </cell>
          <cell r="Q837" t="str">
            <v>Financials</v>
          </cell>
          <cell r="R837" t="str">
            <v>Banks</v>
          </cell>
          <cell r="S837" t="str">
            <v>PBCT</v>
          </cell>
        </row>
        <row r="838">
          <cell r="L838" t="str">
            <v>MPWR</v>
          </cell>
          <cell r="M838" t="str">
            <v>MONOLITHIC-POWER-SYSTEMS-10076/</v>
          </cell>
          <cell r="N838" t="str">
            <v>MPWR</v>
          </cell>
          <cell r="O838" t="str">
            <v>MONOLITHIC POWER</v>
          </cell>
          <cell r="P838" t="str">
            <v>NASDAQ GS</v>
          </cell>
          <cell r="Q838" t="str">
            <v>Information Technology</v>
          </cell>
          <cell r="R838" t="str">
            <v>Semiconductors &amp; Semiconductor</v>
          </cell>
          <cell r="S838" t="str">
            <v>MPWR</v>
          </cell>
        </row>
        <row r="839">
          <cell r="L839" t="str">
            <v>DNKN</v>
          </cell>
          <cell r="M839" t="str">
            <v>DUNKIN-BRANDS-GROUP-INC-8507176/</v>
          </cell>
          <cell r="N839" t="str">
            <v>DNKN</v>
          </cell>
          <cell r="O839" t="str">
            <v>DUNKIN' BRANDS G</v>
          </cell>
          <cell r="P839" t="str">
            <v>NASDAQ GS</v>
          </cell>
          <cell r="Q839" t="str">
            <v>Consumer Discretionary</v>
          </cell>
          <cell r="R839" t="str">
            <v>Hotels, Restaurants &amp; Leisure</v>
          </cell>
          <cell r="S839" t="str">
            <v>DNKN</v>
          </cell>
        </row>
        <row r="840">
          <cell r="L840" t="str">
            <v>COLM</v>
          </cell>
          <cell r="M840" t="str">
            <v>COLUMBIA-SPORTSWEAR-COMPA-8859/</v>
          </cell>
          <cell r="N840" t="str">
            <v>COLM</v>
          </cell>
          <cell r="O840" t="str">
            <v>COLUMBIA SPORTSW</v>
          </cell>
          <cell r="P840" t="str">
            <v>NASDAQ GS</v>
          </cell>
          <cell r="Q840" t="str">
            <v>Consumer Discretionary</v>
          </cell>
          <cell r="R840" t="str">
            <v>Textiles, Apparel &amp; Luxury Goo</v>
          </cell>
          <cell r="S840" t="str">
            <v>COLM</v>
          </cell>
        </row>
        <row r="841">
          <cell r="L841" t="str">
            <v>ROKU</v>
          </cell>
          <cell r="M841" t="str">
            <v>ROKU-INC-37892974/</v>
          </cell>
          <cell r="N841" t="str">
            <v>ROKU</v>
          </cell>
          <cell r="O841" t="str">
            <v>ROKU INC</v>
          </cell>
          <cell r="P841" t="str">
            <v>NASDAQ GS</v>
          </cell>
          <cell r="Q841" t="str">
            <v>Consumer Discretionary</v>
          </cell>
          <cell r="R841" t="str">
            <v>Household Durables</v>
          </cell>
          <cell r="S841" t="str">
            <v>ROKU</v>
          </cell>
        </row>
        <row r="842">
          <cell r="L842" t="str">
            <v>ICUI</v>
          </cell>
          <cell r="M842" t="str">
            <v>ICU-MEDICAL-INCORPORATED-9631/</v>
          </cell>
          <cell r="N842" t="str">
            <v>ICUI</v>
          </cell>
          <cell r="O842" t="str">
            <v>ICU MEDICAL</v>
          </cell>
          <cell r="P842" t="str">
            <v>NASDAQ GS</v>
          </cell>
          <cell r="Q842" t="str">
            <v>Health Care</v>
          </cell>
          <cell r="R842" t="str">
            <v>Health Care Equipment &amp; Suppli</v>
          </cell>
          <cell r="S842" t="str">
            <v>ICUI</v>
          </cell>
        </row>
        <row r="843">
          <cell r="L843" t="str">
            <v>CY</v>
          </cell>
          <cell r="M843" t="str">
            <v>CYPRESS-SEMICONDUCTOR-COR-12244/</v>
          </cell>
          <cell r="N843" t="str">
            <v>CY</v>
          </cell>
          <cell r="O843" t="str">
            <v>CYPRESS SEMICON</v>
          </cell>
          <cell r="P843" t="str">
            <v>NASDAQ GS</v>
          </cell>
          <cell r="Q843" t="str">
            <v>Information Technology</v>
          </cell>
          <cell r="R843" t="str">
            <v>Semiconductors &amp; Semiconductor</v>
          </cell>
          <cell r="S843" t="str">
            <v>CY</v>
          </cell>
        </row>
        <row r="844">
          <cell r="L844" t="str">
            <v>IONS</v>
          </cell>
          <cell r="M844" t="str">
            <v>IONIS-PHARMACEUTICALS-INC-25500637/</v>
          </cell>
          <cell r="N844" t="str">
            <v>IONS</v>
          </cell>
          <cell r="O844" t="str">
            <v>IONIS PHARMACEUT</v>
          </cell>
          <cell r="P844" t="str">
            <v>NASDAQ GS</v>
          </cell>
          <cell r="Q844" t="str">
            <v>Health Care</v>
          </cell>
          <cell r="R844" t="str">
            <v>Biotechnology</v>
          </cell>
          <cell r="S844" t="str">
            <v>IONS</v>
          </cell>
        </row>
        <row r="845">
          <cell r="L845" t="str">
            <v>MASI</v>
          </cell>
          <cell r="M845" t="str">
            <v>MASIMO-CORPORATION-58024/</v>
          </cell>
          <cell r="N845" t="str">
            <v>MASI</v>
          </cell>
          <cell r="O845" t="str">
            <v>MASIMO CORP</v>
          </cell>
          <cell r="P845" t="str">
            <v>NASDAQ GS</v>
          </cell>
          <cell r="Q845" t="str">
            <v>Health Care</v>
          </cell>
          <cell r="R845" t="str">
            <v>Health Care Equipment &amp; Suppli</v>
          </cell>
          <cell r="S845" t="str">
            <v>MASI</v>
          </cell>
        </row>
        <row r="846">
          <cell r="L846" t="str">
            <v>PACW</v>
          </cell>
          <cell r="M846" t="str">
            <v>PACWEST-BANCORP-10391/</v>
          </cell>
          <cell r="N846" t="str">
            <v>PACW</v>
          </cell>
          <cell r="O846" t="str">
            <v>PACWEST BANCORP</v>
          </cell>
          <cell r="P846" t="str">
            <v>NASDAQ GS</v>
          </cell>
          <cell r="Q846" t="str">
            <v>Financials</v>
          </cell>
          <cell r="R846" t="str">
            <v>Banks</v>
          </cell>
          <cell r="S846" t="str">
            <v>PACW</v>
          </cell>
        </row>
        <row r="847">
          <cell r="L847" t="str">
            <v>GNTX</v>
          </cell>
          <cell r="M847" t="str">
            <v>GENTEX-CORPORATION-9464/</v>
          </cell>
          <cell r="N847" t="str">
            <v>GNTX</v>
          </cell>
          <cell r="O847" t="str">
            <v>GENTEX CORP</v>
          </cell>
          <cell r="P847" t="str">
            <v>NASDAQ GS</v>
          </cell>
          <cell r="Q847" t="str">
            <v>Consumer Discretionary</v>
          </cell>
          <cell r="R847" t="str">
            <v>Auto Components</v>
          </cell>
          <cell r="S847" t="str">
            <v>GNTX</v>
          </cell>
        </row>
        <row r="848">
          <cell r="L848" t="str">
            <v>PODD</v>
          </cell>
          <cell r="M848" t="str">
            <v>INSULET-CORPORATION-50468/</v>
          </cell>
          <cell r="N848" t="str">
            <v>PODD</v>
          </cell>
          <cell r="O848" t="str">
            <v>INSULET CORP</v>
          </cell>
          <cell r="P848" t="str">
            <v>NASDAQ GS</v>
          </cell>
          <cell r="Q848" t="str">
            <v>Health Care</v>
          </cell>
          <cell r="R848" t="str">
            <v>Health Care Equipment &amp; Suppli</v>
          </cell>
          <cell r="S848" t="str">
            <v>PODD</v>
          </cell>
        </row>
        <row r="849">
          <cell r="L849" t="str">
            <v>ETSY</v>
          </cell>
          <cell r="M849" t="str">
            <v>ETSY-INC-21685602/</v>
          </cell>
          <cell r="N849" t="str">
            <v>ETSY</v>
          </cell>
          <cell r="O849" t="str">
            <v>ETSY INC</v>
          </cell>
          <cell r="P849" t="str">
            <v>NASDAQ GS</v>
          </cell>
          <cell r="Q849" t="str">
            <v>Information Technology</v>
          </cell>
          <cell r="R849" t="str">
            <v>Internet Software &amp; Services</v>
          </cell>
          <cell r="S849" t="str">
            <v>ETSY</v>
          </cell>
        </row>
        <row r="850">
          <cell r="L850" t="str">
            <v>LIVN</v>
          </cell>
          <cell r="M850" t="str">
            <v>LIVANOVA-PLC-24530529/</v>
          </cell>
          <cell r="N850" t="str">
            <v>LIVN</v>
          </cell>
          <cell r="O850" t="str">
            <v>LIVANOVA PLC</v>
          </cell>
          <cell r="P850" t="str">
            <v>NASDAQ GS</v>
          </cell>
          <cell r="Q850" t="str">
            <v>Health Care</v>
          </cell>
          <cell r="R850" t="str">
            <v>Health Care Equipment &amp; Suppli</v>
          </cell>
          <cell r="S850" t="str">
            <v>LIVN</v>
          </cell>
        </row>
        <row r="851">
          <cell r="L851" t="str">
            <v>MORN</v>
          </cell>
          <cell r="M851" t="str">
            <v>MORNINGSTAR-INC-10068/</v>
          </cell>
          <cell r="N851" t="str">
            <v>MORN</v>
          </cell>
          <cell r="O851" t="str">
            <v>MORNINGSTAR INC</v>
          </cell>
          <cell r="P851" t="str">
            <v>NASDAQ GS</v>
          </cell>
          <cell r="Q851" t="str">
            <v>Financials</v>
          </cell>
          <cell r="R851" t="str">
            <v>Capital Markets</v>
          </cell>
          <cell r="S851" t="str">
            <v>MORN</v>
          </cell>
        </row>
        <row r="852">
          <cell r="L852" t="str">
            <v>BGCP</v>
          </cell>
          <cell r="M852" t="str">
            <v>BGC-PARTNERS-INC-2951722/</v>
          </cell>
          <cell r="N852" t="str">
            <v>BGCP</v>
          </cell>
          <cell r="O852" t="str">
            <v>BGC PARTNERS-A</v>
          </cell>
          <cell r="P852" t="str">
            <v>NASDAQ GS</v>
          </cell>
          <cell r="Q852" t="str">
            <v>Financials</v>
          </cell>
          <cell r="R852" t="str">
            <v>Capital Markets</v>
          </cell>
          <cell r="S852" t="str">
            <v>BGCP</v>
          </cell>
        </row>
        <row r="853">
          <cell r="L853" t="str">
            <v>COMM</v>
          </cell>
          <cell r="M853" t="str">
            <v>COMMSCOPE-HOLDING-COMPANY-14688863/</v>
          </cell>
          <cell r="N853" t="str">
            <v>COMM</v>
          </cell>
          <cell r="O853" t="str">
            <v>COMMSCOPE HOLDIN</v>
          </cell>
          <cell r="P853" t="str">
            <v>NASDAQ GS</v>
          </cell>
          <cell r="Q853" t="str">
            <v>Information Technology</v>
          </cell>
          <cell r="R853" t="str">
            <v>Communications Equipment</v>
          </cell>
          <cell r="S853" t="str">
            <v>COMM</v>
          </cell>
        </row>
        <row r="854">
          <cell r="L854" t="str">
            <v>GOLD</v>
          </cell>
          <cell r="M854" t="str">
            <v>RANDGOLD-RESOURCES-LIMITE-9467/</v>
          </cell>
          <cell r="N854" t="str">
            <v>GOLD</v>
          </cell>
          <cell r="O854" t="str">
            <v>RANDGOLD RES-ADR</v>
          </cell>
          <cell r="P854" t="str">
            <v>NASDAQ GS</v>
          </cell>
          <cell r="Q854" t="str">
            <v>Materials</v>
          </cell>
          <cell r="R854" t="str">
            <v>Metals &amp; Mining</v>
          </cell>
          <cell r="S854" t="str">
            <v>GOLD</v>
          </cell>
        </row>
        <row r="855">
          <cell r="L855" t="str">
            <v>JBLU</v>
          </cell>
          <cell r="M855" t="str">
            <v>JETBLUE-AIRWAYS-CORPORATI-9770/</v>
          </cell>
          <cell r="N855" t="str">
            <v>JBLU</v>
          </cell>
          <cell r="O855" t="str">
            <v>JETBLUE AIRWAYS</v>
          </cell>
          <cell r="P855" t="str">
            <v>NASDAQ GS</v>
          </cell>
          <cell r="Q855" t="str">
            <v>Industrials</v>
          </cell>
          <cell r="R855" t="str">
            <v>Airlines</v>
          </cell>
          <cell r="S855" t="str">
            <v>JBLU</v>
          </cell>
        </row>
        <row r="856">
          <cell r="L856" t="str">
            <v>RP</v>
          </cell>
          <cell r="M856" t="str">
            <v>REALPAGE-INC-6486081/</v>
          </cell>
          <cell r="N856" t="str">
            <v>RP</v>
          </cell>
          <cell r="O856" t="str">
            <v>REALPAGE INC</v>
          </cell>
          <cell r="P856" t="str">
            <v>NASDAQ GS</v>
          </cell>
          <cell r="Q856" t="str">
            <v>Information Technology</v>
          </cell>
          <cell r="R856" t="str">
            <v>Software</v>
          </cell>
          <cell r="S856" t="str">
            <v>RP</v>
          </cell>
        </row>
        <row r="857">
          <cell r="L857" t="str">
            <v>LPLA</v>
          </cell>
          <cell r="M857" t="str">
            <v>LPL-FINANCIAL-HOLDINGS-IN-12230347/</v>
          </cell>
          <cell r="N857" t="str">
            <v>LPLA</v>
          </cell>
          <cell r="O857" t="str">
            <v>LPL FINANCIAL HO</v>
          </cell>
          <cell r="P857" t="str">
            <v>NASDAQ GS</v>
          </cell>
          <cell r="Q857" t="str">
            <v>Financials</v>
          </cell>
          <cell r="R857" t="str">
            <v>Capital Markets</v>
          </cell>
          <cell r="S857" t="str">
            <v>LPLA</v>
          </cell>
        </row>
        <row r="858">
          <cell r="L858" t="str">
            <v>PINC</v>
          </cell>
          <cell r="M858" t="str">
            <v>PREMIER-INC-14383011/</v>
          </cell>
          <cell r="N858" t="str">
            <v>PINC</v>
          </cell>
          <cell r="O858" t="str">
            <v>PREMIER INC-CL A</v>
          </cell>
          <cell r="P858" t="str">
            <v>NASDAQ GS</v>
          </cell>
          <cell r="Q858" t="str">
            <v>Health Care</v>
          </cell>
          <cell r="R858" t="str">
            <v>Health Care Providers &amp; Servic</v>
          </cell>
          <cell r="S858" t="str">
            <v>PINC</v>
          </cell>
        </row>
        <row r="859">
          <cell r="L859" t="str">
            <v>LOPE</v>
          </cell>
          <cell r="M859" t="str">
            <v>GRAND-CANYON-EDUCATION-IN-4772549/</v>
          </cell>
          <cell r="N859" t="str">
            <v>LOPE</v>
          </cell>
          <cell r="O859" t="str">
            <v>GRAND CANYON EDU</v>
          </cell>
          <cell r="P859" t="str">
            <v>NASDAQ GS</v>
          </cell>
          <cell r="Q859" t="str">
            <v>Consumer Discretionary</v>
          </cell>
          <cell r="R859" t="str">
            <v>Diversified Consumer Services</v>
          </cell>
          <cell r="S859" t="str">
            <v>LOPE</v>
          </cell>
        </row>
        <row r="860">
          <cell r="L860" t="str">
            <v>MX</v>
          </cell>
          <cell r="M860" t="str">
            <v>METHANEX-CORPORATION-10003/</v>
          </cell>
          <cell r="N860" t="str">
            <v>MX</v>
          </cell>
          <cell r="O860" t="str">
            <v>METHANEX CORP</v>
          </cell>
          <cell r="P860" t="str">
            <v>NASDAQ GS</v>
          </cell>
          <cell r="Q860" t="str">
            <v>Materials</v>
          </cell>
          <cell r="R860" t="str">
            <v>Chemicals</v>
          </cell>
          <cell r="S860" t="str">
            <v>MX</v>
          </cell>
        </row>
        <row r="861">
          <cell r="L861" t="str">
            <v>INGN</v>
          </cell>
          <cell r="M861" t="str">
            <v>INOGEN-INC-15810669/</v>
          </cell>
          <cell r="N861" t="str">
            <v>INGN</v>
          </cell>
          <cell r="O861" t="str">
            <v>INOGEN INC</v>
          </cell>
          <cell r="P861" t="str">
            <v>NASDAQ GS</v>
          </cell>
          <cell r="Q861" t="str">
            <v>Health Care</v>
          </cell>
          <cell r="R861" t="str">
            <v>Health Care Equipment &amp; Suppli</v>
          </cell>
          <cell r="S861" t="str">
            <v>INGN</v>
          </cell>
        </row>
        <row r="862">
          <cell r="L862" t="str">
            <v>AVT</v>
          </cell>
          <cell r="M862" t="str">
            <v>AVNET-INC-43288733/</v>
          </cell>
          <cell r="N862" t="str">
            <v>AVT</v>
          </cell>
          <cell r="O862" t="str">
            <v>AVNET INC</v>
          </cell>
          <cell r="P862" t="str">
            <v>NASDAQ GS</v>
          </cell>
          <cell r="Q862" t="str">
            <v>Information Technology</v>
          </cell>
          <cell r="R862" t="str">
            <v>Electronic Equipment, Instrume</v>
          </cell>
          <cell r="S862" t="str">
            <v>AVT</v>
          </cell>
        </row>
        <row r="863">
          <cell r="L863" t="str">
            <v>LFUS</v>
          </cell>
          <cell r="M863" t="str">
            <v>LITTELFUSE-INC-9871/</v>
          </cell>
          <cell r="N863" t="str">
            <v>LFUS</v>
          </cell>
          <cell r="O863" t="str">
            <v>LITTELFUSE INC</v>
          </cell>
          <cell r="P863" t="str">
            <v>NASDAQ GS</v>
          </cell>
          <cell r="Q863" t="str">
            <v>Information Technology</v>
          </cell>
          <cell r="R863" t="str">
            <v>Electronic Equipment, Instrume</v>
          </cell>
          <cell r="S863" t="str">
            <v>LFUS</v>
          </cell>
        </row>
        <row r="864">
          <cell r="L864" t="str">
            <v>IART</v>
          </cell>
          <cell r="M864" t="str">
            <v>INTEGRATED-DEVICE-TECHNOL-9639/</v>
          </cell>
          <cell r="N864" t="str">
            <v>IART</v>
          </cell>
          <cell r="O864" t="str">
            <v>INTEGRA LIFESCIE</v>
          </cell>
          <cell r="P864" t="str">
            <v>NASDAQ GS</v>
          </cell>
          <cell r="Q864" t="str">
            <v>Health Care</v>
          </cell>
          <cell r="R864" t="str">
            <v>Health Care Equipment &amp; Suppli</v>
          </cell>
          <cell r="S864" t="str">
            <v>IART</v>
          </cell>
        </row>
        <row r="865">
          <cell r="L865" t="str">
            <v>EXEL</v>
          </cell>
          <cell r="M865" t="str">
            <v>EXELIXIS-INC-9235/</v>
          </cell>
          <cell r="N865" t="str">
            <v>EXEL</v>
          </cell>
          <cell r="O865" t="str">
            <v>EXELIXIS INC</v>
          </cell>
          <cell r="P865" t="str">
            <v>NASDAQ GS</v>
          </cell>
          <cell r="Q865" t="str">
            <v>Health Care</v>
          </cell>
          <cell r="R865" t="str">
            <v>Biotechnology</v>
          </cell>
          <cell r="S865" t="str">
            <v>EXEL</v>
          </cell>
        </row>
        <row r="866">
          <cell r="L866" t="str">
            <v>BRKR</v>
          </cell>
          <cell r="M866" t="str">
            <v>BRUKER-CORPORATION-8620/</v>
          </cell>
          <cell r="N866" t="str">
            <v>BRKR</v>
          </cell>
          <cell r="O866" t="str">
            <v>BRUKER CORP</v>
          </cell>
          <cell r="P866" t="str">
            <v>NASDAQ GS</v>
          </cell>
          <cell r="Q866" t="str">
            <v>Health Care</v>
          </cell>
          <cell r="R866" t="str">
            <v>Life Sciences Tools &amp; Services</v>
          </cell>
          <cell r="S866" t="str">
            <v>BRKR</v>
          </cell>
        </row>
        <row r="867">
          <cell r="L867" t="str">
            <v>ESLT</v>
          </cell>
          <cell r="M867" t="str">
            <v>ELBIT-SYSTEMS-LTD-9214/</v>
          </cell>
          <cell r="N867" t="str">
            <v>ESLT</v>
          </cell>
          <cell r="O867" t="str">
            <v>ELBIT SYSTEMS</v>
          </cell>
          <cell r="P867" t="str">
            <v>NASDAQ GS</v>
          </cell>
          <cell r="Q867" t="str">
            <v>Industrials</v>
          </cell>
          <cell r="R867" t="str">
            <v>Aerospace &amp; Defense</v>
          </cell>
          <cell r="S867" t="str">
            <v>ESLT</v>
          </cell>
        </row>
        <row r="868">
          <cell r="L868" t="str">
            <v>CARG</v>
          </cell>
          <cell r="M868" t="str">
            <v>CARGURUS-INC-38123462/</v>
          </cell>
          <cell r="N868" t="str">
            <v>CARG</v>
          </cell>
          <cell r="O868" t="str">
            <v>CARGURUS INC</v>
          </cell>
          <cell r="P868" t="str">
            <v>NASDAQ GS</v>
          </cell>
          <cell r="Q868" t="str">
            <v>Information Technology</v>
          </cell>
          <cell r="R868" t="str">
            <v>Internet Software &amp; Services</v>
          </cell>
          <cell r="S868" t="str">
            <v>CARG</v>
          </cell>
        </row>
        <row r="869">
          <cell r="L869" t="str">
            <v>WIX</v>
          </cell>
          <cell r="M869" t="str">
            <v>WIX-COM-LTD-14825939/</v>
          </cell>
          <cell r="N869" t="str">
            <v>WIX</v>
          </cell>
          <cell r="O869" t="str">
            <v>WIX.COM LTD</v>
          </cell>
          <cell r="P869" t="str">
            <v>NASDAQ GS</v>
          </cell>
          <cell r="Q869" t="str">
            <v>Information Technology</v>
          </cell>
          <cell r="R869" t="str">
            <v>Internet Software &amp; Services</v>
          </cell>
          <cell r="S869" t="str">
            <v>WIX</v>
          </cell>
        </row>
        <row r="870">
          <cell r="L870" t="str">
            <v>GLIBA</v>
          </cell>
          <cell r="M870" t="str">
            <v>GCI-LIBERTY-INC-42075752/</v>
          </cell>
          <cell r="N870" t="str">
            <v>GLIBA</v>
          </cell>
          <cell r="O870" t="str">
            <v>GCI LIBERTY - A</v>
          </cell>
          <cell r="P870" t="str">
            <v>NASDAQ GS</v>
          </cell>
          <cell r="Q870" t="str">
            <v>Consumer Discretionary</v>
          </cell>
          <cell r="R870" t="str">
            <v>Media</v>
          </cell>
          <cell r="S870" t="str">
            <v>GLIBA</v>
          </cell>
        </row>
        <row r="871">
          <cell r="L871" t="str">
            <v>MAT</v>
          </cell>
          <cell r="M871" t="str">
            <v>MATTEL-13462/</v>
          </cell>
          <cell r="N871" t="str">
            <v>MAT</v>
          </cell>
          <cell r="O871" t="str">
            <v>MATTEL INC</v>
          </cell>
          <cell r="P871" t="str">
            <v>NASDAQ GS</v>
          </cell>
          <cell r="Q871" t="str">
            <v>Consumer Discretionary</v>
          </cell>
          <cell r="R871" t="str">
            <v>Leisure Products</v>
          </cell>
          <cell r="S871" t="str">
            <v>MAT</v>
          </cell>
        </row>
        <row r="872">
          <cell r="L872" t="str">
            <v>VEON</v>
          </cell>
          <cell r="M872" t="str">
            <v>VEON-LTD-ADR-34473559/</v>
          </cell>
          <cell r="N872" t="str">
            <v>VEON</v>
          </cell>
          <cell r="O872" t="str">
            <v>VEON LTD</v>
          </cell>
          <cell r="P872" t="str">
            <v>NASDAQ GS</v>
          </cell>
          <cell r="Q872" t="str">
            <v>Telecommunication Services</v>
          </cell>
          <cell r="R872" t="str">
            <v>Wireless Telecommunication Ser</v>
          </cell>
          <cell r="S872" t="str">
            <v>VEON</v>
          </cell>
        </row>
        <row r="873">
          <cell r="L873" t="str">
            <v>GT</v>
          </cell>
          <cell r="M873" t="str">
            <v>GOODYEAR-TIRE-RUBBER-CO-12202146/</v>
          </cell>
          <cell r="N873" t="str">
            <v>GT</v>
          </cell>
          <cell r="O873" t="str">
            <v>GOODYEAR TIRE</v>
          </cell>
          <cell r="P873" t="str">
            <v>NASDAQ GS</v>
          </cell>
          <cell r="Q873" t="str">
            <v>Consumer Discretionary</v>
          </cell>
          <cell r="R873" t="str">
            <v>Auto Components</v>
          </cell>
          <cell r="S873" t="str">
            <v>GT</v>
          </cell>
        </row>
        <row r="874">
          <cell r="L874" t="str">
            <v>URBN</v>
          </cell>
          <cell r="M874" t="str">
            <v>URBAN-OUTFITTERS-INC-11245/</v>
          </cell>
          <cell r="N874" t="str">
            <v>URBN</v>
          </cell>
          <cell r="O874" t="str">
            <v>URBAN OUTFITTER</v>
          </cell>
          <cell r="P874" t="str">
            <v>NASDAQ GS</v>
          </cell>
          <cell r="Q874" t="str">
            <v>Consumer Discretionary</v>
          </cell>
          <cell r="R874" t="str">
            <v>Specialty Retail</v>
          </cell>
          <cell r="S874" t="str">
            <v>URBN</v>
          </cell>
        </row>
        <row r="875">
          <cell r="L875" t="str">
            <v>TWOU</v>
          </cell>
          <cell r="M875" t="str">
            <v>2U-INC-16118009/</v>
          </cell>
          <cell r="N875" t="str">
            <v>TWOU</v>
          </cell>
          <cell r="O875" t="str">
            <v>2U INC</v>
          </cell>
          <cell r="P875" t="str">
            <v>NASDAQ GS</v>
          </cell>
          <cell r="Q875" t="str">
            <v>Information Technology</v>
          </cell>
          <cell r="R875" t="str">
            <v>Internet Software &amp; Services</v>
          </cell>
          <cell r="S875" t="str">
            <v>TWOU</v>
          </cell>
        </row>
        <row r="876">
          <cell r="L876" t="str">
            <v>BPOP</v>
          </cell>
          <cell r="M876" t="str">
            <v>POPULAR-INC-10686498/</v>
          </cell>
          <cell r="N876" t="str">
            <v>BPOP</v>
          </cell>
          <cell r="O876" t="str">
            <v>POPULAR INC</v>
          </cell>
          <cell r="P876" t="str">
            <v>NASDAQ GS</v>
          </cell>
          <cell r="Q876" t="str">
            <v>Financials</v>
          </cell>
          <cell r="R876" t="str">
            <v>Banks</v>
          </cell>
          <cell r="S876" t="str">
            <v>BPOP</v>
          </cell>
        </row>
        <row r="877">
          <cell r="L877" t="str">
            <v>FGEN</v>
          </cell>
          <cell r="M877" t="str">
            <v>FIBROGEN-INC-18537026/</v>
          </cell>
          <cell r="N877" t="str">
            <v>FGEN</v>
          </cell>
          <cell r="O877" t="str">
            <v>FIBROGEN INC</v>
          </cell>
          <cell r="P877" t="str">
            <v>NASDAQ GS</v>
          </cell>
          <cell r="Q877" t="str">
            <v>Health Care</v>
          </cell>
          <cell r="R877" t="str">
            <v>Biotechnology</v>
          </cell>
          <cell r="S877" t="str">
            <v>FGEN</v>
          </cell>
        </row>
        <row r="878">
          <cell r="L878" t="str">
            <v>ZS</v>
          </cell>
          <cell r="M878" t="str">
            <v>ZSCALER-INC-42379366/</v>
          </cell>
          <cell r="N878" t="str">
            <v>ZS</v>
          </cell>
          <cell r="O878" t="str">
            <v>ZSCALER INC</v>
          </cell>
          <cell r="P878" t="str">
            <v>NASDAQ GS</v>
          </cell>
          <cell r="Q878" t="str">
            <v>Information Technology</v>
          </cell>
          <cell r="R878" t="str">
            <v>Software</v>
          </cell>
          <cell r="S878" t="str">
            <v>ZS</v>
          </cell>
        </row>
        <row r="879">
          <cell r="L879" t="str">
            <v>SLM</v>
          </cell>
          <cell r="M879" t="str">
            <v>SLM-CORP-9824767/</v>
          </cell>
          <cell r="N879" t="str">
            <v>SLM</v>
          </cell>
          <cell r="O879" t="str">
            <v>SLM CORP</v>
          </cell>
          <cell r="P879" t="str">
            <v>NASDAQ GS</v>
          </cell>
          <cell r="Q879" t="str">
            <v>Financials</v>
          </cell>
          <cell r="R879" t="str">
            <v>Consumer Finance</v>
          </cell>
          <cell r="S879" t="str">
            <v>SLM</v>
          </cell>
        </row>
        <row r="880">
          <cell r="L880" t="str">
            <v>BPY-U</v>
          </cell>
          <cell r="M880" t="str">
            <v>BROOKFIELD-PROPERTY-PARTN-38743192/</v>
          </cell>
          <cell r="N880" t="str">
            <v>BPY-U</v>
          </cell>
          <cell r="O880" t="str">
            <v>BROOKFIELD PROPE</v>
          </cell>
          <cell r="P880" t="str">
            <v>NASDAQ GS</v>
          </cell>
          <cell r="Q880" t="str">
            <v>Real Estate</v>
          </cell>
          <cell r="R880" t="str">
            <v>Real Estate Management &amp; Devel</v>
          </cell>
          <cell r="S880" t="str">
            <v>BPY-U</v>
          </cell>
        </row>
        <row r="881">
          <cell r="L881" t="str">
            <v>GLPG</v>
          </cell>
          <cell r="M881" t="str">
            <v>GALAPAGOS-NV-ADR-22497293/</v>
          </cell>
          <cell r="N881" t="str">
            <v>GLPG</v>
          </cell>
          <cell r="O881" t="str">
            <v>GALAPAGOS NV-ADR</v>
          </cell>
          <cell r="P881" t="str">
            <v>NASDAQ GS</v>
          </cell>
          <cell r="Q881" t="str">
            <v>Health Care</v>
          </cell>
          <cell r="R881" t="str">
            <v>Biotechnology</v>
          </cell>
          <cell r="S881" t="str">
            <v>GLPG</v>
          </cell>
        </row>
        <row r="882">
          <cell r="L882" t="str">
            <v>MKSI</v>
          </cell>
          <cell r="M882" t="str">
            <v>MKS-INSTRUMENTS-INC-10037/</v>
          </cell>
          <cell r="N882" t="str">
            <v>MKSI</v>
          </cell>
          <cell r="O882" t="str">
            <v>MKS INSTRUMENTS</v>
          </cell>
          <cell r="P882" t="str">
            <v>NASDAQ GS</v>
          </cell>
          <cell r="Q882" t="str">
            <v>Information Technology</v>
          </cell>
          <cell r="R882" t="str">
            <v>Semiconductors &amp; Semiconductor</v>
          </cell>
          <cell r="S882" t="str">
            <v>MKSI</v>
          </cell>
        </row>
        <row r="883">
          <cell r="L883" t="str">
            <v>MDSO</v>
          </cell>
          <cell r="M883" t="str">
            <v>MEDIDATA-SOLUTIONS-INC-5400072/</v>
          </cell>
          <cell r="N883" t="str">
            <v>MDSO</v>
          </cell>
          <cell r="O883" t="str">
            <v>MEDIDATA SOLUTIO</v>
          </cell>
          <cell r="P883" t="str">
            <v>NASDAQ GS</v>
          </cell>
          <cell r="Q883" t="str">
            <v>Health Care</v>
          </cell>
          <cell r="R883" t="str">
            <v>Health Care Technology</v>
          </cell>
          <cell r="S883" t="str">
            <v>MDSO</v>
          </cell>
        </row>
        <row r="884">
          <cell r="L884" t="str">
            <v>TXN</v>
          </cell>
          <cell r="M884" t="str">
            <v>TEXAS-ROADHOUSE-INC-11195/</v>
          </cell>
          <cell r="N884" t="str">
            <v>TXN</v>
          </cell>
          <cell r="O884" t="str">
            <v>TEXAS INSTRUMENT</v>
          </cell>
          <cell r="P884" t="str">
            <v>NASDAQ GS</v>
          </cell>
          <cell r="Q884" t="str">
            <v>Information Technology</v>
          </cell>
          <cell r="R884" t="str">
            <v>Semiconductors &amp; Semiconductor</v>
          </cell>
          <cell r="S884" t="str">
            <v>TXN</v>
          </cell>
        </row>
        <row r="885">
          <cell r="L885" t="str">
            <v>SINA</v>
          </cell>
          <cell r="M885" t="str">
            <v>SINA-CORP-10837/</v>
          </cell>
          <cell r="N885" t="str">
            <v>SINA</v>
          </cell>
          <cell r="O885" t="str">
            <v>SINA CORP</v>
          </cell>
          <cell r="P885" t="str">
            <v>NASDAQ GS</v>
          </cell>
          <cell r="Q885" t="str">
            <v>Information Technology</v>
          </cell>
          <cell r="R885" t="str">
            <v>Internet Software &amp; Services</v>
          </cell>
          <cell r="S885" t="str">
            <v>SINA</v>
          </cell>
        </row>
        <row r="886">
          <cell r="L886" t="str">
            <v>WTFC</v>
          </cell>
          <cell r="M886" t="str">
            <v>WINTRUST-FINANCIAL-CORP-11426/</v>
          </cell>
          <cell r="N886" t="str">
            <v>WTFC</v>
          </cell>
          <cell r="O886" t="str">
            <v>WINTRUST FINL</v>
          </cell>
          <cell r="P886" t="str">
            <v>NASDAQ GS</v>
          </cell>
          <cell r="Q886" t="str">
            <v>Financials</v>
          </cell>
          <cell r="R886" t="str">
            <v>Banks</v>
          </cell>
          <cell r="S886" t="str">
            <v>WTFC</v>
          </cell>
        </row>
        <row r="887">
          <cell r="L887" t="str">
            <v>SYNH</v>
          </cell>
          <cell r="M887" t="str">
            <v>SYNEOS-HEALTH-INC-40082421/</v>
          </cell>
          <cell r="N887" t="str">
            <v>SYNH</v>
          </cell>
          <cell r="O887" t="str">
            <v>SYNEOS HEALTH IN</v>
          </cell>
          <cell r="P887" t="str">
            <v>NASDAQ GS</v>
          </cell>
          <cell r="Q887" t="str">
            <v>Health Care</v>
          </cell>
          <cell r="R887" t="str">
            <v>Life Sciences Tools &amp; Services</v>
          </cell>
          <cell r="S887" t="str">
            <v>SYNH</v>
          </cell>
        </row>
        <row r="888">
          <cell r="L888" t="str">
            <v>EEFT</v>
          </cell>
          <cell r="M888" t="str">
            <v>EURONET-WORLDWIDE-INC-9143/</v>
          </cell>
          <cell r="N888" t="str">
            <v>EEFT</v>
          </cell>
          <cell r="O888" t="str">
            <v>EURONET WORLDWID</v>
          </cell>
          <cell r="P888" t="str">
            <v>NASDAQ GS</v>
          </cell>
          <cell r="Q888" t="str">
            <v>Information Technology</v>
          </cell>
          <cell r="R888" t="str">
            <v>IT Services</v>
          </cell>
          <cell r="S888" t="str">
            <v>EEFT</v>
          </cell>
        </row>
        <row r="889">
          <cell r="L889" t="str">
            <v>IART</v>
          </cell>
          <cell r="M889" t="str">
            <v>INTEGRA-LIFESCIENCES-HOLD-9608/</v>
          </cell>
          <cell r="N889" t="str">
            <v>IART</v>
          </cell>
          <cell r="O889" t="str">
            <v>INTEGRA LIFESCIE</v>
          </cell>
          <cell r="P889" t="str">
            <v>NASDAQ GS</v>
          </cell>
          <cell r="Q889" t="str">
            <v>Health Care</v>
          </cell>
          <cell r="R889" t="str">
            <v>Health Care Equipment &amp; Suppli</v>
          </cell>
          <cell r="S889" t="str">
            <v>IART</v>
          </cell>
        </row>
        <row r="890">
          <cell r="L890" t="str">
            <v>PEGA</v>
          </cell>
          <cell r="M890" t="str">
            <v>PEGASYSTEMS-INC-10434/</v>
          </cell>
          <cell r="N890" t="str">
            <v>PEGA</v>
          </cell>
          <cell r="O890" t="str">
            <v>PEGASYSTEMS INC</v>
          </cell>
          <cell r="P890" t="str">
            <v>NASDAQ GS</v>
          </cell>
          <cell r="Q890" t="str">
            <v>Information Technology</v>
          </cell>
          <cell r="R890" t="str">
            <v>Software</v>
          </cell>
          <cell r="S890" t="str">
            <v>PEGA</v>
          </cell>
        </row>
        <row r="891">
          <cell r="L891" t="str">
            <v>WWD</v>
          </cell>
          <cell r="M891" t="str">
            <v>WOODWARD-INC-11381/</v>
          </cell>
          <cell r="N891" t="str">
            <v>WWD</v>
          </cell>
          <cell r="O891" t="str">
            <v>WOODWARD INC</v>
          </cell>
          <cell r="P891" t="str">
            <v>NASDAQ GS</v>
          </cell>
          <cell r="Q891" t="str">
            <v>Industrials</v>
          </cell>
          <cell r="R891" t="str">
            <v>Machinery</v>
          </cell>
          <cell r="S891" t="str">
            <v>WWD</v>
          </cell>
        </row>
        <row r="892">
          <cell r="L892" t="str">
            <v>YY</v>
          </cell>
          <cell r="M892" t="str">
            <v>YY-INC-ADR-11962799/</v>
          </cell>
          <cell r="N892" t="str">
            <v>YY</v>
          </cell>
          <cell r="O892" t="str">
            <v>YY INC-ADR</v>
          </cell>
          <cell r="P892" t="str">
            <v>NASDAQ GS</v>
          </cell>
          <cell r="Q892" t="str">
            <v>Information Technology</v>
          </cell>
          <cell r="R892" t="str">
            <v>Internet Software &amp; Services</v>
          </cell>
          <cell r="S892" t="str">
            <v>YY</v>
          </cell>
        </row>
        <row r="893">
          <cell r="L893" t="str">
            <v>LSTR</v>
          </cell>
          <cell r="M893" t="str">
            <v>LANDSTAR-SYSTEM-INC-9917/</v>
          </cell>
          <cell r="N893" t="str">
            <v>LSTR</v>
          </cell>
          <cell r="O893" t="str">
            <v>LANDSTAR SYSTEM</v>
          </cell>
          <cell r="P893" t="str">
            <v>NASDAQ GS</v>
          </cell>
          <cell r="Q893" t="str">
            <v>Industrials</v>
          </cell>
          <cell r="R893" t="str">
            <v>Road &amp; Rail</v>
          </cell>
          <cell r="S893" t="str">
            <v>LSTR</v>
          </cell>
        </row>
        <row r="894">
          <cell r="L894" t="str">
            <v>IBKC</v>
          </cell>
          <cell r="M894" t="str">
            <v>IBERIABANK-CORP-9615/</v>
          </cell>
          <cell r="N894" t="str">
            <v>IBKC</v>
          </cell>
          <cell r="O894" t="str">
            <v>IBERIABANK CORP</v>
          </cell>
          <cell r="P894" t="str">
            <v>NASDAQ GS</v>
          </cell>
          <cell r="Q894" t="str">
            <v>Financials</v>
          </cell>
          <cell r="R894" t="str">
            <v>Banks</v>
          </cell>
          <cell r="S894" t="str">
            <v>IBKC</v>
          </cell>
        </row>
        <row r="895">
          <cell r="L895" t="str">
            <v>JOBS</v>
          </cell>
          <cell r="M895" t="str">
            <v>51JOB-INC-ADR-9784/</v>
          </cell>
          <cell r="N895" t="str">
            <v>JOBS</v>
          </cell>
          <cell r="O895" t="str">
            <v>51JOB INC-ADR</v>
          </cell>
          <cell r="P895" t="str">
            <v>NASDAQ GS</v>
          </cell>
          <cell r="Q895" t="str">
            <v>Industrials</v>
          </cell>
          <cell r="R895" t="str">
            <v>Professional Services</v>
          </cell>
          <cell r="S895" t="str">
            <v>JOBS</v>
          </cell>
        </row>
        <row r="896">
          <cell r="L896" t="str">
            <v>UMPQ</v>
          </cell>
          <cell r="M896" t="str">
            <v>UMPQUA-HOLDINGS-CORP-11235/</v>
          </cell>
          <cell r="N896" t="str">
            <v>UMPQ</v>
          </cell>
          <cell r="O896" t="str">
            <v>UMPQUA HOLDINGS</v>
          </cell>
          <cell r="P896" t="str">
            <v>NASDAQ GS</v>
          </cell>
          <cell r="Q896" t="str">
            <v>Financials</v>
          </cell>
          <cell r="R896" t="str">
            <v>Banks</v>
          </cell>
          <cell r="S896" t="str">
            <v>UMPQ</v>
          </cell>
        </row>
        <row r="897">
          <cell r="L897" t="str">
            <v>NUAN</v>
          </cell>
          <cell r="M897" t="str">
            <v>NUANCE-COMMUNICATIONS-INC-10945/</v>
          </cell>
          <cell r="N897" t="str">
            <v>NUAN</v>
          </cell>
          <cell r="O897" t="str">
            <v>NUANCE COMMUNICA</v>
          </cell>
          <cell r="P897" t="str">
            <v>NASDAQ GS</v>
          </cell>
          <cell r="Q897" t="str">
            <v>Information Technology</v>
          </cell>
          <cell r="R897" t="str">
            <v>Software</v>
          </cell>
          <cell r="S897" t="str">
            <v>NUAN</v>
          </cell>
        </row>
        <row r="898">
          <cell r="L898" t="str">
            <v>NEOG</v>
          </cell>
          <cell r="M898" t="str">
            <v>NEOGEN-CORPORATION-10179/</v>
          </cell>
          <cell r="N898" t="str">
            <v>NEOG</v>
          </cell>
          <cell r="O898" t="str">
            <v>NEOGEN CORP</v>
          </cell>
          <cell r="P898" t="str">
            <v>NASDAQ GS</v>
          </cell>
          <cell r="Q898" t="str">
            <v>Health Care</v>
          </cell>
          <cell r="R898" t="str">
            <v>Health Care Equipment &amp; Suppli</v>
          </cell>
          <cell r="S898" t="str">
            <v>NEOG</v>
          </cell>
        </row>
        <row r="899">
          <cell r="L899" t="str">
            <v>HPT</v>
          </cell>
          <cell r="M899" t="str">
            <v>HOSPITALITY-PROPERTIES-TR-28859034/</v>
          </cell>
          <cell r="N899" t="str">
            <v>HPT</v>
          </cell>
          <cell r="O899" t="str">
            <v>HOSPITALITY PROP</v>
          </cell>
          <cell r="P899" t="str">
            <v>NASDAQ GS</v>
          </cell>
          <cell r="Q899" t="str">
            <v>Real Estate</v>
          </cell>
          <cell r="R899" t="str">
            <v>Equity Real Estate Investment</v>
          </cell>
          <cell r="S899" t="str">
            <v>HPT</v>
          </cell>
        </row>
        <row r="900">
          <cell r="L900" t="str">
            <v>AGIO</v>
          </cell>
          <cell r="M900" t="str">
            <v>AGIOS-PHARMACEUTICALS-INC-13709228/</v>
          </cell>
          <cell r="N900" t="str">
            <v>AGIO</v>
          </cell>
          <cell r="O900" t="str">
            <v>AGIOS PHARMACEUT</v>
          </cell>
          <cell r="P900" t="str">
            <v>NASDAQ GS</v>
          </cell>
          <cell r="Q900" t="str">
            <v>Health Care</v>
          </cell>
          <cell r="R900" t="str">
            <v>Biotechnology</v>
          </cell>
          <cell r="S900" t="str">
            <v>AGIO</v>
          </cell>
        </row>
        <row r="901">
          <cell r="L901" t="str">
            <v>ENTG</v>
          </cell>
          <cell r="M901" t="str">
            <v>ENTEGRIS-INC-9185/</v>
          </cell>
          <cell r="N901" t="str">
            <v>ENTG</v>
          </cell>
          <cell r="O901" t="str">
            <v>ENTEGRIS INC</v>
          </cell>
          <cell r="P901" t="str">
            <v>NASDAQ GS</v>
          </cell>
          <cell r="Q901" t="str">
            <v>Information Technology</v>
          </cell>
          <cell r="R901" t="str">
            <v>Semiconductors &amp; Semiconductor</v>
          </cell>
          <cell r="S901" t="str">
            <v>ENTG</v>
          </cell>
        </row>
        <row r="902">
          <cell r="L902" t="str">
            <v>ARRS</v>
          </cell>
          <cell r="M902" t="str">
            <v>ARRIS-INTERNATIONAL-PLC-25663978/</v>
          </cell>
          <cell r="N902" t="str">
            <v>ARRS</v>
          </cell>
          <cell r="O902" t="str">
            <v>ARRIS INTERNATIO</v>
          </cell>
          <cell r="P902" t="str">
            <v>NASDAQ GS</v>
          </cell>
          <cell r="Q902" t="str">
            <v>Information Technology</v>
          </cell>
          <cell r="R902" t="str">
            <v>Communications Equipment</v>
          </cell>
          <cell r="S902" t="str">
            <v>ARRS</v>
          </cell>
        </row>
        <row r="903">
          <cell r="L903" t="str">
            <v>COHR</v>
          </cell>
          <cell r="M903" t="str">
            <v>COHERENT-INC-8854/</v>
          </cell>
          <cell r="N903" t="str">
            <v>COHR</v>
          </cell>
          <cell r="O903" t="str">
            <v>COHERENT INC</v>
          </cell>
          <cell r="P903" t="str">
            <v>NASDAQ GS</v>
          </cell>
          <cell r="Q903" t="str">
            <v>Information Technology</v>
          </cell>
          <cell r="R903" t="str">
            <v>Electronic Equipment, Instrume</v>
          </cell>
          <cell r="S903" t="str">
            <v>COHR</v>
          </cell>
        </row>
        <row r="904">
          <cell r="L904" t="str">
            <v>PPC</v>
          </cell>
          <cell r="M904" t="str">
            <v>PILGRIM-S-PRIDE-CORPORATI-12243603/</v>
          </cell>
          <cell r="N904" t="str">
            <v>PPC</v>
          </cell>
          <cell r="O904" t="str">
            <v>PILGRIM'S PRIDE</v>
          </cell>
          <cell r="P904" t="str">
            <v>NASDAQ GS</v>
          </cell>
          <cell r="Q904" t="str">
            <v>Consumer Staples</v>
          </cell>
          <cell r="R904" t="str">
            <v>Food Products</v>
          </cell>
          <cell r="S904" t="str">
            <v>PPC</v>
          </cell>
        </row>
        <row r="905">
          <cell r="L905" t="str">
            <v>PS</v>
          </cell>
          <cell r="M905" t="str">
            <v>PLURALSIGHT-INC-43371390/</v>
          </cell>
          <cell r="N905" t="str">
            <v>PS</v>
          </cell>
          <cell r="O905" t="str">
            <v>PLURALSIGHT IN-A</v>
          </cell>
          <cell r="P905" t="str">
            <v>NASDAQ GS</v>
          </cell>
          <cell r="Q905" t="str">
            <v>Information Technology</v>
          </cell>
          <cell r="R905" t="str">
            <v>Software</v>
          </cell>
          <cell r="S905" t="str">
            <v>PS</v>
          </cell>
        </row>
        <row r="906">
          <cell r="L906" t="str">
            <v>STMP</v>
          </cell>
          <cell r="M906" t="str">
            <v>STAMPS-COM-INC-10973/</v>
          </cell>
          <cell r="N906" t="str">
            <v>STMP</v>
          </cell>
          <cell r="O906" t="str">
            <v>STAMPS.COM INC</v>
          </cell>
          <cell r="P906" t="str">
            <v>NASDAQ GS</v>
          </cell>
          <cell r="Q906" t="str">
            <v>Information Technology</v>
          </cell>
          <cell r="R906" t="str">
            <v>Internet Software &amp; Services</v>
          </cell>
          <cell r="S906" t="str">
            <v>STMP</v>
          </cell>
        </row>
        <row r="907">
          <cell r="L907" t="str">
            <v>SATS</v>
          </cell>
          <cell r="M907" t="str">
            <v>ECHOSTAR-CORPORATION-782521/</v>
          </cell>
          <cell r="N907" t="str">
            <v>SATS</v>
          </cell>
          <cell r="O907" t="str">
            <v>ECHOSTAR CORP-A</v>
          </cell>
          <cell r="P907" t="str">
            <v>NASDAQ GS</v>
          </cell>
          <cell r="Q907" t="str">
            <v>Information Technology</v>
          </cell>
          <cell r="R907" t="str">
            <v>Communications Equipment</v>
          </cell>
          <cell r="S907" t="str">
            <v>SATS</v>
          </cell>
        </row>
        <row r="908">
          <cell r="L908" t="str">
            <v>ESGR</v>
          </cell>
          <cell r="M908" t="str">
            <v>ENSTAR-GROUP-LTD-9211/</v>
          </cell>
          <cell r="N908" t="str">
            <v>ESGR</v>
          </cell>
          <cell r="O908" t="str">
            <v>ENSTAR GROUP LTD</v>
          </cell>
          <cell r="P908" t="str">
            <v>NASDAQ GS</v>
          </cell>
          <cell r="Q908" t="str">
            <v>Financials</v>
          </cell>
          <cell r="R908" t="str">
            <v>Insurance</v>
          </cell>
          <cell r="S908" t="str">
            <v>ESGR</v>
          </cell>
        </row>
        <row r="909">
          <cell r="L909" t="str">
            <v>TXN</v>
          </cell>
          <cell r="M909" t="str">
            <v>TEXAS-CAPITAL-BANCSHARES-11058/</v>
          </cell>
          <cell r="N909" t="str">
            <v>TXN</v>
          </cell>
          <cell r="O909" t="str">
            <v>TEXAS INSTRUMENT</v>
          </cell>
          <cell r="P909" t="str">
            <v>NASDAQ GS</v>
          </cell>
          <cell r="Q909" t="str">
            <v>Information Technology</v>
          </cell>
          <cell r="R909" t="str">
            <v>Semiconductors &amp; Semiconductor</v>
          </cell>
          <cell r="S909" t="str">
            <v>TXN</v>
          </cell>
        </row>
        <row r="910">
          <cell r="L910" t="str">
            <v>SNH</v>
          </cell>
          <cell r="M910" t="str">
            <v>SENIOR-HOUSING-PROPERTIES-28859035/</v>
          </cell>
          <cell r="N910" t="str">
            <v>SNH</v>
          </cell>
          <cell r="O910" t="str">
            <v>SENIOR HOUSING</v>
          </cell>
          <cell r="P910" t="str">
            <v>NASDAQ GS</v>
          </cell>
          <cell r="Q910" t="str">
            <v>Real Estate</v>
          </cell>
          <cell r="R910" t="str">
            <v>Equity Real Estate Investment</v>
          </cell>
          <cell r="S910" t="str">
            <v>SNH</v>
          </cell>
        </row>
        <row r="911">
          <cell r="L911" t="str">
            <v>CMPR</v>
          </cell>
          <cell r="M911" t="str">
            <v>CIMPRESS-NV-11316/</v>
          </cell>
          <cell r="N911" t="str">
            <v>CMPR</v>
          </cell>
          <cell r="O911" t="str">
            <v>CIMPRESS NV</v>
          </cell>
          <cell r="P911" t="str">
            <v>NASDAQ GS</v>
          </cell>
          <cell r="Q911" t="str">
            <v>Industrials</v>
          </cell>
          <cell r="R911" t="str">
            <v>Commercial Services &amp; Supplies</v>
          </cell>
          <cell r="S911" t="str">
            <v>CMPR</v>
          </cell>
        </row>
        <row r="912">
          <cell r="L912" t="str">
            <v>LOGM</v>
          </cell>
          <cell r="M912" t="str">
            <v>LOGMEIN-INC-5420709/</v>
          </cell>
          <cell r="N912" t="str">
            <v>LOGM</v>
          </cell>
          <cell r="O912" t="str">
            <v>LOGMEIN INC</v>
          </cell>
          <cell r="P912" t="str">
            <v>NASDAQ GS</v>
          </cell>
          <cell r="Q912" t="str">
            <v>Information Technology</v>
          </cell>
          <cell r="R912" t="str">
            <v>Internet Software &amp; Services</v>
          </cell>
          <cell r="S912" t="str">
            <v>LOGM</v>
          </cell>
        </row>
        <row r="913">
          <cell r="L913" t="str">
            <v>HWC</v>
          </cell>
          <cell r="M913" t="str">
            <v>HANCOCK-WHITNEY-CORP-9520/</v>
          </cell>
          <cell r="N913" t="str">
            <v>HWC</v>
          </cell>
          <cell r="O913" t="str">
            <v>HANCOCK WHITNEY</v>
          </cell>
          <cell r="P913" t="str">
            <v>NASDAQ GS</v>
          </cell>
          <cell r="Q913" t="str">
            <v>Financials</v>
          </cell>
          <cell r="R913" t="str">
            <v>Banks</v>
          </cell>
          <cell r="S913" t="str">
            <v>HWC</v>
          </cell>
        </row>
        <row r="914">
          <cell r="L914" t="str">
            <v>TFSL</v>
          </cell>
          <cell r="M914" t="str">
            <v>TFS-FINANCIAL-CORPORATION-49253/</v>
          </cell>
          <cell r="N914" t="str">
            <v>TFSL</v>
          </cell>
          <cell r="O914" t="str">
            <v>TFS FINANCIAL CO</v>
          </cell>
          <cell r="P914" t="str">
            <v>NASDAQ GS</v>
          </cell>
          <cell r="Q914" t="str">
            <v>Financials</v>
          </cell>
          <cell r="R914" t="str">
            <v>Thrifts &amp; Mortgage Finance</v>
          </cell>
          <cell r="S914" t="str">
            <v>TFSL</v>
          </cell>
        </row>
        <row r="915">
          <cell r="L915" t="str">
            <v>LITE</v>
          </cell>
          <cell r="M915" t="str">
            <v>LUMENTUM-HOLDINGS-INC-23132759/</v>
          </cell>
          <cell r="N915" t="str">
            <v>LITE</v>
          </cell>
          <cell r="O915" t="str">
            <v>LUMENTUM HOL</v>
          </cell>
          <cell r="P915" t="str">
            <v>NASDAQ GS</v>
          </cell>
          <cell r="Q915" t="str">
            <v>Information Technology</v>
          </cell>
          <cell r="R915" t="str">
            <v>Communications Equipment</v>
          </cell>
          <cell r="S915" t="str">
            <v>LITE</v>
          </cell>
        </row>
        <row r="916">
          <cell r="L916" t="str">
            <v>LANC</v>
          </cell>
          <cell r="M916" t="str">
            <v>LANCASTER-COLONY-CORP-9843/</v>
          </cell>
          <cell r="N916" t="str">
            <v>LANC</v>
          </cell>
          <cell r="O916" t="str">
            <v>LANCASTER COLONY</v>
          </cell>
          <cell r="P916" t="str">
            <v>NASDAQ GS</v>
          </cell>
          <cell r="Q916" t="str">
            <v>Consumer Staples</v>
          </cell>
          <cell r="R916" t="str">
            <v>Food Products</v>
          </cell>
          <cell r="S916" t="str">
            <v>LANC</v>
          </cell>
        </row>
        <row r="917">
          <cell r="L917" t="str">
            <v>MLNX</v>
          </cell>
          <cell r="M917" t="str">
            <v>MELLANOX-TECHNOLOGIES-LT-42551/</v>
          </cell>
          <cell r="N917" t="str">
            <v>MLNX</v>
          </cell>
          <cell r="O917" t="str">
            <v>MELLANOX TECHNOL</v>
          </cell>
          <cell r="P917" t="str">
            <v>NASDAQ GS</v>
          </cell>
          <cell r="Q917" t="str">
            <v>Information Technology</v>
          </cell>
          <cell r="R917" t="str">
            <v>Semiconductors &amp; Semiconductor</v>
          </cell>
          <cell r="S917" t="str">
            <v>MLNX</v>
          </cell>
        </row>
        <row r="918">
          <cell r="L918" t="str">
            <v>CASY</v>
          </cell>
          <cell r="M918" t="str">
            <v>CASEY-S-GENERAL-STORES-IN-8678/</v>
          </cell>
          <cell r="N918" t="str">
            <v>CASY</v>
          </cell>
          <cell r="O918" t="str">
            <v>CASEY'S GENERAL</v>
          </cell>
          <cell r="P918" t="str">
            <v>NASDAQ GS</v>
          </cell>
          <cell r="Q918" t="str">
            <v>Consumer Staples</v>
          </cell>
          <cell r="R918" t="str">
            <v>Food &amp; Staples Retailing</v>
          </cell>
          <cell r="S918" t="str">
            <v>CASY</v>
          </cell>
        </row>
        <row r="919">
          <cell r="L919" t="str">
            <v>SLAB</v>
          </cell>
          <cell r="M919" t="str">
            <v>SILICON-LABORATORIES-10847/</v>
          </cell>
          <cell r="N919" t="str">
            <v>SLAB</v>
          </cell>
          <cell r="O919" t="str">
            <v>SILICON LABS</v>
          </cell>
          <cell r="P919" t="str">
            <v>NASDAQ GS</v>
          </cell>
          <cell r="Q919" t="str">
            <v>Information Technology</v>
          </cell>
          <cell r="R919" t="str">
            <v>Semiconductors &amp; Semiconductor</v>
          </cell>
          <cell r="S919" t="str">
            <v>SLAB</v>
          </cell>
        </row>
        <row r="920">
          <cell r="L920" t="str">
            <v>RARE</v>
          </cell>
          <cell r="M920" t="str">
            <v>ULTRAGENYX-PHARMACEUTICAL-15672076/</v>
          </cell>
          <cell r="N920" t="str">
            <v>RARE</v>
          </cell>
          <cell r="O920" t="str">
            <v>ULTRAGENYX PHARM</v>
          </cell>
          <cell r="P920" t="str">
            <v>NASDAQ GS</v>
          </cell>
          <cell r="Q920" t="str">
            <v>Health Care</v>
          </cell>
          <cell r="R920" t="str">
            <v>Biotechnology</v>
          </cell>
          <cell r="S920" t="str">
            <v>RARE</v>
          </cell>
        </row>
        <row r="921">
          <cell r="L921" t="str">
            <v>PCTY</v>
          </cell>
          <cell r="M921" t="str">
            <v>PAYLOCITY-HOLDING-CORP-16043784/</v>
          </cell>
          <cell r="N921" t="str">
            <v>PCTY</v>
          </cell>
          <cell r="O921" t="str">
            <v>PAYLOCITY HOLDIN</v>
          </cell>
          <cell r="P921" t="str">
            <v>NASDAQ GS</v>
          </cell>
          <cell r="Q921" t="str">
            <v>Information Technology</v>
          </cell>
          <cell r="R921" t="str">
            <v>Software</v>
          </cell>
          <cell r="S921" t="str">
            <v>PCTY</v>
          </cell>
        </row>
        <row r="922">
          <cell r="L922" t="str">
            <v>NVCR</v>
          </cell>
          <cell r="M922" t="str">
            <v>NOVOCURE-LTD-24157014/</v>
          </cell>
          <cell r="N922" t="str">
            <v>NVCR</v>
          </cell>
          <cell r="O922" t="str">
            <v>NOVOCURE LTD</v>
          </cell>
          <cell r="P922" t="str">
            <v>NASDAQ GS</v>
          </cell>
          <cell r="Q922" t="str">
            <v>Health Care</v>
          </cell>
          <cell r="R922" t="str">
            <v>Health Care Equipment &amp; Suppli</v>
          </cell>
          <cell r="S922" t="str">
            <v>NVCR</v>
          </cell>
        </row>
        <row r="923">
          <cell r="L923" t="str">
            <v>SBRA</v>
          </cell>
          <cell r="M923" t="str">
            <v>SABRA-HEALTH-CARE-REIT-IN-6844461/</v>
          </cell>
          <cell r="N923" t="str">
            <v>SBRA</v>
          </cell>
          <cell r="O923" t="str">
            <v>SABRA HEALTH CAR</v>
          </cell>
          <cell r="P923" t="str">
            <v>NASDAQ GS</v>
          </cell>
          <cell r="Q923" t="str">
            <v>Real Estate</v>
          </cell>
          <cell r="R923" t="str">
            <v>Equity Real Estate Investment</v>
          </cell>
          <cell r="S923" t="str">
            <v>SBRA</v>
          </cell>
        </row>
        <row r="924">
          <cell r="L924" t="str">
            <v>WEN</v>
          </cell>
          <cell r="M924" t="str">
            <v>WENDYS-CO-9691436/</v>
          </cell>
          <cell r="N924" t="str">
            <v>WEN</v>
          </cell>
          <cell r="O924" t="str">
            <v>WENDY'S CO/THE</v>
          </cell>
          <cell r="P924" t="str">
            <v>NASDAQ GS</v>
          </cell>
          <cell r="Q924" t="str">
            <v>Consumer Discretionary</v>
          </cell>
          <cell r="R924" t="str">
            <v>Hotels, Restaurants &amp; Leisure</v>
          </cell>
          <cell r="S924" t="str">
            <v>WEN</v>
          </cell>
        </row>
        <row r="925">
          <cell r="L925" t="str">
            <v>MBFI</v>
          </cell>
          <cell r="M925" t="str">
            <v>MB-FINANCIAL-INC-9957/</v>
          </cell>
          <cell r="N925" t="str">
            <v>MBFI</v>
          </cell>
          <cell r="O925" t="str">
            <v>MB FINANCIAL</v>
          </cell>
          <cell r="P925" t="str">
            <v>NASDAQ GS</v>
          </cell>
          <cell r="Q925" t="str">
            <v>Financials</v>
          </cell>
          <cell r="R925" t="str">
            <v>Banks</v>
          </cell>
          <cell r="S925" t="str">
            <v>MBFI</v>
          </cell>
        </row>
        <row r="926">
          <cell r="L926" t="str">
            <v>VIRT</v>
          </cell>
          <cell r="M926" t="str">
            <v>VIRTU-FINANCIAL-INC-21685627/</v>
          </cell>
          <cell r="N926" t="str">
            <v>VIRT</v>
          </cell>
          <cell r="O926" t="str">
            <v>VIRTU FINANCIA-A</v>
          </cell>
          <cell r="P926" t="str">
            <v>NASDAQ GS</v>
          </cell>
          <cell r="Q926" t="str">
            <v>Financials</v>
          </cell>
          <cell r="R926" t="str">
            <v>Capital Markets</v>
          </cell>
          <cell r="S926" t="str">
            <v>VIRT</v>
          </cell>
        </row>
        <row r="927">
          <cell r="L927" t="str">
            <v>COUP</v>
          </cell>
          <cell r="M927" t="str">
            <v>COUPA-SOFTWARE-INC-31516068/</v>
          </cell>
          <cell r="N927" t="str">
            <v>COUP</v>
          </cell>
          <cell r="O927" t="str">
            <v>COUPA SOFTWARE I</v>
          </cell>
          <cell r="P927" t="str">
            <v>NASDAQ GS</v>
          </cell>
          <cell r="Q927" t="str">
            <v>Information Technology</v>
          </cell>
          <cell r="R927" t="str">
            <v>Internet Software &amp; Services</v>
          </cell>
          <cell r="S927" t="str">
            <v>COUP</v>
          </cell>
        </row>
        <row r="928">
          <cell r="L928" t="str">
            <v>AAXN</v>
          </cell>
          <cell r="M928" t="str">
            <v>AXON-ENTERPRISE-INC-34532659/</v>
          </cell>
          <cell r="N928" t="str">
            <v>AAXN</v>
          </cell>
          <cell r="O928" t="str">
            <v>AXON ENTERPRISE</v>
          </cell>
          <cell r="P928" t="str">
            <v>NASDAQ GS</v>
          </cell>
          <cell r="Q928" t="str">
            <v>Industrials</v>
          </cell>
          <cell r="R928" t="str">
            <v>Aerospace &amp; Defense</v>
          </cell>
          <cell r="S928" t="str">
            <v>AAXN</v>
          </cell>
        </row>
        <row r="929">
          <cell r="L929" t="str">
            <v>CHFC</v>
          </cell>
          <cell r="M929" t="str">
            <v>CHEMICAL-FINANCIAL-CORPOR-8768/</v>
          </cell>
          <cell r="N929" t="str">
            <v>CHFC</v>
          </cell>
          <cell r="O929" t="str">
            <v>CHEMICAL FIN</v>
          </cell>
          <cell r="P929" t="str">
            <v>NASDAQ GS</v>
          </cell>
          <cell r="Q929" t="str">
            <v>Financials</v>
          </cell>
          <cell r="R929" t="str">
            <v>Banks</v>
          </cell>
          <cell r="S929" t="str">
            <v>CHFC</v>
          </cell>
        </row>
        <row r="930">
          <cell r="L930" t="str">
            <v>JCOM</v>
          </cell>
          <cell r="M930" t="str">
            <v>J2-GLOBAL-INC-9623089/</v>
          </cell>
          <cell r="N930" t="str">
            <v>JCOM</v>
          </cell>
          <cell r="O930" t="str">
            <v>J2 GLOBAL INC</v>
          </cell>
          <cell r="P930" t="str">
            <v>NASDAQ GS</v>
          </cell>
          <cell r="Q930" t="str">
            <v>Information Technology</v>
          </cell>
          <cell r="R930" t="str">
            <v>Internet Software &amp; Services</v>
          </cell>
          <cell r="S930" t="str">
            <v>JCOM</v>
          </cell>
        </row>
        <row r="931">
          <cell r="L931" t="str">
            <v>AMED</v>
          </cell>
          <cell r="M931" t="str">
            <v>AMEDISYS-INC-8342/</v>
          </cell>
          <cell r="N931" t="str">
            <v>AMED</v>
          </cell>
          <cell r="O931" t="str">
            <v>AMEDISYS INC</v>
          </cell>
          <cell r="P931" t="str">
            <v>NASDAQ GS</v>
          </cell>
          <cell r="Q931" t="str">
            <v>Health Care</v>
          </cell>
          <cell r="R931" t="str">
            <v>Health Care Providers &amp; Servic</v>
          </cell>
          <cell r="S931" t="str">
            <v>AMED</v>
          </cell>
        </row>
        <row r="932">
          <cell r="L932" t="str">
            <v>SFIX</v>
          </cell>
          <cell r="M932" t="str">
            <v>STITCH-FIX-INC-38721288/</v>
          </cell>
          <cell r="N932" t="str">
            <v>SFIX</v>
          </cell>
          <cell r="O932" t="str">
            <v>STITCH FIX INC-A</v>
          </cell>
          <cell r="P932" t="str">
            <v>NASDAQ GS</v>
          </cell>
          <cell r="Q932" t="str">
            <v>Consumer Discretionary</v>
          </cell>
          <cell r="R932" t="str">
            <v>Internet &amp; Direct Marketing Re</v>
          </cell>
          <cell r="S932" t="str">
            <v>SFIX</v>
          </cell>
        </row>
        <row r="933">
          <cell r="L933" t="str">
            <v>SMTC</v>
          </cell>
          <cell r="M933" t="str">
            <v>SEMTECH-CORPORATION-10870/</v>
          </cell>
          <cell r="N933" t="str">
            <v>SMTC</v>
          </cell>
          <cell r="O933" t="str">
            <v>SEMTECH CORP</v>
          </cell>
          <cell r="P933" t="str">
            <v>NASDAQ GS</v>
          </cell>
          <cell r="Q933" t="str">
            <v>Information Technology</v>
          </cell>
          <cell r="R933" t="str">
            <v>Semiconductors &amp; Semiconductor</v>
          </cell>
          <cell r="S933" t="str">
            <v>SMTC</v>
          </cell>
        </row>
        <row r="934">
          <cell r="L934" t="str">
            <v>GBCI</v>
          </cell>
          <cell r="M934" t="str">
            <v>GLACIER-BANCORP-INC-9401/</v>
          </cell>
          <cell r="N934" t="str">
            <v>GBCI</v>
          </cell>
          <cell r="O934" t="str">
            <v>GLACIER BANCORP</v>
          </cell>
          <cell r="P934" t="str">
            <v>NASDAQ GS</v>
          </cell>
          <cell r="Q934" t="str">
            <v>Financials</v>
          </cell>
          <cell r="R934" t="str">
            <v>Banks</v>
          </cell>
          <cell r="S934" t="str">
            <v>GBCI</v>
          </cell>
        </row>
        <row r="935">
          <cell r="L935" t="str">
            <v>TTEK</v>
          </cell>
          <cell r="M935" t="str">
            <v>TETRA-TECH-INC-11172/</v>
          </cell>
          <cell r="N935" t="str">
            <v>TTEK</v>
          </cell>
          <cell r="O935" t="str">
            <v>TETRA TECH INC</v>
          </cell>
          <cell r="P935" t="str">
            <v>NASDAQ GS</v>
          </cell>
          <cell r="Q935" t="str">
            <v>Industrials</v>
          </cell>
          <cell r="R935" t="str">
            <v>Commercial Services &amp; Supplies</v>
          </cell>
          <cell r="S935" t="str">
            <v>TTEK</v>
          </cell>
        </row>
        <row r="936">
          <cell r="L936" t="str">
            <v>ENDP</v>
          </cell>
          <cell r="M936" t="str">
            <v>ENDO-INTERNATIONAL-PLC-15914394/</v>
          </cell>
          <cell r="N936" t="str">
            <v>ENDP</v>
          </cell>
          <cell r="O936" t="str">
            <v>ENDO INTERNATION</v>
          </cell>
          <cell r="P936" t="str">
            <v>NASDAQ GS</v>
          </cell>
          <cell r="Q936" t="str">
            <v>Health Care</v>
          </cell>
          <cell r="R936" t="str">
            <v>Pharmaceuticals</v>
          </cell>
          <cell r="S936" t="str">
            <v>ENDP</v>
          </cell>
        </row>
        <row r="937">
          <cell r="L937" t="str">
            <v>MANH</v>
          </cell>
          <cell r="M937" t="str">
            <v>MANHATTAN-ASSOCIATES-INC-9939/</v>
          </cell>
          <cell r="N937" t="str">
            <v>MANH</v>
          </cell>
          <cell r="O937" t="str">
            <v>MANHATTAN ASSOC</v>
          </cell>
          <cell r="P937" t="str">
            <v>NASDAQ GS</v>
          </cell>
          <cell r="Q937" t="str">
            <v>Information Technology</v>
          </cell>
          <cell r="R937" t="str">
            <v>Software</v>
          </cell>
          <cell r="S937" t="str">
            <v>MANH</v>
          </cell>
        </row>
        <row r="938">
          <cell r="L938" t="str">
            <v>PTEN</v>
          </cell>
          <cell r="M938" t="str">
            <v>PATTERSON-UTI-ENERGY-INC-10567/</v>
          </cell>
          <cell r="N938" t="str">
            <v>PTEN</v>
          </cell>
          <cell r="O938" t="str">
            <v>PATTERSON-UTI</v>
          </cell>
          <cell r="P938" t="str">
            <v>NASDAQ GS</v>
          </cell>
          <cell r="Q938" t="str">
            <v>Energy</v>
          </cell>
          <cell r="R938" t="str">
            <v>Energy Equipment &amp; Services</v>
          </cell>
          <cell r="S938" t="str">
            <v>PTEN</v>
          </cell>
        </row>
        <row r="939">
          <cell r="L939" t="str">
            <v>UMBF</v>
          </cell>
          <cell r="M939" t="str">
            <v>UMB-FINANCIAL-CORP-11234/</v>
          </cell>
          <cell r="N939" t="str">
            <v>UMBF</v>
          </cell>
          <cell r="O939" t="str">
            <v>UMB FINANCIAL</v>
          </cell>
          <cell r="P939" t="str">
            <v>NASDAQ GS</v>
          </cell>
          <cell r="Q939" t="str">
            <v>Financials</v>
          </cell>
          <cell r="R939" t="str">
            <v>Banks</v>
          </cell>
          <cell r="S939" t="str">
            <v>UMBF</v>
          </cell>
        </row>
        <row r="940">
          <cell r="L940" t="str">
            <v>STAY</v>
          </cell>
          <cell r="M940" t="str">
            <v>EXTENDED-STAY-AMERICA-INC-44388500/</v>
          </cell>
          <cell r="N940" t="str">
            <v>STAY</v>
          </cell>
          <cell r="O940" t="str">
            <v>EXTENDED STAY AM</v>
          </cell>
          <cell r="P940" t="str">
            <v>NASDAQ GS</v>
          </cell>
          <cell r="Q940" t="str">
            <v>Consumer Discretionary</v>
          </cell>
          <cell r="R940" t="str">
            <v>Hotels, Restaurants &amp; Leisure</v>
          </cell>
          <cell r="S940" t="str">
            <v>STAY</v>
          </cell>
        </row>
        <row r="941">
          <cell r="L941" t="str">
            <v>GSKY</v>
          </cell>
          <cell r="M941" t="str">
            <v>GREENSKY-INC-43459709/</v>
          </cell>
          <cell r="N941" t="str">
            <v>GSKY</v>
          </cell>
          <cell r="O941" t="str">
            <v>GREENSKY INC-A</v>
          </cell>
          <cell r="P941" t="str">
            <v>NASDAQ GS</v>
          </cell>
          <cell r="Q941" t="str">
            <v>Information Technology</v>
          </cell>
          <cell r="R941" t="str">
            <v>IT Services</v>
          </cell>
          <cell r="S941" t="str">
            <v>GSKY</v>
          </cell>
        </row>
        <row r="942">
          <cell r="L942" t="str">
            <v>VSAT</v>
          </cell>
          <cell r="M942" t="str">
            <v>VIASAT-INC-11323/</v>
          </cell>
          <cell r="N942" t="str">
            <v>VSAT</v>
          </cell>
          <cell r="O942" t="str">
            <v>VIASAT INC</v>
          </cell>
          <cell r="P942" t="str">
            <v>NASDAQ GS</v>
          </cell>
          <cell r="Q942" t="str">
            <v>Information Technology</v>
          </cell>
          <cell r="R942" t="str">
            <v>Communications Equipment</v>
          </cell>
          <cell r="S942" t="str">
            <v>VSAT</v>
          </cell>
        </row>
        <row r="943">
          <cell r="L943" t="str">
            <v>SIGI</v>
          </cell>
          <cell r="M943" t="str">
            <v>SELECTIVE-INSURANCE-GROUP-10831/</v>
          </cell>
          <cell r="N943" t="str">
            <v>SIGI</v>
          </cell>
          <cell r="O943" t="str">
            <v>SELECT INS GRP</v>
          </cell>
          <cell r="P943" t="str">
            <v>NASDAQ GS</v>
          </cell>
          <cell r="Q943" t="str">
            <v>Financials</v>
          </cell>
          <cell r="R943" t="str">
            <v>Insurance</v>
          </cell>
          <cell r="S943" t="str">
            <v>SIGI</v>
          </cell>
        </row>
        <row r="944">
          <cell r="L944" t="str">
            <v>KLXI</v>
          </cell>
          <cell r="M944" t="str">
            <v>KLX-INC-19157088/</v>
          </cell>
          <cell r="N944" t="str">
            <v>KLXI</v>
          </cell>
          <cell r="O944" t="str">
            <v>KLX INC</v>
          </cell>
          <cell r="P944" t="str">
            <v>NASDAQ GS</v>
          </cell>
          <cell r="Q944" t="str">
            <v>Industrials</v>
          </cell>
          <cell r="R944" t="str">
            <v>Aerospace &amp; Defense</v>
          </cell>
          <cell r="S944" t="str">
            <v>KLXI</v>
          </cell>
        </row>
        <row r="945">
          <cell r="L945" t="str">
            <v>ACHC</v>
          </cell>
          <cell r="M945" t="str">
            <v>ACADIA-HEALTHCARE-COMPANY-9401506/</v>
          </cell>
          <cell r="N945" t="str">
            <v>ACHC</v>
          </cell>
          <cell r="O945" t="str">
            <v>ACADIA HEALTHCAR</v>
          </cell>
          <cell r="P945" t="str">
            <v>NASDAQ GS</v>
          </cell>
          <cell r="Q945" t="str">
            <v>Health Care</v>
          </cell>
          <cell r="R945" t="str">
            <v>Health Care Providers &amp; Servic</v>
          </cell>
          <cell r="S945" t="str">
            <v>ACHC</v>
          </cell>
        </row>
        <row r="946">
          <cell r="L946" t="str">
            <v>NXST</v>
          </cell>
          <cell r="M946" t="str">
            <v>NEXSTAR-MEDIA-GROUP-INC-10298/</v>
          </cell>
          <cell r="N946" t="str">
            <v>NXST</v>
          </cell>
          <cell r="O946" t="str">
            <v>NEXSTAR MEDIA-A</v>
          </cell>
          <cell r="P946" t="str">
            <v>NASDAQ GS</v>
          </cell>
          <cell r="Q946" t="str">
            <v>Consumer Discretionary</v>
          </cell>
          <cell r="R946" t="str">
            <v>Media</v>
          </cell>
          <cell r="S946" t="str">
            <v>NXST</v>
          </cell>
        </row>
        <row r="947">
          <cell r="L947" t="str">
            <v>ROLL</v>
          </cell>
          <cell r="M947" t="str">
            <v>RBC-BEARINGS-INCORPORATED-10702/</v>
          </cell>
          <cell r="N947" t="str">
            <v>ROLL</v>
          </cell>
          <cell r="O947" t="str">
            <v>RBC BEARINGS INC</v>
          </cell>
          <cell r="P947" t="str">
            <v>NASDAQ GS</v>
          </cell>
          <cell r="Q947" t="str">
            <v>Industrials</v>
          </cell>
          <cell r="R947" t="str">
            <v>Machinery</v>
          </cell>
          <cell r="S947" t="str">
            <v>ROLL</v>
          </cell>
        </row>
        <row r="948">
          <cell r="L948" t="str">
            <v>RRR</v>
          </cell>
          <cell r="M948" t="str">
            <v>RED-ROCK-RESORTS-INC-27343191/</v>
          </cell>
          <cell r="N948" t="str">
            <v>RRR</v>
          </cell>
          <cell r="O948" t="str">
            <v>RED ROCK RESOR-A</v>
          </cell>
          <cell r="P948" t="str">
            <v>NASDAQ GS</v>
          </cell>
          <cell r="Q948" t="str">
            <v>Consumer Discretionary</v>
          </cell>
          <cell r="R948" t="str">
            <v>Hotels, Restaurants &amp; Leisure</v>
          </cell>
          <cell r="S948" t="str">
            <v>RRR</v>
          </cell>
        </row>
        <row r="949">
          <cell r="L949" t="str">
            <v>ERI</v>
          </cell>
          <cell r="M949" t="str">
            <v>ELDORADO-RESORTS-INC-18045264/</v>
          </cell>
          <cell r="N949" t="str">
            <v>ERI</v>
          </cell>
          <cell r="O949" t="str">
            <v>ELDORADO RESORTS</v>
          </cell>
          <cell r="P949" t="str">
            <v>NASDAQ GS</v>
          </cell>
          <cell r="Q949" t="str">
            <v>Consumer Discretionary</v>
          </cell>
          <cell r="R949" t="str">
            <v>Hotels, Restaurants &amp; Leisure</v>
          </cell>
          <cell r="S949" t="str">
            <v>ERI</v>
          </cell>
        </row>
        <row r="950">
          <cell r="L950" t="str">
            <v>NUVA</v>
          </cell>
          <cell r="M950" t="str">
            <v>NUVASIVE-INC-10279/</v>
          </cell>
          <cell r="N950" t="str">
            <v>NUVA</v>
          </cell>
          <cell r="O950" t="str">
            <v>NUVASIVE INC</v>
          </cell>
          <cell r="P950" t="str">
            <v>NASDAQ GS</v>
          </cell>
          <cell r="Q950" t="str">
            <v>Health Care</v>
          </cell>
          <cell r="R950" t="str">
            <v>Health Care Equipment &amp; Suppli</v>
          </cell>
          <cell r="S950" t="str">
            <v>NUVA</v>
          </cell>
        </row>
        <row r="951">
          <cell r="L951" t="str">
            <v>CBRL</v>
          </cell>
          <cell r="M951" t="str">
            <v>CRACKER-BARREL-OLD-COUNTR-8692/</v>
          </cell>
          <cell r="N951" t="str">
            <v>CBRL</v>
          </cell>
          <cell r="O951" t="str">
            <v>CRACKER BARREL</v>
          </cell>
          <cell r="P951" t="str">
            <v>NASDAQ GS</v>
          </cell>
          <cell r="Q951" t="str">
            <v>Consumer Discretionary</v>
          </cell>
          <cell r="R951" t="str">
            <v>Hotels, Restaurants &amp; Leisure</v>
          </cell>
          <cell r="S951" t="str">
            <v>CBRL</v>
          </cell>
        </row>
        <row r="952">
          <cell r="L952" t="str">
            <v>WMGI</v>
          </cell>
          <cell r="M952" t="str">
            <v>WRIGHT-MEDICAL-GROUP-NV-24239917/</v>
          </cell>
          <cell r="N952" t="str">
            <v>WMGI</v>
          </cell>
          <cell r="O952" t="str">
            <v>WRIGHT MEDICAL G</v>
          </cell>
          <cell r="P952" t="str">
            <v>NASDAQ GS</v>
          </cell>
          <cell r="Q952" t="str">
            <v>Health Care</v>
          </cell>
          <cell r="R952" t="str">
            <v>Health Care Equipment &amp; Suppli</v>
          </cell>
          <cell r="S952" t="str">
            <v>WMGI</v>
          </cell>
        </row>
        <row r="953">
          <cell r="L953" t="str">
            <v>NAVI</v>
          </cell>
          <cell r="M953" t="str">
            <v>NAVIENT-CORPORATION-16300139/</v>
          </cell>
          <cell r="N953" t="str">
            <v>NAVI</v>
          </cell>
          <cell r="O953" t="str">
            <v>NAVIENT CORP</v>
          </cell>
          <cell r="P953" t="str">
            <v>NASDAQ GS</v>
          </cell>
          <cell r="Q953" t="str">
            <v>Financials</v>
          </cell>
          <cell r="R953" t="str">
            <v>Consumer Finance</v>
          </cell>
          <cell r="S953" t="str">
            <v>NAVI</v>
          </cell>
        </row>
        <row r="954">
          <cell r="L954" t="str">
            <v>QLYS</v>
          </cell>
          <cell r="M954" t="str">
            <v>QUALYS-INC-11612572/</v>
          </cell>
          <cell r="N954" t="str">
            <v>QLYS</v>
          </cell>
          <cell r="O954" t="str">
            <v>QUALYS INC</v>
          </cell>
          <cell r="P954" t="str">
            <v>NASDAQ GS</v>
          </cell>
          <cell r="Q954" t="str">
            <v>Information Technology</v>
          </cell>
          <cell r="R954" t="str">
            <v>Software</v>
          </cell>
          <cell r="S954" t="str">
            <v>QLYS</v>
          </cell>
        </row>
        <row r="955">
          <cell r="L955" t="str">
            <v>AMCX</v>
          </cell>
          <cell r="M955" t="str">
            <v>AMC-NETWORKS-INC-8199525/</v>
          </cell>
          <cell r="N955" t="str">
            <v>AMCX</v>
          </cell>
          <cell r="O955" t="str">
            <v>AMC NETWORKS-A</v>
          </cell>
          <cell r="P955" t="str">
            <v>NASDAQ GS</v>
          </cell>
          <cell r="Q955" t="str">
            <v>Consumer Discretionary</v>
          </cell>
          <cell r="R955" t="str">
            <v>Media</v>
          </cell>
          <cell r="S955" t="str">
            <v>AMCX</v>
          </cell>
        </row>
        <row r="956">
          <cell r="L956" t="str">
            <v>ZNGA</v>
          </cell>
          <cell r="M956" t="str">
            <v>ZYNGA-INC-9625945/</v>
          </cell>
          <cell r="N956" t="str">
            <v>ZNGA</v>
          </cell>
          <cell r="O956" t="str">
            <v>ZYNGA INC- CL A</v>
          </cell>
          <cell r="P956" t="str">
            <v>NASDAQ GS</v>
          </cell>
          <cell r="Q956" t="str">
            <v>Information Technology</v>
          </cell>
          <cell r="R956" t="str">
            <v>Software</v>
          </cell>
          <cell r="S956" t="str">
            <v>ZNGA</v>
          </cell>
        </row>
        <row r="957">
          <cell r="L957" t="str">
            <v>BILI</v>
          </cell>
          <cell r="M957" t="str">
            <v>BILIBILI-INC-ADR-42503507/</v>
          </cell>
          <cell r="N957" t="str">
            <v>BILI</v>
          </cell>
          <cell r="O957" t="str">
            <v>BILIBILI INC-ADR</v>
          </cell>
          <cell r="P957" t="str">
            <v>NASDAQ GS</v>
          </cell>
          <cell r="Q957" t="str">
            <v>Information Technology</v>
          </cell>
          <cell r="R957" t="str">
            <v>Software</v>
          </cell>
          <cell r="S957" t="str">
            <v>BILI</v>
          </cell>
        </row>
        <row r="958">
          <cell r="L958" t="str">
            <v>MYGN</v>
          </cell>
          <cell r="M958" t="str">
            <v>MYRIAD-GENETICS-INC-10141/</v>
          </cell>
          <cell r="N958" t="str">
            <v>MYGN</v>
          </cell>
          <cell r="O958" t="str">
            <v>MYRIAD GENETICS</v>
          </cell>
          <cell r="P958" t="str">
            <v>NASDAQ GS</v>
          </cell>
          <cell r="Q958" t="str">
            <v>Health Care</v>
          </cell>
          <cell r="R958" t="str">
            <v>Biotechnology</v>
          </cell>
          <cell r="S958" t="str">
            <v>MYGN</v>
          </cell>
        </row>
        <row r="959">
          <cell r="L959" t="str">
            <v>ACXM</v>
          </cell>
          <cell r="M959" t="str">
            <v>ACXIOM-CORPORATION-8248/</v>
          </cell>
          <cell r="N959" t="str">
            <v>ACXM</v>
          </cell>
          <cell r="O959" t="str">
            <v>ACXIOM CORP</v>
          </cell>
          <cell r="P959" t="str">
            <v>NASDAQ GS</v>
          </cell>
          <cell r="Q959" t="str">
            <v>Information Technology</v>
          </cell>
          <cell r="R959" t="str">
            <v>IT Services</v>
          </cell>
          <cell r="S959" t="str">
            <v>ACXM</v>
          </cell>
        </row>
        <row r="960">
          <cell r="L960" t="str">
            <v>BCPC</v>
          </cell>
          <cell r="M960" t="str">
            <v>BALCHEM-CORPORATION-39847/</v>
          </cell>
          <cell r="N960" t="str">
            <v>BCPC</v>
          </cell>
          <cell r="O960" t="str">
            <v>BALCHEM CORP</v>
          </cell>
          <cell r="P960" t="str">
            <v>NASDAQ GS</v>
          </cell>
          <cell r="Q960" t="str">
            <v>Materials</v>
          </cell>
          <cell r="R960" t="str">
            <v>Chemicals</v>
          </cell>
          <cell r="S960" t="str">
            <v>BCPC</v>
          </cell>
        </row>
        <row r="961">
          <cell r="L961" t="str">
            <v>LAUR</v>
          </cell>
          <cell r="M961" t="str">
            <v>LAUREATE-EDUCATION-INC-33666529/</v>
          </cell>
          <cell r="N961" t="str">
            <v>LAUR</v>
          </cell>
          <cell r="O961" t="str">
            <v>LAUREATE EDUCA-A</v>
          </cell>
          <cell r="P961" t="str">
            <v>NASDAQ GS</v>
          </cell>
          <cell r="Q961" t="str">
            <v>Consumer Discretionary</v>
          </cell>
          <cell r="R961" t="str">
            <v>Diversified Consumer Services</v>
          </cell>
          <cell r="S961" t="str">
            <v>LAUR</v>
          </cell>
        </row>
        <row r="962">
          <cell r="L962" t="str">
            <v>UNIT</v>
          </cell>
          <cell r="M962" t="str">
            <v>UNITI-GROUP-INC-34126458/</v>
          </cell>
          <cell r="N962" t="str">
            <v>UNIT</v>
          </cell>
          <cell r="O962" t="str">
            <v>UNITI GROUP INC</v>
          </cell>
          <cell r="P962" t="str">
            <v>NASDAQ GS</v>
          </cell>
          <cell r="Q962" t="str">
            <v>Real Estate</v>
          </cell>
          <cell r="R962" t="str">
            <v>Equity Real Estate Investment</v>
          </cell>
          <cell r="S962" t="str">
            <v>UNIT</v>
          </cell>
        </row>
        <row r="963">
          <cell r="L963" t="str">
            <v>PDCE</v>
          </cell>
          <cell r="M963" t="str">
            <v>PDC-ENERGY-INC-11877512/</v>
          </cell>
          <cell r="N963" t="str">
            <v>PDCE</v>
          </cell>
          <cell r="O963" t="str">
            <v>PDC ENERGY INC</v>
          </cell>
          <cell r="P963" t="str">
            <v>NASDAQ GS</v>
          </cell>
          <cell r="Q963" t="str">
            <v>Energy</v>
          </cell>
          <cell r="R963" t="str">
            <v>Oil, Gas &amp; Consumable Fuels</v>
          </cell>
          <cell r="S963" t="str">
            <v>PDCE</v>
          </cell>
        </row>
        <row r="964">
          <cell r="L964" t="str">
            <v>HZNP</v>
          </cell>
          <cell r="M964" t="str">
            <v>HORIZON-PHARMA-PLC-18100076/</v>
          </cell>
          <cell r="N964" t="str">
            <v>HZNP</v>
          </cell>
          <cell r="O964" t="str">
            <v>HORIZON PHARMA P</v>
          </cell>
          <cell r="P964" t="str">
            <v>NASDAQ GS</v>
          </cell>
          <cell r="Q964" t="str">
            <v>Health Care</v>
          </cell>
          <cell r="R964" t="str">
            <v>Pharmaceuticals</v>
          </cell>
          <cell r="S964" t="str">
            <v>HZNP</v>
          </cell>
        </row>
        <row r="965">
          <cell r="L965" t="str">
            <v>SFM</v>
          </cell>
          <cell r="M965" t="str">
            <v>SPROUTS-FARMERS-MARKET-IN-13792498/</v>
          </cell>
          <cell r="N965" t="str">
            <v>SFM</v>
          </cell>
          <cell r="O965" t="str">
            <v>SPROUTS FARMERS</v>
          </cell>
          <cell r="P965" t="str">
            <v>NASDAQ GS</v>
          </cell>
          <cell r="Q965" t="str">
            <v>Consumer Staples</v>
          </cell>
          <cell r="R965" t="str">
            <v>Food &amp; Staples Retailing</v>
          </cell>
          <cell r="S965" t="str">
            <v>SFM</v>
          </cell>
        </row>
        <row r="966">
          <cell r="L966" t="str">
            <v>CATY</v>
          </cell>
          <cell r="M966" t="str">
            <v>CATHAY-GENERAL-BANCORP-8682/</v>
          </cell>
          <cell r="N966" t="str">
            <v>CATY</v>
          </cell>
          <cell r="O966" t="str">
            <v>CATHAY GENERAL B</v>
          </cell>
          <cell r="P966" t="str">
            <v>NASDAQ GS</v>
          </cell>
          <cell r="Q966" t="str">
            <v>Financials</v>
          </cell>
          <cell r="R966" t="str">
            <v>Banks</v>
          </cell>
          <cell r="S966" t="str">
            <v>CATY</v>
          </cell>
        </row>
        <row r="967">
          <cell r="L967" t="str">
            <v>SKYW</v>
          </cell>
          <cell r="M967" t="str">
            <v>SKYWEST-INC-10846/</v>
          </cell>
          <cell r="N967" t="str">
            <v>SKYW</v>
          </cell>
          <cell r="O967" t="str">
            <v>SKYWEST INC</v>
          </cell>
          <cell r="P967" t="str">
            <v>NASDAQ GS</v>
          </cell>
          <cell r="Q967" t="str">
            <v>Industrials</v>
          </cell>
          <cell r="R967" t="str">
            <v>Airlines</v>
          </cell>
          <cell r="S967" t="str">
            <v>SKYW</v>
          </cell>
        </row>
        <row r="968">
          <cell r="L968" t="str">
            <v>SYNT</v>
          </cell>
          <cell r="M968" t="str">
            <v>SYNTEL-INC-11031/</v>
          </cell>
          <cell r="N968" t="str">
            <v>SYNT</v>
          </cell>
          <cell r="O968" t="str">
            <v>SYNTEL INC</v>
          </cell>
          <cell r="P968" t="str">
            <v>NASDAQ GS</v>
          </cell>
          <cell r="Q968" t="str">
            <v>Information Technology</v>
          </cell>
          <cell r="R968" t="str">
            <v>IT Services</v>
          </cell>
          <cell r="S968" t="str">
            <v>SYNT</v>
          </cell>
        </row>
        <row r="969">
          <cell r="L969" t="str">
            <v>SHOO</v>
          </cell>
          <cell r="M969" t="str">
            <v>STEVEN-MADDEN-LTD-10824/</v>
          </cell>
          <cell r="N969" t="str">
            <v>SHOO</v>
          </cell>
          <cell r="O969" t="str">
            <v>STEVEN MADDEN</v>
          </cell>
          <cell r="P969" t="str">
            <v>NASDAQ GS</v>
          </cell>
          <cell r="Q969" t="str">
            <v>Consumer Discretionary</v>
          </cell>
          <cell r="R969" t="str">
            <v>Textiles, Apparel &amp; Luxury Goo</v>
          </cell>
          <cell r="S969" t="str">
            <v>SHOO</v>
          </cell>
        </row>
        <row r="970">
          <cell r="L970" t="str">
            <v>LBTYB</v>
          </cell>
          <cell r="M970" t="str">
            <v>LIBERTY-LATIN-AMERICA-39151789/</v>
          </cell>
          <cell r="N970" t="str">
            <v>LBTYB</v>
          </cell>
          <cell r="O970" t="str">
            <v>LIBERTY GLOBAL-B</v>
          </cell>
          <cell r="P970" t="str">
            <v>NASDAQ GS</v>
          </cell>
          <cell r="Q970" t="str">
            <v>Consumer Discretionary</v>
          </cell>
          <cell r="R970" t="str">
            <v>Media</v>
          </cell>
          <cell r="S970" t="str">
            <v>LBTYB</v>
          </cell>
        </row>
        <row r="971">
          <cell r="L971" t="str">
            <v>CSOD</v>
          </cell>
          <cell r="M971" t="str">
            <v>CORNERSTONE-ONDEMAND-INC-7614943/</v>
          </cell>
          <cell r="N971" t="str">
            <v>CSOD</v>
          </cell>
          <cell r="O971" t="str">
            <v>CORNERSTONE ONDE</v>
          </cell>
          <cell r="P971" t="str">
            <v>NASDAQ GS</v>
          </cell>
          <cell r="Q971" t="str">
            <v>Information Technology</v>
          </cell>
          <cell r="R971" t="str">
            <v>Internet Software &amp; Services</v>
          </cell>
          <cell r="S971" t="str">
            <v>CSOD</v>
          </cell>
        </row>
        <row r="972">
          <cell r="L972" t="str">
            <v>BPMC</v>
          </cell>
          <cell r="M972" t="str">
            <v>BLUEPRINT-MEDICINES-CORP-22033569/</v>
          </cell>
          <cell r="N972" t="str">
            <v>BPMC</v>
          </cell>
          <cell r="O972" t="str">
            <v>BLUEPRINT MEDICI</v>
          </cell>
          <cell r="P972" t="str">
            <v>NASDAQ GS</v>
          </cell>
          <cell r="Q972" t="str">
            <v>Health Care</v>
          </cell>
          <cell r="R972" t="str">
            <v>Biotechnology</v>
          </cell>
          <cell r="S972" t="str">
            <v>BPMC</v>
          </cell>
        </row>
        <row r="973">
          <cell r="L973" t="str">
            <v>TREE</v>
          </cell>
          <cell r="M973" t="str">
            <v>LENDINGTREE-INC-20234970/</v>
          </cell>
          <cell r="N973" t="str">
            <v>TREE</v>
          </cell>
          <cell r="O973" t="str">
            <v>LENDINGTREE INC</v>
          </cell>
          <cell r="P973" t="str">
            <v>NASDAQ GS</v>
          </cell>
          <cell r="Q973" t="str">
            <v>Financials</v>
          </cell>
          <cell r="R973" t="str">
            <v>Thrifts &amp; Mortgage Finance</v>
          </cell>
          <cell r="S973" t="str">
            <v>TREE</v>
          </cell>
        </row>
        <row r="974">
          <cell r="L974" t="str">
            <v>ACIW</v>
          </cell>
          <cell r="M974" t="str">
            <v>ACI-WORLDWIDE-INC-11158/</v>
          </cell>
          <cell r="N974" t="str">
            <v>ACIW</v>
          </cell>
          <cell r="O974" t="str">
            <v>ACI WORLDWIDE IN</v>
          </cell>
          <cell r="P974" t="str">
            <v>NASDAQ GS</v>
          </cell>
          <cell r="Q974" t="str">
            <v>Information Technology</v>
          </cell>
          <cell r="R974" t="str">
            <v>Software</v>
          </cell>
          <cell r="S974" t="str">
            <v>ACIW</v>
          </cell>
        </row>
        <row r="975">
          <cell r="L975" t="str">
            <v>OPK</v>
          </cell>
          <cell r="M975" t="str">
            <v>OPKO-HEALTH-INC-40449569/</v>
          </cell>
          <cell r="N975" t="str">
            <v>OPK</v>
          </cell>
          <cell r="O975" t="str">
            <v>OPKO HEALTH</v>
          </cell>
          <cell r="P975" t="str">
            <v>NASDAQ GS</v>
          </cell>
          <cell r="Q975" t="str">
            <v>Health Care</v>
          </cell>
          <cell r="R975" t="str">
            <v>Biotechnology</v>
          </cell>
          <cell r="S975" t="str">
            <v>OPK</v>
          </cell>
        </row>
        <row r="976">
          <cell r="L976" t="str">
            <v>MMSI</v>
          </cell>
          <cell r="M976" t="str">
            <v>MERIT-MEDICAL-SYSTEMS-IN-10048/</v>
          </cell>
          <cell r="N976" t="str">
            <v>MMSI</v>
          </cell>
          <cell r="O976" t="str">
            <v>MERIT MEDICAL</v>
          </cell>
          <cell r="P976" t="str">
            <v>NASDAQ GS</v>
          </cell>
          <cell r="Q976" t="str">
            <v>Health Care</v>
          </cell>
          <cell r="R976" t="str">
            <v>Health Care Equipment &amp; Suppli</v>
          </cell>
          <cell r="S976" t="str">
            <v>MMSI</v>
          </cell>
        </row>
        <row r="977">
          <cell r="L977" t="str">
            <v>MMYT</v>
          </cell>
          <cell r="M977" t="str">
            <v>MAKEMYTRIP-LIMITED-6504039/</v>
          </cell>
          <cell r="N977" t="str">
            <v>MMYT</v>
          </cell>
          <cell r="O977" t="str">
            <v>MAKEMYTRIP LTD</v>
          </cell>
          <cell r="P977" t="str">
            <v>NASDAQ GS</v>
          </cell>
          <cell r="Q977" t="str">
            <v>Consumer Discretionary</v>
          </cell>
          <cell r="R977" t="str">
            <v>Internet &amp; Direct Marketing Re</v>
          </cell>
          <cell r="S977" t="str">
            <v>MMYT</v>
          </cell>
        </row>
        <row r="978">
          <cell r="L978" t="str">
            <v>FEYE</v>
          </cell>
          <cell r="M978" t="str">
            <v>FIREEYE-INC-14325709/</v>
          </cell>
          <cell r="N978" t="str">
            <v>FEYE</v>
          </cell>
          <cell r="O978" t="str">
            <v>FIREEYE INC</v>
          </cell>
          <cell r="P978" t="str">
            <v>NASDAQ GS</v>
          </cell>
          <cell r="Q978" t="str">
            <v>Information Technology</v>
          </cell>
          <cell r="R978" t="str">
            <v>Software</v>
          </cell>
          <cell r="S978" t="str">
            <v>FEYE</v>
          </cell>
        </row>
        <row r="979">
          <cell r="L979" t="str">
            <v>FULT</v>
          </cell>
          <cell r="M979" t="str">
            <v>FULTON-FINANCIAL-CORP-9384/</v>
          </cell>
          <cell r="N979" t="str">
            <v>FULT</v>
          </cell>
          <cell r="O979" t="str">
            <v>FULTON FINANCIAL</v>
          </cell>
          <cell r="P979" t="str">
            <v>NASDAQ GS</v>
          </cell>
          <cell r="Q979" t="str">
            <v>Financials</v>
          </cell>
          <cell r="R979" t="str">
            <v>Banks</v>
          </cell>
          <cell r="S979" t="str">
            <v>FULT</v>
          </cell>
        </row>
        <row r="980">
          <cell r="L980" t="str">
            <v>VC</v>
          </cell>
          <cell r="M980" t="str">
            <v>VISTEON-CORP-39134780/</v>
          </cell>
          <cell r="N980" t="str">
            <v>VC</v>
          </cell>
          <cell r="O980" t="str">
            <v>VISTEON CORP</v>
          </cell>
          <cell r="P980" t="str">
            <v>NASDAQ GS</v>
          </cell>
          <cell r="Q980" t="str">
            <v>Consumer Discretionary</v>
          </cell>
          <cell r="R980" t="str">
            <v>Auto Components</v>
          </cell>
          <cell r="S980" t="str">
            <v>VC</v>
          </cell>
        </row>
        <row r="981">
          <cell r="L981" t="str">
            <v>CVLT</v>
          </cell>
          <cell r="M981" t="str">
            <v>COMMVAULT-SYSTEMS-INC-33890/</v>
          </cell>
          <cell r="N981" t="str">
            <v>CVLT</v>
          </cell>
          <cell r="O981" t="str">
            <v>COMMVAULT SYSTEM</v>
          </cell>
          <cell r="P981" t="str">
            <v>NASDAQ GS</v>
          </cell>
          <cell r="Q981" t="str">
            <v>Information Technology</v>
          </cell>
          <cell r="R981" t="str">
            <v>Software</v>
          </cell>
          <cell r="S981" t="str">
            <v>CVLT</v>
          </cell>
        </row>
        <row r="982">
          <cell r="L982" t="str">
            <v>CENTA</v>
          </cell>
          <cell r="M982" t="str">
            <v>CENTRAL-GARDEN-PET-CO-42505/</v>
          </cell>
          <cell r="N982" t="str">
            <v>CENTA</v>
          </cell>
          <cell r="O982" t="str">
            <v>CENTRAL GARDEN-A</v>
          </cell>
          <cell r="P982" t="str">
            <v>NASDAQ GS</v>
          </cell>
          <cell r="Q982" t="str">
            <v>Consumer Staples</v>
          </cell>
          <cell r="R982" t="str">
            <v>Household Products</v>
          </cell>
          <cell r="S982" t="str">
            <v>CENTA</v>
          </cell>
        </row>
        <row r="983">
          <cell r="L983" t="str">
            <v>CENTA</v>
          </cell>
          <cell r="M983" t="str">
            <v>CENTRAL-GARDEN-PET-CO-8740/</v>
          </cell>
          <cell r="N983" t="str">
            <v>CENTA</v>
          </cell>
          <cell r="O983" t="str">
            <v>CENTRAL GARDEN-A</v>
          </cell>
          <cell r="P983" t="str">
            <v>NASDAQ GS</v>
          </cell>
          <cell r="Q983" t="str">
            <v>Consumer Staples</v>
          </cell>
          <cell r="R983" t="str">
            <v>Household Products</v>
          </cell>
          <cell r="S983" t="str">
            <v>CENTA</v>
          </cell>
        </row>
        <row r="984">
          <cell r="L984" t="str">
            <v>HELE</v>
          </cell>
          <cell r="M984" t="str">
            <v>HELEN-OF-TROY-LIMITED-9535/</v>
          </cell>
          <cell r="N984" t="str">
            <v>HELE</v>
          </cell>
          <cell r="O984" t="str">
            <v>HELEN OF TROY</v>
          </cell>
          <cell r="P984" t="str">
            <v>NASDAQ GS</v>
          </cell>
          <cell r="Q984" t="str">
            <v>Consumer Discretionary</v>
          </cell>
          <cell r="R984" t="str">
            <v>Household Durables</v>
          </cell>
          <cell r="S984" t="str">
            <v>HELE</v>
          </cell>
        </row>
        <row r="985">
          <cell r="L985" t="str">
            <v>LHCG</v>
          </cell>
          <cell r="M985" t="str">
            <v>LHC-GROUP-INC-9875/</v>
          </cell>
          <cell r="N985" t="str">
            <v>LHCG</v>
          </cell>
          <cell r="O985" t="str">
            <v>LHC GROUP INC</v>
          </cell>
          <cell r="P985" t="str">
            <v>NASDAQ GS</v>
          </cell>
          <cell r="Q985" t="str">
            <v>Health Care</v>
          </cell>
          <cell r="R985" t="str">
            <v>Health Care Providers &amp; Servic</v>
          </cell>
          <cell r="S985" t="str">
            <v>LHCG</v>
          </cell>
        </row>
        <row r="986">
          <cell r="L986" t="str">
            <v>IRBT</v>
          </cell>
          <cell r="M986" t="str">
            <v>IROBOT-CORPORATION-9722/</v>
          </cell>
          <cell r="N986" t="str">
            <v>IRBT</v>
          </cell>
          <cell r="O986" t="str">
            <v>IROBOT CORP</v>
          </cell>
          <cell r="P986" t="str">
            <v>NASDAQ GS</v>
          </cell>
          <cell r="Q986" t="str">
            <v>Consumer Discretionary</v>
          </cell>
          <cell r="R986" t="str">
            <v>Household Durables</v>
          </cell>
          <cell r="S986" t="str">
            <v>IRBT</v>
          </cell>
        </row>
        <row r="987">
          <cell r="L987" t="str">
            <v>ORBK</v>
          </cell>
          <cell r="M987" t="str">
            <v>ORBOTECH-LTD-10355/</v>
          </cell>
          <cell r="N987" t="str">
            <v>ORBK</v>
          </cell>
          <cell r="O987" t="str">
            <v>ORBOTECH LTD</v>
          </cell>
          <cell r="P987" t="str">
            <v>NASDAQ GS</v>
          </cell>
          <cell r="Q987" t="str">
            <v>Information Technology</v>
          </cell>
          <cell r="R987" t="str">
            <v>Electronic Equipment, Instrume</v>
          </cell>
          <cell r="S987" t="str">
            <v>ORBK</v>
          </cell>
        </row>
        <row r="988">
          <cell r="L988" t="str">
            <v>PENN</v>
          </cell>
          <cell r="M988" t="str">
            <v>PENN-NATIONAL-GAMING-INC-10436/</v>
          </cell>
          <cell r="N988" t="str">
            <v>PENN</v>
          </cell>
          <cell r="O988" t="str">
            <v>PENN NATL GAMING</v>
          </cell>
          <cell r="P988" t="str">
            <v>NASDAQ GS</v>
          </cell>
          <cell r="Q988" t="str">
            <v>Consumer Discretionary</v>
          </cell>
          <cell r="R988" t="str">
            <v>Hotels, Restaurants &amp; Leisure</v>
          </cell>
          <cell r="S988" t="str">
            <v>PENN</v>
          </cell>
        </row>
        <row r="989">
          <cell r="L989" t="str">
            <v>ONB</v>
          </cell>
          <cell r="M989" t="str">
            <v>OLD-NATIONAL-BANCORP-13950632/</v>
          </cell>
          <cell r="N989" t="str">
            <v>ONB</v>
          </cell>
          <cell r="O989" t="str">
            <v>OLD NATL BANCORP</v>
          </cell>
          <cell r="P989" t="str">
            <v>NASDAQ GS</v>
          </cell>
          <cell r="Q989" t="str">
            <v>Financials</v>
          </cell>
          <cell r="R989" t="str">
            <v>Banks</v>
          </cell>
          <cell r="S989" t="str">
            <v>ONB</v>
          </cell>
        </row>
        <row r="990">
          <cell r="L990" t="str">
            <v>COLM</v>
          </cell>
          <cell r="M990" t="str">
            <v>COLUMBIA-BANKING-SYSTEM-I-8858/</v>
          </cell>
          <cell r="N990" t="str">
            <v>COLM</v>
          </cell>
          <cell r="O990" t="str">
            <v>COLUMBIA SPORTSW</v>
          </cell>
          <cell r="P990" t="str">
            <v>NASDAQ GS</v>
          </cell>
          <cell r="Q990" t="str">
            <v>Consumer Discretionary</v>
          </cell>
          <cell r="R990" t="str">
            <v>Textiles, Apparel &amp; Luxury Goo</v>
          </cell>
          <cell r="S990" t="str">
            <v>COLM</v>
          </cell>
        </row>
        <row r="991">
          <cell r="L991" t="str">
            <v>ARGX</v>
          </cell>
          <cell r="M991" t="str">
            <v>ARGENX-SE-34927720/</v>
          </cell>
          <cell r="N991" t="str">
            <v>ARGX</v>
          </cell>
          <cell r="O991" t="str">
            <v>ARGENX SE - ADR</v>
          </cell>
          <cell r="P991" t="str">
            <v>NASDAQ GS</v>
          </cell>
          <cell r="Q991" t="str">
            <v>Health Care</v>
          </cell>
          <cell r="R991" t="str">
            <v>Biotechnology</v>
          </cell>
          <cell r="S991" t="str">
            <v>ARGX</v>
          </cell>
        </row>
        <row r="992">
          <cell r="L992" t="str">
            <v>VRNT</v>
          </cell>
          <cell r="M992" t="str">
            <v>VERINT-SYSTEMS-INC-97645/</v>
          </cell>
          <cell r="N992" t="str">
            <v>VRNT</v>
          </cell>
          <cell r="O992" t="str">
            <v>VERINT SYSTEMS</v>
          </cell>
          <cell r="P992" t="str">
            <v>NASDAQ GS</v>
          </cell>
          <cell r="Q992" t="str">
            <v>Information Technology</v>
          </cell>
          <cell r="R992" t="str">
            <v>Software</v>
          </cell>
          <cell r="S992" t="str">
            <v>VRNT</v>
          </cell>
        </row>
        <row r="993">
          <cell r="L993" t="str">
            <v>IIVI</v>
          </cell>
          <cell r="M993" t="str">
            <v>II-VI-INC-9656/</v>
          </cell>
          <cell r="N993" t="str">
            <v>IIVI</v>
          </cell>
          <cell r="O993" t="str">
            <v>II-VI INC</v>
          </cell>
          <cell r="P993" t="str">
            <v>NASDAQ GS</v>
          </cell>
          <cell r="Q993" t="str">
            <v>Information Technology</v>
          </cell>
          <cell r="R993" t="str">
            <v>Electronic Equipment, Instrume</v>
          </cell>
          <cell r="S993" t="str">
            <v>IIVI</v>
          </cell>
        </row>
        <row r="994">
          <cell r="L994" t="str">
            <v>SODA</v>
          </cell>
          <cell r="M994" t="str">
            <v>SODASTREAM-INTERNATIONAL-6826353/</v>
          </cell>
          <cell r="N994" t="str">
            <v>SODA</v>
          </cell>
          <cell r="O994" t="str">
            <v>SODASTREAM INTER</v>
          </cell>
          <cell r="P994" t="str">
            <v>NASDAQ GS</v>
          </cell>
          <cell r="Q994" t="str">
            <v>Consumer Discretionary</v>
          </cell>
          <cell r="R994" t="str">
            <v>Household Durables</v>
          </cell>
          <cell r="S994" t="str">
            <v>SODA</v>
          </cell>
        </row>
        <row r="995">
          <cell r="L995" t="str">
            <v>CIGI</v>
          </cell>
          <cell r="M995" t="str">
            <v>COLLIERS-INTERNATIONAL-GR-22376814/</v>
          </cell>
          <cell r="N995" t="str">
            <v>CIGI</v>
          </cell>
          <cell r="O995" t="str">
            <v>COLLIERS INTERNA</v>
          </cell>
          <cell r="P995" t="str">
            <v>NASDAQ GS</v>
          </cell>
          <cell r="Q995" t="str">
            <v>Real Estate</v>
          </cell>
          <cell r="R995" t="str">
            <v>Real Estate Management &amp; Devel</v>
          </cell>
          <cell r="S995" t="str">
            <v>CIGI</v>
          </cell>
        </row>
        <row r="996">
          <cell r="L996" t="str">
            <v>HTHT</v>
          </cell>
          <cell r="M996" t="str">
            <v>CHINA-BIOLOGIC-PRODUCTS-H-37215912/</v>
          </cell>
          <cell r="N996" t="str">
            <v>HTHT</v>
          </cell>
          <cell r="O996" t="str">
            <v>CHINA LODGIN-ADR</v>
          </cell>
          <cell r="P996" t="str">
            <v>NASDAQ GS</v>
          </cell>
          <cell r="Q996" t="str">
            <v>Consumer Discretionary</v>
          </cell>
          <cell r="R996" t="str">
            <v>Hotels, Restaurants &amp; Leisure</v>
          </cell>
          <cell r="S996" t="str">
            <v>HTHT</v>
          </cell>
        </row>
        <row r="997">
          <cell r="L997" t="str">
            <v>BZUN</v>
          </cell>
          <cell r="M997" t="str">
            <v>BAOZUN-INC-ADR-22283935/</v>
          </cell>
          <cell r="N997" t="str">
            <v>BZUN</v>
          </cell>
          <cell r="O997" t="str">
            <v>BAOZUN INC-ADR</v>
          </cell>
          <cell r="P997" t="str">
            <v>NASDAQ GS</v>
          </cell>
          <cell r="Q997" t="str">
            <v>Information Technology</v>
          </cell>
          <cell r="R997" t="str">
            <v>Internet Software &amp; Services</v>
          </cell>
          <cell r="S997" t="str">
            <v>BZUN</v>
          </cell>
        </row>
        <row r="998">
          <cell r="L998" t="str">
            <v>SLGN</v>
          </cell>
          <cell r="M998" t="str">
            <v>SILGAN-HOLDINGS-INC-10849/</v>
          </cell>
          <cell r="N998" t="str">
            <v>SLGN</v>
          </cell>
          <cell r="O998" t="str">
            <v>SILGAN HOLDINGS</v>
          </cell>
          <cell r="P998" t="str">
            <v>NASDAQ GS</v>
          </cell>
          <cell r="Q998" t="str">
            <v>Materials</v>
          </cell>
          <cell r="R998" t="str">
            <v>Containers &amp; Packaging</v>
          </cell>
          <cell r="S998" t="str">
            <v>SLGN</v>
          </cell>
        </row>
        <row r="999">
          <cell r="L999" t="str">
            <v>PCH</v>
          </cell>
          <cell r="M999" t="str">
            <v>POTLATCHDELTIC-CORP-13947/</v>
          </cell>
          <cell r="N999" t="str">
            <v>PCH</v>
          </cell>
          <cell r="O999" t="str">
            <v>POTLATCHDELTIC C</v>
          </cell>
          <cell r="P999" t="str">
            <v>NASDAQ GS</v>
          </cell>
          <cell r="Q999" t="str">
            <v>Real Estate</v>
          </cell>
          <cell r="R999" t="str">
            <v>Equity Real Estate Investment</v>
          </cell>
          <cell r="S999" t="str">
            <v>PCH</v>
          </cell>
        </row>
        <row r="1000">
          <cell r="L1000" t="str">
            <v>IRWD</v>
          </cell>
          <cell r="M1000" t="str">
            <v>IRONWOOD-PHARMACEUTICALS-5933097/</v>
          </cell>
          <cell r="N1000" t="str">
            <v>IRWD</v>
          </cell>
          <cell r="O1000" t="str">
            <v>IRONWOOD PHARMAC</v>
          </cell>
          <cell r="P1000" t="str">
            <v>NASDAQ GS</v>
          </cell>
          <cell r="Q1000" t="str">
            <v>Health Care</v>
          </cell>
          <cell r="R1000" t="str">
            <v>Biotechnology</v>
          </cell>
          <cell r="S1000" t="str">
            <v>IRWD</v>
          </cell>
        </row>
        <row r="1001">
          <cell r="L1001" t="str">
            <v>HAIN</v>
          </cell>
          <cell r="M1001" t="str">
            <v>HAIN-CELESTIAL-GROUP-INC-9506/</v>
          </cell>
          <cell r="N1001" t="str">
            <v>HAIN</v>
          </cell>
          <cell r="O1001" t="str">
            <v>HAIN CELESTIAL</v>
          </cell>
          <cell r="P1001" t="str">
            <v>NASDAQ GS</v>
          </cell>
          <cell r="Q1001" t="str">
            <v>Consumer Staples</v>
          </cell>
          <cell r="R1001" t="str">
            <v>Food Products</v>
          </cell>
          <cell r="S1001" t="str">
            <v>HAIN</v>
          </cell>
        </row>
        <row r="1002">
          <cell r="L1002" t="str">
            <v>SFNC</v>
          </cell>
          <cell r="M1002" t="str">
            <v>SIMMONS-FIRST-NATIONAL-CO-10804/</v>
          </cell>
          <cell r="N1002" t="str">
            <v>SFNC</v>
          </cell>
          <cell r="O1002" t="str">
            <v>SIMMONS FIRST -A</v>
          </cell>
          <cell r="P1002" t="str">
            <v>NASDAQ GS</v>
          </cell>
          <cell r="Q1002" t="str">
            <v>Financials</v>
          </cell>
          <cell r="R1002" t="str">
            <v>Banks</v>
          </cell>
          <cell r="S1002" t="str">
            <v>SFNC</v>
          </cell>
        </row>
        <row r="1003">
          <cell r="L1003" t="str">
            <v>QDEL</v>
          </cell>
          <cell r="M1003" t="str">
            <v>QUIDEL-CORPORATION-10595/</v>
          </cell>
          <cell r="N1003" t="str">
            <v>QDEL</v>
          </cell>
          <cell r="O1003" t="str">
            <v>QUIDEL CORP</v>
          </cell>
          <cell r="P1003" t="str">
            <v>NASDAQ GS</v>
          </cell>
          <cell r="Q1003" t="str">
            <v>Health Care</v>
          </cell>
          <cell r="R1003" t="str">
            <v>Health Care Equipment &amp; Suppli</v>
          </cell>
          <cell r="S1003" t="str">
            <v>QDEL</v>
          </cell>
        </row>
        <row r="1004">
          <cell r="L1004" t="str">
            <v>ALTR</v>
          </cell>
          <cell r="M1004" t="str">
            <v>ALTAIR-ENGINEERING-INC-38509038/</v>
          </cell>
          <cell r="N1004" t="str">
            <v>ALTR</v>
          </cell>
          <cell r="O1004" t="str">
            <v>ALTAIR ENGINEE-A</v>
          </cell>
          <cell r="P1004" t="str">
            <v>NASDAQ GS</v>
          </cell>
          <cell r="Q1004" t="str">
            <v>Information Technology</v>
          </cell>
          <cell r="R1004" t="str">
            <v>Software</v>
          </cell>
          <cell r="S1004" t="str">
            <v>ALTR</v>
          </cell>
        </row>
        <row r="1005">
          <cell r="L1005" t="str">
            <v>AFSI</v>
          </cell>
          <cell r="M1005" t="str">
            <v>AMTRUST-FINANCIAL-SERVICE-36545/</v>
          </cell>
          <cell r="N1005" t="str">
            <v>AFSI</v>
          </cell>
          <cell r="O1005" t="str">
            <v>AMTRUST FIN SERV</v>
          </cell>
          <cell r="P1005" t="str">
            <v>NASDAQ GS</v>
          </cell>
          <cell r="Q1005" t="str">
            <v>Financials</v>
          </cell>
          <cell r="R1005" t="str">
            <v>Insurance</v>
          </cell>
          <cell r="S1005" t="str">
            <v>AFSI</v>
          </cell>
        </row>
        <row r="1006">
          <cell r="L1006" t="str">
            <v>ASND</v>
          </cell>
          <cell r="M1006" t="str">
            <v>ASCENDIS-PHARMA-A-S-20566532/</v>
          </cell>
          <cell r="N1006" t="str">
            <v>ASND</v>
          </cell>
          <cell r="O1006" t="str">
            <v>ASCENDIS PHA-ADR</v>
          </cell>
          <cell r="P1006" t="str">
            <v>NASDAQ GS</v>
          </cell>
          <cell r="Q1006" t="str">
            <v>Health Care</v>
          </cell>
          <cell r="R1006" t="str">
            <v>Biotechnology</v>
          </cell>
          <cell r="S1006" t="str">
            <v>ASND</v>
          </cell>
        </row>
        <row r="1007">
          <cell r="L1007" t="str">
            <v>SBGI</v>
          </cell>
          <cell r="M1007" t="str">
            <v>SINCLAIR-BROADCAST-GROUP-10748/</v>
          </cell>
          <cell r="N1007" t="str">
            <v>SBGI</v>
          </cell>
          <cell r="O1007" t="str">
            <v>SINCLAIR BROAD-A</v>
          </cell>
          <cell r="P1007" t="str">
            <v>NASDAQ GS</v>
          </cell>
          <cell r="Q1007" t="str">
            <v>Consumer Discretionary</v>
          </cell>
          <cell r="R1007" t="str">
            <v>Media</v>
          </cell>
          <cell r="S1007" t="str">
            <v>SBGI</v>
          </cell>
        </row>
        <row r="1008">
          <cell r="L1008" t="str">
            <v>EPAY</v>
          </cell>
          <cell r="M1008" t="str">
            <v>BOTTOMLINE-TECHNOLOGIES-9191/</v>
          </cell>
          <cell r="N1008" t="str">
            <v>EPAY</v>
          </cell>
          <cell r="O1008" t="str">
            <v>BOTTOMLINE TECH</v>
          </cell>
          <cell r="P1008" t="str">
            <v>NASDAQ GS</v>
          </cell>
          <cell r="Q1008" t="str">
            <v>Information Technology</v>
          </cell>
          <cell r="R1008" t="str">
            <v>Software</v>
          </cell>
          <cell r="S1008" t="str">
            <v>EPAY</v>
          </cell>
        </row>
        <row r="1009">
          <cell r="L1009" t="str">
            <v>TECD</v>
          </cell>
          <cell r="M1009" t="str">
            <v>TECH-DATA-CORP-11068/</v>
          </cell>
          <cell r="N1009" t="str">
            <v>TECD</v>
          </cell>
          <cell r="O1009" t="str">
            <v>TECH DATA CORP</v>
          </cell>
          <cell r="P1009" t="str">
            <v>NASDAQ GS</v>
          </cell>
          <cell r="Q1009" t="str">
            <v>Information Technology</v>
          </cell>
          <cell r="R1009" t="str">
            <v>Electronic Equipment, Instrume</v>
          </cell>
          <cell r="S1009" t="str">
            <v>TECD</v>
          </cell>
        </row>
        <row r="1010">
          <cell r="L1010" t="str">
            <v>ALRM</v>
          </cell>
          <cell r="M1010" t="str">
            <v>ALARMCOM-HLDG-INC-22619561/</v>
          </cell>
          <cell r="N1010" t="str">
            <v>ALRM</v>
          </cell>
          <cell r="O1010" t="str">
            <v>ALARM.COM HOLDIN</v>
          </cell>
          <cell r="P1010" t="str">
            <v>NASDAQ GS</v>
          </cell>
          <cell r="Q1010" t="str">
            <v>Information Technology</v>
          </cell>
          <cell r="R1010" t="str">
            <v>Internet Software &amp; Services</v>
          </cell>
          <cell r="S1010" t="str">
            <v>ALRM</v>
          </cell>
        </row>
        <row r="1011">
          <cell r="L1011" t="str">
            <v>BPY-U</v>
          </cell>
          <cell r="M1011" t="str">
            <v>BROOKS-AUTOMATION-INC-8621/</v>
          </cell>
          <cell r="N1011" t="str">
            <v>BPY-U</v>
          </cell>
          <cell r="O1011" t="str">
            <v>BROOKFIELD PROPE</v>
          </cell>
          <cell r="P1011" t="str">
            <v>NASDAQ GS</v>
          </cell>
          <cell r="Q1011" t="str">
            <v>Real Estate</v>
          </cell>
          <cell r="R1011" t="str">
            <v>Real Estate Management &amp; Devel</v>
          </cell>
          <cell r="S1011" t="str">
            <v>BPY-U</v>
          </cell>
        </row>
        <row r="1012">
          <cell r="L1012" t="str">
            <v>CYBR</v>
          </cell>
          <cell r="M1012" t="str">
            <v>CYBERARK-SOFTWARE-LTD-18052696/</v>
          </cell>
          <cell r="N1012" t="str">
            <v>CYBR</v>
          </cell>
          <cell r="O1012" t="str">
            <v>CYBERARK SOFTWAR</v>
          </cell>
          <cell r="P1012" t="str">
            <v>NASDAQ GS</v>
          </cell>
          <cell r="Q1012" t="str">
            <v>Information Technology</v>
          </cell>
          <cell r="R1012" t="str">
            <v>Software</v>
          </cell>
          <cell r="S1012" t="str">
            <v>CYBR</v>
          </cell>
        </row>
        <row r="1013">
          <cell r="L1013" t="str">
            <v>EXPO</v>
          </cell>
          <cell r="M1013" t="str">
            <v>EXPONENT-INC-9239/</v>
          </cell>
          <cell r="N1013" t="str">
            <v>EXPO</v>
          </cell>
          <cell r="O1013" t="str">
            <v>EXPONENT INC</v>
          </cell>
          <cell r="P1013" t="str">
            <v>NASDAQ GS</v>
          </cell>
          <cell r="Q1013" t="str">
            <v>Industrials</v>
          </cell>
          <cell r="R1013" t="str">
            <v>Professional Services</v>
          </cell>
          <cell r="S1013" t="str">
            <v>EXPO</v>
          </cell>
        </row>
        <row r="1014">
          <cell r="L1014" t="str">
            <v>JJSF</v>
          </cell>
          <cell r="M1014" t="str">
            <v>J-J-SNACK-FOODS-CORP-9780/</v>
          </cell>
          <cell r="N1014" t="str">
            <v>JJSF</v>
          </cell>
          <cell r="O1014" t="str">
            <v>J &amp; J SNACK FOOD</v>
          </cell>
          <cell r="P1014" t="str">
            <v>NASDAQ GS</v>
          </cell>
          <cell r="Q1014" t="str">
            <v>Consumer Staples</v>
          </cell>
          <cell r="R1014" t="str">
            <v>Food Products</v>
          </cell>
          <cell r="S1014" t="str">
            <v>JJSF</v>
          </cell>
        </row>
        <row r="1015">
          <cell r="L1015" t="str">
            <v>DORM</v>
          </cell>
          <cell r="M1015" t="str">
            <v>DORMAN-PRODUCTS-INC-10628/</v>
          </cell>
          <cell r="N1015" t="str">
            <v>DORM</v>
          </cell>
          <cell r="O1015" t="str">
            <v>DORMAN PRODUCTS</v>
          </cell>
          <cell r="P1015" t="str">
            <v>NASDAQ GS</v>
          </cell>
          <cell r="Q1015" t="str">
            <v>Consumer Discretionary</v>
          </cell>
          <cell r="R1015" t="str">
            <v>Auto Components</v>
          </cell>
          <cell r="S1015" t="str">
            <v>DORM</v>
          </cell>
        </row>
        <row r="1016">
          <cell r="L1016" t="str">
            <v>HMSY</v>
          </cell>
          <cell r="M1016" t="str">
            <v>HMS-HOLDINGS-CORP-9561/</v>
          </cell>
          <cell r="N1016" t="str">
            <v>HMSY</v>
          </cell>
          <cell r="O1016" t="str">
            <v>HMS HOLDINGS COR</v>
          </cell>
          <cell r="P1016" t="str">
            <v>NASDAQ GS</v>
          </cell>
          <cell r="Q1016" t="str">
            <v>Health Care</v>
          </cell>
          <cell r="R1016" t="str">
            <v>Health Care Technology</v>
          </cell>
          <cell r="S1016" t="str">
            <v>HMSY</v>
          </cell>
        </row>
        <row r="1017">
          <cell r="L1017" t="str">
            <v>NOVT</v>
          </cell>
          <cell r="M1017" t="str">
            <v>NOVANTA-INC-USA-27535807/</v>
          </cell>
          <cell r="N1017" t="str">
            <v>NOVT</v>
          </cell>
          <cell r="O1017" t="str">
            <v>NOVANTA INC</v>
          </cell>
          <cell r="P1017" t="str">
            <v>NASDAQ GS</v>
          </cell>
          <cell r="Q1017" t="str">
            <v>Information Technology</v>
          </cell>
          <cell r="R1017" t="str">
            <v>Electronic Equipment, Instrume</v>
          </cell>
          <cell r="S1017" t="str">
            <v>NOVT</v>
          </cell>
        </row>
        <row r="1018">
          <cell r="L1018" t="str">
            <v>DSG</v>
          </cell>
          <cell r="M1018" t="str">
            <v>DESCARTES-SYSTEMS-GROUP-I-9091/</v>
          </cell>
          <cell r="N1018" t="str">
            <v>DSG</v>
          </cell>
          <cell r="O1018" t="str">
            <v>DESCARTES SYS</v>
          </cell>
          <cell r="P1018" t="str">
            <v>NASDAQ GS</v>
          </cell>
          <cell r="Q1018" t="str">
            <v>Information Technology</v>
          </cell>
          <cell r="R1018" t="str">
            <v>Software</v>
          </cell>
          <cell r="S1018" t="str">
            <v>DSG</v>
          </cell>
        </row>
        <row r="1019">
          <cell r="L1019" t="str">
            <v>CRUS</v>
          </cell>
          <cell r="M1019" t="str">
            <v>CIRRUS-LOGIC-INC-8909/</v>
          </cell>
          <cell r="N1019" t="str">
            <v>CRUS</v>
          </cell>
          <cell r="O1019" t="str">
            <v>CIRRUS LOGIC INC</v>
          </cell>
          <cell r="P1019" t="str">
            <v>NASDAQ GS</v>
          </cell>
          <cell r="Q1019" t="str">
            <v>Information Technology</v>
          </cell>
          <cell r="R1019" t="str">
            <v>Semiconductors &amp; Semiconductor</v>
          </cell>
          <cell r="S1019" t="str">
            <v>CRUS</v>
          </cell>
        </row>
        <row r="1020">
          <cell r="L1020" t="str">
            <v>CVBF</v>
          </cell>
          <cell r="M1020" t="str">
            <v>CVB-FINANCIAL-CORP-8963/</v>
          </cell>
          <cell r="N1020" t="str">
            <v>CVBF</v>
          </cell>
          <cell r="O1020" t="str">
            <v>CVB FINANCIAL</v>
          </cell>
          <cell r="P1020" t="str">
            <v>NASDAQ GS</v>
          </cell>
          <cell r="Q1020" t="str">
            <v>Financials</v>
          </cell>
          <cell r="R1020" t="str">
            <v>Banks</v>
          </cell>
          <cell r="S1020" t="str">
            <v>CVBF</v>
          </cell>
        </row>
        <row r="1021">
          <cell r="L1021" t="str">
            <v>MANT</v>
          </cell>
          <cell r="M1021" t="str">
            <v>MANTECH-INTERNATIONAL-COR-9940/</v>
          </cell>
          <cell r="N1021" t="str">
            <v>MANT</v>
          </cell>
          <cell r="O1021" t="str">
            <v>MANTECH INTL-A</v>
          </cell>
          <cell r="P1021" t="str">
            <v>NASDAQ GS</v>
          </cell>
          <cell r="Q1021" t="str">
            <v>Information Technology</v>
          </cell>
          <cell r="R1021" t="str">
            <v>IT Services</v>
          </cell>
          <cell r="S1021" t="str">
            <v>MANT</v>
          </cell>
        </row>
        <row r="1022">
          <cell r="L1022" t="str">
            <v>LBTYB</v>
          </cell>
          <cell r="M1022" t="str">
            <v>LIBERTY-EXPEDIA-HOLDINGS-31799530/</v>
          </cell>
          <cell r="N1022" t="str">
            <v>LBTYB</v>
          </cell>
          <cell r="O1022" t="str">
            <v>LIBERTY GLOBAL-B</v>
          </cell>
          <cell r="P1022" t="str">
            <v>NASDAQ GS</v>
          </cell>
          <cell r="Q1022" t="str">
            <v>Consumer Discretionary</v>
          </cell>
          <cell r="R1022" t="str">
            <v>Media</v>
          </cell>
          <cell r="S1022" t="str">
            <v>LBTYB</v>
          </cell>
        </row>
        <row r="1023">
          <cell r="L1023" t="str">
            <v>REGN</v>
          </cell>
          <cell r="M1023" t="str">
            <v>REGENXBIO-INC-23733717/</v>
          </cell>
          <cell r="N1023" t="str">
            <v>REGN</v>
          </cell>
          <cell r="O1023" t="str">
            <v>REGENERON PHARM</v>
          </cell>
          <cell r="P1023" t="str">
            <v>NASDAQ GS</v>
          </cell>
          <cell r="Q1023" t="str">
            <v>Health Care</v>
          </cell>
          <cell r="R1023" t="str">
            <v>Biotechnology</v>
          </cell>
          <cell r="S1023" t="str">
            <v>REGN</v>
          </cell>
        </row>
        <row r="1024">
          <cell r="L1024" t="str">
            <v>PSMT</v>
          </cell>
          <cell r="M1024" t="str">
            <v>PRICESMART-INC-10558/</v>
          </cell>
          <cell r="N1024" t="str">
            <v>PSMT</v>
          </cell>
          <cell r="O1024" t="str">
            <v>PRICESMART INC</v>
          </cell>
          <cell r="P1024" t="str">
            <v>NASDAQ GS</v>
          </cell>
          <cell r="Q1024" t="str">
            <v>Consumer Staples</v>
          </cell>
          <cell r="R1024" t="str">
            <v>Food &amp; Staples Retailing</v>
          </cell>
          <cell r="S1024" t="str">
            <v>PSMT</v>
          </cell>
        </row>
        <row r="1025">
          <cell r="L1025" t="str">
            <v>HALO</v>
          </cell>
          <cell r="M1025" t="str">
            <v>HALOZYME-THERAPEUTICS-IN-50245/</v>
          </cell>
          <cell r="N1025" t="str">
            <v>HALO</v>
          </cell>
          <cell r="O1025" t="str">
            <v>HALOZYME THERAPE</v>
          </cell>
          <cell r="P1025" t="str">
            <v>NASDAQ GS</v>
          </cell>
          <cell r="Q1025" t="str">
            <v>Health Care</v>
          </cell>
          <cell r="R1025" t="str">
            <v>Biotechnology</v>
          </cell>
          <cell r="S1025" t="str">
            <v>HALO</v>
          </cell>
        </row>
        <row r="1026">
          <cell r="L1026" t="str">
            <v>WERN</v>
          </cell>
          <cell r="M1026" t="str">
            <v>WERNER-ENTERPRISES-INC-11371/</v>
          </cell>
          <cell r="N1026" t="str">
            <v>WERN</v>
          </cell>
          <cell r="O1026" t="str">
            <v>WERNER ENT</v>
          </cell>
          <cell r="P1026" t="str">
            <v>NASDAQ GS</v>
          </cell>
          <cell r="Q1026" t="str">
            <v>Industrials</v>
          </cell>
          <cell r="R1026" t="str">
            <v>Road &amp; Rail</v>
          </cell>
          <cell r="S1026" t="str">
            <v>WERN</v>
          </cell>
        </row>
        <row r="1027">
          <cell r="L1027" t="str">
            <v>ITRI</v>
          </cell>
          <cell r="M1027" t="str">
            <v>ITRON-INC-9753/</v>
          </cell>
          <cell r="N1027" t="str">
            <v>ITRI</v>
          </cell>
          <cell r="O1027" t="str">
            <v>ITRON INC</v>
          </cell>
          <cell r="P1027" t="str">
            <v>NASDAQ GS</v>
          </cell>
          <cell r="Q1027" t="str">
            <v>Information Technology</v>
          </cell>
          <cell r="R1027" t="str">
            <v>Electronic Equipment, Instrume</v>
          </cell>
          <cell r="S1027" t="str">
            <v>ITRI</v>
          </cell>
        </row>
        <row r="1028">
          <cell r="L1028" t="str">
            <v>SFLY</v>
          </cell>
          <cell r="M1028" t="str">
            <v>SHUTTERFLY-INC-34151/</v>
          </cell>
          <cell r="N1028" t="str">
            <v>SFLY</v>
          </cell>
          <cell r="O1028" t="str">
            <v>SHUTTERFLY INC</v>
          </cell>
          <cell r="P1028" t="str">
            <v>NASDAQ GS</v>
          </cell>
          <cell r="Q1028" t="str">
            <v>Consumer Discretionary</v>
          </cell>
          <cell r="R1028" t="str">
            <v>Internet &amp; Direct Marketing Re</v>
          </cell>
          <cell r="S1028" t="str">
            <v>SFLY</v>
          </cell>
        </row>
        <row r="1029">
          <cell r="L1029" t="str">
            <v>BECN</v>
          </cell>
          <cell r="M1029" t="str">
            <v>BEACON-ROOFING-SUPPLY-IN-8545/</v>
          </cell>
          <cell r="N1029" t="str">
            <v>BECN</v>
          </cell>
          <cell r="O1029" t="str">
            <v>BEACON ROOFING S</v>
          </cell>
          <cell r="P1029" t="str">
            <v>NASDAQ GS</v>
          </cell>
          <cell r="Q1029" t="str">
            <v>Industrials</v>
          </cell>
          <cell r="R1029" t="str">
            <v>Trading Companies &amp; Distributo</v>
          </cell>
          <cell r="S1029" t="str">
            <v>BECN</v>
          </cell>
        </row>
        <row r="1030">
          <cell r="L1030" t="str">
            <v>GLNG</v>
          </cell>
          <cell r="M1030" t="str">
            <v>GOLAR-LNG-LIMITED-USA-9446/</v>
          </cell>
          <cell r="N1030" t="str">
            <v>GLNG</v>
          </cell>
          <cell r="O1030" t="str">
            <v>GOLAR LNG LTD</v>
          </cell>
          <cell r="P1030" t="str">
            <v>NASDAQ GS</v>
          </cell>
          <cell r="Q1030" t="str">
            <v>Energy</v>
          </cell>
          <cell r="R1030" t="str">
            <v>Oil, Gas &amp; Consumable Fuels</v>
          </cell>
          <cell r="S1030" t="str">
            <v>GLNG</v>
          </cell>
        </row>
        <row r="1031">
          <cell r="L1031" t="str">
            <v>MDRX</v>
          </cell>
          <cell r="M1031" t="str">
            <v>ALLSCRIPTS-HEALTHCARE-SOL-9987/</v>
          </cell>
          <cell r="N1031" t="str">
            <v>MDRX</v>
          </cell>
          <cell r="O1031" t="str">
            <v>ALLSCRIPTS HEALT</v>
          </cell>
          <cell r="P1031" t="str">
            <v>NASDAQ GS</v>
          </cell>
          <cell r="Q1031" t="str">
            <v>Health Care</v>
          </cell>
          <cell r="R1031" t="str">
            <v>Health Care Technology</v>
          </cell>
          <cell r="S1031" t="str">
            <v>MDRX</v>
          </cell>
        </row>
        <row r="1032">
          <cell r="L1032" t="str">
            <v>BBBY</v>
          </cell>
          <cell r="M1032" t="str">
            <v>BED-BATH-BEYOND-INC-4852/</v>
          </cell>
          <cell r="N1032" t="str">
            <v>BBBY</v>
          </cell>
          <cell r="O1032" t="str">
            <v>BED BATH &amp;BEYOND</v>
          </cell>
          <cell r="P1032" t="str">
            <v>NASDAQ GS</v>
          </cell>
          <cell r="Q1032" t="str">
            <v>Consumer Discretionary</v>
          </cell>
          <cell r="R1032" t="str">
            <v>Specialty Retail</v>
          </cell>
          <cell r="S1032" t="str">
            <v>BBBY</v>
          </cell>
        </row>
        <row r="1033">
          <cell r="L1033" t="str">
            <v>FOXF</v>
          </cell>
          <cell r="M1033" t="str">
            <v>FOX-FACTORY-HOLDING-CORP-13870449/</v>
          </cell>
          <cell r="N1033" t="str">
            <v>FOXF</v>
          </cell>
          <cell r="O1033" t="str">
            <v>FOX FACTORY HOLD</v>
          </cell>
          <cell r="P1033" t="str">
            <v>NASDAQ GS</v>
          </cell>
          <cell r="Q1033" t="str">
            <v>Consumer Discretionary</v>
          </cell>
          <cell r="R1033" t="str">
            <v>Auto Components</v>
          </cell>
          <cell r="S1033" t="str">
            <v>FOXF</v>
          </cell>
        </row>
        <row r="1034">
          <cell r="L1034" t="str">
            <v>VIAV</v>
          </cell>
          <cell r="M1034" t="str">
            <v>VIAVI-SOLUTIONS-INC-23320363/</v>
          </cell>
          <cell r="N1034" t="str">
            <v>VIAV</v>
          </cell>
          <cell r="O1034" t="str">
            <v>VIAVI SOLUTIONS</v>
          </cell>
          <cell r="P1034" t="str">
            <v>NASDAQ GS</v>
          </cell>
          <cell r="Q1034" t="str">
            <v>Information Technology</v>
          </cell>
          <cell r="R1034" t="str">
            <v>Communications Equipment</v>
          </cell>
          <cell r="S1034" t="str">
            <v>VIAV</v>
          </cell>
        </row>
        <row r="1035">
          <cell r="L1035" t="str">
            <v>INDB</v>
          </cell>
          <cell r="M1035" t="str">
            <v>INDEPENDENT-BANK-CORP-9676/</v>
          </cell>
          <cell r="N1035" t="str">
            <v>INDB</v>
          </cell>
          <cell r="O1035" t="str">
            <v>INDEP BANK/MA</v>
          </cell>
          <cell r="P1035" t="str">
            <v>NASDAQ GS</v>
          </cell>
          <cell r="Q1035" t="str">
            <v>Financials</v>
          </cell>
          <cell r="R1035" t="str">
            <v>Banks</v>
          </cell>
          <cell r="S1035" t="str">
            <v>INDB</v>
          </cell>
        </row>
        <row r="1036">
          <cell r="L1036" t="str">
            <v>SGMS</v>
          </cell>
          <cell r="M1036" t="str">
            <v>SCIENTIFIC-GAMES-CORP-10812/</v>
          </cell>
          <cell r="N1036" t="str">
            <v>SGMS</v>
          </cell>
          <cell r="O1036" t="str">
            <v>SCIENTIFIC GAMES</v>
          </cell>
          <cell r="P1036" t="str">
            <v>NASDAQ GS</v>
          </cell>
          <cell r="Q1036" t="str">
            <v>Consumer Discretionary</v>
          </cell>
          <cell r="R1036" t="str">
            <v>Hotels, Restaurants &amp; Leisure</v>
          </cell>
          <cell r="S1036" t="str">
            <v>SGMS</v>
          </cell>
        </row>
        <row r="1037">
          <cell r="L1037" t="str">
            <v>MIME</v>
          </cell>
          <cell r="M1037" t="str">
            <v>MIMECAST-LTD-24949015/</v>
          </cell>
          <cell r="N1037" t="str">
            <v>MIME</v>
          </cell>
          <cell r="O1037" t="str">
            <v>MIMECAST LTD</v>
          </cell>
          <cell r="P1037" t="str">
            <v>NASDAQ GS</v>
          </cell>
          <cell r="Q1037" t="str">
            <v>Information Technology</v>
          </cell>
          <cell r="R1037" t="str">
            <v>Internet Software &amp; Services</v>
          </cell>
          <cell r="S1037" t="str">
            <v>MIME</v>
          </cell>
        </row>
        <row r="1038">
          <cell r="L1038" t="str">
            <v>CCOI</v>
          </cell>
          <cell r="M1038" t="str">
            <v>COGENT-COMMUNICATIONS-HOL-8712/</v>
          </cell>
          <cell r="N1038" t="str">
            <v>CCOI</v>
          </cell>
          <cell r="O1038" t="str">
            <v>COGENT COMMUNICA</v>
          </cell>
          <cell r="P1038" t="str">
            <v>NASDAQ GS</v>
          </cell>
          <cell r="Q1038" t="str">
            <v>Telecommunication Services</v>
          </cell>
          <cell r="R1038" t="str">
            <v>Diversified Telecommunication</v>
          </cell>
          <cell r="S1038" t="str">
            <v>CCOI</v>
          </cell>
        </row>
        <row r="1039">
          <cell r="L1039" t="str">
            <v>LPNT</v>
          </cell>
          <cell r="M1039" t="str">
            <v>LIFEPOINT-HEALTH-INC-9908/</v>
          </cell>
          <cell r="N1039" t="str">
            <v>LPNT</v>
          </cell>
          <cell r="O1039" t="str">
            <v>LIFEPOINT HEALTH</v>
          </cell>
          <cell r="P1039" t="str">
            <v>NASDAQ GS</v>
          </cell>
          <cell r="Q1039" t="str">
            <v>Health Care</v>
          </cell>
          <cell r="R1039" t="str">
            <v>Health Care Providers &amp; Servic</v>
          </cell>
          <cell r="S1039" t="str">
            <v>LPNT</v>
          </cell>
        </row>
        <row r="1040">
          <cell r="L1040" t="str">
            <v>PPBI</v>
          </cell>
          <cell r="M1040" t="str">
            <v>PACIFIC-PREMIER-BANCORP-10522/</v>
          </cell>
          <cell r="N1040" t="str">
            <v>PPBI</v>
          </cell>
          <cell r="O1040" t="str">
            <v>PACIFIC PREMIER</v>
          </cell>
          <cell r="P1040" t="str">
            <v>NASDAQ GS</v>
          </cell>
          <cell r="Q1040" t="str">
            <v>Financials</v>
          </cell>
          <cell r="R1040" t="str">
            <v>Banks</v>
          </cell>
          <cell r="S1040" t="str">
            <v>PPBI</v>
          </cell>
        </row>
        <row r="1041">
          <cell r="L1041" t="str">
            <v>VICR</v>
          </cell>
          <cell r="M1041" t="str">
            <v>VICOR-CORP-11284/</v>
          </cell>
          <cell r="N1041" t="str">
            <v>VICR</v>
          </cell>
          <cell r="O1041" t="str">
            <v>VICOR CORP</v>
          </cell>
          <cell r="P1041" t="str">
            <v>NASDAQ GS</v>
          </cell>
          <cell r="Q1041" t="str">
            <v>Industrials</v>
          </cell>
          <cell r="R1041" t="str">
            <v>Electrical Equipment</v>
          </cell>
          <cell r="S1041" t="str">
            <v>VICR</v>
          </cell>
        </row>
        <row r="1042">
          <cell r="L1042" t="str">
            <v>SAFM</v>
          </cell>
          <cell r="M1042" t="str">
            <v>SANDERSON-FARMS-INC-10736/</v>
          </cell>
          <cell r="N1042" t="str">
            <v>SAFM</v>
          </cell>
          <cell r="O1042" t="str">
            <v>SANDERSON FARMS</v>
          </cell>
          <cell r="P1042" t="str">
            <v>NASDAQ GS</v>
          </cell>
          <cell r="Q1042" t="str">
            <v>Consumer Staples</v>
          </cell>
          <cell r="R1042" t="str">
            <v>Food Products</v>
          </cell>
          <cell r="S1042" t="str">
            <v>SAFM</v>
          </cell>
        </row>
        <row r="1043">
          <cell r="L1043" t="str">
            <v>WDFC</v>
          </cell>
          <cell r="M1043" t="str">
            <v>WD-40-COMPANY-11364/</v>
          </cell>
          <cell r="N1043" t="str">
            <v>WDFC</v>
          </cell>
          <cell r="O1043" t="str">
            <v>WD-40 CO</v>
          </cell>
          <cell r="P1043" t="str">
            <v>NASDAQ GS</v>
          </cell>
          <cell r="Q1043" t="str">
            <v>Consumer Staples</v>
          </cell>
          <cell r="R1043" t="str">
            <v>Household Products</v>
          </cell>
          <cell r="S1043" t="str">
            <v>WDFC</v>
          </cell>
        </row>
        <row r="1044">
          <cell r="L1044" t="str">
            <v>EBIX</v>
          </cell>
          <cell r="M1044" t="str">
            <v>EBIX-INC-9123/</v>
          </cell>
          <cell r="N1044" t="str">
            <v>EBIX</v>
          </cell>
          <cell r="O1044" t="str">
            <v>EBIX INC</v>
          </cell>
          <cell r="P1044" t="str">
            <v>NASDAQ GS</v>
          </cell>
          <cell r="Q1044" t="str">
            <v>Information Technology</v>
          </cell>
          <cell r="R1044" t="str">
            <v>Software</v>
          </cell>
          <cell r="S1044" t="str">
            <v>EBIX</v>
          </cell>
        </row>
        <row r="1045">
          <cell r="L1045" t="str">
            <v>RGEN</v>
          </cell>
          <cell r="M1045" t="str">
            <v>REPLIGEN-CORPORATION-10664/</v>
          </cell>
          <cell r="N1045" t="str">
            <v>RGEN</v>
          </cell>
          <cell r="O1045" t="str">
            <v>REPLIGEN CORP</v>
          </cell>
          <cell r="P1045" t="str">
            <v>NASDAQ GS</v>
          </cell>
          <cell r="Q1045" t="str">
            <v>Health Care</v>
          </cell>
          <cell r="R1045" t="str">
            <v>Biotechnology</v>
          </cell>
          <cell r="S1045" t="str">
            <v>RGEN</v>
          </cell>
        </row>
        <row r="1046">
          <cell r="L1046" t="str">
            <v>CAR</v>
          </cell>
          <cell r="M1046" t="str">
            <v>AVIS-BUDGET-GROUP-INC-12212/</v>
          </cell>
          <cell r="N1046" t="str">
            <v>CAR</v>
          </cell>
          <cell r="O1046" t="str">
            <v>AVIS BUDGET GROU</v>
          </cell>
          <cell r="P1046" t="str">
            <v>NASDAQ GS</v>
          </cell>
          <cell r="Q1046" t="str">
            <v>Industrials</v>
          </cell>
          <cell r="R1046" t="str">
            <v>Road &amp; Rail</v>
          </cell>
          <cell r="S1046" t="str">
            <v>CAR</v>
          </cell>
        </row>
        <row r="1047">
          <cell r="L1047" t="str">
            <v>CAKE</v>
          </cell>
          <cell r="M1047" t="str">
            <v>CHEESECAKE-FACTORY-INC-8657/</v>
          </cell>
          <cell r="N1047" t="str">
            <v>CAKE</v>
          </cell>
          <cell r="O1047" t="str">
            <v>CHEESECAKE FACTO</v>
          </cell>
          <cell r="P1047" t="str">
            <v>NASDAQ GS</v>
          </cell>
          <cell r="Q1047" t="str">
            <v>Consumer Discretionary</v>
          </cell>
          <cell r="R1047" t="str">
            <v>Hotels, Restaurants &amp; Leisure</v>
          </cell>
          <cell r="S1047" t="str">
            <v>CAKE</v>
          </cell>
        </row>
        <row r="1048">
          <cell r="L1048" t="str">
            <v>TRMK</v>
          </cell>
          <cell r="M1048" t="str">
            <v>TRUSTMARK-CORP-11149/</v>
          </cell>
          <cell r="N1048" t="str">
            <v>TRMK</v>
          </cell>
          <cell r="O1048" t="str">
            <v>TRUSTMARK CORP</v>
          </cell>
          <cell r="P1048" t="str">
            <v>NASDAQ GS</v>
          </cell>
          <cell r="Q1048" t="str">
            <v>Financials</v>
          </cell>
          <cell r="R1048" t="str">
            <v>Banks</v>
          </cell>
          <cell r="S1048" t="str">
            <v>TRMK</v>
          </cell>
        </row>
        <row r="1049">
          <cell r="L1049" t="str">
            <v>CALM</v>
          </cell>
          <cell r="M1049" t="str">
            <v>CAL-MAINE-FOODS-INC-8661/</v>
          </cell>
          <cell r="N1049" t="str">
            <v>CALM</v>
          </cell>
          <cell r="O1049" t="str">
            <v>CAL-MAINE FOODS</v>
          </cell>
          <cell r="P1049" t="str">
            <v>NASDAQ GS</v>
          </cell>
          <cell r="Q1049" t="str">
            <v>Consumer Staples</v>
          </cell>
          <cell r="R1049" t="str">
            <v>Food Products</v>
          </cell>
          <cell r="S1049" t="str">
            <v>CALM</v>
          </cell>
        </row>
        <row r="1050">
          <cell r="L1050" t="str">
            <v>GRPN</v>
          </cell>
          <cell r="M1050" t="str">
            <v>GROUPON-INC-9350075/</v>
          </cell>
          <cell r="N1050" t="str">
            <v>GRPN</v>
          </cell>
          <cell r="O1050" t="str">
            <v>GROUPON INC</v>
          </cell>
          <cell r="P1050" t="str">
            <v>NASDAQ GS</v>
          </cell>
          <cell r="Q1050" t="str">
            <v>Consumer Discretionary</v>
          </cell>
          <cell r="R1050" t="str">
            <v>Internet &amp; Direct Marketing Re</v>
          </cell>
          <cell r="S1050" t="str">
            <v>GRPN</v>
          </cell>
        </row>
        <row r="1051">
          <cell r="L1051" t="str">
            <v>JKHY</v>
          </cell>
          <cell r="M1051" t="str">
            <v>JACK-IN-THE-BOX-INC-4947359/</v>
          </cell>
          <cell r="N1051" t="str">
            <v>JKHY</v>
          </cell>
          <cell r="O1051" t="str">
            <v>JACK HENRY</v>
          </cell>
          <cell r="P1051" t="str">
            <v>NASDAQ GS</v>
          </cell>
          <cell r="Q1051" t="str">
            <v>Information Technology</v>
          </cell>
          <cell r="R1051" t="str">
            <v>IT Services</v>
          </cell>
          <cell r="S1051" t="str">
            <v>JKHY</v>
          </cell>
        </row>
        <row r="1052">
          <cell r="L1052" t="str">
            <v>MYOK</v>
          </cell>
          <cell r="M1052" t="str">
            <v>MYOKARDIA-INC-24749772/</v>
          </cell>
          <cell r="N1052" t="str">
            <v>MYOK</v>
          </cell>
          <cell r="O1052" t="str">
            <v>MYOKARDIA INC</v>
          </cell>
          <cell r="P1052" t="str">
            <v>NASDAQ GS</v>
          </cell>
          <cell r="Q1052" t="str">
            <v>Health Care</v>
          </cell>
          <cell r="R1052" t="str">
            <v>Pharmaceuticals</v>
          </cell>
          <cell r="S1052" t="str">
            <v>MYOK</v>
          </cell>
        </row>
        <row r="1053">
          <cell r="L1053" t="str">
            <v>HLNE</v>
          </cell>
          <cell r="M1053" t="str">
            <v>HAMILTON-LANE-INC-34136708/</v>
          </cell>
          <cell r="N1053" t="str">
            <v>HLNE</v>
          </cell>
          <cell r="O1053" t="str">
            <v>HAMILTON LANE-A</v>
          </cell>
          <cell r="P1053" t="str">
            <v>NASDAQ GS</v>
          </cell>
          <cell r="Q1053" t="str">
            <v>Financials</v>
          </cell>
          <cell r="R1053" t="str">
            <v>Capital Markets</v>
          </cell>
          <cell r="S1053" t="str">
            <v>HLNE</v>
          </cell>
        </row>
        <row r="1054">
          <cell r="L1054" t="str">
            <v>CHTR</v>
          </cell>
          <cell r="M1054" t="str">
            <v>CHART-INDUSTRIES-INC-30727/</v>
          </cell>
          <cell r="N1054" t="str">
            <v>CHTR</v>
          </cell>
          <cell r="O1054" t="str">
            <v>CHARTER COMMUN-A</v>
          </cell>
          <cell r="P1054" t="str">
            <v>NASDAQ GS</v>
          </cell>
          <cell r="Q1054" t="str">
            <v>Consumer Discretionary</v>
          </cell>
          <cell r="R1054" t="str">
            <v>Media</v>
          </cell>
          <cell r="S1054" t="str">
            <v>CHTR</v>
          </cell>
        </row>
        <row r="1055">
          <cell r="L1055" t="str">
            <v>MNRO</v>
          </cell>
          <cell r="M1055" t="str">
            <v>MONRO-INC-10055/</v>
          </cell>
          <cell r="N1055" t="str">
            <v>MNRO</v>
          </cell>
          <cell r="O1055" t="str">
            <v>MONRO INC</v>
          </cell>
          <cell r="P1055" t="str">
            <v>NASDAQ GS</v>
          </cell>
          <cell r="Q1055" t="str">
            <v>Consumer Discretionary</v>
          </cell>
          <cell r="R1055" t="str">
            <v>Specialty Retail</v>
          </cell>
          <cell r="S1055" t="str">
            <v>MNRO</v>
          </cell>
        </row>
        <row r="1056">
          <cell r="L1056" t="str">
            <v>TOWN</v>
          </cell>
          <cell r="M1056" t="str">
            <v>TOWNEBANK-63415/</v>
          </cell>
          <cell r="N1056" t="str">
            <v>TOWN</v>
          </cell>
          <cell r="O1056" t="str">
            <v>TOWNE BANK</v>
          </cell>
          <cell r="P1056" t="str">
            <v>NASDAQ GS</v>
          </cell>
          <cell r="Q1056" t="str">
            <v>Financials</v>
          </cell>
          <cell r="R1056" t="str">
            <v>Banks</v>
          </cell>
          <cell r="S1056" t="str">
            <v>TOWN</v>
          </cell>
        </row>
        <row r="1057">
          <cell r="L1057" t="str">
            <v>BOFI</v>
          </cell>
          <cell r="M1057" t="str">
            <v>BOFI-HOLDING-INC-8597/</v>
          </cell>
          <cell r="N1057" t="str">
            <v>BOFI</v>
          </cell>
          <cell r="O1057" t="str">
            <v>BOFI HOLDING INC</v>
          </cell>
          <cell r="P1057" t="str">
            <v>NASDAQ GS</v>
          </cell>
          <cell r="Q1057" t="str">
            <v>Financials</v>
          </cell>
          <cell r="R1057" t="str">
            <v>Thrifts &amp; Mortgage Finance</v>
          </cell>
          <cell r="S1057" t="str">
            <v>BOFI</v>
          </cell>
        </row>
        <row r="1058">
          <cell r="L1058" t="str">
            <v>IRDM</v>
          </cell>
          <cell r="M1058" t="str">
            <v>IRIDIUM-COMMUNICATIONS-IN-5602836/</v>
          </cell>
          <cell r="N1058" t="str">
            <v>IRDM</v>
          </cell>
          <cell r="O1058" t="str">
            <v>IRIDIUM COMMUNIC</v>
          </cell>
          <cell r="P1058" t="str">
            <v>NASDAQ GS</v>
          </cell>
          <cell r="Q1058" t="str">
            <v>Telecommunication Services</v>
          </cell>
          <cell r="R1058" t="str">
            <v>Diversified Telecommunication</v>
          </cell>
          <cell r="S1058" t="str">
            <v>IRDM</v>
          </cell>
        </row>
        <row r="1059">
          <cell r="L1059" t="str">
            <v>TERP</v>
          </cell>
          <cell r="M1059" t="str">
            <v>TERRAFORM-POWER-INC-38226942/</v>
          </cell>
          <cell r="N1059" t="str">
            <v>TERP</v>
          </cell>
          <cell r="O1059" t="str">
            <v>TERRAFORM POWE-A</v>
          </cell>
          <cell r="P1059" t="str">
            <v>NASDAQ GS</v>
          </cell>
          <cell r="Q1059" t="str">
            <v>Utilities</v>
          </cell>
          <cell r="R1059" t="str">
            <v>Independent Power and Renewabl</v>
          </cell>
          <cell r="S1059" t="str">
            <v>TERP</v>
          </cell>
        </row>
        <row r="1060">
          <cell r="L1060" t="str">
            <v>RNST</v>
          </cell>
          <cell r="M1060" t="str">
            <v>RENASANT-CORP-10690/</v>
          </cell>
          <cell r="N1060" t="str">
            <v>RNST</v>
          </cell>
          <cell r="O1060" t="str">
            <v>RENASANT CORP</v>
          </cell>
          <cell r="P1060" t="str">
            <v>NASDAQ GS</v>
          </cell>
          <cell r="Q1060" t="str">
            <v>Financials</v>
          </cell>
          <cell r="R1060" t="str">
            <v>Banks</v>
          </cell>
          <cell r="S1060" t="str">
            <v>RNST</v>
          </cell>
        </row>
        <row r="1061">
          <cell r="L1061" t="str">
            <v>WSBC</v>
          </cell>
          <cell r="M1061" t="str">
            <v>WESBANCO-INC-11414/</v>
          </cell>
          <cell r="N1061" t="str">
            <v>WSBC</v>
          </cell>
          <cell r="O1061" t="str">
            <v>WESBANCO INC</v>
          </cell>
          <cell r="P1061" t="str">
            <v>NASDAQ GS</v>
          </cell>
          <cell r="Q1061" t="str">
            <v>Financials</v>
          </cell>
          <cell r="R1061" t="str">
            <v>Banks</v>
          </cell>
          <cell r="S1061" t="str">
            <v>WSBC</v>
          </cell>
        </row>
        <row r="1062">
          <cell r="L1062" t="str">
            <v>PLCE</v>
          </cell>
          <cell r="M1062" t="str">
            <v>CHILDRENS-PLACE-INC-10481/</v>
          </cell>
          <cell r="N1062" t="str">
            <v>PLCE</v>
          </cell>
          <cell r="O1062" t="str">
            <v>CHILDREN'S PLACE</v>
          </cell>
          <cell r="P1062" t="str">
            <v>NASDAQ GS</v>
          </cell>
          <cell r="Q1062" t="str">
            <v>Consumer Discretionary</v>
          </cell>
          <cell r="R1062" t="str">
            <v>Specialty Retail</v>
          </cell>
          <cell r="S1062" t="str">
            <v>PLCE</v>
          </cell>
        </row>
        <row r="1063">
          <cell r="L1063" t="str">
            <v>HOPE</v>
          </cell>
          <cell r="M1063" t="str">
            <v>HOPE-BANCORP-INC-30419512/</v>
          </cell>
          <cell r="N1063" t="str">
            <v>HOPE</v>
          </cell>
          <cell r="O1063" t="str">
            <v>HOPE BANCORP INC</v>
          </cell>
          <cell r="P1063" t="str">
            <v>NASDAQ GS</v>
          </cell>
          <cell r="Q1063" t="str">
            <v>Financials</v>
          </cell>
          <cell r="R1063" t="str">
            <v>Banks</v>
          </cell>
          <cell r="S1063" t="str">
            <v>HOPE</v>
          </cell>
        </row>
        <row r="1064">
          <cell r="L1064" t="str">
            <v>CNMD</v>
          </cell>
          <cell r="M1064" t="str">
            <v>CONMED-CORPORATION-8837/</v>
          </cell>
          <cell r="N1064" t="str">
            <v>CNMD</v>
          </cell>
          <cell r="O1064" t="str">
            <v>CONMED CORP</v>
          </cell>
          <cell r="P1064" t="str">
            <v>NASDAQ GS</v>
          </cell>
          <cell r="Q1064" t="str">
            <v>Health Care</v>
          </cell>
          <cell r="R1064" t="str">
            <v>Health Care Equipment &amp; Suppli</v>
          </cell>
          <cell r="S1064" t="str">
            <v>CNMD</v>
          </cell>
        </row>
        <row r="1065">
          <cell r="L1065" t="str">
            <v>PAAS</v>
          </cell>
          <cell r="M1065" t="str">
            <v>PAN-AMERICAN-SILVER-CORP-10387/</v>
          </cell>
          <cell r="N1065" t="str">
            <v>PAAS</v>
          </cell>
          <cell r="O1065" t="str">
            <v>PAN AMER SILVER</v>
          </cell>
          <cell r="P1065" t="str">
            <v>NASDAQ GS</v>
          </cell>
          <cell r="Q1065" t="str">
            <v>Materials</v>
          </cell>
          <cell r="R1065" t="str">
            <v>Metals &amp; Mining</v>
          </cell>
          <cell r="S1065" t="str">
            <v>PAAS</v>
          </cell>
        </row>
        <row r="1066">
          <cell r="L1066" t="str">
            <v>AKCA</v>
          </cell>
          <cell r="M1066" t="str">
            <v>AKCEA-THERAPEUTICS-INC-36190729/</v>
          </cell>
          <cell r="N1066" t="str">
            <v>AKCA</v>
          </cell>
          <cell r="O1066" t="str">
            <v>AKCEA THERAPEUTI</v>
          </cell>
          <cell r="P1066" t="str">
            <v>NASDAQ GS</v>
          </cell>
          <cell r="Q1066" t="str">
            <v>Health Care</v>
          </cell>
          <cell r="R1066" t="str">
            <v>Pharmaceuticals</v>
          </cell>
          <cell r="S1066" t="str">
            <v>AKCA</v>
          </cell>
        </row>
        <row r="1067">
          <cell r="L1067" t="str">
            <v>LTXB</v>
          </cell>
          <cell r="M1067" t="str">
            <v>LEGACYTEXAS-FINANCIAL-GRO-19500423/</v>
          </cell>
          <cell r="N1067" t="str">
            <v>LTXB</v>
          </cell>
          <cell r="O1067" t="str">
            <v>LEGACYTEXAS FINA</v>
          </cell>
          <cell r="P1067" t="str">
            <v>NASDAQ GS</v>
          </cell>
          <cell r="Q1067" t="str">
            <v>Financials</v>
          </cell>
          <cell r="R1067" t="str">
            <v>Banks</v>
          </cell>
          <cell r="S1067" t="str">
            <v>LTXB</v>
          </cell>
        </row>
        <row r="1068">
          <cell r="L1068" t="str">
            <v>PLAY</v>
          </cell>
          <cell r="M1068" t="str">
            <v>DAVE-BUSTER-S-ENTERTAIN-11659849/</v>
          </cell>
          <cell r="N1068" t="str">
            <v>PLAY</v>
          </cell>
          <cell r="O1068" t="str">
            <v>DAVE &amp; BUSTER'S</v>
          </cell>
          <cell r="P1068" t="str">
            <v>NASDAQ GS</v>
          </cell>
          <cell r="Q1068" t="str">
            <v>Consumer Discretionary</v>
          </cell>
          <cell r="R1068" t="str">
            <v>Hotels, Restaurants &amp; Leisure</v>
          </cell>
          <cell r="S1068" t="str">
            <v>PLAY</v>
          </cell>
        </row>
        <row r="1069">
          <cell r="L1069" t="str">
            <v>MGEE</v>
          </cell>
          <cell r="M1069" t="str">
            <v>MGE-ENERGY-INC-10018/</v>
          </cell>
          <cell r="N1069" t="str">
            <v>MGEE</v>
          </cell>
          <cell r="O1069" t="str">
            <v>MGE ENERGY INC</v>
          </cell>
          <cell r="P1069" t="str">
            <v>NASDAQ GS</v>
          </cell>
          <cell r="Q1069" t="str">
            <v>Utilities</v>
          </cell>
          <cell r="R1069" t="str">
            <v>Electric Utilities</v>
          </cell>
          <cell r="S1069" t="str">
            <v>MGEE</v>
          </cell>
        </row>
        <row r="1070">
          <cell r="L1070" t="str">
            <v>FNSR</v>
          </cell>
          <cell r="M1070" t="str">
            <v>FINISAR-CORPORATION-40225111/</v>
          </cell>
          <cell r="N1070" t="str">
            <v>FNSR</v>
          </cell>
          <cell r="O1070" t="str">
            <v>FINISAR CORP</v>
          </cell>
          <cell r="P1070" t="str">
            <v>NASDAQ GS</v>
          </cell>
          <cell r="Q1070" t="str">
            <v>Information Technology</v>
          </cell>
          <cell r="R1070" t="str">
            <v>Communications Equipment</v>
          </cell>
          <cell r="S1070" t="str">
            <v>FNSR</v>
          </cell>
        </row>
        <row r="1071">
          <cell r="L1071" t="str">
            <v>GHDX</v>
          </cell>
          <cell r="M1071" t="str">
            <v>GENOMIC-HEALTH-INC-9428/</v>
          </cell>
          <cell r="N1071" t="str">
            <v>GHDX</v>
          </cell>
          <cell r="O1071" t="str">
            <v>GENOMIC HEALTH I</v>
          </cell>
          <cell r="P1071" t="str">
            <v>NASDAQ GS</v>
          </cell>
          <cell r="Q1071" t="str">
            <v>Health Care</v>
          </cell>
          <cell r="R1071" t="str">
            <v>Biotechnology</v>
          </cell>
          <cell r="S1071" t="str">
            <v>GHDX</v>
          </cell>
        </row>
        <row r="1072">
          <cell r="L1072" t="str">
            <v>PTEN</v>
          </cell>
          <cell r="M1072" t="str">
            <v>PATTERSON-COMPANIES-4922/</v>
          </cell>
          <cell r="N1072" t="str">
            <v>PTEN</v>
          </cell>
          <cell r="O1072" t="str">
            <v>PATTERSON-UTI</v>
          </cell>
          <cell r="P1072" t="str">
            <v>NASDAQ GS</v>
          </cell>
          <cell r="Q1072" t="str">
            <v>Energy</v>
          </cell>
          <cell r="R1072" t="str">
            <v>Energy Equipment &amp; Services</v>
          </cell>
          <cell r="S1072" t="str">
            <v>PTEN</v>
          </cell>
        </row>
        <row r="1073">
          <cell r="L1073" t="str">
            <v>IRTC</v>
          </cell>
          <cell r="M1073" t="str">
            <v>IRHYTHM-TECHNOLOGIES-INC-31670646/</v>
          </cell>
          <cell r="N1073" t="str">
            <v>IRTC</v>
          </cell>
          <cell r="O1073" t="str">
            <v>IRHYTHM TECHNOLO</v>
          </cell>
          <cell r="P1073" t="str">
            <v>NASDAQ GS</v>
          </cell>
          <cell r="Q1073" t="str">
            <v>Health Care</v>
          </cell>
          <cell r="R1073" t="str">
            <v>Health Care Equipment &amp; Suppli</v>
          </cell>
          <cell r="S1073" t="str">
            <v>IRTC</v>
          </cell>
        </row>
        <row r="1074">
          <cell r="L1074" t="str">
            <v>CVCO</v>
          </cell>
          <cell r="M1074" t="str">
            <v>CAVCO-INDUSTRIES-INC-8965/</v>
          </cell>
          <cell r="N1074" t="str">
            <v>CVCO</v>
          </cell>
          <cell r="O1074" t="str">
            <v>CAVCO INDUSTRIES</v>
          </cell>
          <cell r="P1074" t="str">
            <v>NASDAQ GS</v>
          </cell>
          <cell r="Q1074" t="str">
            <v>Consumer Discretionary</v>
          </cell>
          <cell r="R1074" t="str">
            <v>Household Durables</v>
          </cell>
          <cell r="S1074" t="str">
            <v>CVCO</v>
          </cell>
        </row>
        <row r="1075">
          <cell r="L1075" t="str">
            <v>CRZO</v>
          </cell>
          <cell r="M1075" t="str">
            <v>CARRIZO-OIL-GAS-INC-8916/</v>
          </cell>
          <cell r="N1075" t="str">
            <v>CRZO</v>
          </cell>
          <cell r="O1075" t="str">
            <v>CARRIZO OIL&amp;GAS</v>
          </cell>
          <cell r="P1075" t="str">
            <v>NASDAQ GS</v>
          </cell>
          <cell r="Q1075" t="str">
            <v>Energy</v>
          </cell>
          <cell r="R1075" t="str">
            <v>Oil, Gas &amp; Consumable Fuels</v>
          </cell>
          <cell r="S1075" t="str">
            <v>CRZO</v>
          </cell>
        </row>
        <row r="1076">
          <cell r="L1076" t="str">
            <v>PINC</v>
          </cell>
          <cell r="M1076" t="str">
            <v>PREMIER-FINANCIAL-BANCORP-10445/</v>
          </cell>
          <cell r="N1076" t="str">
            <v>PINC</v>
          </cell>
          <cell r="O1076" t="str">
            <v>PREMIER INC-CL A</v>
          </cell>
          <cell r="P1076" t="str">
            <v>NASDAQ GS</v>
          </cell>
          <cell r="Q1076" t="str">
            <v>Health Care</v>
          </cell>
          <cell r="R1076" t="str">
            <v>Health Care Providers &amp; Servic</v>
          </cell>
          <cell r="S1076" t="str">
            <v>PINC</v>
          </cell>
        </row>
        <row r="1077">
          <cell r="L1077" t="str">
            <v>NTGR</v>
          </cell>
          <cell r="M1077" t="str">
            <v>NETGEAR-INC-10260/</v>
          </cell>
          <cell r="N1077" t="str">
            <v>NTGR</v>
          </cell>
          <cell r="O1077" t="str">
            <v>NETGEAR INC</v>
          </cell>
          <cell r="P1077" t="str">
            <v>NASDAQ GS</v>
          </cell>
          <cell r="Q1077" t="str">
            <v>Information Technology</v>
          </cell>
          <cell r="R1077" t="str">
            <v>Communications Equipment</v>
          </cell>
          <cell r="S1077" t="str">
            <v>NTGR</v>
          </cell>
        </row>
        <row r="1078">
          <cell r="L1078" t="str">
            <v>EXLS</v>
          </cell>
          <cell r="M1078" t="str">
            <v>EXLSERVICE-HOLDINGS-INC-35349/</v>
          </cell>
          <cell r="N1078" t="str">
            <v>EXLS</v>
          </cell>
          <cell r="O1078" t="str">
            <v>EXLSERVICE HOLDI</v>
          </cell>
          <cell r="P1078" t="str">
            <v>NASDAQ GS</v>
          </cell>
          <cell r="Q1078" t="str">
            <v>Information Technology</v>
          </cell>
          <cell r="R1078" t="str">
            <v>IT Services</v>
          </cell>
          <cell r="S1078" t="str">
            <v>EXLS</v>
          </cell>
        </row>
        <row r="1079">
          <cell r="L1079" t="str">
            <v>MEDP</v>
          </cell>
          <cell r="M1079" t="str">
            <v>MEDPACE-HOLDINGS-INC-30506552/</v>
          </cell>
          <cell r="N1079" t="str">
            <v>MEDP</v>
          </cell>
          <cell r="O1079" t="str">
            <v>MEDPACE HOLDINGS</v>
          </cell>
          <cell r="P1079" t="str">
            <v>NASDAQ GS</v>
          </cell>
          <cell r="Q1079" t="str">
            <v>Health Care</v>
          </cell>
          <cell r="R1079" t="str">
            <v>Life Sciences Tools &amp; Services</v>
          </cell>
          <cell r="S1079" t="str">
            <v>MEDP</v>
          </cell>
        </row>
        <row r="1080">
          <cell r="L1080" t="str">
            <v>SEDG</v>
          </cell>
          <cell r="M1080" t="str">
            <v>SOLAREDGE-TECHNOLOGIES-IN-21452890/</v>
          </cell>
          <cell r="N1080" t="str">
            <v>SEDG</v>
          </cell>
          <cell r="O1080" t="str">
            <v>SOLAREDGE TECHNO</v>
          </cell>
          <cell r="P1080" t="str">
            <v>NASDAQ GS</v>
          </cell>
          <cell r="Q1080" t="str">
            <v>Information Technology</v>
          </cell>
          <cell r="R1080" t="str">
            <v>Semiconductors &amp; Semiconductor</v>
          </cell>
          <cell r="S1080" t="str">
            <v>SEDG</v>
          </cell>
        </row>
        <row r="1081">
          <cell r="L1081" t="str">
            <v>VRNS</v>
          </cell>
          <cell r="M1081" t="str">
            <v>VARONIS-SYSTEMS-INC-45013468/</v>
          </cell>
          <cell r="N1081" t="str">
            <v>VRNS</v>
          </cell>
          <cell r="O1081" t="str">
            <v>VARONIS SYSTEMS</v>
          </cell>
          <cell r="P1081" t="str">
            <v>NASDAQ GS</v>
          </cell>
          <cell r="Q1081" t="str">
            <v>Information Technology</v>
          </cell>
          <cell r="R1081" t="str">
            <v>Software</v>
          </cell>
          <cell r="S1081" t="str">
            <v>VRNS</v>
          </cell>
        </row>
        <row r="1082">
          <cell r="L1082" t="str">
            <v>TSEM</v>
          </cell>
          <cell r="M1082" t="str">
            <v>TOWER-SEMICONDUCTOR-LTD-11163/</v>
          </cell>
          <cell r="N1082" t="str">
            <v>TSEM</v>
          </cell>
          <cell r="O1082" t="str">
            <v>TOWER SEMICONDCT</v>
          </cell>
          <cell r="P1082" t="str">
            <v>NASDAQ GS</v>
          </cell>
          <cell r="Q1082" t="str">
            <v>Information Technology</v>
          </cell>
          <cell r="R1082" t="str">
            <v>Semiconductors &amp; Semiconductor</v>
          </cell>
          <cell r="S1082" t="str">
            <v>TSEM</v>
          </cell>
        </row>
        <row r="1083">
          <cell r="L1083" t="str">
            <v>ANAB</v>
          </cell>
          <cell r="M1083" t="str">
            <v>ANAPTYSBIO-INC-33634949/</v>
          </cell>
          <cell r="N1083" t="str">
            <v>ANAB</v>
          </cell>
          <cell r="O1083" t="str">
            <v>ANAPTYSBIO INC</v>
          </cell>
          <cell r="P1083" t="str">
            <v>NASDAQ GS</v>
          </cell>
          <cell r="Q1083" t="str">
            <v>Health Care</v>
          </cell>
          <cell r="R1083" t="str">
            <v>Biotechnology</v>
          </cell>
          <cell r="S1083" t="str">
            <v>ANAB</v>
          </cell>
        </row>
        <row r="1084">
          <cell r="L1084" t="str">
            <v>SLAB</v>
          </cell>
          <cell r="M1084" t="str">
            <v>SILICON-MOTION-TECHNOLOGY-10836/</v>
          </cell>
          <cell r="N1084" t="str">
            <v>SLAB</v>
          </cell>
          <cell r="O1084" t="str">
            <v>SILICON LABS</v>
          </cell>
          <cell r="P1084" t="str">
            <v>NASDAQ GS</v>
          </cell>
          <cell r="Q1084" t="str">
            <v>Information Technology</v>
          </cell>
          <cell r="R1084" t="str">
            <v>Semiconductors &amp; Semiconductor</v>
          </cell>
          <cell r="S1084" t="str">
            <v>SLAB</v>
          </cell>
        </row>
        <row r="1085">
          <cell r="L1085" t="str">
            <v>POWI</v>
          </cell>
          <cell r="M1085" t="str">
            <v>POWER-INTEGRATIONS-INC-10519/</v>
          </cell>
          <cell r="N1085" t="str">
            <v>POWI</v>
          </cell>
          <cell r="O1085" t="str">
            <v>POWER INTEGRATIO</v>
          </cell>
          <cell r="P1085" t="str">
            <v>NASDAQ GS</v>
          </cell>
          <cell r="Q1085" t="str">
            <v>Information Technology</v>
          </cell>
          <cell r="R1085" t="str">
            <v>Semiconductors &amp; Semiconductor</v>
          </cell>
          <cell r="S1085" t="str">
            <v>POWI</v>
          </cell>
        </row>
        <row r="1086">
          <cell r="L1086" t="str">
            <v>INDB</v>
          </cell>
          <cell r="M1086" t="str">
            <v>INDEPENDENT-BANK-GROUP-IN-12912085/</v>
          </cell>
          <cell r="N1086" t="str">
            <v>INDB</v>
          </cell>
          <cell r="O1086" t="str">
            <v>INDEP BANK/MA</v>
          </cell>
          <cell r="P1086" t="str">
            <v>NASDAQ GS</v>
          </cell>
          <cell r="Q1086" t="str">
            <v>Financials</v>
          </cell>
          <cell r="R1086" t="str">
            <v>Banks</v>
          </cell>
          <cell r="S1086" t="str">
            <v>INDB</v>
          </cell>
        </row>
        <row r="1087">
          <cell r="L1087" t="str">
            <v>BANR</v>
          </cell>
          <cell r="M1087" t="str">
            <v>BANNER-CORPORATION-8102368/</v>
          </cell>
          <cell r="N1087" t="str">
            <v>BANR</v>
          </cell>
          <cell r="O1087" t="str">
            <v>BANNER CORPORATI</v>
          </cell>
          <cell r="P1087" t="str">
            <v>NASDAQ GS</v>
          </cell>
          <cell r="Q1087" t="str">
            <v>Financials</v>
          </cell>
          <cell r="R1087" t="str">
            <v>Banks</v>
          </cell>
          <cell r="S1087" t="str">
            <v>BANR</v>
          </cell>
        </row>
        <row r="1088">
          <cell r="L1088" t="str">
            <v>AVAV</v>
          </cell>
          <cell r="M1088" t="str">
            <v>AEROVIRONMENT-INC-41751/</v>
          </cell>
          <cell r="N1088" t="str">
            <v>AVAV</v>
          </cell>
          <cell r="O1088" t="str">
            <v>AEROVIRONMENT IN</v>
          </cell>
          <cell r="P1088" t="str">
            <v>NASDAQ GS</v>
          </cell>
          <cell r="Q1088" t="str">
            <v>Industrials</v>
          </cell>
          <cell r="R1088" t="str">
            <v>Aerospace &amp; Defense</v>
          </cell>
          <cell r="S1088" t="str">
            <v>AVAV</v>
          </cell>
        </row>
        <row r="1089">
          <cell r="L1089" t="str">
            <v>HTLF</v>
          </cell>
          <cell r="M1089" t="str">
            <v>HEARTLAND-FINANCIAL-USA-I-9592/</v>
          </cell>
          <cell r="N1089" t="str">
            <v>HTLF</v>
          </cell>
          <cell r="O1089" t="str">
            <v>HEARTLAND FINL</v>
          </cell>
          <cell r="P1089" t="str">
            <v>NASDAQ GS</v>
          </cell>
          <cell r="Q1089" t="str">
            <v>Financials</v>
          </cell>
          <cell r="R1089" t="str">
            <v>Banks</v>
          </cell>
          <cell r="S1089" t="str">
            <v>HTLF</v>
          </cell>
        </row>
        <row r="1090">
          <cell r="L1090" t="str">
            <v>BANF</v>
          </cell>
          <cell r="M1090" t="str">
            <v>BANCFIRST-CORPORATION-8518/</v>
          </cell>
          <cell r="N1090" t="str">
            <v>BANF</v>
          </cell>
          <cell r="O1090" t="str">
            <v>BANCFIRST CORP</v>
          </cell>
          <cell r="P1090" t="str">
            <v>NASDAQ GS</v>
          </cell>
          <cell r="Q1090" t="str">
            <v>Financials</v>
          </cell>
          <cell r="R1090" t="str">
            <v>Banks</v>
          </cell>
          <cell r="S1090" t="str">
            <v>BANF</v>
          </cell>
        </row>
        <row r="1091">
          <cell r="L1091" t="str">
            <v>AY</v>
          </cell>
          <cell r="M1091" t="str">
            <v>ATLANTICA-YIELD-PLC-16686514/</v>
          </cell>
          <cell r="N1091" t="str">
            <v>AY</v>
          </cell>
          <cell r="O1091" t="str">
            <v>ATLANTICA YIELD</v>
          </cell>
          <cell r="P1091" t="str">
            <v>NASDAQ GS</v>
          </cell>
          <cell r="Q1091" t="str">
            <v>Utilities</v>
          </cell>
          <cell r="R1091" t="str">
            <v>Independent Power and Renewabl</v>
          </cell>
          <cell r="S1091" t="str">
            <v>AY</v>
          </cell>
        </row>
        <row r="1092">
          <cell r="L1092" t="str">
            <v>NAVG</v>
          </cell>
          <cell r="M1092" t="str">
            <v>NAVIGATORS-GROUP-INC-10159/</v>
          </cell>
          <cell r="N1092" t="str">
            <v>NAVG</v>
          </cell>
          <cell r="O1092" t="str">
            <v>NAVIGATORS GROUP</v>
          </cell>
          <cell r="P1092" t="str">
            <v>NASDAQ GS</v>
          </cell>
          <cell r="Q1092" t="str">
            <v>Financials</v>
          </cell>
          <cell r="R1092" t="str">
            <v>Insurance</v>
          </cell>
          <cell r="S1092" t="str">
            <v>NAVG</v>
          </cell>
        </row>
        <row r="1093">
          <cell r="L1093" t="str">
            <v>SANM</v>
          </cell>
          <cell r="M1093" t="str">
            <v>SANMINA-CORP-11931722/</v>
          </cell>
          <cell r="N1093" t="str">
            <v>SANM</v>
          </cell>
          <cell r="O1093" t="str">
            <v>SANMINA CORP</v>
          </cell>
          <cell r="P1093" t="str">
            <v>NASDAQ GS</v>
          </cell>
          <cell r="Q1093" t="str">
            <v>Information Technology</v>
          </cell>
          <cell r="R1093" t="str">
            <v>Electronic Equipment, Instrume</v>
          </cell>
          <cell r="S1093" t="str">
            <v>SANM</v>
          </cell>
        </row>
        <row r="1094">
          <cell r="L1094" t="str">
            <v>BEAT</v>
          </cell>
          <cell r="M1094" t="str">
            <v>BIOTELEMETRY-INC-13962890/</v>
          </cell>
          <cell r="N1094" t="str">
            <v>BEAT</v>
          </cell>
          <cell r="O1094" t="str">
            <v>BIOTELEMETRY INC</v>
          </cell>
          <cell r="P1094" t="str">
            <v>NASDAQ GS</v>
          </cell>
          <cell r="Q1094" t="str">
            <v>Health Care</v>
          </cell>
          <cell r="R1094" t="str">
            <v>Health Care Providers &amp; Servic</v>
          </cell>
          <cell r="S1094" t="str">
            <v>BEAT</v>
          </cell>
        </row>
        <row r="1095">
          <cell r="L1095" t="str">
            <v>MNTA</v>
          </cell>
          <cell r="M1095" t="str">
            <v>MOMENTA-PHARMACEUTICALS-10057/</v>
          </cell>
          <cell r="N1095" t="str">
            <v>MNTA</v>
          </cell>
          <cell r="O1095" t="str">
            <v>MOMENTA PHARMACE</v>
          </cell>
          <cell r="P1095" t="str">
            <v>NASDAQ GS</v>
          </cell>
          <cell r="Q1095" t="str">
            <v>Health Care</v>
          </cell>
          <cell r="R1095" t="str">
            <v>Biotechnology</v>
          </cell>
          <cell r="S1095" t="str">
            <v>MNTA</v>
          </cell>
        </row>
        <row r="1096">
          <cell r="L1096" t="str">
            <v>PLXS</v>
          </cell>
          <cell r="M1096" t="str">
            <v>PLEXUS-CORP-10492/</v>
          </cell>
          <cell r="N1096" t="str">
            <v>PLXS</v>
          </cell>
          <cell r="O1096" t="str">
            <v>PLEXUS CORP</v>
          </cell>
          <cell r="P1096" t="str">
            <v>NASDAQ GS</v>
          </cell>
          <cell r="Q1096" t="str">
            <v>Information Technology</v>
          </cell>
          <cell r="R1096" t="str">
            <v>Electronic Equipment, Instrume</v>
          </cell>
          <cell r="S1096" t="str">
            <v>PLXS</v>
          </cell>
        </row>
        <row r="1097">
          <cell r="L1097" t="str">
            <v>GTHX</v>
          </cell>
          <cell r="M1097" t="str">
            <v>G1-THERAPEUTICS-INC-34912629/</v>
          </cell>
          <cell r="N1097" t="str">
            <v>GTHX</v>
          </cell>
          <cell r="O1097" t="str">
            <v>G1 THERAPEUTICS</v>
          </cell>
          <cell r="P1097" t="str">
            <v>NASDAQ GS</v>
          </cell>
          <cell r="Q1097" t="str">
            <v>Health Care</v>
          </cell>
          <cell r="R1097" t="str">
            <v>Biotechnology</v>
          </cell>
          <cell r="S1097" t="str">
            <v>GTHX</v>
          </cell>
        </row>
        <row r="1098">
          <cell r="L1098" t="str">
            <v>AKRX</v>
          </cell>
          <cell r="M1098" t="str">
            <v>AKORN-INC-42504/</v>
          </cell>
          <cell r="N1098" t="str">
            <v>AKRX</v>
          </cell>
          <cell r="O1098" t="str">
            <v>AKORN INC</v>
          </cell>
          <cell r="P1098" t="str">
            <v>NASDAQ GS</v>
          </cell>
          <cell r="Q1098" t="str">
            <v>Health Care</v>
          </cell>
          <cell r="R1098" t="str">
            <v>Pharmaceuticals</v>
          </cell>
          <cell r="S1098" t="str">
            <v>AKRX</v>
          </cell>
        </row>
        <row r="1099">
          <cell r="L1099" t="str">
            <v>VNOM</v>
          </cell>
          <cell r="M1099" t="str">
            <v>VIPER-ENERGY-PARTNERS-LP-16717113/</v>
          </cell>
          <cell r="N1099" t="str">
            <v>VNOM</v>
          </cell>
          <cell r="O1099" t="str">
            <v>VIPER ENERGY PAR</v>
          </cell>
          <cell r="P1099" t="str">
            <v>NASDAQ GS</v>
          </cell>
          <cell r="Q1099" t="str">
            <v>Energy</v>
          </cell>
          <cell r="R1099" t="str">
            <v>Oil, Gas &amp; Consumable Fuels</v>
          </cell>
          <cell r="S1099" t="str">
            <v>VNOM</v>
          </cell>
        </row>
        <row r="1100">
          <cell r="L1100" t="str">
            <v>SAIA</v>
          </cell>
          <cell r="M1100" t="str">
            <v>SAIA-INC-10782/</v>
          </cell>
          <cell r="N1100" t="str">
            <v>SAIA</v>
          </cell>
          <cell r="O1100" t="str">
            <v>SAIA INC</v>
          </cell>
          <cell r="P1100" t="str">
            <v>NASDAQ GS</v>
          </cell>
          <cell r="Q1100" t="str">
            <v>Industrials</v>
          </cell>
          <cell r="R1100" t="str">
            <v>Road &amp; Rail</v>
          </cell>
          <cell r="S1100" t="str">
            <v>SAIA</v>
          </cell>
        </row>
        <row r="1101">
          <cell r="L1101" t="str">
            <v>AMKR</v>
          </cell>
          <cell r="M1101" t="str">
            <v>AMKOR-TECHNOLOGY-INC-8349/</v>
          </cell>
          <cell r="N1101" t="str">
            <v>AMKR</v>
          </cell>
          <cell r="O1101" t="str">
            <v>AMKOR TECH INC</v>
          </cell>
          <cell r="P1101" t="str">
            <v>NASDAQ GS</v>
          </cell>
          <cell r="Q1101" t="str">
            <v>Information Technology</v>
          </cell>
          <cell r="R1101" t="str">
            <v>Semiconductors &amp; Semiconductor</v>
          </cell>
          <cell r="S1101" t="str">
            <v>AMKR</v>
          </cell>
        </row>
        <row r="1102">
          <cell r="L1102" t="str">
            <v>PTEN</v>
          </cell>
          <cell r="M1102" t="str">
            <v>PATTERN-ENERGY-GROUP-INC-14395776/</v>
          </cell>
          <cell r="N1102" t="str">
            <v>PTEN</v>
          </cell>
          <cell r="O1102" t="str">
            <v>PATTERSON-UTI</v>
          </cell>
          <cell r="P1102" t="str">
            <v>NASDAQ GS</v>
          </cell>
          <cell r="Q1102" t="str">
            <v>Energy</v>
          </cell>
          <cell r="R1102" t="str">
            <v>Energy Equipment &amp; Services</v>
          </cell>
          <cell r="S1102" t="str">
            <v>PTEN</v>
          </cell>
        </row>
        <row r="1103">
          <cell r="L1103" t="str">
            <v>PTCT</v>
          </cell>
          <cell r="M1103" t="str">
            <v>PTC-THERAPEUTICS-INC-13450034/</v>
          </cell>
          <cell r="N1103" t="str">
            <v>PTCT</v>
          </cell>
          <cell r="O1103" t="str">
            <v>PTC THERAPEUTICS</v>
          </cell>
          <cell r="P1103" t="str">
            <v>NASDAQ GS</v>
          </cell>
          <cell r="Q1103" t="str">
            <v>Health Care</v>
          </cell>
          <cell r="R1103" t="str">
            <v>Biotechnology</v>
          </cell>
          <cell r="S1103" t="str">
            <v>PTCT</v>
          </cell>
        </row>
        <row r="1104">
          <cell r="L1104" t="str">
            <v>COLM</v>
          </cell>
          <cell r="M1104" t="str">
            <v>COLUMBIA-FINANCIAL-INC-43133680/</v>
          </cell>
          <cell r="N1104" t="str">
            <v>COLM</v>
          </cell>
          <cell r="O1104" t="str">
            <v>COLUMBIA SPORTSW</v>
          </cell>
          <cell r="P1104" t="str">
            <v>NASDAQ GS</v>
          </cell>
          <cell r="Q1104" t="str">
            <v>Consumer Discretionary</v>
          </cell>
          <cell r="R1104" t="str">
            <v>Textiles, Apparel &amp; Luxury Goo</v>
          </cell>
          <cell r="S1104" t="str">
            <v>COLM</v>
          </cell>
        </row>
        <row r="1105">
          <cell r="L1105" t="str">
            <v>GPOR</v>
          </cell>
          <cell r="M1105" t="str">
            <v>GULFPORT-ENERGY-CORPORATI-9473/</v>
          </cell>
          <cell r="N1105" t="str">
            <v>GPOR</v>
          </cell>
          <cell r="O1105" t="str">
            <v>GULFPORT ENERGY</v>
          </cell>
          <cell r="P1105" t="str">
            <v>NASDAQ GS</v>
          </cell>
          <cell r="Q1105" t="str">
            <v>Energy</v>
          </cell>
          <cell r="R1105" t="str">
            <v>Oil, Gas &amp; Consumable Fuels</v>
          </cell>
          <cell r="S1105" t="str">
            <v>GPOR</v>
          </cell>
        </row>
        <row r="1106">
          <cell r="L1106" t="str">
            <v>NTCT</v>
          </cell>
          <cell r="M1106" t="str">
            <v>NETSCOUT-SYSTEMS-INC-10257/</v>
          </cell>
          <cell r="N1106" t="str">
            <v>NTCT</v>
          </cell>
          <cell r="O1106" t="str">
            <v>NETSCOUT SYSTEMS</v>
          </cell>
          <cell r="P1106" t="str">
            <v>NASDAQ GS</v>
          </cell>
          <cell r="Q1106" t="str">
            <v>Information Technology</v>
          </cell>
          <cell r="R1106" t="str">
            <v>Communications Equipment</v>
          </cell>
          <cell r="S1106" t="str">
            <v>NTCT</v>
          </cell>
        </row>
        <row r="1107">
          <cell r="L1107" t="str">
            <v>NSIT</v>
          </cell>
          <cell r="M1107" t="str">
            <v>INSIGHT-ENTERPRISES-INC-10249/</v>
          </cell>
          <cell r="N1107" t="str">
            <v>NSIT</v>
          </cell>
          <cell r="O1107" t="str">
            <v>INSIGHT ENTERPRI</v>
          </cell>
          <cell r="P1107" t="str">
            <v>NASDAQ GS</v>
          </cell>
          <cell r="Q1107" t="str">
            <v>Information Technology</v>
          </cell>
          <cell r="R1107" t="str">
            <v>Electronic Equipment, Instrume</v>
          </cell>
          <cell r="S1107" t="str">
            <v>NSIT</v>
          </cell>
        </row>
        <row r="1108">
          <cell r="L1108" t="str">
            <v>PTLA</v>
          </cell>
          <cell r="M1108" t="str">
            <v>PORTOLA-PHARMACEUTICALS-I-13255910/</v>
          </cell>
          <cell r="N1108" t="str">
            <v>PTLA</v>
          </cell>
          <cell r="O1108" t="str">
            <v>PORTOLA PHARMACE</v>
          </cell>
          <cell r="P1108" t="str">
            <v>NASDAQ GS</v>
          </cell>
          <cell r="Q1108" t="str">
            <v>Health Care</v>
          </cell>
          <cell r="R1108" t="str">
            <v>Biotechnology</v>
          </cell>
          <cell r="S1108" t="str">
            <v>PTLA</v>
          </cell>
        </row>
        <row r="1109">
          <cell r="L1109" t="str">
            <v>SGMO</v>
          </cell>
          <cell r="M1109" t="str">
            <v>SANGAMO-THERAPEUTICS-INC-10811/</v>
          </cell>
          <cell r="N1109" t="str">
            <v>SGMO</v>
          </cell>
          <cell r="O1109" t="str">
            <v>SANGAMO THERAPEU</v>
          </cell>
          <cell r="P1109" t="str">
            <v>NASDAQ GS</v>
          </cell>
          <cell r="Q1109" t="str">
            <v>Health Care</v>
          </cell>
          <cell r="R1109" t="str">
            <v>Biotechnology</v>
          </cell>
          <cell r="S1109" t="str">
            <v>SGMO</v>
          </cell>
        </row>
        <row r="1110">
          <cell r="L1110" t="str">
            <v>ARNA</v>
          </cell>
          <cell r="M1110" t="str">
            <v>ARENA-PHARMACEUTICALS-IN-35897659/</v>
          </cell>
          <cell r="N1110" t="str">
            <v>ARNA</v>
          </cell>
          <cell r="O1110" t="str">
            <v>ARENA PHARMACEUT</v>
          </cell>
          <cell r="P1110" t="str">
            <v>NASDAQ GS</v>
          </cell>
          <cell r="Q1110" t="str">
            <v>Health Care</v>
          </cell>
          <cell r="R1110" t="str">
            <v>Biotechnology</v>
          </cell>
          <cell r="S1110" t="str">
            <v>ARNA</v>
          </cell>
        </row>
        <row r="1111">
          <cell r="L1111" t="str">
            <v>WING</v>
          </cell>
          <cell r="M1111" t="str">
            <v>WINGSTOP-INC-22448204/</v>
          </cell>
          <cell r="N1111" t="str">
            <v>WING</v>
          </cell>
          <cell r="O1111" t="str">
            <v>WINGSTOP INC</v>
          </cell>
          <cell r="P1111" t="str">
            <v>NASDAQ GS</v>
          </cell>
          <cell r="Q1111" t="str">
            <v>Consumer Discretionary</v>
          </cell>
          <cell r="R1111" t="str">
            <v>Hotels, Restaurants &amp; Leisure</v>
          </cell>
          <cell r="S1111" t="str">
            <v>WING</v>
          </cell>
        </row>
        <row r="1112">
          <cell r="L1112" t="str">
            <v>FWRD</v>
          </cell>
          <cell r="M1112" t="str">
            <v>FORWARD-AIR-CORPORATION-9390/</v>
          </cell>
          <cell r="N1112" t="str">
            <v>FWRD</v>
          </cell>
          <cell r="O1112" t="str">
            <v>FORWARD AIR CORP</v>
          </cell>
          <cell r="P1112" t="str">
            <v>NASDAQ GS</v>
          </cell>
          <cell r="Q1112" t="str">
            <v>Industrials</v>
          </cell>
          <cell r="R1112" t="str">
            <v>Air Freight &amp; Logistics</v>
          </cell>
          <cell r="S1112" t="str">
            <v>FWRD</v>
          </cell>
        </row>
        <row r="1113">
          <cell r="L1113" t="str">
            <v>PCRX</v>
          </cell>
          <cell r="M1113" t="str">
            <v>PACIRA-PHARMACEUTICALS-IN-7299436/</v>
          </cell>
          <cell r="N1113" t="str">
            <v>PCRX</v>
          </cell>
          <cell r="O1113" t="str">
            <v>PACIRA PHARMACEU</v>
          </cell>
          <cell r="P1113" t="str">
            <v>NASDAQ GS</v>
          </cell>
          <cell r="Q1113" t="str">
            <v>Health Care</v>
          </cell>
          <cell r="R1113" t="str">
            <v>Pharmaceuticals</v>
          </cell>
          <cell r="S1113" t="str">
            <v>PCRX</v>
          </cell>
        </row>
        <row r="1114">
          <cell r="L1114" t="str">
            <v>TTMI</v>
          </cell>
          <cell r="M1114" t="str">
            <v>TTM-TECHNOLOGIES-INC-11175/</v>
          </cell>
          <cell r="N1114" t="str">
            <v>TTMI</v>
          </cell>
          <cell r="O1114" t="str">
            <v>TTM TECHNOLOGIES</v>
          </cell>
          <cell r="P1114" t="str">
            <v>NASDAQ GS</v>
          </cell>
          <cell r="Q1114" t="str">
            <v>Information Technology</v>
          </cell>
          <cell r="R1114" t="str">
            <v>Electronic Equipment, Instrume</v>
          </cell>
          <cell r="S1114" t="str">
            <v>TTMI</v>
          </cell>
        </row>
        <row r="1115">
          <cell r="L1115" t="str">
            <v>DIOD</v>
          </cell>
          <cell r="M1115" t="str">
            <v>DIODES-INCORPORATED-9048/</v>
          </cell>
          <cell r="N1115" t="str">
            <v>DIOD</v>
          </cell>
          <cell r="O1115" t="str">
            <v>DIODES INC</v>
          </cell>
          <cell r="P1115" t="str">
            <v>NASDAQ GS</v>
          </cell>
          <cell r="Q1115" t="str">
            <v>Information Technology</v>
          </cell>
          <cell r="R1115" t="str">
            <v>Semiconductors &amp; Semiconductor</v>
          </cell>
          <cell r="S1115" t="str">
            <v>DIOD</v>
          </cell>
        </row>
        <row r="1116">
          <cell r="L1116" t="str">
            <v>ODP</v>
          </cell>
          <cell r="M1116" t="str">
            <v>OFFICE-DEPOT-INC-18088142/</v>
          </cell>
          <cell r="N1116" t="str">
            <v>ODP</v>
          </cell>
          <cell r="O1116" t="str">
            <v>OFFICE DEPOT INC</v>
          </cell>
          <cell r="P1116" t="str">
            <v>NASDAQ GS</v>
          </cell>
          <cell r="Q1116" t="str">
            <v>Consumer Discretionary</v>
          </cell>
          <cell r="R1116" t="str">
            <v>Specialty Retail</v>
          </cell>
          <cell r="S1116" t="str">
            <v>ODP</v>
          </cell>
        </row>
        <row r="1117">
          <cell r="L1117" t="str">
            <v>OTTR</v>
          </cell>
          <cell r="M1117" t="str">
            <v>OTTER-TAIL-CORPORATION-10376/</v>
          </cell>
          <cell r="N1117" t="str">
            <v>OTTR</v>
          </cell>
          <cell r="O1117" t="str">
            <v>OTTER TAIL CORP</v>
          </cell>
          <cell r="P1117" t="str">
            <v>NASDAQ GS</v>
          </cell>
          <cell r="Q1117" t="str">
            <v>Utilities</v>
          </cell>
          <cell r="R1117" t="str">
            <v>Electric Utilities</v>
          </cell>
          <cell r="S1117" t="str">
            <v>OTTR</v>
          </cell>
        </row>
        <row r="1118">
          <cell r="L1118" t="str">
            <v>MINI</v>
          </cell>
          <cell r="M1118" t="str">
            <v>MOBILE-MINI-INC-10031/</v>
          </cell>
          <cell r="N1118" t="str">
            <v>MINI</v>
          </cell>
          <cell r="O1118" t="str">
            <v>MOBILE MINI</v>
          </cell>
          <cell r="P1118" t="str">
            <v>NASDAQ GS</v>
          </cell>
          <cell r="Q1118" t="str">
            <v>Industrials</v>
          </cell>
          <cell r="R1118" t="str">
            <v>Commercial Services &amp; Supplies</v>
          </cell>
          <cell r="S1118" t="str">
            <v>MINI</v>
          </cell>
        </row>
        <row r="1119">
          <cell r="L1119" t="str">
            <v>IOSP</v>
          </cell>
          <cell r="M1119" t="str">
            <v>INNOSPEC-INC-16318/</v>
          </cell>
          <cell r="N1119" t="str">
            <v>IOSP</v>
          </cell>
          <cell r="O1119" t="str">
            <v>INNOSPEC INC</v>
          </cell>
          <cell r="P1119" t="str">
            <v>NASDAQ GS</v>
          </cell>
          <cell r="Q1119" t="str">
            <v>Materials</v>
          </cell>
          <cell r="R1119" t="str">
            <v>Chemicals</v>
          </cell>
          <cell r="S1119" t="str">
            <v>IOSP</v>
          </cell>
        </row>
        <row r="1120">
          <cell r="L1120" t="str">
            <v>DNLI</v>
          </cell>
          <cell r="M1120" t="str">
            <v>DENALI-THERAPEUTICS-INC-40101989/</v>
          </cell>
          <cell r="N1120" t="str">
            <v>DNLI</v>
          </cell>
          <cell r="O1120" t="str">
            <v>DENALI THERAPEUT</v>
          </cell>
          <cell r="P1120" t="str">
            <v>NASDAQ GS</v>
          </cell>
          <cell r="Q1120" t="str">
            <v>Health Care</v>
          </cell>
          <cell r="R1120" t="str">
            <v>Biotechnology</v>
          </cell>
          <cell r="S1120" t="str">
            <v>DNLI</v>
          </cell>
        </row>
        <row r="1121">
          <cell r="L1121" t="str">
            <v>NXTM</v>
          </cell>
          <cell r="M1121" t="str">
            <v>NXSTAGE-MEDICAL-INC-10299/</v>
          </cell>
          <cell r="N1121" t="str">
            <v>NXTM</v>
          </cell>
          <cell r="O1121" t="str">
            <v>NXSTAGE MEDICAL</v>
          </cell>
          <cell r="P1121" t="str">
            <v>NASDAQ GS</v>
          </cell>
          <cell r="Q1121" t="str">
            <v>Health Care</v>
          </cell>
          <cell r="R1121" t="str">
            <v>Health Care Equipment &amp; Suppli</v>
          </cell>
          <cell r="S1121" t="str">
            <v>NXTM</v>
          </cell>
        </row>
        <row r="1122">
          <cell r="L1122" t="str">
            <v>MRTX</v>
          </cell>
          <cell r="M1122" t="str">
            <v>MIRATI-THERAPEUTICS-INC-13643861/</v>
          </cell>
          <cell r="N1122" t="str">
            <v>MRTX</v>
          </cell>
          <cell r="O1122" t="str">
            <v>MIRATI THERAPEUT</v>
          </cell>
          <cell r="P1122" t="str">
            <v>NASDAQ GS</v>
          </cell>
          <cell r="Q1122" t="str">
            <v>Health Care</v>
          </cell>
          <cell r="R1122" t="str">
            <v>Biotechnology</v>
          </cell>
          <cell r="S1122" t="str">
            <v>MRTX</v>
          </cell>
        </row>
        <row r="1123">
          <cell r="L1123" t="str">
            <v>SHEN</v>
          </cell>
          <cell r="M1123" t="str">
            <v>SHENANDOAH-TELECOMMUNICAT-10818/</v>
          </cell>
          <cell r="N1123" t="str">
            <v>SHEN</v>
          </cell>
          <cell r="O1123" t="str">
            <v>SHENANDOAH TELEC</v>
          </cell>
          <cell r="P1123" t="str">
            <v>NASDAQ GS</v>
          </cell>
          <cell r="Q1123" t="str">
            <v>Telecommunication Services</v>
          </cell>
          <cell r="R1123" t="str">
            <v>Wireless Telecommunication Ser</v>
          </cell>
          <cell r="S1123" t="str">
            <v>SHEN</v>
          </cell>
        </row>
        <row r="1124">
          <cell r="L1124" t="str">
            <v>CLVS</v>
          </cell>
          <cell r="M1124" t="str">
            <v>CLOVIS-ONCOLOGY-INC-9500801/</v>
          </cell>
          <cell r="N1124" t="str">
            <v>CLVS</v>
          </cell>
          <cell r="O1124" t="str">
            <v>CLOVIS ONCOLOGY</v>
          </cell>
          <cell r="P1124" t="str">
            <v>NASDAQ GS</v>
          </cell>
          <cell r="Q1124" t="str">
            <v>Health Care</v>
          </cell>
          <cell r="R1124" t="str">
            <v>Biotechnology</v>
          </cell>
          <cell r="S1124" t="str">
            <v>CLVS</v>
          </cell>
        </row>
        <row r="1125">
          <cell r="L1125" t="str">
            <v>CVGW</v>
          </cell>
          <cell r="M1125" t="str">
            <v>CALAVO-GROWERS-INC-8969/</v>
          </cell>
          <cell r="N1125" t="str">
            <v>CVGW</v>
          </cell>
          <cell r="O1125" t="str">
            <v>CALAVO GROWERS I</v>
          </cell>
          <cell r="P1125" t="str">
            <v>NASDAQ GS</v>
          </cell>
          <cell r="Q1125" t="str">
            <v>Consumer Staples</v>
          </cell>
          <cell r="R1125" t="str">
            <v>Food Products</v>
          </cell>
          <cell r="S1125" t="str">
            <v>CVGW</v>
          </cell>
        </row>
        <row r="1126">
          <cell r="L1126" t="str">
            <v>TSRO</v>
          </cell>
          <cell r="M1126" t="str">
            <v>TESARO-INC-10899049/</v>
          </cell>
          <cell r="N1126" t="str">
            <v>TSRO</v>
          </cell>
          <cell r="O1126" t="str">
            <v>TESARO INC</v>
          </cell>
          <cell r="P1126" t="str">
            <v>NASDAQ GS</v>
          </cell>
          <cell r="Q1126" t="str">
            <v>Health Care</v>
          </cell>
          <cell r="R1126" t="str">
            <v>Biotechnology</v>
          </cell>
          <cell r="S1126" t="str">
            <v>TSRO</v>
          </cell>
        </row>
        <row r="1127">
          <cell r="L1127" t="str">
            <v>MGLN</v>
          </cell>
          <cell r="M1127" t="str">
            <v>MAGELLAN-HEALTH-INC-10020/</v>
          </cell>
          <cell r="N1127" t="str">
            <v>MGLN</v>
          </cell>
          <cell r="O1127" t="str">
            <v>MAGELLAN HEALTH</v>
          </cell>
          <cell r="P1127" t="str">
            <v>NASDAQ GS</v>
          </cell>
          <cell r="Q1127" t="str">
            <v>Health Care</v>
          </cell>
          <cell r="R1127" t="str">
            <v>Health Care Providers &amp; Servic</v>
          </cell>
          <cell r="S1127" t="str">
            <v>MGLN</v>
          </cell>
        </row>
        <row r="1128">
          <cell r="L1128" t="str">
            <v>ATRA</v>
          </cell>
          <cell r="M1128" t="str">
            <v>ATARA-BIOTHERAPEUTICS-INC-16917577/</v>
          </cell>
          <cell r="N1128" t="str">
            <v>ATRA</v>
          </cell>
          <cell r="O1128" t="str">
            <v>ATARA BIOTHERAPE</v>
          </cell>
          <cell r="P1128" t="str">
            <v>NASDAQ GS</v>
          </cell>
          <cell r="Q1128" t="str">
            <v>Health Care</v>
          </cell>
          <cell r="R1128" t="str">
            <v>Biotechnology</v>
          </cell>
          <cell r="S1128" t="str">
            <v>ATRA</v>
          </cell>
        </row>
        <row r="1129">
          <cell r="L1129" t="str">
            <v>THRM</v>
          </cell>
          <cell r="M1129" t="str">
            <v>GENTHERM-INC-11419515/</v>
          </cell>
          <cell r="N1129" t="str">
            <v>THRM</v>
          </cell>
          <cell r="O1129" t="str">
            <v>GENTHERM INC</v>
          </cell>
          <cell r="P1129" t="str">
            <v>NASDAQ GS</v>
          </cell>
          <cell r="Q1129" t="str">
            <v>Consumer Discretionary</v>
          </cell>
          <cell r="R1129" t="str">
            <v>Auto Components</v>
          </cell>
          <cell r="S1129" t="str">
            <v>THRM</v>
          </cell>
        </row>
        <row r="1130">
          <cell r="L1130" t="str">
            <v>SIGI</v>
          </cell>
          <cell r="M1130" t="str">
            <v>SELECT-INCOME-REIT-28859041/</v>
          </cell>
          <cell r="N1130" t="str">
            <v>SIGI</v>
          </cell>
          <cell r="O1130" t="str">
            <v>SELECT INS GRP</v>
          </cell>
          <cell r="P1130" t="str">
            <v>NASDAQ GS</v>
          </cell>
          <cell r="Q1130" t="str">
            <v>Financials</v>
          </cell>
          <cell r="R1130" t="str">
            <v>Insurance</v>
          </cell>
          <cell r="S1130" t="str">
            <v>SIGI</v>
          </cell>
        </row>
        <row r="1131">
          <cell r="L1131" t="str">
            <v>ACHC</v>
          </cell>
          <cell r="M1131" t="str">
            <v>ACADIA-PHARMACEUTICALS-IN-8222/</v>
          </cell>
          <cell r="N1131" t="str">
            <v>ACHC</v>
          </cell>
          <cell r="O1131" t="str">
            <v>ACADIA HEALTHCAR</v>
          </cell>
          <cell r="P1131" t="str">
            <v>NASDAQ GS</v>
          </cell>
          <cell r="Q1131" t="str">
            <v>Health Care</v>
          </cell>
          <cell r="R1131" t="str">
            <v>Health Care Providers &amp; Servic</v>
          </cell>
          <cell r="S1131" t="str">
            <v>ACHC</v>
          </cell>
        </row>
        <row r="1132">
          <cell r="L1132" t="str">
            <v>HDP</v>
          </cell>
          <cell r="M1132" t="str">
            <v>HORTONWORKS-INC-19157091/</v>
          </cell>
          <cell r="N1132" t="str">
            <v>HDP</v>
          </cell>
          <cell r="O1132" t="str">
            <v>HORTONWORKS INC</v>
          </cell>
          <cell r="P1132" t="str">
            <v>NASDAQ GS</v>
          </cell>
          <cell r="Q1132" t="str">
            <v>Information Technology</v>
          </cell>
          <cell r="R1132" t="str">
            <v>Internet Software &amp; Services</v>
          </cell>
          <cell r="S1132" t="str">
            <v>HDP</v>
          </cell>
        </row>
        <row r="1133">
          <cell r="L1133" t="str">
            <v>BLDR</v>
          </cell>
          <cell r="M1133" t="str">
            <v>BUILDERS-FIRSTSOURCE-INC-8580/</v>
          </cell>
          <cell r="N1133" t="str">
            <v>BLDR</v>
          </cell>
          <cell r="O1133" t="str">
            <v>BUILDERS FIRSTSO</v>
          </cell>
          <cell r="P1133" t="str">
            <v>NASDAQ GS</v>
          </cell>
          <cell r="Q1133" t="str">
            <v>Industrials</v>
          </cell>
          <cell r="R1133" t="str">
            <v>Building Products</v>
          </cell>
          <cell r="S1133" t="str">
            <v>BLDR</v>
          </cell>
        </row>
        <row r="1134">
          <cell r="L1134" t="str">
            <v>KLIC</v>
          </cell>
          <cell r="M1134" t="str">
            <v>KULICKE-AND-SOFFA-INDUSTR-9812/</v>
          </cell>
          <cell r="N1134" t="str">
            <v>KLIC</v>
          </cell>
          <cell r="O1134" t="str">
            <v>KULICKE &amp; SOFFA</v>
          </cell>
          <cell r="P1134" t="str">
            <v>NASDAQ GS</v>
          </cell>
          <cell r="Q1134" t="str">
            <v>Information Technology</v>
          </cell>
          <cell r="R1134" t="str">
            <v>Semiconductors &amp; Semiconductor</v>
          </cell>
          <cell r="S1134" t="str">
            <v>KLIC</v>
          </cell>
        </row>
        <row r="1135">
          <cell r="L1135" t="str">
            <v>NBTB</v>
          </cell>
          <cell r="M1135" t="str">
            <v>NBT-BANCORP-INC-10165/</v>
          </cell>
          <cell r="N1135" t="str">
            <v>NBTB</v>
          </cell>
          <cell r="O1135" t="str">
            <v>NBT BANCORP INC</v>
          </cell>
          <cell r="P1135" t="str">
            <v>NASDAQ GS</v>
          </cell>
          <cell r="Q1135" t="str">
            <v>Financials</v>
          </cell>
          <cell r="R1135" t="str">
            <v>Banks</v>
          </cell>
          <cell r="S1135" t="str">
            <v>NBTB</v>
          </cell>
        </row>
        <row r="1136">
          <cell r="L1136" t="str">
            <v>KALU</v>
          </cell>
          <cell r="M1136" t="str">
            <v>KAISER-ALUMINUM-CORP-29723/</v>
          </cell>
          <cell r="N1136" t="str">
            <v>KALU</v>
          </cell>
          <cell r="O1136" t="str">
            <v>KAISER ALUMINUM</v>
          </cell>
          <cell r="P1136" t="str">
            <v>NASDAQ GS</v>
          </cell>
          <cell r="Q1136" t="str">
            <v>Materials</v>
          </cell>
          <cell r="R1136" t="str">
            <v>Metals &amp; Mining</v>
          </cell>
          <cell r="S1136" t="str">
            <v>KALU</v>
          </cell>
        </row>
        <row r="1137">
          <cell r="L1137" t="str">
            <v>ENTA</v>
          </cell>
          <cell r="M1137" t="str">
            <v>ENANTA-PHARMACEUTICALS-IN-12855346/</v>
          </cell>
          <cell r="N1137" t="str">
            <v>ENTA</v>
          </cell>
          <cell r="O1137" t="str">
            <v>ENANTA PHARMACEU</v>
          </cell>
          <cell r="P1137" t="str">
            <v>NASDAQ GS</v>
          </cell>
          <cell r="Q1137" t="str">
            <v>Health Care</v>
          </cell>
          <cell r="R1137" t="str">
            <v>Biotechnology</v>
          </cell>
          <cell r="S1137" t="str">
            <v>ENTA</v>
          </cell>
        </row>
        <row r="1138">
          <cell r="L1138" t="str">
            <v>RDFN</v>
          </cell>
          <cell r="M1138" t="str">
            <v>REDFIN-CORP-37247408/</v>
          </cell>
          <cell r="N1138" t="str">
            <v>RDFN</v>
          </cell>
          <cell r="O1138" t="str">
            <v>REDFIN CORP</v>
          </cell>
          <cell r="P1138" t="str">
            <v>NASDAQ GS</v>
          </cell>
          <cell r="Q1138" t="str">
            <v>Real Estate</v>
          </cell>
          <cell r="R1138" t="str">
            <v>Real Estate Management &amp; Devel</v>
          </cell>
          <cell r="S1138" t="str">
            <v>RDFN</v>
          </cell>
        </row>
        <row r="1139">
          <cell r="L1139" t="str">
            <v>RAVN</v>
          </cell>
          <cell r="M1139" t="str">
            <v>RAVEN-INDUSTRIES-INC-10625/</v>
          </cell>
          <cell r="N1139" t="str">
            <v>RAVN</v>
          </cell>
          <cell r="O1139" t="str">
            <v>RAVEN INDUSTRIES</v>
          </cell>
          <cell r="P1139" t="str">
            <v>NASDAQ GS</v>
          </cell>
          <cell r="Q1139" t="str">
            <v>Industrials</v>
          </cell>
          <cell r="R1139" t="str">
            <v>Industrial Conglomerates</v>
          </cell>
          <cell r="S1139" t="str">
            <v>RAVN</v>
          </cell>
        </row>
        <row r="1140">
          <cell r="L1140" t="str">
            <v>BLMN</v>
          </cell>
          <cell r="M1140" t="str">
            <v>BLOOMIN-BRANDS-INC-11216530/</v>
          </cell>
          <cell r="N1140" t="str">
            <v>BLMN</v>
          </cell>
          <cell r="O1140" t="str">
            <v>BLOOMIN' BRANDS</v>
          </cell>
          <cell r="P1140" t="str">
            <v>NASDAQ GS</v>
          </cell>
          <cell r="Q1140" t="str">
            <v>Consumer Discretionary</v>
          </cell>
          <cell r="R1140" t="str">
            <v>Hotels, Restaurants &amp; Leisure</v>
          </cell>
          <cell r="S1140" t="str">
            <v>BLMN</v>
          </cell>
        </row>
        <row r="1141">
          <cell r="L1141" t="str">
            <v>VIRT</v>
          </cell>
          <cell r="M1141" t="str">
            <v>VIRTUSA-CORPORATION-57307/</v>
          </cell>
          <cell r="N1141" t="str">
            <v>VIRT</v>
          </cell>
          <cell r="O1141" t="str">
            <v>VIRTU FINANCIA-A</v>
          </cell>
          <cell r="P1141" t="str">
            <v>NASDAQ GS</v>
          </cell>
          <cell r="Q1141" t="str">
            <v>Financials</v>
          </cell>
          <cell r="R1141" t="str">
            <v>Capital Markets</v>
          </cell>
          <cell r="S1141" t="str">
            <v>VIRT</v>
          </cell>
        </row>
        <row r="1142">
          <cell r="L1142" t="str">
            <v>HUBG</v>
          </cell>
          <cell r="M1142" t="str">
            <v>HUB-GROUP-INC-9594/</v>
          </cell>
          <cell r="N1142" t="str">
            <v>HUBG</v>
          </cell>
          <cell r="O1142" t="str">
            <v>HUB GROUP-A</v>
          </cell>
          <cell r="P1142" t="str">
            <v>NASDAQ GS</v>
          </cell>
          <cell r="Q1142" t="str">
            <v>Industrials</v>
          </cell>
          <cell r="R1142" t="str">
            <v>Air Freight &amp; Logistics</v>
          </cell>
          <cell r="S1142" t="str">
            <v>HUBG</v>
          </cell>
        </row>
        <row r="1143">
          <cell r="L1143" t="str">
            <v>WABC</v>
          </cell>
          <cell r="M1143" t="str">
            <v>WESTAMERICA-BANCORPORATIO-11342/</v>
          </cell>
          <cell r="N1143" t="str">
            <v>WABC</v>
          </cell>
          <cell r="O1143" t="str">
            <v>WESTAMERICA BANC</v>
          </cell>
          <cell r="P1143" t="str">
            <v>NASDAQ GS</v>
          </cell>
          <cell r="Q1143" t="str">
            <v>Financials</v>
          </cell>
          <cell r="R1143" t="str">
            <v>Banks</v>
          </cell>
          <cell r="S1143" t="str">
            <v>WABC</v>
          </cell>
        </row>
        <row r="1144">
          <cell r="L1144" t="str">
            <v>SPSC</v>
          </cell>
          <cell r="M1144" t="str">
            <v>SPS-COMMERCE-INC-6151939/</v>
          </cell>
          <cell r="N1144" t="str">
            <v>SPSC</v>
          </cell>
          <cell r="O1144" t="str">
            <v>SPS COMMERCE INC</v>
          </cell>
          <cell r="P1144" t="str">
            <v>NASDAQ GS</v>
          </cell>
          <cell r="Q1144" t="str">
            <v>Information Technology</v>
          </cell>
          <cell r="R1144" t="str">
            <v>Internet Software &amp; Services</v>
          </cell>
          <cell r="S1144" t="str">
            <v>SPSC</v>
          </cell>
        </row>
        <row r="1145">
          <cell r="L1145" t="str">
            <v>CBLK</v>
          </cell>
          <cell r="M1145" t="str">
            <v>CARBON-BLACK-INC-43256785/</v>
          </cell>
          <cell r="N1145" t="str">
            <v>CBLK</v>
          </cell>
          <cell r="O1145" t="str">
            <v>CARBON BLACK INC</v>
          </cell>
          <cell r="P1145" t="str">
            <v>NASDAQ GS</v>
          </cell>
          <cell r="Q1145" t="str">
            <v>Information Technology</v>
          </cell>
          <cell r="R1145" t="str">
            <v>Software</v>
          </cell>
          <cell r="S1145" t="str">
            <v>CBLK</v>
          </cell>
        </row>
        <row r="1146">
          <cell r="L1146" t="str">
            <v>PBYI</v>
          </cell>
          <cell r="M1146" t="str">
            <v>PUMA-BIOTECHNOLOGY-INC-32676238/</v>
          </cell>
          <cell r="N1146" t="str">
            <v>PBYI</v>
          </cell>
          <cell r="O1146" t="str">
            <v>PUMA BIOTECHNOLO</v>
          </cell>
          <cell r="P1146" t="str">
            <v>NASDAQ GS</v>
          </cell>
          <cell r="Q1146" t="str">
            <v>Health Care</v>
          </cell>
          <cell r="R1146" t="str">
            <v>Biotechnology</v>
          </cell>
          <cell r="S1146" t="str">
            <v>PBYI</v>
          </cell>
        </row>
        <row r="1147">
          <cell r="L1147" t="str">
            <v>SYNA</v>
          </cell>
          <cell r="M1147" t="str">
            <v>SYNAPTICS-INCORPORATED-11023/</v>
          </cell>
          <cell r="N1147" t="str">
            <v>SYNA</v>
          </cell>
          <cell r="O1147" t="str">
            <v>SYNAPTICS INC</v>
          </cell>
          <cell r="P1147" t="str">
            <v>NASDAQ GS</v>
          </cell>
          <cell r="Q1147" t="str">
            <v>Information Technology</v>
          </cell>
          <cell r="R1147" t="str">
            <v>Semiconductors &amp; Semiconductor</v>
          </cell>
          <cell r="S1147" t="str">
            <v>SYNA</v>
          </cell>
        </row>
        <row r="1148">
          <cell r="L1148" t="str">
            <v>TIVO</v>
          </cell>
          <cell r="M1148" t="str">
            <v>TIVO-CORP-31271549/</v>
          </cell>
          <cell r="N1148" t="str">
            <v>TIVO</v>
          </cell>
          <cell r="O1148" t="str">
            <v>TIVO CORP</v>
          </cell>
          <cell r="P1148" t="str">
            <v>NASDAQ GS</v>
          </cell>
          <cell r="Q1148" t="str">
            <v>Information Technology</v>
          </cell>
          <cell r="R1148" t="str">
            <v>Software</v>
          </cell>
          <cell r="S1148" t="str">
            <v>TIVO</v>
          </cell>
        </row>
        <row r="1149">
          <cell r="L1149" t="str">
            <v>LPSN</v>
          </cell>
          <cell r="M1149" t="str">
            <v>LIVEPERSON-INC-9909/</v>
          </cell>
          <cell r="N1149" t="str">
            <v>LPSN</v>
          </cell>
          <cell r="O1149" t="str">
            <v>LIVEPERSON INC</v>
          </cell>
          <cell r="P1149" t="str">
            <v>NASDAQ GS</v>
          </cell>
          <cell r="Q1149" t="str">
            <v>Information Technology</v>
          </cell>
          <cell r="R1149" t="str">
            <v>Internet Software &amp; Services</v>
          </cell>
          <cell r="S1149" t="str">
            <v>LPSN</v>
          </cell>
        </row>
        <row r="1150">
          <cell r="L1150" t="str">
            <v>TRVG</v>
          </cell>
          <cell r="M1150" t="str">
            <v>TRIVAGO-NV-ADR-32502940/</v>
          </cell>
          <cell r="N1150" t="str">
            <v>TRVG</v>
          </cell>
          <cell r="O1150" t="str">
            <v>TRIVAGO NV-ADR</v>
          </cell>
          <cell r="P1150" t="str">
            <v>NASDAQ GS</v>
          </cell>
          <cell r="Q1150" t="str">
            <v>Information Technology</v>
          </cell>
          <cell r="R1150" t="str">
            <v>Internet Software &amp; Services</v>
          </cell>
          <cell r="S1150" t="str">
            <v>TRVG</v>
          </cell>
        </row>
        <row r="1151">
          <cell r="L1151" t="str">
            <v>MSFT</v>
          </cell>
          <cell r="M1151" t="str">
            <v>MICROSTRATEGY-INCORPORATE-10105/</v>
          </cell>
          <cell r="N1151" t="str">
            <v>MSFT</v>
          </cell>
          <cell r="O1151" t="str">
            <v>MICROSOFT CORP</v>
          </cell>
          <cell r="P1151" t="str">
            <v>NASDAQ GS</v>
          </cell>
          <cell r="Q1151" t="str">
            <v>Information Technology</v>
          </cell>
          <cell r="R1151" t="str">
            <v>Software</v>
          </cell>
          <cell r="S1151" t="str">
            <v>MSFT</v>
          </cell>
        </row>
        <row r="1152">
          <cell r="L1152" t="str">
            <v>BCOR</v>
          </cell>
          <cell r="M1152" t="str">
            <v>BLUCORA-INC-11877797/</v>
          </cell>
          <cell r="N1152" t="str">
            <v>BCOR</v>
          </cell>
          <cell r="O1152" t="str">
            <v>BLUCORA INC</v>
          </cell>
          <cell r="P1152" t="str">
            <v>NASDAQ GS</v>
          </cell>
          <cell r="Q1152" t="str">
            <v>Information Technology</v>
          </cell>
          <cell r="R1152" t="str">
            <v>Internet Software &amp; Services</v>
          </cell>
          <cell r="S1152" t="str">
            <v>BCOR</v>
          </cell>
        </row>
        <row r="1153">
          <cell r="L1153" t="str">
            <v>NTRA</v>
          </cell>
          <cell r="M1153" t="str">
            <v>NATERA-INC-22762534/</v>
          </cell>
          <cell r="N1153" t="str">
            <v>NTRA</v>
          </cell>
          <cell r="O1153" t="str">
            <v>NATERA INC</v>
          </cell>
          <cell r="P1153" t="str">
            <v>NASDAQ GS</v>
          </cell>
          <cell r="Q1153" t="str">
            <v>Health Care</v>
          </cell>
          <cell r="R1153" t="str">
            <v>Biotechnology</v>
          </cell>
          <cell r="S1153" t="str">
            <v>NTRA</v>
          </cell>
        </row>
        <row r="1154">
          <cell r="L1154" t="str">
            <v>PRAA</v>
          </cell>
          <cell r="M1154" t="str">
            <v>PRA-GROUP-INC-18707892/</v>
          </cell>
          <cell r="N1154" t="str">
            <v>PRAA</v>
          </cell>
          <cell r="O1154" t="str">
            <v>PRA GROUP INC</v>
          </cell>
          <cell r="P1154" t="str">
            <v>NASDAQ GS</v>
          </cell>
          <cell r="Q1154" t="str">
            <v>Financials</v>
          </cell>
          <cell r="R1154" t="str">
            <v>Consumer Finance</v>
          </cell>
          <cell r="S1154" t="str">
            <v>PRAA</v>
          </cell>
        </row>
        <row r="1155">
          <cell r="L1155" t="str">
            <v>RUSHA</v>
          </cell>
          <cell r="M1155" t="str">
            <v>RUSH-ENTERPRISES-INC-10723/</v>
          </cell>
          <cell r="N1155" t="str">
            <v>RUSHA</v>
          </cell>
          <cell r="O1155" t="str">
            <v>RUSH ENTER-CL A</v>
          </cell>
          <cell r="P1155" t="str">
            <v>NASDAQ GS</v>
          </cell>
          <cell r="Q1155" t="str">
            <v>Industrials</v>
          </cell>
          <cell r="R1155" t="str">
            <v>Trading Companies &amp; Distributo</v>
          </cell>
          <cell r="S1155" t="str">
            <v>RUSHA</v>
          </cell>
        </row>
        <row r="1156">
          <cell r="L1156" t="str">
            <v>RUSHA</v>
          </cell>
          <cell r="M1156" t="str">
            <v>RUSH-ENTERPRISES-INC-10724/</v>
          </cell>
          <cell r="N1156" t="str">
            <v>RUSHA</v>
          </cell>
          <cell r="O1156" t="str">
            <v>RUSH ENTER-CL A</v>
          </cell>
          <cell r="P1156" t="str">
            <v>NASDAQ GS</v>
          </cell>
          <cell r="Q1156" t="str">
            <v>Industrials</v>
          </cell>
          <cell r="R1156" t="str">
            <v>Trading Companies &amp; Distributo</v>
          </cell>
          <cell r="S1156" t="str">
            <v>RUSHA</v>
          </cell>
        </row>
        <row r="1157">
          <cell r="L1157" t="str">
            <v>HTLF</v>
          </cell>
          <cell r="M1157" t="str">
            <v>HEARTLAND-EXPRESS-INC-9591/</v>
          </cell>
          <cell r="N1157" t="str">
            <v>HTLF</v>
          </cell>
          <cell r="O1157" t="str">
            <v>HEARTLAND FINL</v>
          </cell>
          <cell r="P1157" t="str">
            <v>NASDAQ GS</v>
          </cell>
          <cell r="Q1157" t="str">
            <v>Financials</v>
          </cell>
          <cell r="R1157" t="str">
            <v>Banks</v>
          </cell>
          <cell r="S1157" t="str">
            <v>HTLF</v>
          </cell>
        </row>
        <row r="1158">
          <cell r="L1158" t="str">
            <v>ACIA</v>
          </cell>
          <cell r="M1158" t="str">
            <v>ACACIA-COMMUNICATIONS-IN-27724032/</v>
          </cell>
          <cell r="N1158" t="str">
            <v>ACIA</v>
          </cell>
          <cell r="O1158" t="str">
            <v>ACACIA COMMUNICA</v>
          </cell>
          <cell r="P1158" t="str">
            <v>NASDAQ GS</v>
          </cell>
          <cell r="Q1158" t="str">
            <v>Information Technology</v>
          </cell>
          <cell r="R1158" t="str">
            <v>Communications Equipment</v>
          </cell>
          <cell r="S1158" t="str">
            <v>ACIA</v>
          </cell>
        </row>
        <row r="1159">
          <cell r="L1159" t="str">
            <v>CORE</v>
          </cell>
          <cell r="M1159" t="str">
            <v>CORE-MARK-HOLDING-COMPANY-8867/</v>
          </cell>
          <cell r="N1159" t="str">
            <v>CORE</v>
          </cell>
          <cell r="O1159" t="str">
            <v>CORE-MARK HOLDIN</v>
          </cell>
          <cell r="P1159" t="str">
            <v>NASDAQ GS</v>
          </cell>
          <cell r="Q1159" t="str">
            <v>Consumer Discretionary</v>
          </cell>
          <cell r="R1159" t="str">
            <v>Distributors</v>
          </cell>
          <cell r="S1159" t="str">
            <v>CORE</v>
          </cell>
        </row>
        <row r="1160">
          <cell r="L1160" t="str">
            <v>GOV</v>
          </cell>
          <cell r="M1160" t="str">
            <v>GOVERNMENT-PROPERTIES-INC-28859040/</v>
          </cell>
          <cell r="N1160" t="str">
            <v>GOV</v>
          </cell>
          <cell r="O1160" t="str">
            <v>GOVERNMENT PROPE</v>
          </cell>
          <cell r="P1160" t="str">
            <v>NASDAQ GS</v>
          </cell>
          <cell r="Q1160" t="str">
            <v>Real Estate</v>
          </cell>
          <cell r="R1160" t="str">
            <v>Equity Real Estate Investment</v>
          </cell>
          <cell r="S1160" t="str">
            <v>GOV</v>
          </cell>
        </row>
        <row r="1161">
          <cell r="L1161" t="str">
            <v>MATW</v>
          </cell>
          <cell r="M1161" t="str">
            <v>MATTHEWS-INTERNATIONAL-CO-9951/</v>
          </cell>
          <cell r="N1161" t="str">
            <v>MATW</v>
          </cell>
          <cell r="O1161" t="str">
            <v>MATTHEWS INTL-A</v>
          </cell>
          <cell r="P1161" t="str">
            <v>NASDAQ GS</v>
          </cell>
          <cell r="Q1161" t="str">
            <v>Industrials</v>
          </cell>
          <cell r="R1161" t="str">
            <v>Commercial Services &amp; Supplies</v>
          </cell>
          <cell r="S1161" t="str">
            <v>MATW</v>
          </cell>
        </row>
        <row r="1162">
          <cell r="L1162" t="str">
            <v>IMPV</v>
          </cell>
          <cell r="M1162" t="str">
            <v>IMPERVA-INC-9391900/</v>
          </cell>
          <cell r="N1162" t="str">
            <v>IMPV</v>
          </cell>
          <cell r="O1162" t="str">
            <v>IMPERVA INC</v>
          </cell>
          <cell r="P1162" t="str">
            <v>NASDAQ GS</v>
          </cell>
          <cell r="Q1162" t="str">
            <v>Information Technology</v>
          </cell>
          <cell r="R1162" t="str">
            <v>Software</v>
          </cell>
          <cell r="S1162" t="str">
            <v>IMPV</v>
          </cell>
        </row>
        <row r="1163">
          <cell r="L1163" t="str">
            <v>STBA</v>
          </cell>
          <cell r="M1163" t="str">
            <v>S-T-BANCORP-INC-10955/</v>
          </cell>
          <cell r="N1163" t="str">
            <v>STBA</v>
          </cell>
          <cell r="O1163" t="str">
            <v>S &amp; T BANCORP</v>
          </cell>
          <cell r="P1163" t="str">
            <v>NASDAQ GS</v>
          </cell>
          <cell r="Q1163" t="str">
            <v>Financials</v>
          </cell>
          <cell r="R1163" t="str">
            <v>Banks</v>
          </cell>
          <cell r="S1163" t="str">
            <v>STBA</v>
          </cell>
        </row>
        <row r="1164">
          <cell r="L1164" t="str">
            <v>TXMD</v>
          </cell>
          <cell r="M1164" t="str">
            <v>THERAVANCE-BIOPHARMA-INC-16501278/</v>
          </cell>
          <cell r="N1164" t="str">
            <v>TXMD</v>
          </cell>
          <cell r="O1164" t="str">
            <v>THERAPEUTICSMD</v>
          </cell>
          <cell r="P1164" t="str">
            <v>NASDAQ GS</v>
          </cell>
          <cell r="Q1164" t="str">
            <v>Health Care</v>
          </cell>
          <cell r="R1164" t="str">
            <v>Pharmaceuticals</v>
          </cell>
          <cell r="S1164" t="str">
            <v>TXMD</v>
          </cell>
        </row>
        <row r="1165">
          <cell r="L1165" t="str">
            <v>OCLR</v>
          </cell>
          <cell r="M1165" t="str">
            <v>OCLARO-INC-40225120/</v>
          </cell>
          <cell r="N1165" t="str">
            <v>OCLR</v>
          </cell>
          <cell r="O1165" t="str">
            <v>OCLARO INC</v>
          </cell>
          <cell r="P1165" t="str">
            <v>NASDAQ GS</v>
          </cell>
          <cell r="Q1165" t="str">
            <v>Information Technology</v>
          </cell>
          <cell r="R1165" t="str">
            <v>Communications Equipment</v>
          </cell>
          <cell r="S1165" t="str">
            <v>OCLR</v>
          </cell>
        </row>
        <row r="1166">
          <cell r="L1166" t="str">
            <v>PATK</v>
          </cell>
          <cell r="M1166" t="str">
            <v>PATRICK-INDUSTRIES-INC-10397/</v>
          </cell>
          <cell r="N1166" t="str">
            <v>PATK</v>
          </cell>
          <cell r="O1166" t="str">
            <v>PATRICK INDS INC</v>
          </cell>
          <cell r="P1166" t="str">
            <v>NASDAQ GS</v>
          </cell>
          <cell r="Q1166" t="str">
            <v>Industrials</v>
          </cell>
          <cell r="R1166" t="str">
            <v>Building Products</v>
          </cell>
          <cell r="S1166" t="str">
            <v>PATK</v>
          </cell>
        </row>
        <row r="1167">
          <cell r="L1167" t="str">
            <v>QURE</v>
          </cell>
          <cell r="M1167" t="str">
            <v>UNIQURE-NV-15712155/</v>
          </cell>
          <cell r="N1167" t="str">
            <v>QURE</v>
          </cell>
          <cell r="O1167" t="str">
            <v>UNIQURE NV</v>
          </cell>
          <cell r="P1167" t="str">
            <v>NASDAQ GS</v>
          </cell>
          <cell r="Q1167" t="str">
            <v>Health Care</v>
          </cell>
          <cell r="R1167" t="str">
            <v>Biotechnology</v>
          </cell>
          <cell r="S1167" t="str">
            <v>QURE</v>
          </cell>
        </row>
        <row r="1168">
          <cell r="L1168" t="str">
            <v>ECOL</v>
          </cell>
          <cell r="M1168" t="str">
            <v>US-ECOLOGY-INC-9132/</v>
          </cell>
          <cell r="N1168" t="str">
            <v>ECOL</v>
          </cell>
          <cell r="O1168" t="str">
            <v>US ECOLOGY INC</v>
          </cell>
          <cell r="P1168" t="str">
            <v>NASDAQ GS</v>
          </cell>
          <cell r="Q1168" t="str">
            <v>Industrials</v>
          </cell>
          <cell r="R1168" t="str">
            <v>Commercial Services &amp; Supplies</v>
          </cell>
          <cell r="S1168" t="str">
            <v>ECOL</v>
          </cell>
        </row>
        <row r="1169">
          <cell r="L1169" t="str">
            <v>AIMT</v>
          </cell>
          <cell r="M1169" t="str">
            <v>AIMMUNE-THERAPEUTICS-INC-23306014/</v>
          </cell>
          <cell r="N1169" t="str">
            <v>AIMT</v>
          </cell>
          <cell r="O1169" t="str">
            <v>AIMMUNE THERAPEU</v>
          </cell>
          <cell r="P1169" t="str">
            <v>NASDAQ GS</v>
          </cell>
          <cell r="Q1169" t="str">
            <v>Health Care</v>
          </cell>
          <cell r="R1169" t="str">
            <v>Biotechnology</v>
          </cell>
          <cell r="S1169" t="str">
            <v>AIMT</v>
          </cell>
        </row>
        <row r="1170">
          <cell r="L1170" t="str">
            <v>BJRI</v>
          </cell>
          <cell r="M1170" t="str">
            <v>BJ-S-RESTAURANTS-INC-8570/</v>
          </cell>
          <cell r="N1170" t="str">
            <v>BJRI</v>
          </cell>
          <cell r="O1170" t="str">
            <v>BJ'S RESTAURANTS</v>
          </cell>
          <cell r="P1170" t="str">
            <v>NASDAQ GS</v>
          </cell>
          <cell r="Q1170" t="str">
            <v>Consumer Discretionary</v>
          </cell>
          <cell r="R1170" t="str">
            <v>Hotels, Restaurants &amp; Leisure</v>
          </cell>
          <cell r="S1170" t="str">
            <v>BJRI</v>
          </cell>
        </row>
        <row r="1171">
          <cell r="L1171" t="str">
            <v>CATM</v>
          </cell>
          <cell r="M1171" t="str">
            <v>CARDTRONICS-PLC-29159855/</v>
          </cell>
          <cell r="N1171" t="str">
            <v>CATM</v>
          </cell>
          <cell r="O1171" t="str">
            <v>CARDTRONICS PL-A</v>
          </cell>
          <cell r="P1171" t="str">
            <v>NASDAQ GS</v>
          </cell>
          <cell r="Q1171" t="str">
            <v>Information Technology</v>
          </cell>
          <cell r="R1171" t="str">
            <v>IT Services</v>
          </cell>
          <cell r="S1171" t="str">
            <v>CATM</v>
          </cell>
        </row>
        <row r="1172">
          <cell r="L1172" t="str">
            <v>SNHY</v>
          </cell>
          <cell r="M1172" t="str">
            <v>SUN-HYDRAULICS-CORPORATIO-10883/</v>
          </cell>
          <cell r="N1172" t="str">
            <v>SNHY</v>
          </cell>
          <cell r="O1172" t="str">
            <v>SUN HYDRAULICS</v>
          </cell>
          <cell r="P1172" t="str">
            <v>NASDAQ GS</v>
          </cell>
          <cell r="Q1172" t="str">
            <v>Industrials</v>
          </cell>
          <cell r="R1172" t="str">
            <v>Machinery</v>
          </cell>
          <cell r="S1172" t="str">
            <v>SNHY</v>
          </cell>
        </row>
        <row r="1173">
          <cell r="L1173" t="str">
            <v>TEAM</v>
          </cell>
          <cell r="M1173" t="str">
            <v>ATLAS-AIR-WORLDWIDE-HOLDI-17203/</v>
          </cell>
          <cell r="N1173" t="str">
            <v>TEAM</v>
          </cell>
          <cell r="O1173" t="str">
            <v>ATLASSIAN CORP-A</v>
          </cell>
          <cell r="P1173" t="str">
            <v>NASDAQ GS</v>
          </cell>
          <cell r="Q1173" t="str">
            <v>Information Technology</v>
          </cell>
          <cell r="R1173" t="str">
            <v>Software</v>
          </cell>
          <cell r="S1173" t="str">
            <v>TEAM</v>
          </cell>
        </row>
        <row r="1174">
          <cell r="L1174" t="str">
            <v>ILPT</v>
          </cell>
          <cell r="M1174" t="str">
            <v>INDUSTRIAL-LOGISTICS-PROP-40135730/</v>
          </cell>
          <cell r="N1174" t="str">
            <v>ILPT</v>
          </cell>
          <cell r="O1174" t="str">
            <v>INDUSTRIAL LOGIS</v>
          </cell>
          <cell r="P1174" t="str">
            <v>NASDAQ GS</v>
          </cell>
          <cell r="Q1174" t="str">
            <v>Real Estate</v>
          </cell>
          <cell r="R1174" t="str">
            <v>Equity Real Estate Investment</v>
          </cell>
          <cell r="S1174" t="str">
            <v>ILPT</v>
          </cell>
        </row>
        <row r="1175">
          <cell r="L1175" t="str">
            <v>EDIT</v>
          </cell>
          <cell r="M1175" t="str">
            <v>EDITAS-MEDICINE-INC-26123639/</v>
          </cell>
          <cell r="N1175" t="str">
            <v>EDIT</v>
          </cell>
          <cell r="O1175" t="str">
            <v>EDITAS MEDICINE</v>
          </cell>
          <cell r="P1175" t="str">
            <v>NASDAQ GS</v>
          </cell>
          <cell r="Q1175" t="str">
            <v>Health Care</v>
          </cell>
          <cell r="R1175" t="str">
            <v>Biotechnology</v>
          </cell>
          <cell r="S1175" t="str">
            <v>EDIT</v>
          </cell>
        </row>
        <row r="1176">
          <cell r="L1176" t="str">
            <v>FANH</v>
          </cell>
          <cell r="M1176" t="str">
            <v>FANHUA-INC-ADR-32577966/</v>
          </cell>
          <cell r="N1176" t="str">
            <v>FANH</v>
          </cell>
          <cell r="O1176" t="str">
            <v>FANHUA INC-ADR</v>
          </cell>
          <cell r="P1176" t="str">
            <v>NASDAQ GS</v>
          </cell>
          <cell r="Q1176" t="str">
            <v>Financials</v>
          </cell>
          <cell r="R1176" t="str">
            <v>Insurance</v>
          </cell>
          <cell r="S1176" t="str">
            <v>FANH</v>
          </cell>
        </row>
        <row r="1177">
          <cell r="L1177" t="str">
            <v>INSM</v>
          </cell>
          <cell r="M1177" t="str">
            <v>INSMED-INCORPORATED-9696/</v>
          </cell>
          <cell r="N1177" t="str">
            <v>INSM</v>
          </cell>
          <cell r="O1177" t="str">
            <v>INSMED INC</v>
          </cell>
          <cell r="P1177" t="str">
            <v>NASDAQ GS</v>
          </cell>
          <cell r="Q1177" t="str">
            <v>Health Care</v>
          </cell>
          <cell r="R1177" t="str">
            <v>Biotechnology</v>
          </cell>
          <cell r="S1177" t="str">
            <v>INSM</v>
          </cell>
        </row>
        <row r="1178">
          <cell r="L1178" t="str">
            <v>WSFS</v>
          </cell>
          <cell r="M1178" t="str">
            <v>WSFS-FINANCIAL-CORPORATIO-11417/</v>
          </cell>
          <cell r="N1178" t="str">
            <v>WSFS</v>
          </cell>
          <cell r="O1178" t="str">
            <v>WSFS FINANCIAL</v>
          </cell>
          <cell r="P1178" t="str">
            <v>NASDAQ GS</v>
          </cell>
          <cell r="Q1178" t="str">
            <v>Financials</v>
          </cell>
          <cell r="R1178" t="str">
            <v>Thrifts &amp; Mortgage Finance</v>
          </cell>
          <cell r="S1178" t="str">
            <v>WSFS</v>
          </cell>
        </row>
        <row r="1179">
          <cell r="L1179" t="str">
            <v>ICFI</v>
          </cell>
          <cell r="M1179" t="str">
            <v>ICF-INTERNATIONAL-INC-34108/</v>
          </cell>
          <cell r="N1179" t="str">
            <v>ICFI</v>
          </cell>
          <cell r="O1179" t="str">
            <v>ICF INTERNATIONA</v>
          </cell>
          <cell r="P1179" t="str">
            <v>NASDAQ GS</v>
          </cell>
          <cell r="Q1179" t="str">
            <v>Industrials</v>
          </cell>
          <cell r="R1179" t="str">
            <v>Professional Services</v>
          </cell>
          <cell r="S1179" t="str">
            <v>ICFI</v>
          </cell>
        </row>
        <row r="1180">
          <cell r="L1180" t="str">
            <v>SSYS</v>
          </cell>
          <cell r="M1180" t="str">
            <v>STRATEGIC-EDUCATION-INC-45145860/</v>
          </cell>
          <cell r="N1180" t="str">
            <v>SSYS</v>
          </cell>
          <cell r="O1180" t="str">
            <v>STRATASYS LTD</v>
          </cell>
          <cell r="P1180" t="str">
            <v>NASDAQ GS</v>
          </cell>
          <cell r="Q1180" t="str">
            <v>Information Technology</v>
          </cell>
          <cell r="R1180" t="str">
            <v>Technology Hardware, Storage &amp;</v>
          </cell>
          <cell r="S1180" t="str">
            <v>SSYS</v>
          </cell>
        </row>
        <row r="1181">
          <cell r="L1181" t="str">
            <v>BMCH</v>
          </cell>
          <cell r="M1181" t="str">
            <v>BMC-STOCK-HOLDINGS-INC-25281959/</v>
          </cell>
          <cell r="N1181" t="str">
            <v>BMCH</v>
          </cell>
          <cell r="O1181" t="str">
            <v>BMC STOCK HOLDIN</v>
          </cell>
          <cell r="P1181" t="str">
            <v>NASDAQ GS</v>
          </cell>
          <cell r="Q1181" t="str">
            <v>Industrials</v>
          </cell>
          <cell r="R1181" t="str">
            <v>Trading Companies &amp; Distributo</v>
          </cell>
          <cell r="S1181" t="str">
            <v>BMCH</v>
          </cell>
        </row>
        <row r="1182">
          <cell r="L1182" t="str">
            <v>SLDB</v>
          </cell>
          <cell r="M1182" t="str">
            <v>SOLID-BIOSCIENCES-INC-40331627/</v>
          </cell>
          <cell r="N1182" t="str">
            <v>SLDB</v>
          </cell>
          <cell r="O1182" t="str">
            <v>SOLID BIOSCIENCE</v>
          </cell>
          <cell r="P1182" t="str">
            <v>NASDAQ GS</v>
          </cell>
          <cell r="Q1182" t="str">
            <v>Health Care</v>
          </cell>
          <cell r="R1182" t="str">
            <v>Biotechnology</v>
          </cell>
          <cell r="S1182" t="str">
            <v>SLDB</v>
          </cell>
        </row>
        <row r="1183">
          <cell r="L1183" t="str">
            <v>EA</v>
          </cell>
          <cell r="M1183" t="str">
            <v>ELECTRONICS-FOR-IMAGING-9145/</v>
          </cell>
          <cell r="N1183" t="str">
            <v>EA</v>
          </cell>
          <cell r="O1183" t="str">
            <v>ELECTRONIC ARTS</v>
          </cell>
          <cell r="P1183" t="str">
            <v>NASDAQ GS</v>
          </cell>
          <cell r="Q1183" t="str">
            <v>Information Technology</v>
          </cell>
          <cell r="R1183" t="str">
            <v>Software</v>
          </cell>
          <cell r="S1183" t="str">
            <v>EA</v>
          </cell>
        </row>
        <row r="1184">
          <cell r="L1184" t="str">
            <v>INVA</v>
          </cell>
          <cell r="M1184" t="str">
            <v>INNOVIVA-INC-25641616/</v>
          </cell>
          <cell r="N1184" t="str">
            <v>INVA</v>
          </cell>
          <cell r="O1184" t="str">
            <v>INNOVIVA INC</v>
          </cell>
          <cell r="P1184" t="str">
            <v>NASDAQ GS</v>
          </cell>
          <cell r="Q1184" t="str">
            <v>Health Care</v>
          </cell>
          <cell r="R1184" t="str">
            <v>Pharmaceuticals</v>
          </cell>
          <cell r="S1184" t="str">
            <v>INVA</v>
          </cell>
        </row>
        <row r="1185">
          <cell r="L1185" t="str">
            <v>TXMD</v>
          </cell>
          <cell r="M1185" t="str">
            <v>THERAPEUTICSMD-INC-38065918/</v>
          </cell>
          <cell r="N1185" t="str">
            <v>TXMD</v>
          </cell>
          <cell r="O1185" t="str">
            <v>THERAPEUTICSMD</v>
          </cell>
          <cell r="P1185" t="str">
            <v>NASDAQ GS</v>
          </cell>
          <cell r="Q1185" t="str">
            <v>Health Care</v>
          </cell>
          <cell r="R1185" t="str">
            <v>Pharmaceuticals</v>
          </cell>
          <cell r="S1185" t="str">
            <v>TXMD</v>
          </cell>
        </row>
        <row r="1186">
          <cell r="L1186" t="str">
            <v>SBCF</v>
          </cell>
          <cell r="M1186" t="str">
            <v>SEACOAST-BANKING-CORPORAT-16085357/</v>
          </cell>
          <cell r="N1186" t="str">
            <v>SBCF</v>
          </cell>
          <cell r="O1186" t="str">
            <v>SEACOAST BANK/FL</v>
          </cell>
          <cell r="P1186" t="str">
            <v>NASDAQ GS</v>
          </cell>
          <cell r="Q1186" t="str">
            <v>Financials</v>
          </cell>
          <cell r="R1186" t="str">
            <v>Banks</v>
          </cell>
          <cell r="S1186" t="str">
            <v>SBCF</v>
          </cell>
        </row>
        <row r="1187">
          <cell r="L1187" t="str">
            <v>SAFT</v>
          </cell>
          <cell r="M1187" t="str">
            <v>SAFETY-INSURANCE-GROUP-I-10737/</v>
          </cell>
          <cell r="N1187" t="str">
            <v>SAFT</v>
          </cell>
          <cell r="O1187" t="str">
            <v>SAFETY INSURANCE</v>
          </cell>
          <cell r="P1187" t="str">
            <v>NASDAQ GS</v>
          </cell>
          <cell r="Q1187" t="str">
            <v>Financials</v>
          </cell>
          <cell r="R1187" t="str">
            <v>Insurance</v>
          </cell>
          <cell r="S1187" t="str">
            <v>SAFT</v>
          </cell>
        </row>
        <row r="1188">
          <cell r="L1188" t="str">
            <v>MTSI</v>
          </cell>
          <cell r="M1188" t="str">
            <v>MACOM-TECHNOLOGY-SOLUTION-10190273/</v>
          </cell>
          <cell r="N1188" t="str">
            <v>MTSI</v>
          </cell>
          <cell r="O1188" t="str">
            <v>MACOM TECHNOLOGY</v>
          </cell>
          <cell r="P1188" t="str">
            <v>NASDAQ GS</v>
          </cell>
          <cell r="Q1188" t="str">
            <v>Information Technology</v>
          </cell>
          <cell r="R1188" t="str">
            <v>Semiconductors &amp; Semiconductor</v>
          </cell>
          <cell r="S1188" t="str">
            <v>MTSI</v>
          </cell>
        </row>
        <row r="1189">
          <cell r="L1189" t="str">
            <v>SCHL</v>
          </cell>
          <cell r="M1189" t="str">
            <v>SCHOLASTIC-CORP-10764/</v>
          </cell>
          <cell r="N1189" t="str">
            <v>SCHL</v>
          </cell>
          <cell r="O1189" t="str">
            <v>SCHOLASTIC CORP</v>
          </cell>
          <cell r="P1189" t="str">
            <v>NASDAQ GS</v>
          </cell>
          <cell r="Q1189" t="str">
            <v>Consumer Discretionary</v>
          </cell>
          <cell r="R1189" t="str">
            <v>Media</v>
          </cell>
          <cell r="S1189" t="str">
            <v>SCHL</v>
          </cell>
        </row>
        <row r="1190">
          <cell r="L1190" t="str">
            <v>CTRE</v>
          </cell>
          <cell r="M1190" t="str">
            <v>CARETRUST-REIT-INC-16519447/</v>
          </cell>
          <cell r="N1190" t="str">
            <v>CTRE</v>
          </cell>
          <cell r="O1190" t="str">
            <v>CARETRUST REI</v>
          </cell>
          <cell r="P1190" t="str">
            <v>NASDAQ GS</v>
          </cell>
          <cell r="Q1190" t="str">
            <v>Real Estate</v>
          </cell>
          <cell r="R1190" t="str">
            <v>Equity Real Estate Investment</v>
          </cell>
          <cell r="S1190" t="str">
            <v>CTRE</v>
          </cell>
        </row>
        <row r="1191">
          <cell r="L1191" t="str">
            <v>ROCK</v>
          </cell>
          <cell r="M1191" t="str">
            <v>GIBRALTAR-INDUSTRIES-INC-10695/</v>
          </cell>
          <cell r="N1191" t="str">
            <v>ROCK</v>
          </cell>
          <cell r="O1191" t="str">
            <v>GIBRALTAR INDUST</v>
          </cell>
          <cell r="P1191" t="str">
            <v>NASDAQ GS</v>
          </cell>
          <cell r="Q1191" t="str">
            <v>Industrials</v>
          </cell>
          <cell r="R1191" t="str">
            <v>Building Products</v>
          </cell>
          <cell r="S1191" t="str">
            <v>ROCK</v>
          </cell>
        </row>
        <row r="1192">
          <cell r="L1192" t="str">
            <v>SRCE</v>
          </cell>
          <cell r="M1192" t="str">
            <v>1ST-SOURCE-CORPORATION-10930/</v>
          </cell>
          <cell r="N1192" t="str">
            <v>SRCE</v>
          </cell>
          <cell r="O1192" t="str">
            <v>1ST SOURCE CORP</v>
          </cell>
          <cell r="P1192" t="str">
            <v>NASDAQ GS</v>
          </cell>
          <cell r="Q1192" t="str">
            <v>Financials</v>
          </cell>
          <cell r="R1192" t="str">
            <v>Banks</v>
          </cell>
          <cell r="S1192" t="str">
            <v>SRCE</v>
          </cell>
        </row>
        <row r="1193">
          <cell r="L1193" t="str">
            <v>BPY-U</v>
          </cell>
          <cell r="M1193" t="str">
            <v>BROOKLINE-BANCORP-INC-8619/</v>
          </cell>
          <cell r="N1193" t="str">
            <v>BPY-U</v>
          </cell>
          <cell r="O1193" t="str">
            <v>BROOKFIELD PROPE</v>
          </cell>
          <cell r="P1193" t="str">
            <v>NASDAQ GS</v>
          </cell>
          <cell r="Q1193" t="str">
            <v>Real Estate</v>
          </cell>
          <cell r="R1193" t="str">
            <v>Real Estate Management &amp; Devel</v>
          </cell>
          <cell r="S1193" t="str">
            <v>BPY-U</v>
          </cell>
        </row>
        <row r="1194">
          <cell r="L1194" t="str">
            <v>PZZA</v>
          </cell>
          <cell r="M1194" t="str">
            <v>PAPA-JOHN-S-INT-L-INC-10589/</v>
          </cell>
          <cell r="N1194" t="str">
            <v>PZZA</v>
          </cell>
          <cell r="O1194" t="str">
            <v>PAPA JOHN'S INTL</v>
          </cell>
          <cell r="P1194" t="str">
            <v>NASDAQ GS</v>
          </cell>
          <cell r="Q1194" t="str">
            <v>Consumer Discretionary</v>
          </cell>
          <cell r="R1194" t="str">
            <v>Hotels, Restaurants &amp; Leisure</v>
          </cell>
          <cell r="S1194" t="str">
            <v>PZZA</v>
          </cell>
        </row>
        <row r="1195">
          <cell r="L1195" t="str">
            <v>RUN</v>
          </cell>
          <cell r="M1195" t="str">
            <v>SUNRUN-INC-23249842/</v>
          </cell>
          <cell r="N1195" t="str">
            <v>RUN</v>
          </cell>
          <cell r="O1195" t="str">
            <v>SUNRUN INC</v>
          </cell>
          <cell r="P1195" t="str">
            <v>NASDAQ GS</v>
          </cell>
          <cell r="Q1195" t="str">
            <v>Industrials</v>
          </cell>
          <cell r="R1195" t="str">
            <v>Electrical Equipment</v>
          </cell>
          <cell r="S1195" t="str">
            <v>RUN</v>
          </cell>
        </row>
        <row r="1196">
          <cell r="L1196" t="str">
            <v>CROX</v>
          </cell>
          <cell r="M1196" t="str">
            <v>CROCS-INC-8905/</v>
          </cell>
          <cell r="N1196" t="str">
            <v>CROX</v>
          </cell>
          <cell r="O1196" t="str">
            <v>CROCS INC</v>
          </cell>
          <cell r="P1196" t="str">
            <v>NASDAQ GS</v>
          </cell>
          <cell r="Q1196" t="str">
            <v>Consumer Discretionary</v>
          </cell>
          <cell r="R1196" t="str">
            <v>Textiles, Apparel &amp; Luxury Goo</v>
          </cell>
          <cell r="S1196" t="str">
            <v>CROX</v>
          </cell>
        </row>
        <row r="1197">
          <cell r="L1197" t="str">
            <v>WIFI</v>
          </cell>
          <cell r="M1197" t="str">
            <v>BOINGO-WIRELESS-INC-7920000/</v>
          </cell>
          <cell r="N1197" t="str">
            <v>WIFI</v>
          </cell>
          <cell r="O1197" t="str">
            <v>BOINGO WIRELESS</v>
          </cell>
          <cell r="P1197" t="str">
            <v>NASDAQ GS</v>
          </cell>
          <cell r="Q1197" t="str">
            <v>Telecommunication Services</v>
          </cell>
          <cell r="R1197" t="str">
            <v>Wireless Telecommunication Ser</v>
          </cell>
          <cell r="S1197" t="str">
            <v>WIFI</v>
          </cell>
        </row>
        <row r="1198">
          <cell r="L1198" t="str">
            <v>PLUS</v>
          </cell>
          <cell r="M1198" t="str">
            <v>EPLUS-INC-408827/</v>
          </cell>
          <cell r="N1198" t="str">
            <v>PLUS</v>
          </cell>
          <cell r="O1198" t="str">
            <v>EPLUS INC</v>
          </cell>
          <cell r="P1198" t="str">
            <v>NASDAQ GS</v>
          </cell>
          <cell r="Q1198" t="str">
            <v>Information Technology</v>
          </cell>
          <cell r="R1198" t="str">
            <v>Electronic Equipment, Instrume</v>
          </cell>
          <cell r="S1198" t="str">
            <v>PLUS</v>
          </cell>
        </row>
        <row r="1199">
          <cell r="L1199" t="str">
            <v>ORIG</v>
          </cell>
          <cell r="M1199" t="str">
            <v>OCEANFIRST-FINANCIAL-CORP-10314/</v>
          </cell>
          <cell r="N1199" t="str">
            <v>ORIG</v>
          </cell>
          <cell r="O1199" t="str">
            <v>OCEAN RIG UDW IN</v>
          </cell>
          <cell r="P1199" t="str">
            <v>NASDAQ GS</v>
          </cell>
          <cell r="Q1199" t="str">
            <v>Energy</v>
          </cell>
          <cell r="R1199" t="str">
            <v>Energy Equipment &amp; Services</v>
          </cell>
          <cell r="S1199" t="str">
            <v>ORIG</v>
          </cell>
        </row>
        <row r="1200">
          <cell r="L1200" t="str">
            <v>BNCL</v>
          </cell>
          <cell r="M1200" t="str">
            <v>BENEFITFOCUS-INC-14297705/</v>
          </cell>
          <cell r="N1200" t="str">
            <v>BNCL</v>
          </cell>
          <cell r="O1200" t="str">
            <v>BENEFICIAL BANCO</v>
          </cell>
          <cell r="P1200" t="str">
            <v>NASDAQ GS</v>
          </cell>
          <cell r="Q1200" t="str">
            <v>Financials</v>
          </cell>
          <cell r="R1200" t="str">
            <v>Thrifts &amp; Mortgage Finance</v>
          </cell>
          <cell r="S1200" t="str">
            <v>BNCL</v>
          </cell>
        </row>
        <row r="1201">
          <cell r="L1201" t="str">
            <v>CBLK</v>
          </cell>
          <cell r="M1201" t="str">
            <v>CARBONITE-INC-8639104/</v>
          </cell>
          <cell r="N1201" t="str">
            <v>CBLK</v>
          </cell>
          <cell r="O1201" t="str">
            <v>CARBON BLACK INC</v>
          </cell>
          <cell r="P1201" t="str">
            <v>NASDAQ GS</v>
          </cell>
          <cell r="Q1201" t="str">
            <v>Information Technology</v>
          </cell>
          <cell r="R1201" t="str">
            <v>Software</v>
          </cell>
          <cell r="S1201" t="str">
            <v>CBLK</v>
          </cell>
        </row>
        <row r="1202">
          <cell r="L1202" t="str">
            <v>PSDO</v>
          </cell>
          <cell r="M1202" t="str">
            <v>PRESIDIO-INC-34231641/</v>
          </cell>
          <cell r="N1202" t="str">
            <v>PSDO</v>
          </cell>
          <cell r="O1202" t="str">
            <v>PRESIDIO INC</v>
          </cell>
          <cell r="P1202" t="str">
            <v>NASDAQ GS</v>
          </cell>
          <cell r="Q1202" t="str">
            <v>Information Technology</v>
          </cell>
          <cell r="R1202" t="str">
            <v>IT Services</v>
          </cell>
          <cell r="S1202" t="str">
            <v>PSDO</v>
          </cell>
        </row>
        <row r="1203">
          <cell r="L1203" t="str">
            <v>OSIS</v>
          </cell>
          <cell r="M1203" t="str">
            <v>OSI-SYSTEMS-INC-10369/</v>
          </cell>
          <cell r="N1203" t="str">
            <v>OSIS</v>
          </cell>
          <cell r="O1203" t="str">
            <v>OSI SYSTEMS INC</v>
          </cell>
          <cell r="P1203" t="str">
            <v>NASDAQ GS</v>
          </cell>
          <cell r="Q1203" t="str">
            <v>Information Technology</v>
          </cell>
          <cell r="R1203" t="str">
            <v>Electronic Equipment, Instrume</v>
          </cell>
          <cell r="S1203" t="str">
            <v>OSIS</v>
          </cell>
        </row>
        <row r="1204">
          <cell r="L1204" t="str">
            <v>WEB</v>
          </cell>
          <cell r="M1204" t="str">
            <v>WEB-COM-GROUP-INC-10130/</v>
          </cell>
          <cell r="N1204" t="str">
            <v>WEB</v>
          </cell>
          <cell r="O1204" t="str">
            <v>WEB.COM GROUP</v>
          </cell>
          <cell r="P1204" t="str">
            <v>NASDAQ GS</v>
          </cell>
          <cell r="Q1204" t="str">
            <v>Information Technology</v>
          </cell>
          <cell r="R1204" t="str">
            <v>Internet Software &amp; Services</v>
          </cell>
          <cell r="S1204" t="str">
            <v>WEB</v>
          </cell>
        </row>
        <row r="1205">
          <cell r="L1205" t="str">
            <v>ECYT</v>
          </cell>
          <cell r="M1205" t="str">
            <v>ENDOCYTE-INC-7304894/</v>
          </cell>
          <cell r="N1205" t="str">
            <v>ECYT</v>
          </cell>
          <cell r="O1205" t="str">
            <v>ENDOCYTE INC</v>
          </cell>
          <cell r="P1205" t="str">
            <v>NASDAQ GS</v>
          </cell>
          <cell r="Q1205" t="str">
            <v>Health Care</v>
          </cell>
          <cell r="R1205" t="str">
            <v>Pharmaceuticals</v>
          </cell>
          <cell r="S1205" t="str">
            <v>ECYT</v>
          </cell>
        </row>
        <row r="1206">
          <cell r="L1206" t="str">
            <v>DCPH</v>
          </cell>
          <cell r="M1206" t="str">
            <v>DECIPHERA-PHARMACEUTICALS-37892977/</v>
          </cell>
          <cell r="N1206" t="str">
            <v>DCPH</v>
          </cell>
          <cell r="O1206" t="str">
            <v>DECIPHERA PHARMA</v>
          </cell>
          <cell r="P1206" t="str">
            <v>NASDAQ GS</v>
          </cell>
          <cell r="Q1206" t="str">
            <v>Health Care</v>
          </cell>
          <cell r="R1206" t="str">
            <v>Biotechnology</v>
          </cell>
          <cell r="S1206" t="str">
            <v>DCPH</v>
          </cell>
        </row>
        <row r="1207">
          <cell r="L1207" t="str">
            <v>APOG</v>
          </cell>
          <cell r="M1207" t="str">
            <v>APOGEE-ENTERPRISES-INC-8400/</v>
          </cell>
          <cell r="N1207" t="str">
            <v>APOG</v>
          </cell>
          <cell r="O1207" t="str">
            <v>APOGEE ENTERPR</v>
          </cell>
          <cell r="P1207" t="str">
            <v>NASDAQ GS</v>
          </cell>
          <cell r="Q1207" t="str">
            <v>Industrials</v>
          </cell>
          <cell r="R1207" t="str">
            <v>Building Products</v>
          </cell>
          <cell r="S1207" t="str">
            <v>APOG</v>
          </cell>
        </row>
        <row r="1208">
          <cell r="L1208" t="str">
            <v>MGRC</v>
          </cell>
          <cell r="M1208" t="str">
            <v>MCGRATH-RENTCORP-10022/</v>
          </cell>
          <cell r="N1208" t="str">
            <v>MGRC</v>
          </cell>
          <cell r="O1208" t="str">
            <v>MCGRATH RENTCORP</v>
          </cell>
          <cell r="P1208" t="str">
            <v>NASDAQ GS</v>
          </cell>
          <cell r="Q1208" t="str">
            <v>Industrials</v>
          </cell>
          <cell r="R1208" t="str">
            <v>Commercial Services &amp; Supplies</v>
          </cell>
          <cell r="S1208" t="str">
            <v>MGRC</v>
          </cell>
        </row>
        <row r="1209">
          <cell r="L1209" t="str">
            <v>TRS</v>
          </cell>
          <cell r="M1209" t="str">
            <v>TRIMAS-CORP-50682/</v>
          </cell>
          <cell r="N1209" t="str">
            <v>TRS</v>
          </cell>
          <cell r="O1209" t="str">
            <v>TRIMAS CORP</v>
          </cell>
          <cell r="P1209" t="str">
            <v>NASDAQ GS</v>
          </cell>
          <cell r="Q1209" t="str">
            <v>Industrials</v>
          </cell>
          <cell r="R1209" t="str">
            <v>Machinery</v>
          </cell>
          <cell r="S1209" t="str">
            <v>TRS</v>
          </cell>
        </row>
        <row r="1210">
          <cell r="L1210" t="str">
            <v>SASR</v>
          </cell>
          <cell r="M1210" t="str">
            <v>SANDY-SPRING-BANCORP-INC-10741/</v>
          </cell>
          <cell r="N1210" t="str">
            <v>SASR</v>
          </cell>
          <cell r="O1210" t="str">
            <v>SANDY SPRING BAN</v>
          </cell>
          <cell r="P1210" t="str">
            <v>NASDAQ GS</v>
          </cell>
          <cell r="Q1210" t="str">
            <v>Financials</v>
          </cell>
          <cell r="R1210" t="str">
            <v>Banks</v>
          </cell>
          <cell r="S1210" t="str">
            <v>SASR</v>
          </cell>
        </row>
        <row r="1211">
          <cell r="L1211" t="str">
            <v>GSM</v>
          </cell>
          <cell r="M1211" t="str">
            <v>FERROGLOBE-PLC-30897230/</v>
          </cell>
          <cell r="N1211" t="str">
            <v>GSM</v>
          </cell>
          <cell r="O1211" t="str">
            <v>FERROGLOBE PLC</v>
          </cell>
          <cell r="P1211" t="str">
            <v>NASDAQ GS</v>
          </cell>
          <cell r="Q1211" t="str">
            <v>Materials</v>
          </cell>
          <cell r="R1211" t="str">
            <v>Metals &amp; Mining</v>
          </cell>
          <cell r="S1211" t="str">
            <v>GSM</v>
          </cell>
        </row>
        <row r="1212">
          <cell r="L1212" t="str">
            <v>TVTY</v>
          </cell>
          <cell r="M1212" t="str">
            <v>TIVITY-HEALTH-INC-33296226/</v>
          </cell>
          <cell r="N1212" t="str">
            <v>TVTY</v>
          </cell>
          <cell r="O1212" t="str">
            <v>TIVITY HEALTH IN</v>
          </cell>
          <cell r="P1212" t="str">
            <v>NASDAQ GS</v>
          </cell>
          <cell r="Q1212" t="str">
            <v>Health Care</v>
          </cell>
          <cell r="R1212" t="str">
            <v>Health Care Providers &amp; Servic</v>
          </cell>
          <cell r="S1212" t="str">
            <v>TVTY</v>
          </cell>
        </row>
        <row r="1213">
          <cell r="L1213" t="str">
            <v>EIGI</v>
          </cell>
          <cell r="M1213" t="str">
            <v>ENDURANCE-INTERNATIONAL-G-14688861/</v>
          </cell>
          <cell r="N1213" t="str">
            <v>EIGI</v>
          </cell>
          <cell r="O1213" t="str">
            <v>ENDURANCE INTERN</v>
          </cell>
          <cell r="P1213" t="str">
            <v>NASDAQ GS</v>
          </cell>
          <cell r="Q1213" t="str">
            <v>Information Technology</v>
          </cell>
          <cell r="R1213" t="str">
            <v>Internet Software &amp; Services</v>
          </cell>
          <cell r="S1213" t="str">
            <v>EIGI</v>
          </cell>
        </row>
        <row r="1214">
          <cell r="L1214" t="str">
            <v>COHR</v>
          </cell>
          <cell r="M1214" t="str">
            <v>COHERUS-BIOSCIENCES-INC-18460920/</v>
          </cell>
          <cell r="N1214" t="str">
            <v>COHR</v>
          </cell>
          <cell r="O1214" t="str">
            <v>COHERENT INC</v>
          </cell>
          <cell r="P1214" t="str">
            <v>NASDAQ GS</v>
          </cell>
          <cell r="Q1214" t="str">
            <v>Information Technology</v>
          </cell>
          <cell r="R1214" t="str">
            <v>Electronic Equipment, Instrume</v>
          </cell>
          <cell r="S1214" t="str">
            <v>COHR</v>
          </cell>
        </row>
        <row r="1215">
          <cell r="L1215" t="str">
            <v>HFWA</v>
          </cell>
          <cell r="M1215" t="str">
            <v>HERITAGE-FINANCIAL-CORP-9541/</v>
          </cell>
          <cell r="N1215" t="str">
            <v>HFWA</v>
          </cell>
          <cell r="O1215" t="str">
            <v>HERITAGE FINL</v>
          </cell>
          <cell r="P1215" t="str">
            <v>NASDAQ GS</v>
          </cell>
          <cell r="Q1215" t="str">
            <v>Financials</v>
          </cell>
          <cell r="R1215" t="str">
            <v>Banks</v>
          </cell>
          <cell r="S1215" t="str">
            <v>HFWA</v>
          </cell>
        </row>
        <row r="1216">
          <cell r="L1216" t="str">
            <v>PLYA</v>
          </cell>
          <cell r="M1216" t="str">
            <v>PLAYA-HOTELS-RESORTS-NV-34264445/</v>
          </cell>
          <cell r="N1216" t="str">
            <v>PLYA</v>
          </cell>
          <cell r="O1216" t="str">
            <v>PLAYA HOTELS &amp; R</v>
          </cell>
          <cell r="P1216" t="str">
            <v>NASDAQ GS</v>
          </cell>
          <cell r="Q1216" t="str">
            <v>Consumer Discretionary</v>
          </cell>
          <cell r="R1216" t="str">
            <v>Hotels, Restaurants &amp; Leisure</v>
          </cell>
          <cell r="S1216" t="str">
            <v>PLYA</v>
          </cell>
        </row>
        <row r="1217">
          <cell r="L1217" t="str">
            <v>MITL</v>
          </cell>
          <cell r="M1217" t="str">
            <v>MITEL-NETWORKS-CORP-6151877/</v>
          </cell>
          <cell r="N1217" t="str">
            <v>MITL</v>
          </cell>
          <cell r="O1217" t="str">
            <v>MITEL NETWORKS C</v>
          </cell>
          <cell r="P1217" t="str">
            <v>NASDAQ GS</v>
          </cell>
          <cell r="Q1217" t="str">
            <v>Information Technology</v>
          </cell>
          <cell r="R1217" t="str">
            <v>Communications Equipment</v>
          </cell>
          <cell r="S1217" t="str">
            <v>MITL</v>
          </cell>
        </row>
        <row r="1218">
          <cell r="L1218" t="str">
            <v>KANG</v>
          </cell>
          <cell r="M1218" t="str">
            <v>IKANG-HEALTHCARE-GROUP-IN-16256784/</v>
          </cell>
          <cell r="N1218" t="str">
            <v>KANG</v>
          </cell>
          <cell r="O1218" t="str">
            <v>IKANG HEALTH-ADR</v>
          </cell>
          <cell r="P1218" t="str">
            <v>NASDAQ GS</v>
          </cell>
          <cell r="Q1218" t="str">
            <v>Health Care</v>
          </cell>
          <cell r="R1218" t="str">
            <v>Health Care Providers &amp; Servic</v>
          </cell>
          <cell r="S1218" t="str">
            <v>KANG</v>
          </cell>
        </row>
        <row r="1219">
          <cell r="L1219" t="str">
            <v>ACOR</v>
          </cell>
          <cell r="M1219" t="str">
            <v>ACORDA-THERAPEUTICS-INC-8238/</v>
          </cell>
          <cell r="N1219" t="str">
            <v>ACOR</v>
          </cell>
          <cell r="O1219" t="str">
            <v>ACORDA THERAPEUT</v>
          </cell>
          <cell r="P1219" t="str">
            <v>NASDAQ GS</v>
          </cell>
          <cell r="Q1219" t="str">
            <v>Health Care</v>
          </cell>
          <cell r="R1219" t="str">
            <v>Biotechnology</v>
          </cell>
          <cell r="S1219" t="str">
            <v>ACOR</v>
          </cell>
        </row>
        <row r="1220">
          <cell r="L1220" t="str">
            <v>GOGL</v>
          </cell>
          <cell r="M1220" t="str">
            <v>GOLDEN-OCEAN-GROUP-LTD-30353115/</v>
          </cell>
          <cell r="N1220" t="str">
            <v>GOGL</v>
          </cell>
          <cell r="O1220" t="str">
            <v>GOLDEN OCEAN GRO</v>
          </cell>
          <cell r="P1220" t="str">
            <v>NASDAQ GS</v>
          </cell>
          <cell r="Q1220" t="str">
            <v>Industrials</v>
          </cell>
          <cell r="R1220" t="str">
            <v>Marine</v>
          </cell>
          <cell r="S1220" t="str">
            <v>GOGL</v>
          </cell>
        </row>
        <row r="1221">
          <cell r="L1221" t="str">
            <v>KRNY</v>
          </cell>
          <cell r="M1221" t="str">
            <v>KEARNY-FINANCIAL-CORP-22270204/</v>
          </cell>
          <cell r="N1221" t="str">
            <v>KRNY</v>
          </cell>
          <cell r="O1221" t="str">
            <v>KEARNY FINANCIAL</v>
          </cell>
          <cell r="P1221" t="str">
            <v>NASDAQ GS</v>
          </cell>
          <cell r="Q1221" t="str">
            <v>Financials</v>
          </cell>
          <cell r="R1221" t="str">
            <v>Thrifts &amp; Mortgage Finance</v>
          </cell>
          <cell r="S1221" t="str">
            <v>KRNY</v>
          </cell>
        </row>
        <row r="1222">
          <cell r="L1222" t="str">
            <v>INTC</v>
          </cell>
          <cell r="M1222" t="str">
            <v>INTELLIA-THERAPEUTICS-INC-27506682/</v>
          </cell>
          <cell r="N1222" t="str">
            <v>INTC</v>
          </cell>
          <cell r="O1222" t="str">
            <v>INTEL CORP</v>
          </cell>
          <cell r="P1222" t="str">
            <v>NASDAQ GS</v>
          </cell>
          <cell r="Q1222" t="str">
            <v>Information Technology</v>
          </cell>
          <cell r="R1222" t="str">
            <v>Semiconductors &amp; Semiconductor</v>
          </cell>
          <cell r="S1222" t="str">
            <v>INTC</v>
          </cell>
        </row>
        <row r="1223">
          <cell r="L1223" t="str">
            <v>DBVT</v>
          </cell>
          <cell r="M1223" t="str">
            <v>DBV-TECHNOLOGIES-SA-ADR-18387591/</v>
          </cell>
          <cell r="N1223" t="str">
            <v>DBVT</v>
          </cell>
          <cell r="O1223" t="str">
            <v>DBV TECHNOLO-ADR</v>
          </cell>
          <cell r="P1223" t="str">
            <v>NASDAQ GS</v>
          </cell>
          <cell r="Q1223" t="str">
            <v>Health Care</v>
          </cell>
          <cell r="R1223" t="str">
            <v>Biotechnology</v>
          </cell>
          <cell r="S1223" t="str">
            <v>DBVT</v>
          </cell>
        </row>
        <row r="1224">
          <cell r="L1224" t="str">
            <v>SONC</v>
          </cell>
          <cell r="M1224" t="str">
            <v>SONIC-CORPORATION-10901/</v>
          </cell>
          <cell r="N1224" t="str">
            <v>SONC</v>
          </cell>
          <cell r="O1224" t="str">
            <v>SONIC CORP</v>
          </cell>
          <cell r="P1224" t="str">
            <v>NASDAQ GS</v>
          </cell>
          <cell r="Q1224" t="str">
            <v>Consumer Discretionary</v>
          </cell>
          <cell r="R1224" t="str">
            <v>Hotels, Restaurants &amp; Leisure</v>
          </cell>
          <cell r="S1224" t="str">
            <v>SONC</v>
          </cell>
        </row>
        <row r="1225">
          <cell r="L1225" t="str">
            <v>BNCL</v>
          </cell>
          <cell r="M1225" t="str">
            <v>BENEFICIAL-BANCORP-INC-20745120/</v>
          </cell>
          <cell r="N1225" t="str">
            <v>BNCL</v>
          </cell>
          <cell r="O1225" t="str">
            <v>BENEFICIAL BANCO</v>
          </cell>
          <cell r="P1225" t="str">
            <v>NASDAQ GS</v>
          </cell>
          <cell r="Q1225" t="str">
            <v>Financials</v>
          </cell>
          <cell r="R1225" t="str">
            <v>Thrifts &amp; Mortgage Finance</v>
          </cell>
          <cell r="S1225" t="str">
            <v>BNCL</v>
          </cell>
        </row>
        <row r="1226">
          <cell r="L1226" t="str">
            <v>TRUE</v>
          </cell>
          <cell r="M1226" t="str">
            <v>TRUECAR-INC-16490241/</v>
          </cell>
          <cell r="N1226" t="str">
            <v>TRUE</v>
          </cell>
          <cell r="O1226" t="str">
            <v>TRUECAR INC</v>
          </cell>
          <cell r="P1226" t="str">
            <v>NASDAQ GS</v>
          </cell>
          <cell r="Q1226" t="str">
            <v>Information Technology</v>
          </cell>
          <cell r="R1226" t="str">
            <v>Internet Software &amp; Services</v>
          </cell>
          <cell r="S1226" t="str">
            <v>TRUE</v>
          </cell>
        </row>
        <row r="1227">
          <cell r="L1227" t="str">
            <v>MGPI</v>
          </cell>
          <cell r="M1227" t="str">
            <v>MGP-INGREDIENTS-INC-9737356/</v>
          </cell>
          <cell r="N1227" t="str">
            <v>MGPI</v>
          </cell>
          <cell r="O1227" t="str">
            <v>MGP INGREDIENTS</v>
          </cell>
          <cell r="P1227" t="str">
            <v>NASDAQ GS</v>
          </cell>
          <cell r="Q1227" t="str">
            <v>Consumer Staples</v>
          </cell>
          <cell r="R1227" t="str">
            <v>Beverages</v>
          </cell>
          <cell r="S1227" t="str">
            <v>MGPI</v>
          </cell>
        </row>
        <row r="1228">
          <cell r="L1228" t="str">
            <v>SSYS</v>
          </cell>
          <cell r="M1228" t="str">
            <v>STRATASYS-LTD-12111547/</v>
          </cell>
          <cell r="N1228" t="str">
            <v>SSYS</v>
          </cell>
          <cell r="O1228" t="str">
            <v>STRATASYS LTD</v>
          </cell>
          <cell r="P1228" t="str">
            <v>NASDAQ GS</v>
          </cell>
          <cell r="Q1228" t="str">
            <v>Information Technology</v>
          </cell>
          <cell r="R1228" t="str">
            <v>Technology Hardware, Storage &amp;</v>
          </cell>
          <cell r="S1228" t="str">
            <v>SSYS</v>
          </cell>
        </row>
        <row r="1229">
          <cell r="L1229" t="str">
            <v>RMBS</v>
          </cell>
          <cell r="M1229" t="str">
            <v>RAMBUS-INC-10681/</v>
          </cell>
          <cell r="N1229" t="str">
            <v>RMBS</v>
          </cell>
          <cell r="O1229" t="str">
            <v>RAMBUS INC</v>
          </cell>
          <cell r="P1229" t="str">
            <v>NASDAQ GS</v>
          </cell>
          <cell r="Q1229" t="str">
            <v>Information Technology</v>
          </cell>
          <cell r="R1229" t="str">
            <v>Semiconductors &amp; Semiconductor</v>
          </cell>
          <cell r="S1229" t="str">
            <v>RMBS</v>
          </cell>
        </row>
        <row r="1230">
          <cell r="L1230" t="str">
            <v>KNSL</v>
          </cell>
          <cell r="M1230" t="str">
            <v>KINSALE-CAPITAL-GROUP-INC-30379189/</v>
          </cell>
          <cell r="N1230" t="str">
            <v>KNSL</v>
          </cell>
          <cell r="O1230" t="str">
            <v>KINSALE CAPITAL</v>
          </cell>
          <cell r="P1230" t="str">
            <v>NASDAQ GS</v>
          </cell>
          <cell r="Q1230" t="str">
            <v>Financials</v>
          </cell>
          <cell r="R1230" t="str">
            <v>Insurance</v>
          </cell>
          <cell r="S1230" t="str">
            <v>KNSL</v>
          </cell>
        </row>
        <row r="1231">
          <cell r="L1231" t="str">
            <v>PRIM</v>
          </cell>
          <cell r="M1231" t="str">
            <v>PRIMORIS-SERVICES-CORP-195602/</v>
          </cell>
          <cell r="N1231" t="str">
            <v>PRIM</v>
          </cell>
          <cell r="O1231" t="str">
            <v>PRIMORIS SERVICE</v>
          </cell>
          <cell r="P1231" t="str">
            <v>NASDAQ GS</v>
          </cell>
          <cell r="Q1231" t="str">
            <v>Industrials</v>
          </cell>
          <cell r="R1231" t="str">
            <v>Construction &amp; Engineering</v>
          </cell>
          <cell r="S1231" t="str">
            <v>PRIM</v>
          </cell>
        </row>
        <row r="1232">
          <cell r="L1232" t="str">
            <v>LMNX</v>
          </cell>
          <cell r="M1232" t="str">
            <v>LUMINEX-CORPORATION-9890/</v>
          </cell>
          <cell r="N1232" t="str">
            <v>LMNX</v>
          </cell>
          <cell r="O1232" t="str">
            <v>LUMINEX CORP</v>
          </cell>
          <cell r="P1232" t="str">
            <v>NASDAQ GS</v>
          </cell>
          <cell r="Q1232" t="str">
            <v>Health Care</v>
          </cell>
          <cell r="R1232" t="str">
            <v>Life Sciences Tools &amp; Services</v>
          </cell>
          <cell r="S1232" t="str">
            <v>LMNX</v>
          </cell>
        </row>
        <row r="1233">
          <cell r="L1233" t="str">
            <v>SYKE</v>
          </cell>
          <cell r="M1233" t="str">
            <v>SYKES-ENTERPRISES-INCORP-11021/</v>
          </cell>
          <cell r="N1233" t="str">
            <v>SYKE</v>
          </cell>
          <cell r="O1233" t="str">
            <v>SYKES ENTERPRISE</v>
          </cell>
          <cell r="P1233" t="str">
            <v>NASDAQ GS</v>
          </cell>
          <cell r="Q1233" t="str">
            <v>Information Technology</v>
          </cell>
          <cell r="R1233" t="str">
            <v>IT Services</v>
          </cell>
          <cell r="S1233" t="str">
            <v>SYKE</v>
          </cell>
        </row>
        <row r="1234">
          <cell r="L1234" t="str">
            <v>AMBA</v>
          </cell>
          <cell r="M1234" t="str">
            <v>AMBARELLA-INC-11695071/</v>
          </cell>
          <cell r="N1234" t="str">
            <v>AMBA</v>
          </cell>
          <cell r="O1234" t="str">
            <v>AMBARELLA INC</v>
          </cell>
          <cell r="P1234" t="str">
            <v>NASDAQ GS</v>
          </cell>
          <cell r="Q1234" t="str">
            <v>Information Technology</v>
          </cell>
          <cell r="R1234" t="str">
            <v>Semiconductors &amp; Semiconductor</v>
          </cell>
          <cell r="S1234" t="str">
            <v>AMBA</v>
          </cell>
        </row>
        <row r="1235">
          <cell r="L1235" t="str">
            <v>CASA</v>
          </cell>
          <cell r="M1235" t="str">
            <v>CASA-SYSTEMS-INC-39004927/</v>
          </cell>
          <cell r="N1235" t="str">
            <v>CASA</v>
          </cell>
          <cell r="O1235" t="str">
            <v>CASA SYSTEMS INC</v>
          </cell>
          <cell r="P1235" t="str">
            <v>NASDAQ GS</v>
          </cell>
          <cell r="Q1235" t="str">
            <v>Information Technology</v>
          </cell>
          <cell r="R1235" t="str">
            <v>Communications Equipment</v>
          </cell>
          <cell r="S1235" t="str">
            <v>CASA</v>
          </cell>
        </row>
        <row r="1236">
          <cell r="L1236" t="str">
            <v>LGIH</v>
          </cell>
          <cell r="M1236" t="str">
            <v>LGI-HOMES-INC-14850834/</v>
          </cell>
          <cell r="N1236" t="str">
            <v>LGIH</v>
          </cell>
          <cell r="O1236" t="str">
            <v>LGI HOMES INC</v>
          </cell>
          <cell r="P1236" t="str">
            <v>NASDAQ GS</v>
          </cell>
          <cell r="Q1236" t="str">
            <v>Consumer Discretionary</v>
          </cell>
          <cell r="R1236" t="str">
            <v>Household Durables</v>
          </cell>
          <cell r="S1236" t="str">
            <v>LGIH</v>
          </cell>
        </row>
        <row r="1237">
          <cell r="L1237" t="str">
            <v>NEOG</v>
          </cell>
          <cell r="M1237" t="str">
            <v>NEOGENOMICS-INC-12136328/</v>
          </cell>
          <cell r="N1237" t="str">
            <v>NEOG</v>
          </cell>
          <cell r="O1237" t="str">
            <v>NEOGEN CORP</v>
          </cell>
          <cell r="P1237" t="str">
            <v>NASDAQ GS</v>
          </cell>
          <cell r="Q1237" t="str">
            <v>Health Care</v>
          </cell>
          <cell r="R1237" t="str">
            <v>Health Care Equipment &amp; Suppli</v>
          </cell>
          <cell r="S1237" t="str">
            <v>NEOG</v>
          </cell>
        </row>
        <row r="1238">
          <cell r="L1238" t="str">
            <v>CHCO</v>
          </cell>
          <cell r="M1238" t="str">
            <v>CITY-HOLDING-COMPANY-8764/</v>
          </cell>
          <cell r="N1238" t="str">
            <v>CHCO</v>
          </cell>
          <cell r="O1238" t="str">
            <v>CITY HOLDING CO</v>
          </cell>
          <cell r="P1238" t="str">
            <v>NASDAQ GS</v>
          </cell>
          <cell r="Q1238" t="str">
            <v>Financials</v>
          </cell>
          <cell r="R1238" t="str">
            <v>Banks</v>
          </cell>
          <cell r="S1238" t="str">
            <v>CHCO</v>
          </cell>
        </row>
        <row r="1239">
          <cell r="L1239" t="str">
            <v>KPTI</v>
          </cell>
          <cell r="M1239" t="str">
            <v>KARYOPHARM-THERAPEUTICS-I-14825950/</v>
          </cell>
          <cell r="N1239" t="str">
            <v>KPTI</v>
          </cell>
          <cell r="O1239" t="str">
            <v>KARYOPHARM THERA</v>
          </cell>
          <cell r="P1239" t="str">
            <v>NASDAQ GS</v>
          </cell>
          <cell r="Q1239" t="str">
            <v>Health Care</v>
          </cell>
          <cell r="R1239" t="str">
            <v>Biotechnology</v>
          </cell>
          <cell r="S1239" t="str">
            <v>KPTI</v>
          </cell>
        </row>
        <row r="1240">
          <cell r="L1240" t="str">
            <v>CSGS</v>
          </cell>
          <cell r="M1240" t="str">
            <v>CSG-SYSTEMS-INTERNATIONAL-8924/</v>
          </cell>
          <cell r="N1240" t="str">
            <v>CSGS</v>
          </cell>
          <cell r="O1240" t="str">
            <v>CSG SYSTEMS INTL</v>
          </cell>
          <cell r="P1240" t="str">
            <v>NASDAQ GS</v>
          </cell>
          <cell r="Q1240" t="str">
            <v>Information Technology</v>
          </cell>
          <cell r="R1240" t="str">
            <v>IT Services</v>
          </cell>
          <cell r="S1240" t="str">
            <v>CSGS</v>
          </cell>
        </row>
        <row r="1241">
          <cell r="L1241" t="str">
            <v>WETF</v>
          </cell>
          <cell r="M1241" t="str">
            <v>WISDOM-TREE-INVESTMENTS-I-8515286/</v>
          </cell>
          <cell r="N1241" t="str">
            <v>WETF</v>
          </cell>
          <cell r="O1241" t="str">
            <v>WISDOMTREE INVES</v>
          </cell>
          <cell r="P1241" t="str">
            <v>NASDAQ GS</v>
          </cell>
          <cell r="Q1241" t="str">
            <v>Financials</v>
          </cell>
          <cell r="R1241" t="str">
            <v>Capital Markets</v>
          </cell>
          <cell r="S1241" t="str">
            <v>WETF</v>
          </cell>
        </row>
        <row r="1242">
          <cell r="L1242" t="str">
            <v>ARCB</v>
          </cell>
          <cell r="M1242" t="str">
            <v>ARCBEST-CORP-16383793/</v>
          </cell>
          <cell r="N1242" t="str">
            <v>ARCB</v>
          </cell>
          <cell r="O1242" t="str">
            <v>ARCBEST CORP</v>
          </cell>
          <cell r="P1242" t="str">
            <v>NASDAQ GS</v>
          </cell>
          <cell r="Q1242" t="str">
            <v>Industrials</v>
          </cell>
          <cell r="R1242" t="str">
            <v>Road &amp; Rail</v>
          </cell>
          <cell r="S1242" t="str">
            <v>ARCB</v>
          </cell>
        </row>
        <row r="1243">
          <cell r="L1243" t="str">
            <v>LKFN</v>
          </cell>
          <cell r="M1243" t="str">
            <v>LAKELAND-FINANCIAL-CORPOR-9886/</v>
          </cell>
          <cell r="N1243" t="str">
            <v>LKFN</v>
          </cell>
          <cell r="O1243" t="str">
            <v>LAKELAND FINL</v>
          </cell>
          <cell r="P1243" t="str">
            <v>NASDAQ GS</v>
          </cell>
          <cell r="Q1243" t="str">
            <v>Financials</v>
          </cell>
          <cell r="R1243" t="str">
            <v>Banks</v>
          </cell>
          <cell r="S1243" t="str">
            <v>LKFN</v>
          </cell>
        </row>
        <row r="1244">
          <cell r="L1244" t="str">
            <v>RDWR</v>
          </cell>
          <cell r="M1244" t="str">
            <v>RADWARE-LTD-10644/</v>
          </cell>
          <cell r="N1244" t="str">
            <v>RDWR</v>
          </cell>
          <cell r="O1244" t="str">
            <v>RADWARE LTD</v>
          </cell>
          <cell r="P1244" t="str">
            <v>NASDAQ GS</v>
          </cell>
          <cell r="Q1244" t="str">
            <v>Information Technology</v>
          </cell>
          <cell r="R1244" t="str">
            <v>Communications Equipment</v>
          </cell>
          <cell r="S1244" t="str">
            <v>RDWR</v>
          </cell>
        </row>
        <row r="1245">
          <cell r="L1245" t="str">
            <v>PENN</v>
          </cell>
          <cell r="M1245" t="str">
            <v>PENN-VIRGINIA-CORPORATION-32637784/</v>
          </cell>
          <cell r="N1245" t="str">
            <v>PENN</v>
          </cell>
          <cell r="O1245" t="str">
            <v>PENN NATL GAMING</v>
          </cell>
          <cell r="P1245" t="str">
            <v>NASDAQ GS</v>
          </cell>
          <cell r="Q1245" t="str">
            <v>Consumer Discretionary</v>
          </cell>
          <cell r="R1245" t="str">
            <v>Hotels, Restaurants &amp; Leisure</v>
          </cell>
          <cell r="S1245" t="str">
            <v>PENN</v>
          </cell>
        </row>
        <row r="1246">
          <cell r="L1246" t="str">
            <v>HEES</v>
          </cell>
          <cell r="M1246" t="str">
            <v>H-E-EQUIPMENT-SERVICES-I-9532/</v>
          </cell>
          <cell r="N1246" t="str">
            <v>HEES</v>
          </cell>
          <cell r="O1246" t="str">
            <v>H&amp;E EQUIPMENT SE</v>
          </cell>
          <cell r="P1246" t="str">
            <v>NASDAQ GS</v>
          </cell>
          <cell r="Q1246" t="str">
            <v>Industrials</v>
          </cell>
          <cell r="R1246" t="str">
            <v>Trading Companies &amp; Distributo</v>
          </cell>
          <cell r="S1246" t="str">
            <v>HEES</v>
          </cell>
        </row>
        <row r="1247">
          <cell r="L1247" t="str">
            <v>TUSK</v>
          </cell>
          <cell r="M1247" t="str">
            <v>MAMMOTH-ENERGY-SERVICES-I-31609581/</v>
          </cell>
          <cell r="N1247" t="str">
            <v>TUSK</v>
          </cell>
          <cell r="O1247" t="str">
            <v>MAMMOTH ENERGY S</v>
          </cell>
          <cell r="P1247" t="str">
            <v>NASDAQ GS</v>
          </cell>
          <cell r="Q1247" t="str">
            <v>Energy</v>
          </cell>
          <cell r="R1247" t="str">
            <v>Energy Equipment &amp; Services</v>
          </cell>
          <cell r="S1247" t="str">
            <v>TUSK</v>
          </cell>
        </row>
        <row r="1248">
          <cell r="L1248" t="str">
            <v>JRVR</v>
          </cell>
          <cell r="M1248" t="str">
            <v>JAMES-RIVER-GROUP-HOLDING-19157142/</v>
          </cell>
          <cell r="N1248" t="str">
            <v>JRVR</v>
          </cell>
          <cell r="O1248" t="str">
            <v>JAMES RIVER GROU</v>
          </cell>
          <cell r="P1248" t="str">
            <v>NASDAQ GS</v>
          </cell>
          <cell r="Q1248" t="str">
            <v>Financials</v>
          </cell>
          <cell r="R1248" t="str">
            <v>Insurance</v>
          </cell>
          <cell r="S1248" t="str">
            <v>JRVR</v>
          </cell>
        </row>
        <row r="1249">
          <cell r="L1249" t="str">
            <v>CWST</v>
          </cell>
          <cell r="M1249" t="str">
            <v>CASELLA-WASTE-SYSTEMS-INC-8981/</v>
          </cell>
          <cell r="N1249" t="str">
            <v>CWST</v>
          </cell>
          <cell r="O1249" t="str">
            <v>CASELLA WASTE</v>
          </cell>
          <cell r="P1249" t="str">
            <v>NASDAQ GS</v>
          </cell>
          <cell r="Q1249" t="str">
            <v>Industrials</v>
          </cell>
          <cell r="R1249" t="str">
            <v>Commercial Services &amp; Supplies</v>
          </cell>
          <cell r="S1249" t="str">
            <v>CWST</v>
          </cell>
        </row>
        <row r="1250">
          <cell r="L1250" t="str">
            <v>BABY</v>
          </cell>
          <cell r="M1250" t="str">
            <v>NATUS-MEDICAL-INC-8516/</v>
          </cell>
          <cell r="N1250" t="str">
            <v>BABY</v>
          </cell>
          <cell r="O1250" t="str">
            <v>NATUS MEDICAL</v>
          </cell>
          <cell r="P1250" t="str">
            <v>NASDAQ GS</v>
          </cell>
          <cell r="Q1250" t="str">
            <v>Health Care</v>
          </cell>
          <cell r="R1250" t="str">
            <v>Health Care Equipment &amp; Suppli</v>
          </cell>
          <cell r="S1250" t="str">
            <v>BABY</v>
          </cell>
        </row>
        <row r="1251">
          <cell r="L1251" t="str">
            <v>LABL</v>
          </cell>
          <cell r="M1251" t="str">
            <v>MULTI-COLOR-CORPORATION-9841/</v>
          </cell>
          <cell r="N1251" t="str">
            <v>LABL</v>
          </cell>
          <cell r="O1251" t="str">
            <v>MULTI-COLOR CORP</v>
          </cell>
          <cell r="P1251" t="str">
            <v>NASDAQ GS</v>
          </cell>
          <cell r="Q1251" t="str">
            <v>Industrials</v>
          </cell>
          <cell r="R1251" t="str">
            <v>Commercial Services &amp; Supplies</v>
          </cell>
          <cell r="S1251" t="str">
            <v>LABL</v>
          </cell>
        </row>
        <row r="1252">
          <cell r="L1252" t="str">
            <v>ATRO</v>
          </cell>
          <cell r="M1252" t="str">
            <v>ASTRONICS-CORPORATION-8485/</v>
          </cell>
          <cell r="N1252" t="str">
            <v>ATRO</v>
          </cell>
          <cell r="O1252" t="str">
            <v>ASTRONICS CORP</v>
          </cell>
          <cell r="P1252" t="str">
            <v>NASDAQ GS</v>
          </cell>
          <cell r="Q1252" t="str">
            <v>Industrials</v>
          </cell>
          <cell r="R1252" t="str">
            <v>Aerospace &amp; Defense</v>
          </cell>
          <cell r="S1252" t="str">
            <v>ATRO</v>
          </cell>
        </row>
        <row r="1253">
          <cell r="L1253" t="str">
            <v>WIRE</v>
          </cell>
          <cell r="M1253" t="str">
            <v>ENCORE-CAPITAL-GROUP-INC-9133/</v>
          </cell>
          <cell r="N1253" t="str">
            <v>WIRE</v>
          </cell>
          <cell r="O1253" t="str">
            <v>ENCORE WIRE</v>
          </cell>
          <cell r="P1253" t="str">
            <v>NASDAQ GS</v>
          </cell>
          <cell r="Q1253" t="str">
            <v>Industrials</v>
          </cell>
          <cell r="R1253" t="str">
            <v>Electrical Equipment</v>
          </cell>
          <cell r="S1253" t="str">
            <v>WIRE</v>
          </cell>
        </row>
        <row r="1254">
          <cell r="L1254" t="str">
            <v>ATRI</v>
          </cell>
          <cell r="M1254" t="str">
            <v>ATRION-CORPORATION-8483/</v>
          </cell>
          <cell r="N1254" t="str">
            <v>ATRI</v>
          </cell>
          <cell r="O1254" t="str">
            <v>ATRION CORP</v>
          </cell>
          <cell r="P1254" t="str">
            <v>NASDAQ GS</v>
          </cell>
          <cell r="Q1254" t="str">
            <v>Health Care</v>
          </cell>
          <cell r="R1254" t="str">
            <v>Health Care Equipment &amp; Suppli</v>
          </cell>
          <cell r="S1254" t="str">
            <v>ATRI</v>
          </cell>
        </row>
        <row r="1255">
          <cell r="L1255" t="str">
            <v>ATSG</v>
          </cell>
          <cell r="M1255" t="str">
            <v>AIR-TRANSPORT-SERVICES-GR-3036393/</v>
          </cell>
          <cell r="N1255" t="str">
            <v>ATSG</v>
          </cell>
          <cell r="O1255" t="str">
            <v>AIR TRANSPORT SE</v>
          </cell>
          <cell r="P1255" t="str">
            <v>NASDAQ GS</v>
          </cell>
          <cell r="Q1255" t="str">
            <v>Industrials</v>
          </cell>
          <cell r="R1255" t="str">
            <v>Air Freight &amp; Logistics</v>
          </cell>
          <cell r="S1255" t="str">
            <v>ATSG</v>
          </cell>
        </row>
        <row r="1256">
          <cell r="L1256" t="str">
            <v>SNBR</v>
          </cell>
          <cell r="M1256" t="str">
            <v>SLEEP-NUMBER-CORP-38533834/</v>
          </cell>
          <cell r="N1256" t="str">
            <v>SNBR</v>
          </cell>
          <cell r="O1256" t="str">
            <v>SLEEP NUMBER COR</v>
          </cell>
          <cell r="P1256" t="str">
            <v>NASDAQ GS</v>
          </cell>
          <cell r="Q1256" t="str">
            <v>Consumer Discretionary</v>
          </cell>
          <cell r="R1256" t="str">
            <v>Specialty Retail</v>
          </cell>
          <cell r="S1256" t="str">
            <v>SNBR</v>
          </cell>
        </row>
        <row r="1257">
          <cell r="L1257" t="str">
            <v>VREX</v>
          </cell>
          <cell r="M1257" t="str">
            <v>VAREX-IMAGING-CORP-33350889/</v>
          </cell>
          <cell r="N1257" t="str">
            <v>VREX</v>
          </cell>
          <cell r="O1257" t="str">
            <v>VAREX IMAGIN</v>
          </cell>
          <cell r="P1257" t="str">
            <v>NASDAQ GS</v>
          </cell>
          <cell r="Q1257" t="str">
            <v>Health Care</v>
          </cell>
          <cell r="R1257" t="str">
            <v>Health Care Equipment &amp; Suppli</v>
          </cell>
          <cell r="S1257" t="str">
            <v>VREX</v>
          </cell>
        </row>
        <row r="1258">
          <cell r="L1258" t="str">
            <v>TTEC</v>
          </cell>
          <cell r="M1258" t="str">
            <v>TTEC-HOLDINGS-INC-40135661/</v>
          </cell>
          <cell r="N1258" t="str">
            <v>TTEC</v>
          </cell>
          <cell r="O1258" t="str">
            <v>TTEC HOLDINGS IN</v>
          </cell>
          <cell r="P1258" t="str">
            <v>NASDAQ GS</v>
          </cell>
          <cell r="Q1258" t="str">
            <v>Information Technology</v>
          </cell>
          <cell r="R1258" t="str">
            <v>IT Services</v>
          </cell>
          <cell r="S1258" t="str">
            <v>TTEC</v>
          </cell>
        </row>
        <row r="1259">
          <cell r="L1259" t="str">
            <v>MRTN</v>
          </cell>
          <cell r="M1259" t="str">
            <v>MARTEN-TRANSPORT-LTD-10088/</v>
          </cell>
          <cell r="N1259" t="str">
            <v>MRTN</v>
          </cell>
          <cell r="O1259" t="str">
            <v>MARTEN TRANSPORT</v>
          </cell>
          <cell r="P1259" t="str">
            <v>NASDAQ GS</v>
          </cell>
          <cell r="Q1259" t="str">
            <v>Industrials</v>
          </cell>
          <cell r="R1259" t="str">
            <v>Road &amp; Rail</v>
          </cell>
          <cell r="S1259" t="str">
            <v>MRTN</v>
          </cell>
        </row>
        <row r="1260">
          <cell r="L1260" t="str">
            <v>KTWO</v>
          </cell>
          <cell r="M1260" t="str">
            <v>K2M-GROUP-HOLDINGS-INC-16421389/</v>
          </cell>
          <cell r="N1260" t="str">
            <v>KTWO</v>
          </cell>
          <cell r="O1260" t="str">
            <v>K2M GROUP HOLDIN</v>
          </cell>
          <cell r="P1260" t="str">
            <v>NASDAQ GS</v>
          </cell>
          <cell r="Q1260" t="str">
            <v>Health Care</v>
          </cell>
          <cell r="R1260" t="str">
            <v>Health Care Equipment &amp; Suppli</v>
          </cell>
          <cell r="S1260" t="str">
            <v>KTWO</v>
          </cell>
        </row>
        <row r="1261">
          <cell r="L1261" t="str">
            <v>ITCI</v>
          </cell>
          <cell r="M1261" t="str">
            <v>INTRA-CELLULAR-THERAPIES-15688919/</v>
          </cell>
          <cell r="N1261" t="str">
            <v>ITCI</v>
          </cell>
          <cell r="O1261" t="str">
            <v>INTRA-CELLULAR T</v>
          </cell>
          <cell r="P1261" t="str">
            <v>NASDAQ GS</v>
          </cell>
          <cell r="Q1261" t="str">
            <v>Health Care</v>
          </cell>
          <cell r="R1261" t="str">
            <v>Pharmaceuticals</v>
          </cell>
          <cell r="S1261" t="str">
            <v>ITCI</v>
          </cell>
        </row>
        <row r="1262">
          <cell r="L1262" t="str">
            <v>TCBK</v>
          </cell>
          <cell r="M1262" t="str">
            <v>TRICO-BANCSHARES-11059/</v>
          </cell>
          <cell r="N1262" t="str">
            <v>TCBK</v>
          </cell>
          <cell r="O1262" t="str">
            <v>TRICO BANCSHARES</v>
          </cell>
          <cell r="P1262" t="str">
            <v>NASDAQ GS</v>
          </cell>
          <cell r="Q1262" t="str">
            <v>Financials</v>
          </cell>
          <cell r="R1262" t="str">
            <v>Banks</v>
          </cell>
          <cell r="S1262" t="str">
            <v>TCBK</v>
          </cell>
        </row>
        <row r="1263">
          <cell r="L1263" t="str">
            <v>LXRX</v>
          </cell>
          <cell r="M1263" t="str">
            <v>LEXICON-PHARMACEUTICALS-22283344/</v>
          </cell>
          <cell r="N1263" t="str">
            <v>LXRX</v>
          </cell>
          <cell r="O1263" t="str">
            <v>LEXICON PHARMACE</v>
          </cell>
          <cell r="P1263" t="str">
            <v>NASDAQ GS</v>
          </cell>
          <cell r="Q1263" t="str">
            <v>Health Care</v>
          </cell>
          <cell r="R1263" t="str">
            <v>Biotechnology</v>
          </cell>
          <cell r="S1263" t="str">
            <v>LXRX</v>
          </cell>
        </row>
        <row r="1264">
          <cell r="L1264" t="str">
            <v>ATNI</v>
          </cell>
          <cell r="M1264" t="str">
            <v>ATN-INTERNATIONAL-INC-28722710/</v>
          </cell>
          <cell r="N1264" t="str">
            <v>ATNI</v>
          </cell>
          <cell r="O1264" t="str">
            <v>ATN INTERNATIONA</v>
          </cell>
          <cell r="P1264" t="str">
            <v>NASDAQ GS</v>
          </cell>
          <cell r="Q1264" t="str">
            <v>Telecommunication Services</v>
          </cell>
          <cell r="R1264" t="str">
            <v>Diversified Telecommunication</v>
          </cell>
          <cell r="S1264" t="str">
            <v>ATNI</v>
          </cell>
        </row>
        <row r="1265">
          <cell r="L1265" t="str">
            <v>MERC</v>
          </cell>
          <cell r="M1265" t="str">
            <v>MERCER-INTERNATIONAL-INC-10005/</v>
          </cell>
          <cell r="N1265" t="str">
            <v>MERC</v>
          </cell>
          <cell r="O1265" t="str">
            <v>MERCER INTERNATI</v>
          </cell>
          <cell r="P1265" t="str">
            <v>NASDAQ GS</v>
          </cell>
          <cell r="Q1265" t="str">
            <v>Materials</v>
          </cell>
          <cell r="R1265" t="str">
            <v>Paper &amp; Forest Products</v>
          </cell>
          <cell r="S1265" t="str">
            <v>MERC</v>
          </cell>
        </row>
        <row r="1266">
          <cell r="L1266" t="str">
            <v>QADA</v>
          </cell>
          <cell r="M1266" t="str">
            <v>QAD-INC-7018881/</v>
          </cell>
          <cell r="N1266" t="str">
            <v>QADA</v>
          </cell>
          <cell r="O1266" t="str">
            <v>QAD INC-A</v>
          </cell>
          <cell r="P1266" t="str">
            <v>NASDAQ GS</v>
          </cell>
          <cell r="Q1266" t="str">
            <v>Information Technology</v>
          </cell>
          <cell r="R1266" t="str">
            <v>Software</v>
          </cell>
          <cell r="S1266" t="str">
            <v>QADA</v>
          </cell>
        </row>
        <row r="1267">
          <cell r="L1267" t="str">
            <v>QADA</v>
          </cell>
          <cell r="M1267" t="str">
            <v>QAD-INC-7018882/</v>
          </cell>
          <cell r="N1267" t="str">
            <v>QADA</v>
          </cell>
          <cell r="O1267" t="str">
            <v>QAD INC-A</v>
          </cell>
          <cell r="P1267" t="str">
            <v>NASDAQ GS</v>
          </cell>
          <cell r="Q1267" t="str">
            <v>Information Technology</v>
          </cell>
          <cell r="R1267" t="str">
            <v>Software</v>
          </cell>
          <cell r="S1267" t="str">
            <v>QADA</v>
          </cell>
        </row>
        <row r="1268">
          <cell r="L1268" t="str">
            <v>CASH</v>
          </cell>
          <cell r="M1268" t="str">
            <v>META-FINANCIAL-GROUP-INC-8676/</v>
          </cell>
          <cell r="N1268" t="str">
            <v>CASH</v>
          </cell>
          <cell r="O1268" t="str">
            <v>META FINANCIAL G</v>
          </cell>
          <cell r="P1268" t="str">
            <v>NASDAQ GS</v>
          </cell>
          <cell r="Q1268" t="str">
            <v>Financials</v>
          </cell>
          <cell r="R1268" t="str">
            <v>Thrifts &amp; Mortgage Finance</v>
          </cell>
          <cell r="S1268" t="str">
            <v>CASH</v>
          </cell>
        </row>
        <row r="1269">
          <cell r="L1269" t="str">
            <v>LBTYB</v>
          </cell>
          <cell r="M1269" t="str">
            <v>LIBERTY-TRIPADVISOR-HOLDI-17585376/</v>
          </cell>
          <cell r="N1269" t="str">
            <v>LBTYB</v>
          </cell>
          <cell r="O1269" t="str">
            <v>LIBERTY GLOBAL-B</v>
          </cell>
          <cell r="P1269" t="str">
            <v>NASDAQ GS</v>
          </cell>
          <cell r="Q1269" t="str">
            <v>Consumer Discretionary</v>
          </cell>
          <cell r="R1269" t="str">
            <v>Media</v>
          </cell>
          <cell r="S1269" t="str">
            <v>LBTYB</v>
          </cell>
        </row>
        <row r="1270">
          <cell r="L1270" t="str">
            <v>SBLK</v>
          </cell>
          <cell r="M1270" t="str">
            <v>STAR-BULK-CARRIERS-CORP-28710714/</v>
          </cell>
          <cell r="N1270" t="str">
            <v>SBLK</v>
          </cell>
          <cell r="O1270" t="str">
            <v>STAR BULK CARRIE</v>
          </cell>
          <cell r="P1270" t="str">
            <v>NASDAQ GS</v>
          </cell>
          <cell r="Q1270" t="str">
            <v>Industrials</v>
          </cell>
          <cell r="R1270" t="str">
            <v>Marine</v>
          </cell>
          <cell r="S1270" t="str">
            <v>SBLK</v>
          </cell>
        </row>
        <row r="1271">
          <cell r="L1271" t="str">
            <v>AIMC</v>
          </cell>
          <cell r="M1271" t="str">
            <v>ALTRA-INDUSTRIAL-MOTION-C-39434/</v>
          </cell>
          <cell r="N1271" t="str">
            <v>AIMC</v>
          </cell>
          <cell r="O1271" t="str">
            <v>ALTRA INDUSTRIAL</v>
          </cell>
          <cell r="P1271" t="str">
            <v>NASDAQ GS</v>
          </cell>
          <cell r="Q1271" t="str">
            <v>Industrials</v>
          </cell>
          <cell r="R1271" t="str">
            <v>Machinery</v>
          </cell>
          <cell r="S1271" t="str">
            <v>AIMC</v>
          </cell>
        </row>
        <row r="1272">
          <cell r="L1272" t="str">
            <v>ANDE</v>
          </cell>
          <cell r="M1272" t="str">
            <v>ANDERSONS-INC-8374/</v>
          </cell>
          <cell r="N1272" t="str">
            <v>ANDE</v>
          </cell>
          <cell r="O1272" t="str">
            <v>ANDERSONS INC</v>
          </cell>
          <cell r="P1272" t="str">
            <v>NASDAQ GS</v>
          </cell>
          <cell r="Q1272" t="str">
            <v>Consumer Staples</v>
          </cell>
          <cell r="R1272" t="str">
            <v>Food &amp; Staples Retailing</v>
          </cell>
          <cell r="S1272" t="str">
            <v>ANDE</v>
          </cell>
        </row>
        <row r="1273">
          <cell r="L1273" t="str">
            <v>ASTE</v>
          </cell>
          <cell r="M1273" t="str">
            <v>ASTEC-INDUSTRIES-INC-8460/</v>
          </cell>
          <cell r="N1273" t="str">
            <v>ASTE</v>
          </cell>
          <cell r="O1273" t="str">
            <v>ASTEC INDUSTRIES</v>
          </cell>
          <cell r="P1273" t="str">
            <v>NASDAQ GS</v>
          </cell>
          <cell r="Q1273" t="str">
            <v>Industrials</v>
          </cell>
          <cell r="R1273" t="str">
            <v>Machinery</v>
          </cell>
          <cell r="S1273" t="str">
            <v>ASTE</v>
          </cell>
        </row>
        <row r="1274">
          <cell r="L1274" t="str">
            <v>TBK</v>
          </cell>
          <cell r="M1274" t="str">
            <v>TRIUMPH-BANCORP-INC-21835403/</v>
          </cell>
          <cell r="N1274" t="str">
            <v>TBK</v>
          </cell>
          <cell r="O1274" t="str">
            <v>TRIUMPH BANCORP</v>
          </cell>
          <cell r="P1274" t="str">
            <v>NASDAQ GS</v>
          </cell>
          <cell r="Q1274" t="str">
            <v>Financials</v>
          </cell>
          <cell r="R1274" t="str">
            <v>Banks</v>
          </cell>
          <cell r="S1274" t="str">
            <v>TBK</v>
          </cell>
        </row>
        <row r="1275">
          <cell r="L1275" t="str">
            <v>GSHD</v>
          </cell>
          <cell r="M1275" t="str">
            <v>GOOSEHEAD-INSURANCE-INC-43164182/</v>
          </cell>
          <cell r="N1275" t="str">
            <v>GSHD</v>
          </cell>
          <cell r="O1275" t="str">
            <v>GOOSEHEAD INSU-A</v>
          </cell>
          <cell r="P1275" t="str">
            <v>NASDAQ GS</v>
          </cell>
          <cell r="Q1275" t="str">
            <v>Financials</v>
          </cell>
          <cell r="R1275" t="str">
            <v>Insurance</v>
          </cell>
          <cell r="S1275" t="str">
            <v>GSHD</v>
          </cell>
        </row>
        <row r="1276">
          <cell r="L1276" t="str">
            <v>CONN</v>
          </cell>
          <cell r="M1276" t="str">
            <v>CONN-S-INC-8864/</v>
          </cell>
          <cell r="N1276" t="str">
            <v>CONN</v>
          </cell>
          <cell r="O1276" t="str">
            <v>CONN'S INC</v>
          </cell>
          <cell r="P1276" t="str">
            <v>NASDAQ GS</v>
          </cell>
          <cell r="Q1276" t="str">
            <v>Consumer Discretionary</v>
          </cell>
          <cell r="R1276" t="str">
            <v>Specialty Retail</v>
          </cell>
          <cell r="S1276" t="str">
            <v>CONN</v>
          </cell>
        </row>
        <row r="1277">
          <cell r="L1277" t="str">
            <v>FARO</v>
          </cell>
          <cell r="M1277" t="str">
            <v>FARO-TECHNOLOGIES-INC-9247/</v>
          </cell>
          <cell r="N1277" t="str">
            <v>FARO</v>
          </cell>
          <cell r="O1277" t="str">
            <v>FARO TECH</v>
          </cell>
          <cell r="P1277" t="str">
            <v>NASDAQ GS</v>
          </cell>
          <cell r="Q1277" t="str">
            <v>Information Technology</v>
          </cell>
          <cell r="R1277" t="str">
            <v>Electronic Equipment, Instrume</v>
          </cell>
          <cell r="S1277" t="str">
            <v>FARO</v>
          </cell>
        </row>
        <row r="1278">
          <cell r="L1278" t="str">
            <v>HURN</v>
          </cell>
          <cell r="M1278" t="str">
            <v>HURON-CONSULTING-GROUP-9598/</v>
          </cell>
          <cell r="N1278" t="str">
            <v>HURN</v>
          </cell>
          <cell r="O1278" t="str">
            <v>HURON CONSULTING</v>
          </cell>
          <cell r="P1278" t="str">
            <v>NASDAQ GS</v>
          </cell>
          <cell r="Q1278" t="str">
            <v>Industrials</v>
          </cell>
          <cell r="R1278" t="str">
            <v>Professional Services</v>
          </cell>
          <cell r="S1278" t="str">
            <v>HURN</v>
          </cell>
        </row>
        <row r="1279">
          <cell r="L1279" t="str">
            <v>FORM</v>
          </cell>
          <cell r="M1279" t="str">
            <v>FORMFACTOR-INC-9347/</v>
          </cell>
          <cell r="N1279" t="str">
            <v>FORM</v>
          </cell>
          <cell r="O1279" t="str">
            <v>FORMFACTOR INC</v>
          </cell>
          <cell r="P1279" t="str">
            <v>NASDAQ GS</v>
          </cell>
          <cell r="Q1279" t="str">
            <v>Information Technology</v>
          </cell>
          <cell r="R1279" t="str">
            <v>Semiconductors &amp; Semiconductor</v>
          </cell>
          <cell r="S1279" t="str">
            <v>FORM</v>
          </cell>
        </row>
        <row r="1280">
          <cell r="L1280" t="str">
            <v>HIMX</v>
          </cell>
          <cell r="M1280" t="str">
            <v>HIMAX-TECHNOLOGIES-INC-16677/</v>
          </cell>
          <cell r="N1280" t="str">
            <v>HIMX</v>
          </cell>
          <cell r="O1280" t="str">
            <v>HIMAX TECHNO-ADR</v>
          </cell>
          <cell r="P1280" t="str">
            <v>NASDAQ GS</v>
          </cell>
          <cell r="Q1280" t="str">
            <v>Information Technology</v>
          </cell>
          <cell r="R1280" t="str">
            <v>Semiconductors &amp; Semiconductor</v>
          </cell>
          <cell r="S1280" t="str">
            <v>HIMX</v>
          </cell>
        </row>
        <row r="1281">
          <cell r="L1281" t="str">
            <v>EGOV</v>
          </cell>
          <cell r="M1281" t="str">
            <v>NIC-INC-9154/</v>
          </cell>
          <cell r="N1281" t="str">
            <v>EGOV</v>
          </cell>
          <cell r="O1281" t="str">
            <v>NIC INC</v>
          </cell>
          <cell r="P1281" t="str">
            <v>NASDAQ GS</v>
          </cell>
          <cell r="Q1281" t="str">
            <v>Information Technology</v>
          </cell>
          <cell r="R1281" t="str">
            <v>Internet Software &amp; Services</v>
          </cell>
          <cell r="S1281" t="str">
            <v>EGOV</v>
          </cell>
        </row>
        <row r="1282">
          <cell r="L1282" t="str">
            <v>CECO</v>
          </cell>
          <cell r="M1282" t="str">
            <v>CAREER-EDUCATION-CORP-4910/</v>
          </cell>
          <cell r="N1282" t="str">
            <v>CECO</v>
          </cell>
          <cell r="O1282" t="str">
            <v>CAREER EDUCATION</v>
          </cell>
          <cell r="P1282" t="str">
            <v>NASDAQ GS</v>
          </cell>
          <cell r="Q1282" t="str">
            <v>Consumer Discretionary</v>
          </cell>
          <cell r="R1282" t="str">
            <v>Diversified Consumer Services</v>
          </cell>
          <cell r="S1282" t="str">
            <v>CECO</v>
          </cell>
        </row>
        <row r="1283">
          <cell r="L1283" t="str">
            <v>VNET</v>
          </cell>
          <cell r="M1283" t="str">
            <v>21VIANET-GROUP-INC-7855123/</v>
          </cell>
          <cell r="N1283" t="str">
            <v>VNET</v>
          </cell>
          <cell r="O1283" t="str">
            <v>21VIANET-ADR</v>
          </cell>
          <cell r="P1283" t="str">
            <v>NASDAQ GS</v>
          </cell>
          <cell r="Q1283" t="str">
            <v>Information Technology</v>
          </cell>
          <cell r="R1283" t="str">
            <v>Internet Software &amp; Services</v>
          </cell>
          <cell r="S1283" t="str">
            <v>VNET</v>
          </cell>
        </row>
        <row r="1284">
          <cell r="L1284" t="str">
            <v>KFRC</v>
          </cell>
          <cell r="M1284" t="str">
            <v>KFORCE-INC-9808/</v>
          </cell>
          <cell r="N1284" t="str">
            <v>KFRC</v>
          </cell>
          <cell r="O1284" t="str">
            <v>KFORCE INC</v>
          </cell>
          <cell r="P1284" t="str">
            <v>NASDAQ GS</v>
          </cell>
          <cell r="Q1284" t="str">
            <v>Industrials</v>
          </cell>
          <cell r="R1284" t="str">
            <v>Professional Services</v>
          </cell>
          <cell r="S1284" t="str">
            <v>KFRC</v>
          </cell>
        </row>
        <row r="1285">
          <cell r="L1285" t="str">
            <v>FOSL</v>
          </cell>
          <cell r="M1285" t="str">
            <v>FOSSIL-GROUP-INC-13396766/</v>
          </cell>
          <cell r="N1285" t="str">
            <v>FOSL</v>
          </cell>
          <cell r="O1285" t="str">
            <v>FOSSIL GROUP INC</v>
          </cell>
          <cell r="P1285" t="str">
            <v>NASDAQ GS</v>
          </cell>
          <cell r="Q1285" t="str">
            <v>Consumer Discretionary</v>
          </cell>
          <cell r="R1285" t="str">
            <v>Textiles, Apparel &amp; Luxury Goo</v>
          </cell>
          <cell r="S1285" t="str">
            <v>FOSL</v>
          </cell>
        </row>
        <row r="1286">
          <cell r="L1286" t="str">
            <v>GERN</v>
          </cell>
          <cell r="M1286" t="str">
            <v>GERON-CORPORATION-9419/</v>
          </cell>
          <cell r="N1286" t="str">
            <v>GERN</v>
          </cell>
          <cell r="O1286" t="str">
            <v>GERON CORP</v>
          </cell>
          <cell r="P1286" t="str">
            <v>NASDAQ GS</v>
          </cell>
          <cell r="Q1286" t="str">
            <v>Health Care</v>
          </cell>
          <cell r="R1286" t="str">
            <v>Biotechnology</v>
          </cell>
          <cell r="S1286" t="str">
            <v>GERN</v>
          </cell>
        </row>
        <row r="1287">
          <cell r="L1287" t="str">
            <v>KNSA</v>
          </cell>
          <cell r="M1287" t="str">
            <v>KINIKSA-PHARMACEUTICALS-L-43459706/</v>
          </cell>
          <cell r="N1287" t="str">
            <v>KNSA</v>
          </cell>
          <cell r="O1287" t="str">
            <v>KINIKSA PHARMA-A</v>
          </cell>
          <cell r="P1287" t="str">
            <v>NASDAQ GS</v>
          </cell>
          <cell r="Q1287" t="str">
            <v>Health Care</v>
          </cell>
          <cell r="R1287" t="str">
            <v>Biotechnology</v>
          </cell>
          <cell r="S1287" t="str">
            <v>KNSA</v>
          </cell>
        </row>
        <row r="1288">
          <cell r="L1288" t="str">
            <v>GLUU</v>
          </cell>
          <cell r="M1288" t="str">
            <v>GLU-MOBILE-INC-46581/</v>
          </cell>
          <cell r="N1288" t="str">
            <v>GLUU</v>
          </cell>
          <cell r="O1288" t="str">
            <v>GLU MOBILE INC</v>
          </cell>
          <cell r="P1288" t="str">
            <v>NASDAQ GS</v>
          </cell>
          <cell r="Q1288" t="str">
            <v>Information Technology</v>
          </cell>
          <cell r="R1288" t="str">
            <v>Software</v>
          </cell>
          <cell r="S1288" t="str">
            <v>GLUU</v>
          </cell>
        </row>
        <row r="1289">
          <cell r="L1289" t="str">
            <v>APLS</v>
          </cell>
          <cell r="M1289" t="str">
            <v>APELLIS-PHARMACEUTICALS-I-38607086/</v>
          </cell>
          <cell r="N1289" t="str">
            <v>APLS</v>
          </cell>
          <cell r="O1289" t="str">
            <v>APELLIS PHARMACE</v>
          </cell>
          <cell r="P1289" t="str">
            <v>NASDAQ GS</v>
          </cell>
          <cell r="Q1289" t="str">
            <v>Health Care</v>
          </cell>
          <cell r="R1289" t="str">
            <v>Biotechnology</v>
          </cell>
          <cell r="S1289" t="str">
            <v>APLS</v>
          </cell>
        </row>
        <row r="1290">
          <cell r="L1290" t="str">
            <v>SCOR</v>
          </cell>
          <cell r="M1290" t="str">
            <v>COMSCORE-INC-55451/</v>
          </cell>
          <cell r="N1290" t="str">
            <v>SCOR</v>
          </cell>
          <cell r="O1290" t="str">
            <v>COMSCORE INC</v>
          </cell>
          <cell r="P1290" t="str">
            <v>NASDAQ GS</v>
          </cell>
          <cell r="Q1290" t="str">
            <v>Information Technology</v>
          </cell>
          <cell r="R1290" t="str">
            <v>Internet Software &amp; Services</v>
          </cell>
          <cell r="S1290" t="str">
            <v>SCOR</v>
          </cell>
        </row>
        <row r="1291">
          <cell r="L1291" t="str">
            <v>NTRI</v>
          </cell>
          <cell r="M1291" t="str">
            <v>NUTRISYSTEM-INC-10268/</v>
          </cell>
          <cell r="N1291" t="str">
            <v>NTRI</v>
          </cell>
          <cell r="O1291" t="str">
            <v>NUTRISYSTEM INC</v>
          </cell>
          <cell r="P1291" t="str">
            <v>NASDAQ GS</v>
          </cell>
          <cell r="Q1291" t="str">
            <v>Consumer Discretionary</v>
          </cell>
          <cell r="R1291" t="str">
            <v>Internet &amp; Direct Marketing Re</v>
          </cell>
          <cell r="S1291" t="str">
            <v>NTRI</v>
          </cell>
        </row>
        <row r="1292">
          <cell r="L1292" t="str">
            <v>SRDX</v>
          </cell>
          <cell r="M1292" t="str">
            <v>SURMODICS-INC-10935/</v>
          </cell>
          <cell r="N1292" t="str">
            <v>SRDX</v>
          </cell>
          <cell r="O1292" t="str">
            <v>SURMODICS INC</v>
          </cell>
          <cell r="P1292" t="str">
            <v>NASDAQ GS</v>
          </cell>
          <cell r="Q1292" t="str">
            <v>Health Care</v>
          </cell>
          <cell r="R1292" t="str">
            <v>Health Care Equipment &amp; Suppli</v>
          </cell>
          <cell r="S1292" t="str">
            <v>SRDX</v>
          </cell>
        </row>
        <row r="1293">
          <cell r="L1293" t="str">
            <v>CNXN</v>
          </cell>
          <cell r="M1293" t="str">
            <v>PC-CONNECTION-INC-10411/</v>
          </cell>
          <cell r="N1293" t="str">
            <v>CNXN</v>
          </cell>
          <cell r="O1293" t="str">
            <v>PC CONNECTION</v>
          </cell>
          <cell r="P1293" t="str">
            <v>NASDAQ GS</v>
          </cell>
          <cell r="Q1293" t="str">
            <v>Information Technology</v>
          </cell>
          <cell r="R1293" t="str">
            <v>Electronic Equipment, Instrume</v>
          </cell>
          <cell r="S1293" t="str">
            <v>CNXN</v>
          </cell>
        </row>
        <row r="1294">
          <cell r="L1294" t="str">
            <v>WIRE</v>
          </cell>
          <cell r="M1294" t="str">
            <v>ENCORE-WIRE-CORPORATION-11390/</v>
          </cell>
          <cell r="N1294" t="str">
            <v>WIRE</v>
          </cell>
          <cell r="O1294" t="str">
            <v>ENCORE WIRE</v>
          </cell>
          <cell r="P1294" t="str">
            <v>NASDAQ GS</v>
          </cell>
          <cell r="Q1294" t="str">
            <v>Industrials</v>
          </cell>
          <cell r="R1294" t="str">
            <v>Electrical Equipment</v>
          </cell>
          <cell r="S1294" t="str">
            <v>WIRE</v>
          </cell>
        </row>
        <row r="1295">
          <cell r="L1295" t="str">
            <v>LSCC</v>
          </cell>
          <cell r="M1295" t="str">
            <v>LATTICE-SEMICONDUCTOR-COR-9914/</v>
          </cell>
          <cell r="N1295" t="str">
            <v>LSCC</v>
          </cell>
          <cell r="O1295" t="str">
            <v>LATTICE SEMICOND</v>
          </cell>
          <cell r="P1295" t="str">
            <v>NASDAQ GS</v>
          </cell>
          <cell r="Q1295" t="str">
            <v>Information Technology</v>
          </cell>
          <cell r="R1295" t="str">
            <v>Semiconductors &amp; Semiconductor</v>
          </cell>
          <cell r="S1295" t="str">
            <v>LSCC</v>
          </cell>
        </row>
        <row r="1296">
          <cell r="L1296" t="str">
            <v>NANO</v>
          </cell>
          <cell r="M1296" t="str">
            <v>NANOMETRICS-INCORPORATED-10148/</v>
          </cell>
          <cell r="N1296" t="str">
            <v>NANO</v>
          </cell>
          <cell r="O1296" t="str">
            <v>NANOMETRICS INC</v>
          </cell>
          <cell r="P1296" t="str">
            <v>NASDAQ GS</v>
          </cell>
          <cell r="Q1296" t="str">
            <v>Information Technology</v>
          </cell>
          <cell r="R1296" t="str">
            <v>Semiconductors &amp; Semiconductor</v>
          </cell>
          <cell r="S1296" t="str">
            <v>NANO</v>
          </cell>
        </row>
        <row r="1297">
          <cell r="L1297" t="str">
            <v>ADAP</v>
          </cell>
          <cell r="M1297" t="str">
            <v>ADAPTIMMUNE-THERAPEUTICS-22148957/</v>
          </cell>
          <cell r="N1297" t="str">
            <v>ADAP</v>
          </cell>
          <cell r="O1297" t="str">
            <v>ADAPTIMMUNE-ADR</v>
          </cell>
          <cell r="P1297" t="str">
            <v>NASDAQ GS</v>
          </cell>
          <cell r="Q1297" t="str">
            <v>Health Care</v>
          </cell>
          <cell r="R1297" t="str">
            <v>Biotechnology</v>
          </cell>
          <cell r="S1297" t="str">
            <v>ADAP</v>
          </cell>
        </row>
        <row r="1298">
          <cell r="L1298" t="str">
            <v>SCSC</v>
          </cell>
          <cell r="M1298" t="str">
            <v>SCANSOURCE-INC-10780/</v>
          </cell>
          <cell r="N1298" t="str">
            <v>SCSC</v>
          </cell>
          <cell r="O1298" t="str">
            <v>SCANSOURCE INC</v>
          </cell>
          <cell r="P1298" t="str">
            <v>NASDAQ GS</v>
          </cell>
          <cell r="Q1298" t="str">
            <v>Information Technology</v>
          </cell>
          <cell r="R1298" t="str">
            <v>Electronic Equipment, Instrume</v>
          </cell>
          <cell r="S1298" t="str">
            <v>SCSC</v>
          </cell>
        </row>
        <row r="1299">
          <cell r="L1299" t="str">
            <v>CRVL</v>
          </cell>
          <cell r="M1299" t="str">
            <v>CORVEL-CORPORATION-8910/</v>
          </cell>
          <cell r="N1299" t="str">
            <v>CRVL</v>
          </cell>
          <cell r="O1299" t="str">
            <v>CORVEL CORP</v>
          </cell>
          <cell r="P1299" t="str">
            <v>NASDAQ GS</v>
          </cell>
          <cell r="Q1299" t="str">
            <v>Health Care</v>
          </cell>
          <cell r="R1299" t="str">
            <v>Health Care Providers &amp; Servic</v>
          </cell>
          <cell r="S1299" t="str">
            <v>CRVL</v>
          </cell>
        </row>
        <row r="1300">
          <cell r="L1300" t="str">
            <v>OPB</v>
          </cell>
          <cell r="M1300" t="str">
            <v>OPUS-BANK-16279169/</v>
          </cell>
          <cell r="N1300" t="str">
            <v>OPB</v>
          </cell>
          <cell r="O1300" t="str">
            <v>OPUS BANK</v>
          </cell>
          <cell r="P1300" t="str">
            <v>NASDAQ GS</v>
          </cell>
          <cell r="Q1300" t="str">
            <v>Financials</v>
          </cell>
          <cell r="R1300" t="str">
            <v>Banks</v>
          </cell>
          <cell r="S1300" t="str">
            <v>OPB</v>
          </cell>
        </row>
        <row r="1301">
          <cell r="L1301" t="str">
            <v>OFIX</v>
          </cell>
          <cell r="M1301" t="str">
            <v>ORTHOFIX-MEDICAL-INC-45145857/</v>
          </cell>
          <cell r="N1301" t="str">
            <v>OFIX</v>
          </cell>
          <cell r="O1301" t="str">
            <v>ORTHOFIX INTL</v>
          </cell>
          <cell r="P1301" t="str">
            <v>NASDAQ GS</v>
          </cell>
          <cell r="Q1301" t="str">
            <v>Health Care</v>
          </cell>
          <cell r="R1301" t="str">
            <v>Health Care Equipment &amp; Suppli</v>
          </cell>
          <cell r="S1301" t="str">
            <v>OFIX</v>
          </cell>
        </row>
        <row r="1302">
          <cell r="L1302" t="str">
            <v>SSRM</v>
          </cell>
          <cell r="M1302" t="str">
            <v>SSR-MINING-INC-37333388/</v>
          </cell>
          <cell r="N1302" t="str">
            <v>SSRM</v>
          </cell>
          <cell r="O1302" t="str">
            <v>SSR MINING INC</v>
          </cell>
          <cell r="P1302" t="str">
            <v>NASDAQ GS</v>
          </cell>
          <cell r="Q1302" t="str">
            <v>Materials</v>
          </cell>
          <cell r="R1302" t="str">
            <v>Metals &amp; Mining</v>
          </cell>
          <cell r="S1302" t="str">
            <v>SSRM</v>
          </cell>
        </row>
        <row r="1303">
          <cell r="L1303" t="str">
            <v>PETQ</v>
          </cell>
          <cell r="M1303" t="str">
            <v>PETIQ-INC-37186620/</v>
          </cell>
          <cell r="N1303" t="str">
            <v>PETQ</v>
          </cell>
          <cell r="O1303" t="str">
            <v>PETIQ INC</v>
          </cell>
          <cell r="P1303" t="str">
            <v>NASDAQ GS</v>
          </cell>
          <cell r="Q1303" t="str">
            <v>Health Care</v>
          </cell>
          <cell r="R1303" t="str">
            <v>Health Care Providers &amp; Servic</v>
          </cell>
          <cell r="S1303" t="str">
            <v>PETQ</v>
          </cell>
        </row>
        <row r="1304">
          <cell r="L1304" t="str">
            <v>PRFT</v>
          </cell>
          <cell r="M1304" t="str">
            <v>PERFICIENT-INC-10531/</v>
          </cell>
          <cell r="N1304" t="str">
            <v>PRFT</v>
          </cell>
          <cell r="O1304" t="str">
            <v>PERFICIENT INC</v>
          </cell>
          <cell r="P1304" t="str">
            <v>NASDAQ GS</v>
          </cell>
          <cell r="Q1304" t="str">
            <v>Information Technology</v>
          </cell>
          <cell r="R1304" t="str">
            <v>IT Services</v>
          </cell>
          <cell r="S1304" t="str">
            <v>PRFT</v>
          </cell>
        </row>
        <row r="1305">
          <cell r="L1305" t="str">
            <v>REGI</v>
          </cell>
          <cell r="M1305" t="str">
            <v>RENEWABLE-ENERGY-GROUP-IN-9828417/</v>
          </cell>
          <cell r="N1305" t="str">
            <v>REGI</v>
          </cell>
          <cell r="O1305" t="str">
            <v>RENEWABLE ENERGY</v>
          </cell>
          <cell r="P1305" t="str">
            <v>NASDAQ GS</v>
          </cell>
          <cell r="Q1305" t="str">
            <v>Energy</v>
          </cell>
          <cell r="R1305" t="str">
            <v>Oil, Gas &amp; Consumable Fuels</v>
          </cell>
          <cell r="S1305" t="str">
            <v>REGI</v>
          </cell>
        </row>
        <row r="1306">
          <cell r="L1306" t="str">
            <v>CTMX</v>
          </cell>
          <cell r="M1306" t="str">
            <v>CYTOMX-THERAPEUTICS-INC-24239932/</v>
          </cell>
          <cell r="N1306" t="str">
            <v>CTMX</v>
          </cell>
          <cell r="O1306" t="str">
            <v>CYTOMX THERAPEUT</v>
          </cell>
          <cell r="P1306" t="str">
            <v>NASDAQ GS</v>
          </cell>
          <cell r="Q1306" t="str">
            <v>Health Care</v>
          </cell>
          <cell r="R1306" t="str">
            <v>Biotechnology</v>
          </cell>
          <cell r="S1306" t="str">
            <v>CTMX</v>
          </cell>
        </row>
        <row r="1307">
          <cell r="L1307" t="str">
            <v>SCWX</v>
          </cell>
          <cell r="M1307" t="str">
            <v>SECUREWORKS-CORP-27329775/</v>
          </cell>
          <cell r="N1307" t="str">
            <v>SCWX</v>
          </cell>
          <cell r="O1307" t="str">
            <v>SECUREWORKS CO-A</v>
          </cell>
          <cell r="P1307" t="str">
            <v>NASDAQ GS</v>
          </cell>
          <cell r="Q1307" t="str">
            <v>Information Technology</v>
          </cell>
          <cell r="R1307" t="str">
            <v>Software</v>
          </cell>
          <cell r="S1307" t="str">
            <v>SCWX</v>
          </cell>
        </row>
        <row r="1308">
          <cell r="L1308" t="str">
            <v>BMTC</v>
          </cell>
          <cell r="M1308" t="str">
            <v>BRYN-MAWR-BANK-CORP-8588/</v>
          </cell>
          <cell r="N1308" t="str">
            <v>BMTC</v>
          </cell>
          <cell r="O1308" t="str">
            <v>BRYN MAWR BANK</v>
          </cell>
          <cell r="P1308" t="str">
            <v>NASDAQ GS</v>
          </cell>
          <cell r="Q1308" t="str">
            <v>Financials</v>
          </cell>
          <cell r="R1308" t="str">
            <v>Banks</v>
          </cell>
          <cell r="S1308" t="str">
            <v>BMTC</v>
          </cell>
        </row>
        <row r="1309">
          <cell r="L1309" t="str">
            <v>COLM</v>
          </cell>
          <cell r="M1309" t="str">
            <v>COLUMBUS-MCKINNON-CORP-8815/</v>
          </cell>
          <cell r="N1309" t="str">
            <v>COLM</v>
          </cell>
          <cell r="O1309" t="str">
            <v>COLUMBIA SPORTSW</v>
          </cell>
          <cell r="P1309" t="str">
            <v>NASDAQ GS</v>
          </cell>
          <cell r="Q1309" t="str">
            <v>Consumer Discretionary</v>
          </cell>
          <cell r="R1309" t="str">
            <v>Textiles, Apparel &amp; Luxury Goo</v>
          </cell>
          <cell r="S1309" t="str">
            <v>COLM</v>
          </cell>
        </row>
        <row r="1310">
          <cell r="L1310" t="str">
            <v>DLTH</v>
          </cell>
          <cell r="M1310" t="str">
            <v>DULUTH-HOLDINGS-INC-24962150/</v>
          </cell>
          <cell r="N1310" t="str">
            <v>DLTH</v>
          </cell>
          <cell r="O1310" t="str">
            <v>DULUTH HLDGS - B</v>
          </cell>
          <cell r="P1310" t="str">
            <v>NASDAQ GS</v>
          </cell>
          <cell r="Q1310" t="str">
            <v>Consumer Discretionary</v>
          </cell>
          <cell r="R1310" t="str">
            <v>Internet &amp; Direct Marketing Re</v>
          </cell>
          <cell r="S1310" t="str">
            <v>DLTH</v>
          </cell>
        </row>
        <row r="1311">
          <cell r="L1311" t="str">
            <v>COBZ</v>
          </cell>
          <cell r="M1311" t="str">
            <v>COBIZ-FINANCIAL-INC-8849/</v>
          </cell>
          <cell r="N1311" t="str">
            <v>COBZ</v>
          </cell>
          <cell r="O1311" t="str">
            <v>COBIZ FINANCIAL</v>
          </cell>
          <cell r="P1311" t="str">
            <v>NASDAQ GS</v>
          </cell>
          <cell r="Q1311" t="str">
            <v>Financials</v>
          </cell>
          <cell r="R1311" t="str">
            <v>Banks</v>
          </cell>
          <cell r="S1311" t="str">
            <v>COBZ</v>
          </cell>
        </row>
        <row r="1312">
          <cell r="L1312" t="str">
            <v>KELYB</v>
          </cell>
          <cell r="M1312" t="str">
            <v>KELLY-SERVICES-INC-9798/</v>
          </cell>
          <cell r="N1312" t="str">
            <v>KELYB</v>
          </cell>
          <cell r="O1312" t="str">
            <v>KELLY SERVICES-B</v>
          </cell>
          <cell r="P1312" t="str">
            <v>NASDAQ GS</v>
          </cell>
          <cell r="Q1312" t="str">
            <v>Industrials</v>
          </cell>
          <cell r="R1312" t="str">
            <v>Professional Services</v>
          </cell>
          <cell r="S1312" t="str">
            <v>KELYB</v>
          </cell>
        </row>
        <row r="1313">
          <cell r="L1313" t="str">
            <v>KELYB</v>
          </cell>
          <cell r="M1313" t="str">
            <v>KELLY-SERVICES-INC-9799/</v>
          </cell>
          <cell r="N1313" t="str">
            <v>KELYB</v>
          </cell>
          <cell r="O1313" t="str">
            <v>KELLY SERVICES-B</v>
          </cell>
          <cell r="P1313" t="str">
            <v>NASDAQ GS</v>
          </cell>
          <cell r="Q1313" t="str">
            <v>Industrials</v>
          </cell>
          <cell r="R1313" t="str">
            <v>Professional Services</v>
          </cell>
          <cell r="S1313" t="str">
            <v>KELYB</v>
          </cell>
        </row>
        <row r="1314">
          <cell r="L1314" t="str">
            <v>OSUR</v>
          </cell>
          <cell r="M1314" t="str">
            <v>ORASURE-TECHNOLOGIES-INC-10373/</v>
          </cell>
          <cell r="N1314" t="str">
            <v>OSUR</v>
          </cell>
          <cell r="O1314" t="str">
            <v>ORASURE TECH</v>
          </cell>
          <cell r="P1314" t="str">
            <v>NASDAQ GS</v>
          </cell>
          <cell r="Q1314" t="str">
            <v>Health Care</v>
          </cell>
          <cell r="R1314" t="str">
            <v>Health Care Equipment &amp; Suppli</v>
          </cell>
          <cell r="S1314" t="str">
            <v>OSUR</v>
          </cell>
        </row>
        <row r="1315">
          <cell r="L1315" t="str">
            <v>LORL</v>
          </cell>
          <cell r="M1315" t="str">
            <v>LORAL-SPACE-COMMUNICATI-9904/</v>
          </cell>
          <cell r="N1315" t="str">
            <v>LORL</v>
          </cell>
          <cell r="O1315" t="str">
            <v>LORAL SPACE &amp; CO</v>
          </cell>
          <cell r="P1315" t="str">
            <v>NASDAQ GS</v>
          </cell>
          <cell r="Q1315" t="str">
            <v>Consumer Discretionary</v>
          </cell>
          <cell r="R1315" t="str">
            <v>Media</v>
          </cell>
          <cell r="S1315" t="str">
            <v>LORL</v>
          </cell>
        </row>
        <row r="1316">
          <cell r="L1316" t="str">
            <v>EBSB</v>
          </cell>
          <cell r="M1316" t="str">
            <v>MERIDIAN-BANCORP-INC-17067791/</v>
          </cell>
          <cell r="N1316" t="str">
            <v>EBSB</v>
          </cell>
          <cell r="O1316" t="str">
            <v>MERIDIAN BANCORP</v>
          </cell>
          <cell r="P1316" t="str">
            <v>NASDAQ GS</v>
          </cell>
          <cell r="Q1316" t="str">
            <v>Financials</v>
          </cell>
          <cell r="R1316" t="str">
            <v>Thrifts &amp; Mortgage Finance</v>
          </cell>
          <cell r="S1316" t="str">
            <v>EBSB</v>
          </cell>
        </row>
        <row r="1317">
          <cell r="L1317" t="str">
            <v>MTSC</v>
          </cell>
          <cell r="M1317" t="str">
            <v>MTS-SYSTEMS-CORPORATION-10120/</v>
          </cell>
          <cell r="N1317" t="str">
            <v>MTSC</v>
          </cell>
          <cell r="O1317" t="str">
            <v>MTS SYSTEMS CORP</v>
          </cell>
          <cell r="P1317" t="str">
            <v>NASDAQ GS</v>
          </cell>
          <cell r="Q1317" t="str">
            <v>Information Technology</v>
          </cell>
          <cell r="R1317" t="str">
            <v>Electronic Equipment, Instrume</v>
          </cell>
          <cell r="S1317" t="str">
            <v>MTSC</v>
          </cell>
        </row>
        <row r="1318">
          <cell r="L1318" t="str">
            <v>GLNG</v>
          </cell>
          <cell r="M1318" t="str">
            <v>GOLAR-LNG-PARTNERS-LP-7769669/</v>
          </cell>
          <cell r="N1318" t="str">
            <v>GLNG</v>
          </cell>
          <cell r="O1318" t="str">
            <v>GOLAR LNG LTD</v>
          </cell>
          <cell r="P1318" t="str">
            <v>NASDAQ GS</v>
          </cell>
          <cell r="Q1318" t="str">
            <v>Energy</v>
          </cell>
          <cell r="R1318" t="str">
            <v>Oil, Gas &amp; Consumable Fuels</v>
          </cell>
          <cell r="S1318" t="str">
            <v>GLNG</v>
          </cell>
        </row>
        <row r="1319">
          <cell r="L1319" t="str">
            <v>OBNK</v>
          </cell>
          <cell r="M1319" t="str">
            <v>ORIGIN-BANCORP-INC-43328188/</v>
          </cell>
          <cell r="N1319" t="str">
            <v>OBNK</v>
          </cell>
          <cell r="O1319" t="str">
            <v>ORIGIN BANCORP I</v>
          </cell>
          <cell r="P1319" t="str">
            <v>NASDAQ GS</v>
          </cell>
          <cell r="Q1319" t="str">
            <v>Financials</v>
          </cell>
          <cell r="R1319" t="str">
            <v>Banks</v>
          </cell>
          <cell r="S1319" t="str">
            <v>OBNK</v>
          </cell>
        </row>
        <row r="1320">
          <cell r="L1320" t="str">
            <v>ECHO</v>
          </cell>
          <cell r="M1320" t="str">
            <v>ECHO-GLOBAL-LOGISTICS-IN-5628268/</v>
          </cell>
          <cell r="N1320" t="str">
            <v>ECHO</v>
          </cell>
          <cell r="O1320" t="str">
            <v>ECHO GLOBAL LOGI</v>
          </cell>
          <cell r="P1320" t="str">
            <v>NASDAQ GS</v>
          </cell>
          <cell r="Q1320" t="str">
            <v>Industrials</v>
          </cell>
          <cell r="R1320" t="str">
            <v>Air Freight &amp; Logistics</v>
          </cell>
          <cell r="S1320" t="str">
            <v>ECHO</v>
          </cell>
        </row>
        <row r="1321">
          <cell r="L1321" t="str">
            <v>GPRO</v>
          </cell>
          <cell r="M1321" t="str">
            <v>GOPRO-INC-16783944/</v>
          </cell>
          <cell r="N1321" t="str">
            <v>GPRO</v>
          </cell>
          <cell r="O1321" t="str">
            <v>GOPRO INC-CL A</v>
          </cell>
          <cell r="P1321" t="str">
            <v>NASDAQ GS</v>
          </cell>
          <cell r="Q1321" t="str">
            <v>Consumer Discretionary</v>
          </cell>
          <cell r="R1321" t="str">
            <v>Household Durables</v>
          </cell>
          <cell r="S1321" t="str">
            <v>GPRO</v>
          </cell>
        </row>
        <row r="1322">
          <cell r="L1322" t="str">
            <v>AMBC</v>
          </cell>
          <cell r="M1322" t="str">
            <v>AMBAC-FINANCIAL-GROUP-IN-13159219/</v>
          </cell>
          <cell r="N1322" t="str">
            <v>AMBC</v>
          </cell>
          <cell r="O1322" t="str">
            <v>AMBAC FINANCIAL</v>
          </cell>
          <cell r="P1322" t="str">
            <v>NASDAQ GS</v>
          </cell>
          <cell r="Q1322" t="str">
            <v>Financials</v>
          </cell>
          <cell r="R1322" t="str">
            <v>Insurance</v>
          </cell>
          <cell r="S1322" t="str">
            <v>AMBC</v>
          </cell>
        </row>
        <row r="1323">
          <cell r="L1323" t="str">
            <v>CBTX</v>
          </cell>
          <cell r="M1323" t="str">
            <v>CBTX-INC-38588385/</v>
          </cell>
          <cell r="N1323" t="str">
            <v>CBTX</v>
          </cell>
          <cell r="O1323" t="str">
            <v>CBTX INC</v>
          </cell>
          <cell r="P1323" t="str">
            <v>NASDAQ GS</v>
          </cell>
          <cell r="Q1323" t="str">
            <v>Financials</v>
          </cell>
          <cell r="R1323" t="str">
            <v>Banks</v>
          </cell>
          <cell r="S1323" t="str">
            <v>CBTX</v>
          </cell>
        </row>
        <row r="1324">
          <cell r="L1324" t="str">
            <v>SPWR</v>
          </cell>
          <cell r="M1324" t="str">
            <v>SUNPOWER-CORPORATION-9483260/</v>
          </cell>
          <cell r="N1324" t="str">
            <v>SPWR</v>
          </cell>
          <cell r="O1324" t="str">
            <v>SUNPOWER CORP</v>
          </cell>
          <cell r="P1324" t="str">
            <v>NASDAQ GS</v>
          </cell>
          <cell r="Q1324" t="str">
            <v>Information Technology</v>
          </cell>
          <cell r="R1324" t="str">
            <v>Semiconductors &amp; Semiconductor</v>
          </cell>
          <cell r="S1324" t="str">
            <v>SPWR</v>
          </cell>
        </row>
        <row r="1325">
          <cell r="L1325" t="str">
            <v>CENTA</v>
          </cell>
          <cell r="M1325" t="str">
            <v>CENTRAL-EUROPEAN-MEDIA-EN-8748/</v>
          </cell>
          <cell r="N1325" t="str">
            <v>CENTA</v>
          </cell>
          <cell r="O1325" t="str">
            <v>CENTRAL GARDEN-A</v>
          </cell>
          <cell r="P1325" t="str">
            <v>NASDAQ GS</v>
          </cell>
          <cell r="Q1325" t="str">
            <v>Consumer Staples</v>
          </cell>
          <cell r="R1325" t="str">
            <v>Household Products</v>
          </cell>
          <cell r="S1325" t="str">
            <v>CENTA</v>
          </cell>
        </row>
        <row r="1326">
          <cell r="L1326" t="str">
            <v>RUTH</v>
          </cell>
          <cell r="M1326" t="str">
            <v>RUTH-S-HOSPITALITY-GROUP-10726/</v>
          </cell>
          <cell r="N1326" t="str">
            <v>RUTH</v>
          </cell>
          <cell r="O1326" t="str">
            <v>RUTH'S HOSPITALI</v>
          </cell>
          <cell r="P1326" t="str">
            <v>NASDAQ GS</v>
          </cell>
          <cell r="Q1326" t="str">
            <v>Consumer Discretionary</v>
          </cell>
          <cell r="R1326" t="str">
            <v>Hotels, Restaurants &amp; Leisure</v>
          </cell>
          <cell r="S1326" t="str">
            <v>RUTH</v>
          </cell>
        </row>
        <row r="1327">
          <cell r="L1327" t="str">
            <v>PFBC</v>
          </cell>
          <cell r="M1327" t="str">
            <v>PREFERRED-BANK-11900020/</v>
          </cell>
          <cell r="N1327" t="str">
            <v>PFBC</v>
          </cell>
          <cell r="O1327" t="str">
            <v>PREFERRED BANK</v>
          </cell>
          <cell r="P1327" t="str">
            <v>NASDAQ GS</v>
          </cell>
          <cell r="Q1327" t="str">
            <v>Financials</v>
          </cell>
          <cell r="R1327" t="str">
            <v>Banks</v>
          </cell>
          <cell r="S1327" t="str">
            <v>PFBC</v>
          </cell>
        </row>
        <row r="1328">
          <cell r="L1328" t="str">
            <v>CDXS</v>
          </cell>
          <cell r="M1328" t="str">
            <v>CODEXIS-INC-6149420/</v>
          </cell>
          <cell r="N1328" t="str">
            <v>CDXS</v>
          </cell>
          <cell r="O1328" t="str">
            <v>CODEXIS INC</v>
          </cell>
          <cell r="P1328" t="str">
            <v>NASDAQ GS</v>
          </cell>
          <cell r="Q1328" t="str">
            <v>Health Care</v>
          </cell>
          <cell r="R1328" t="str">
            <v>Life Sciences Tools &amp; Services</v>
          </cell>
          <cell r="S1328" t="str">
            <v>CDXS</v>
          </cell>
        </row>
        <row r="1329">
          <cell r="L1329" t="str">
            <v>GBNK</v>
          </cell>
          <cell r="M1329" t="str">
            <v>GUARANTY-BANCORP-14913405/</v>
          </cell>
          <cell r="N1329" t="str">
            <v>GBNK</v>
          </cell>
          <cell r="O1329" t="str">
            <v>GUARANTY BANCORP</v>
          </cell>
          <cell r="P1329" t="str">
            <v>NASDAQ GS</v>
          </cell>
          <cell r="Q1329" t="str">
            <v>Financials</v>
          </cell>
          <cell r="R1329" t="str">
            <v>Banks</v>
          </cell>
          <cell r="S1329" t="str">
            <v>GBNK</v>
          </cell>
        </row>
        <row r="1330">
          <cell r="L1330" t="str">
            <v>MGNX</v>
          </cell>
          <cell r="M1330" t="str">
            <v>MACROGENICS-INC-14484280/</v>
          </cell>
          <cell r="N1330" t="str">
            <v>MGNX</v>
          </cell>
          <cell r="O1330" t="str">
            <v>MACROGENICS INC</v>
          </cell>
          <cell r="P1330" t="str">
            <v>NASDAQ GS</v>
          </cell>
          <cell r="Q1330" t="str">
            <v>Health Care</v>
          </cell>
          <cell r="R1330" t="str">
            <v>Biotechnology</v>
          </cell>
          <cell r="S1330" t="str">
            <v>MGNX</v>
          </cell>
        </row>
        <row r="1331">
          <cell r="L1331" t="str">
            <v>VIRT</v>
          </cell>
          <cell r="M1331" t="str">
            <v>VIRTUS-INVESTMENT-PARTNER-4983925/</v>
          </cell>
          <cell r="N1331" t="str">
            <v>VIRT</v>
          </cell>
          <cell r="O1331" t="str">
            <v>VIRTU FINANCIA-A</v>
          </cell>
          <cell r="P1331" t="str">
            <v>NASDAQ GS</v>
          </cell>
          <cell r="Q1331" t="str">
            <v>Financials</v>
          </cell>
          <cell r="R1331" t="str">
            <v>Capital Markets</v>
          </cell>
          <cell r="S1331" t="str">
            <v>VIRT</v>
          </cell>
        </row>
        <row r="1332">
          <cell r="L1332" t="str">
            <v>ASND</v>
          </cell>
          <cell r="M1332" t="str">
            <v>ASCENA-RETAIL-GROUP-INC-7101790/</v>
          </cell>
          <cell r="N1332" t="str">
            <v>ASND</v>
          </cell>
          <cell r="O1332" t="str">
            <v>ASCENDIS PHA-ADR</v>
          </cell>
          <cell r="P1332" t="str">
            <v>NASDAQ GS</v>
          </cell>
          <cell r="Q1332" t="str">
            <v>Health Care</v>
          </cell>
          <cell r="R1332" t="str">
            <v>Biotechnology</v>
          </cell>
          <cell r="S1332" t="str">
            <v>ASND</v>
          </cell>
        </row>
        <row r="1333">
          <cell r="L1333" t="str">
            <v>LKFN</v>
          </cell>
          <cell r="M1333" t="str">
            <v>LAKELAND-BANCORP-INC-9850/</v>
          </cell>
          <cell r="N1333" t="str">
            <v>LKFN</v>
          </cell>
          <cell r="O1333" t="str">
            <v>LAKELAND FINL</v>
          </cell>
          <cell r="P1333" t="str">
            <v>NASDAQ GS</v>
          </cell>
          <cell r="Q1333" t="str">
            <v>Financials</v>
          </cell>
          <cell r="R1333" t="str">
            <v>Banks</v>
          </cell>
          <cell r="S1333" t="str">
            <v>LKFN</v>
          </cell>
        </row>
        <row r="1334">
          <cell r="L1334" t="str">
            <v>MTGE</v>
          </cell>
          <cell r="M1334" t="str">
            <v>MTGE-INVESTMENT-CORP-31714613/</v>
          </cell>
          <cell r="N1334" t="str">
            <v>MTGE</v>
          </cell>
          <cell r="O1334" t="str">
            <v>MTGE INVESTMENT</v>
          </cell>
          <cell r="P1334" t="str">
            <v>NASDAQ GS</v>
          </cell>
          <cell r="Q1334" t="str">
            <v>Financials</v>
          </cell>
          <cell r="R1334" t="str">
            <v>Mortgage Real Estate Investmen</v>
          </cell>
          <cell r="S1334" t="str">
            <v>MTGE</v>
          </cell>
        </row>
        <row r="1335">
          <cell r="L1335" t="str">
            <v>GSKY</v>
          </cell>
          <cell r="M1335" t="str">
            <v>GREEN-BANCORP-INC-17139250/</v>
          </cell>
          <cell r="N1335" t="str">
            <v>GSKY</v>
          </cell>
          <cell r="O1335" t="str">
            <v>GREENSKY INC-A</v>
          </cell>
          <cell r="P1335" t="str">
            <v>NASDAQ GS</v>
          </cell>
          <cell r="Q1335" t="str">
            <v>Information Technology</v>
          </cell>
          <cell r="R1335" t="str">
            <v>IT Services</v>
          </cell>
          <cell r="S1335" t="str">
            <v>GSKY</v>
          </cell>
        </row>
        <row r="1336">
          <cell r="L1336" t="str">
            <v>TRMK</v>
          </cell>
          <cell r="M1336" t="str">
            <v>TRUSTCO-BANK-CORP-NY-11155/</v>
          </cell>
          <cell r="N1336" t="str">
            <v>TRMK</v>
          </cell>
          <cell r="O1336" t="str">
            <v>TRUSTMARK CORP</v>
          </cell>
          <cell r="P1336" t="str">
            <v>NASDAQ GS</v>
          </cell>
          <cell r="Q1336" t="str">
            <v>Financials</v>
          </cell>
          <cell r="R1336" t="str">
            <v>Banks</v>
          </cell>
          <cell r="S1336" t="str">
            <v>TRMK</v>
          </cell>
        </row>
        <row r="1337">
          <cell r="L1337" t="str">
            <v>AMPH</v>
          </cell>
          <cell r="M1337" t="str">
            <v>AMPHASTAR-PHARMACEUTICALS-16783932/</v>
          </cell>
          <cell r="N1337" t="str">
            <v>AMPH</v>
          </cell>
          <cell r="O1337" t="str">
            <v>AMPHASTAR PHARMA</v>
          </cell>
          <cell r="P1337" t="str">
            <v>NASDAQ GS</v>
          </cell>
          <cell r="Q1337" t="str">
            <v>Health Care</v>
          </cell>
          <cell r="R1337" t="str">
            <v>Pharmaceuticals</v>
          </cell>
          <cell r="S1337" t="str">
            <v>AMPH</v>
          </cell>
        </row>
        <row r="1338">
          <cell r="L1338" t="str">
            <v>CHEF</v>
          </cell>
          <cell r="M1338" t="str">
            <v>CHEFS-WAREHOUSE-INC-8538459/</v>
          </cell>
          <cell r="N1338" t="str">
            <v>CHEF</v>
          </cell>
          <cell r="O1338" t="str">
            <v>CHEFS WAREHOUSE</v>
          </cell>
          <cell r="P1338" t="str">
            <v>NASDAQ GS</v>
          </cell>
          <cell r="Q1338" t="str">
            <v>Consumer Staples</v>
          </cell>
          <cell r="R1338" t="str">
            <v>Food &amp; Staples Retailing</v>
          </cell>
          <cell r="S1338" t="str">
            <v>CHEF</v>
          </cell>
        </row>
        <row r="1339">
          <cell r="L1339" t="str">
            <v>FORR</v>
          </cell>
          <cell r="M1339" t="str">
            <v>FORRESTER-RESEARCH-INC-9348/</v>
          </cell>
          <cell r="N1339" t="str">
            <v>FORR</v>
          </cell>
          <cell r="O1339" t="str">
            <v>FORRESTER RESEAR</v>
          </cell>
          <cell r="P1339" t="str">
            <v>NASDAQ GS</v>
          </cell>
          <cell r="Q1339" t="str">
            <v>Industrials</v>
          </cell>
          <cell r="R1339" t="str">
            <v>Professional Services</v>
          </cell>
          <cell r="S1339" t="str">
            <v>FORR</v>
          </cell>
        </row>
        <row r="1340">
          <cell r="L1340" t="str">
            <v>SP</v>
          </cell>
          <cell r="M1340" t="str">
            <v>SP-PLUS-CORP-15077675/</v>
          </cell>
          <cell r="N1340" t="str">
            <v>SP</v>
          </cell>
          <cell r="O1340" t="str">
            <v>SP PLUS CORP</v>
          </cell>
          <cell r="P1340" t="str">
            <v>NASDAQ GS</v>
          </cell>
          <cell r="Q1340" t="str">
            <v>Industrials</v>
          </cell>
          <cell r="R1340" t="str">
            <v>Commercial Services &amp; Supplies</v>
          </cell>
          <cell r="S1340" t="str">
            <v>SP</v>
          </cell>
        </row>
        <row r="1341">
          <cell r="L1341" t="str">
            <v>SYBT</v>
          </cell>
          <cell r="M1341" t="str">
            <v>STOCK-YARDS-BANCORP-INC-16363685/</v>
          </cell>
          <cell r="N1341" t="str">
            <v>SYBT</v>
          </cell>
          <cell r="O1341" t="str">
            <v>STOCK YARDS BANC</v>
          </cell>
          <cell r="P1341" t="str">
            <v>NASDAQ GS</v>
          </cell>
          <cell r="Q1341" t="str">
            <v>Financials</v>
          </cell>
          <cell r="R1341" t="str">
            <v>Banks</v>
          </cell>
          <cell r="S1341" t="str">
            <v>SYBT</v>
          </cell>
        </row>
        <row r="1342">
          <cell r="L1342" t="str">
            <v>CSWI</v>
          </cell>
          <cell r="M1342" t="str">
            <v>CSW-INDUSTRIALS-INC-23733723/</v>
          </cell>
          <cell r="N1342" t="str">
            <v>CSWI</v>
          </cell>
          <cell r="O1342" t="str">
            <v>CSW INDUSTRI INC</v>
          </cell>
          <cell r="P1342" t="str">
            <v>NASDAQ GS</v>
          </cell>
          <cell r="Q1342" t="str">
            <v>Industrials</v>
          </cell>
          <cell r="R1342" t="str">
            <v>Building Products</v>
          </cell>
          <cell r="S1342" t="str">
            <v>CSWI</v>
          </cell>
        </row>
        <row r="1343">
          <cell r="L1343" t="str">
            <v>CRAY</v>
          </cell>
          <cell r="M1343" t="str">
            <v>CRAY-INC-8887/</v>
          </cell>
          <cell r="N1343" t="str">
            <v>CRAY</v>
          </cell>
          <cell r="O1343" t="str">
            <v>CRAY INC</v>
          </cell>
          <cell r="P1343" t="str">
            <v>NASDAQ GS</v>
          </cell>
          <cell r="Q1343" t="str">
            <v>Information Technology</v>
          </cell>
          <cell r="R1343" t="str">
            <v>Technology Hardware, Storage &amp;</v>
          </cell>
          <cell r="S1343" t="str">
            <v>CRAY</v>
          </cell>
        </row>
        <row r="1344">
          <cell r="L1344" t="str">
            <v>CTRL</v>
          </cell>
          <cell r="M1344" t="str">
            <v>CONTROL4-CORP-13808981/</v>
          </cell>
          <cell r="N1344" t="str">
            <v>CTRL</v>
          </cell>
          <cell r="O1344" t="str">
            <v>CONTROL4 CORP</v>
          </cell>
          <cell r="P1344" t="str">
            <v>NASDAQ GS</v>
          </cell>
          <cell r="Q1344" t="str">
            <v>Information Technology</v>
          </cell>
          <cell r="R1344" t="str">
            <v>Electronic Equipment, Instrume</v>
          </cell>
          <cell r="S1344" t="str">
            <v>CTRL</v>
          </cell>
        </row>
        <row r="1345">
          <cell r="L1345" t="str">
            <v>ADUS</v>
          </cell>
          <cell r="M1345" t="str">
            <v>ADDUS-HOMECARE-CORPORATIO-5685495/</v>
          </cell>
          <cell r="N1345" t="str">
            <v>ADUS</v>
          </cell>
          <cell r="O1345" t="str">
            <v>ADDUS HOMECARE</v>
          </cell>
          <cell r="P1345" t="str">
            <v>NASDAQ GS</v>
          </cell>
          <cell r="Q1345" t="str">
            <v>Health Care</v>
          </cell>
          <cell r="R1345" t="str">
            <v>Health Care Providers &amp; Servic</v>
          </cell>
          <cell r="S1345" t="str">
            <v>ADUS</v>
          </cell>
        </row>
        <row r="1346">
          <cell r="L1346" t="str">
            <v>QIWI</v>
          </cell>
          <cell r="M1346" t="str">
            <v>QIWI-PLC-13125210/</v>
          </cell>
          <cell r="N1346" t="str">
            <v>QIWI</v>
          </cell>
          <cell r="O1346" t="str">
            <v>QIWI PLC-SP ADR</v>
          </cell>
          <cell r="P1346" t="str">
            <v>NASDAQ GS</v>
          </cell>
          <cell r="Q1346" t="str">
            <v>Information Technology</v>
          </cell>
          <cell r="R1346" t="str">
            <v>IT Services</v>
          </cell>
          <cell r="S1346" t="str">
            <v>QIWI</v>
          </cell>
        </row>
        <row r="1347">
          <cell r="L1347" t="str">
            <v>TSC</v>
          </cell>
          <cell r="M1347" t="str">
            <v>TRISTATE-CAPITAL-HOLDINGS-13170375/</v>
          </cell>
          <cell r="N1347" t="str">
            <v>TSC</v>
          </cell>
          <cell r="O1347" t="str">
            <v>TRISTATE CAPITAL</v>
          </cell>
          <cell r="P1347" t="str">
            <v>NASDAQ GS</v>
          </cell>
          <cell r="Q1347" t="str">
            <v>Financials</v>
          </cell>
          <cell r="R1347" t="str">
            <v>Banks</v>
          </cell>
          <cell r="S1347" t="str">
            <v>TSC</v>
          </cell>
        </row>
        <row r="1348">
          <cell r="L1348" t="str">
            <v>GABC</v>
          </cell>
          <cell r="M1348" t="str">
            <v>GERMAN-AMERICAN-BANCORP--9392/</v>
          </cell>
          <cell r="N1348" t="str">
            <v>GABC</v>
          </cell>
          <cell r="O1348" t="str">
            <v>GERMAN AMER BNCP</v>
          </cell>
          <cell r="P1348" t="str">
            <v>NASDAQ GS</v>
          </cell>
          <cell r="Q1348" t="str">
            <v>Financials</v>
          </cell>
          <cell r="R1348" t="str">
            <v>Banks</v>
          </cell>
          <cell r="S1348" t="str">
            <v>GABC</v>
          </cell>
        </row>
        <row r="1349">
          <cell r="L1349" t="str">
            <v>TYPE</v>
          </cell>
          <cell r="M1349" t="str">
            <v>MONOTYPE-IMAGING-HOLDINGS-57238/</v>
          </cell>
          <cell r="N1349" t="str">
            <v>TYPE</v>
          </cell>
          <cell r="O1349" t="str">
            <v>MONOTYPE IMAGING</v>
          </cell>
          <cell r="P1349" t="str">
            <v>NASDAQ GS</v>
          </cell>
          <cell r="Q1349" t="str">
            <v>Information Technology</v>
          </cell>
          <cell r="R1349" t="str">
            <v>Software</v>
          </cell>
          <cell r="S1349" t="str">
            <v>TYPE</v>
          </cell>
        </row>
        <row r="1350">
          <cell r="L1350" t="str">
            <v>BAND</v>
          </cell>
          <cell r="M1350" t="str">
            <v>BANDWIDTH-INC-38626838/</v>
          </cell>
          <cell r="N1350" t="str">
            <v>BAND</v>
          </cell>
          <cell r="O1350" t="str">
            <v>BANDWIDTH INC-A</v>
          </cell>
          <cell r="P1350" t="str">
            <v>NASDAQ GS</v>
          </cell>
          <cell r="Q1350" t="str">
            <v>Information Technology</v>
          </cell>
          <cell r="R1350" t="str">
            <v>Internet Software &amp; Services</v>
          </cell>
          <cell r="S1350" t="str">
            <v>BAND</v>
          </cell>
        </row>
        <row r="1351">
          <cell r="L1351" t="str">
            <v>IFRX</v>
          </cell>
          <cell r="M1351" t="str">
            <v>INFLARX-NV-38607083/</v>
          </cell>
          <cell r="N1351" t="str">
            <v>IFRX</v>
          </cell>
          <cell r="O1351" t="str">
            <v>INFLARX NV</v>
          </cell>
          <cell r="P1351" t="str">
            <v>NASDAQ GS</v>
          </cell>
          <cell r="Q1351" t="str">
            <v>Health Care</v>
          </cell>
          <cell r="R1351" t="str">
            <v>Biotechnology</v>
          </cell>
          <cell r="S1351" t="str">
            <v>IFRX</v>
          </cell>
        </row>
        <row r="1352">
          <cell r="L1352" t="str">
            <v>IPHS</v>
          </cell>
          <cell r="M1352" t="str">
            <v>INNOPHOS-HOLDINGS-INC-36169/</v>
          </cell>
          <cell r="N1352" t="str">
            <v>IPHS</v>
          </cell>
          <cell r="O1352" t="str">
            <v>INNOPHOS HOLDING</v>
          </cell>
          <cell r="P1352" t="str">
            <v>NASDAQ GS</v>
          </cell>
          <cell r="Q1352" t="str">
            <v>Materials</v>
          </cell>
          <cell r="R1352" t="str">
            <v>Chemicals</v>
          </cell>
          <cell r="S1352" t="str">
            <v>IPHS</v>
          </cell>
        </row>
        <row r="1353">
          <cell r="L1353" t="str">
            <v>CSIQ</v>
          </cell>
          <cell r="M1353" t="str">
            <v>CANADIAN-SOLAR-INC-36332/</v>
          </cell>
          <cell r="N1353" t="str">
            <v>CSIQ</v>
          </cell>
          <cell r="O1353" t="str">
            <v>CANADIAN SOLAR I</v>
          </cell>
          <cell r="P1353" t="str">
            <v>NASDAQ GS</v>
          </cell>
          <cell r="Q1353" t="str">
            <v>Information Technology</v>
          </cell>
          <cell r="R1353" t="str">
            <v>Semiconductors &amp; Semiconductor</v>
          </cell>
          <cell r="S1353" t="str">
            <v>CSIQ</v>
          </cell>
        </row>
        <row r="1354">
          <cell r="L1354" t="str">
            <v>HAFC</v>
          </cell>
          <cell r="M1354" t="str">
            <v>HANMI-FINANCIAL-CORP-9691467/</v>
          </cell>
          <cell r="N1354" t="str">
            <v>HAFC</v>
          </cell>
          <cell r="O1354" t="str">
            <v>HANMI FINL CORP</v>
          </cell>
          <cell r="P1354" t="str">
            <v>NASDAQ GS</v>
          </cell>
          <cell r="Q1354" t="str">
            <v>Financials</v>
          </cell>
          <cell r="R1354" t="str">
            <v>Banks</v>
          </cell>
          <cell r="S1354" t="str">
            <v>HAFC</v>
          </cell>
        </row>
        <row r="1355">
          <cell r="L1355" t="str">
            <v>ORBC</v>
          </cell>
          <cell r="M1355" t="str">
            <v>ORBCOMM-INC-36170/</v>
          </cell>
          <cell r="N1355" t="str">
            <v>ORBC</v>
          </cell>
          <cell r="O1355" t="str">
            <v>ORBCOMM INC</v>
          </cell>
          <cell r="P1355" t="str">
            <v>NASDAQ GS</v>
          </cell>
          <cell r="Q1355" t="str">
            <v>Telecommunication Services</v>
          </cell>
          <cell r="R1355" t="str">
            <v>Diversified Telecommunication</v>
          </cell>
          <cell r="S1355" t="str">
            <v>ORBC</v>
          </cell>
        </row>
        <row r="1356">
          <cell r="L1356" t="str">
            <v>ANGO</v>
          </cell>
          <cell r="M1356" t="str">
            <v>ANGIODYNAMICS-INC-8379/</v>
          </cell>
          <cell r="N1356" t="str">
            <v>ANGO</v>
          </cell>
          <cell r="O1356" t="str">
            <v>ANGIODYNAMICS IN</v>
          </cell>
          <cell r="P1356" t="str">
            <v>NASDAQ GS</v>
          </cell>
          <cell r="Q1356" t="str">
            <v>Health Care</v>
          </cell>
          <cell r="R1356" t="str">
            <v>Health Care Equipment &amp; Suppli</v>
          </cell>
          <cell r="S1356" t="str">
            <v>ANGO</v>
          </cell>
        </row>
        <row r="1357">
          <cell r="L1357" t="str">
            <v>LSTR</v>
          </cell>
          <cell r="M1357" t="str">
            <v>LANDS-END-INC-16068905/</v>
          </cell>
          <cell r="N1357" t="str">
            <v>LSTR</v>
          </cell>
          <cell r="O1357" t="str">
            <v>LANDSTAR SYSTEM</v>
          </cell>
          <cell r="P1357" t="str">
            <v>NASDAQ GS</v>
          </cell>
          <cell r="Q1357" t="str">
            <v>Industrials</v>
          </cell>
          <cell r="R1357" t="str">
            <v>Road &amp; Rail</v>
          </cell>
          <cell r="S1357" t="str">
            <v>LSTR</v>
          </cell>
        </row>
        <row r="1358">
          <cell r="L1358" t="str">
            <v>CMTL</v>
          </cell>
          <cell r="M1358" t="str">
            <v>COMTECH-TELECOMM-CORP-8827/</v>
          </cell>
          <cell r="N1358" t="str">
            <v>CMTL</v>
          </cell>
          <cell r="O1358" t="str">
            <v>COMTECH TELECOMM</v>
          </cell>
          <cell r="P1358" t="str">
            <v>NASDAQ GS</v>
          </cell>
          <cell r="Q1358" t="str">
            <v>Information Technology</v>
          </cell>
          <cell r="R1358" t="str">
            <v>Communications Equipment</v>
          </cell>
          <cell r="S1358" t="str">
            <v>CMTL</v>
          </cell>
        </row>
        <row r="1359">
          <cell r="L1359" t="str">
            <v>HSII</v>
          </cell>
          <cell r="M1359" t="str">
            <v>HEIDRICK-STRUGGLES-INTE-9583/</v>
          </cell>
          <cell r="N1359" t="str">
            <v>HSII</v>
          </cell>
          <cell r="O1359" t="str">
            <v>HEIDRICK &amp; STRUG</v>
          </cell>
          <cell r="P1359" t="str">
            <v>NASDAQ GS</v>
          </cell>
          <cell r="Q1359" t="str">
            <v>Industrials</v>
          </cell>
          <cell r="R1359" t="str">
            <v>Professional Services</v>
          </cell>
          <cell r="S1359" t="str">
            <v>HSII</v>
          </cell>
        </row>
        <row r="1360">
          <cell r="L1360" t="str">
            <v>DRNA</v>
          </cell>
          <cell r="M1360" t="str">
            <v>DICERNA-PHARMACEUTICALS-I-15657740/</v>
          </cell>
          <cell r="N1360" t="str">
            <v>DRNA</v>
          </cell>
          <cell r="O1360" t="str">
            <v>DICERNA PHARMACE</v>
          </cell>
          <cell r="P1360" t="str">
            <v>NASDAQ GS</v>
          </cell>
          <cell r="Q1360" t="str">
            <v>Health Care</v>
          </cell>
          <cell r="R1360" t="str">
            <v>Biotechnology</v>
          </cell>
          <cell r="S1360" t="str">
            <v>DRNA</v>
          </cell>
        </row>
        <row r="1361">
          <cell r="L1361" t="str">
            <v>MCRI</v>
          </cell>
          <cell r="M1361" t="str">
            <v>MONARCH-CASINO-RESORT-9978/</v>
          </cell>
          <cell r="N1361" t="str">
            <v>MCRI</v>
          </cell>
          <cell r="O1361" t="str">
            <v>MONARCH CASINO</v>
          </cell>
          <cell r="P1361" t="str">
            <v>NASDAQ GS</v>
          </cell>
          <cell r="Q1361" t="str">
            <v>Consumer Discretionary</v>
          </cell>
          <cell r="R1361" t="str">
            <v>Hotels, Restaurants &amp; Leisure</v>
          </cell>
          <cell r="S1361" t="str">
            <v>MCRI</v>
          </cell>
        </row>
        <row r="1362">
          <cell r="L1362" t="str">
            <v>CNOB</v>
          </cell>
          <cell r="M1362" t="str">
            <v>CONNECTICUT-WATER-SERVICE-8957/</v>
          </cell>
          <cell r="N1362" t="str">
            <v>CNOB</v>
          </cell>
          <cell r="O1362" t="str">
            <v>CONNECTONE BANCO</v>
          </cell>
          <cell r="P1362" t="str">
            <v>NASDAQ GS</v>
          </cell>
          <cell r="Q1362" t="str">
            <v>Financials</v>
          </cell>
          <cell r="R1362" t="str">
            <v>Banks</v>
          </cell>
          <cell r="S1362" t="str">
            <v>CNOB</v>
          </cell>
        </row>
        <row r="1363">
          <cell r="L1363" t="str">
            <v>AMAG</v>
          </cell>
          <cell r="M1363" t="str">
            <v>AMAG-PHARMACEUTICALS-INC-29325/</v>
          </cell>
          <cell r="N1363" t="str">
            <v>AMAG</v>
          </cell>
          <cell r="O1363" t="str">
            <v>AMAG PHARMACEUTI</v>
          </cell>
          <cell r="P1363" t="str">
            <v>NASDAQ GS</v>
          </cell>
          <cell r="Q1363" t="str">
            <v>Health Care</v>
          </cell>
          <cell r="R1363" t="str">
            <v>Biotechnology</v>
          </cell>
          <cell r="S1363" t="str">
            <v>AMAG</v>
          </cell>
        </row>
        <row r="1364">
          <cell r="L1364" t="str">
            <v>BCRX</v>
          </cell>
          <cell r="M1364" t="str">
            <v>BIOCRYST-PHARMACEUTICALS-8534/</v>
          </cell>
          <cell r="N1364" t="str">
            <v>BCRX</v>
          </cell>
          <cell r="O1364" t="str">
            <v>BIOCRYST PHARM</v>
          </cell>
          <cell r="P1364" t="str">
            <v>NASDAQ GS</v>
          </cell>
          <cell r="Q1364" t="str">
            <v>Health Care</v>
          </cell>
          <cell r="R1364" t="str">
            <v>Biotechnology</v>
          </cell>
          <cell r="S1364" t="str">
            <v>BCRX</v>
          </cell>
        </row>
        <row r="1365">
          <cell r="L1365" t="str">
            <v>CAMP</v>
          </cell>
          <cell r="M1365" t="str">
            <v>CALAMP-CORP-8664/</v>
          </cell>
          <cell r="N1365" t="str">
            <v>CAMP</v>
          </cell>
          <cell r="O1365" t="str">
            <v>CALAMP CORP</v>
          </cell>
          <cell r="P1365" t="str">
            <v>NASDAQ GS</v>
          </cell>
          <cell r="Q1365" t="str">
            <v>Information Technology</v>
          </cell>
          <cell r="R1365" t="str">
            <v>Communications Equipment</v>
          </cell>
          <cell r="S1365" t="str">
            <v>CAMP</v>
          </cell>
        </row>
        <row r="1366">
          <cell r="L1366" t="str">
            <v>IRCP</v>
          </cell>
          <cell r="M1366" t="str">
            <v>IRSA-PROPIEDADES-COMERCIA-20769130/</v>
          </cell>
          <cell r="N1366" t="str">
            <v>IRCP</v>
          </cell>
          <cell r="O1366" t="str">
            <v>IRSA PROPIEDADES</v>
          </cell>
          <cell r="P1366" t="str">
            <v>NASDAQ GS</v>
          </cell>
          <cell r="Q1366" t="str">
            <v>Real Estate</v>
          </cell>
          <cell r="R1366" t="str">
            <v>Real Estate Management &amp; Devel</v>
          </cell>
          <cell r="S1366" t="str">
            <v>IRCP</v>
          </cell>
        </row>
        <row r="1367">
          <cell r="L1367" t="str">
            <v>DXPE</v>
          </cell>
          <cell r="M1367" t="str">
            <v>DXP-ENTERPRISES-INC-9116/</v>
          </cell>
          <cell r="N1367" t="str">
            <v>DXPE</v>
          </cell>
          <cell r="O1367" t="str">
            <v>DXP ENTERPRISES</v>
          </cell>
          <cell r="P1367" t="str">
            <v>NASDAQ GS</v>
          </cell>
          <cell r="Q1367" t="str">
            <v>Industrials</v>
          </cell>
          <cell r="R1367" t="str">
            <v>Trading Companies &amp; Distributo</v>
          </cell>
          <cell r="S1367" t="str">
            <v>DXPE</v>
          </cell>
        </row>
        <row r="1368">
          <cell r="L1368" t="str">
            <v>SGRY</v>
          </cell>
          <cell r="M1368" t="str">
            <v>SURGERY-PARTNERS-INC-24007948/</v>
          </cell>
          <cell r="N1368" t="str">
            <v>SGRY</v>
          </cell>
          <cell r="O1368" t="str">
            <v>SURGERY PARTNERS</v>
          </cell>
          <cell r="P1368" t="str">
            <v>NASDAQ GS</v>
          </cell>
          <cell r="Q1368" t="str">
            <v>Health Care</v>
          </cell>
          <cell r="R1368" t="str">
            <v>Health Care Providers &amp; Servic</v>
          </cell>
          <cell r="S1368" t="str">
            <v>SGRY</v>
          </cell>
        </row>
        <row r="1369">
          <cell r="L1369" t="str">
            <v>ADTN</v>
          </cell>
          <cell r="M1369" t="str">
            <v>ADTRAN-INC-8259/</v>
          </cell>
          <cell r="N1369" t="str">
            <v>ADTN</v>
          </cell>
          <cell r="O1369" t="str">
            <v>ADTRAN INC</v>
          </cell>
          <cell r="P1369" t="str">
            <v>NASDAQ GS</v>
          </cell>
          <cell r="Q1369" t="str">
            <v>Information Technology</v>
          </cell>
          <cell r="R1369" t="str">
            <v>Communications Equipment</v>
          </cell>
          <cell r="S1369" t="str">
            <v>ADTN</v>
          </cell>
        </row>
        <row r="1370">
          <cell r="L1370" t="str">
            <v>NVMI</v>
          </cell>
          <cell r="M1370" t="str">
            <v>NOVA-MEASURING-INSTRUMENT-10285/</v>
          </cell>
          <cell r="N1370" t="str">
            <v>NVMI</v>
          </cell>
          <cell r="O1370" t="str">
            <v>NOVA MEASURING</v>
          </cell>
          <cell r="P1370" t="str">
            <v>NASDAQ GS</v>
          </cell>
          <cell r="Q1370" t="str">
            <v>Information Technology</v>
          </cell>
          <cell r="R1370" t="str">
            <v>Semiconductors &amp; Semiconductor</v>
          </cell>
          <cell r="S1370" t="str">
            <v>NVMI</v>
          </cell>
        </row>
        <row r="1371">
          <cell r="L1371" t="str">
            <v>ITRN</v>
          </cell>
          <cell r="M1371" t="str">
            <v>ITURAN-LOCATION-AND-CONTR-9754/</v>
          </cell>
          <cell r="N1371" t="str">
            <v>ITRN</v>
          </cell>
          <cell r="O1371" t="str">
            <v>ITURAN LOCATION</v>
          </cell>
          <cell r="P1371" t="str">
            <v>NASDAQ GS</v>
          </cell>
          <cell r="Q1371" t="str">
            <v>Information Technology</v>
          </cell>
          <cell r="R1371" t="str">
            <v>Communications Equipment</v>
          </cell>
          <cell r="S1371" t="str">
            <v>ITRN</v>
          </cell>
        </row>
        <row r="1372">
          <cell r="L1372" t="str">
            <v>UBX</v>
          </cell>
          <cell r="M1372" t="str">
            <v>UNITY-BIOTECHNOLOGY-INC-43214689/</v>
          </cell>
          <cell r="N1372" t="str">
            <v>UBX</v>
          </cell>
          <cell r="O1372" t="str">
            <v>UNITY BIOTECHNOL</v>
          </cell>
          <cell r="P1372" t="str">
            <v>NASDAQ GS</v>
          </cell>
          <cell r="Q1372" t="str">
            <v>Health Care</v>
          </cell>
          <cell r="R1372" t="str">
            <v>Biotechnology</v>
          </cell>
          <cell r="S1372" t="str">
            <v>UBX</v>
          </cell>
        </row>
        <row r="1373">
          <cell r="L1373" t="str">
            <v>ZUMZ</v>
          </cell>
          <cell r="M1373" t="str">
            <v>ZUMIEZ-INC-11486/</v>
          </cell>
          <cell r="N1373" t="str">
            <v>ZUMZ</v>
          </cell>
          <cell r="O1373" t="str">
            <v>ZUMIEZ INC</v>
          </cell>
          <cell r="P1373" t="str">
            <v>NASDAQ GS</v>
          </cell>
          <cell r="Q1373" t="str">
            <v>Consumer Discretionary</v>
          </cell>
          <cell r="R1373" t="str">
            <v>Specialty Retail</v>
          </cell>
          <cell r="S1373" t="str">
            <v>ZUMZ</v>
          </cell>
        </row>
        <row r="1374">
          <cell r="L1374" t="str">
            <v>AEGN</v>
          </cell>
          <cell r="M1374" t="str">
            <v>AEGION-CORP-9943461/</v>
          </cell>
          <cell r="N1374" t="str">
            <v>AEGN</v>
          </cell>
          <cell r="O1374" t="str">
            <v>AEGION CORP</v>
          </cell>
          <cell r="P1374" t="str">
            <v>NASDAQ GS</v>
          </cell>
          <cell r="Q1374" t="str">
            <v>Industrials</v>
          </cell>
          <cell r="R1374" t="str">
            <v>Construction &amp; Engineering</v>
          </cell>
          <cell r="S1374" t="str">
            <v>AEGN</v>
          </cell>
        </row>
        <row r="1375">
          <cell r="L1375" t="str">
            <v>XPER</v>
          </cell>
          <cell r="M1375" t="str">
            <v>XPERI-CORP-34115586/</v>
          </cell>
          <cell r="N1375" t="str">
            <v>XPER</v>
          </cell>
          <cell r="O1375" t="str">
            <v>XPERI CORP</v>
          </cell>
          <cell r="P1375" t="str">
            <v>NASDAQ GS</v>
          </cell>
          <cell r="Q1375" t="str">
            <v>Information Technology</v>
          </cell>
          <cell r="R1375" t="str">
            <v>Semiconductors &amp; Semiconductor</v>
          </cell>
          <cell r="S1375" t="str">
            <v>XPER</v>
          </cell>
        </row>
        <row r="1376">
          <cell r="L1376" t="str">
            <v>SOHU</v>
          </cell>
          <cell r="M1376" t="str">
            <v>SOHU-COM-LTD-ADR-43581482/</v>
          </cell>
          <cell r="N1376" t="str">
            <v>SOHU</v>
          </cell>
          <cell r="O1376" t="str">
            <v>SOHU.COM LTD-ADR</v>
          </cell>
          <cell r="P1376" t="str">
            <v>NASDAQ GS</v>
          </cell>
          <cell r="Q1376" t="str">
            <v>Information Technology</v>
          </cell>
          <cell r="R1376" t="str">
            <v>Internet Software &amp; Services</v>
          </cell>
          <cell r="S1376" t="str">
            <v>SOHU</v>
          </cell>
        </row>
        <row r="1377">
          <cell r="L1377" t="str">
            <v>XCRA</v>
          </cell>
          <cell r="M1377" t="str">
            <v>XCERRA-CORP-16538039/</v>
          </cell>
          <cell r="N1377" t="str">
            <v>XCRA</v>
          </cell>
          <cell r="O1377" t="str">
            <v>XCERRA CORP</v>
          </cell>
          <cell r="P1377" t="str">
            <v>NASDAQ GS</v>
          </cell>
          <cell r="Q1377" t="str">
            <v>Information Technology</v>
          </cell>
          <cell r="R1377" t="str">
            <v>Semiconductors &amp; Semiconductor</v>
          </cell>
          <cell r="S1377" t="str">
            <v>XCRA</v>
          </cell>
        </row>
        <row r="1378">
          <cell r="L1378" t="str">
            <v>RCII</v>
          </cell>
          <cell r="M1378" t="str">
            <v>RENT-A-CENTER-INC-10635/</v>
          </cell>
          <cell r="N1378" t="str">
            <v>RCII</v>
          </cell>
          <cell r="O1378" t="str">
            <v>RENT-A-CENTER</v>
          </cell>
          <cell r="P1378" t="str">
            <v>NASDAQ GS</v>
          </cell>
          <cell r="Q1378" t="str">
            <v>Consumer Discretionary</v>
          </cell>
          <cell r="R1378" t="str">
            <v>Specialty Retail</v>
          </cell>
          <cell r="S1378" t="str">
            <v>RCII</v>
          </cell>
        </row>
        <row r="1379">
          <cell r="L1379" t="str">
            <v>CNOB</v>
          </cell>
          <cell r="M1379" t="str">
            <v>CONNECTONE-BANCORP-INC-16838957/</v>
          </cell>
          <cell r="N1379" t="str">
            <v>CNOB</v>
          </cell>
          <cell r="O1379" t="str">
            <v>CONNECTONE BANCO</v>
          </cell>
          <cell r="P1379" t="str">
            <v>NASDAQ GS</v>
          </cell>
          <cell r="Q1379" t="str">
            <v>Financials</v>
          </cell>
          <cell r="R1379" t="str">
            <v>Banks</v>
          </cell>
          <cell r="S1379" t="str">
            <v>CNOB</v>
          </cell>
        </row>
        <row r="1380">
          <cell r="L1380" t="str">
            <v>KURA</v>
          </cell>
          <cell r="M1380" t="str">
            <v>KURA-ONCOLOGY-INC-24827079/</v>
          </cell>
          <cell r="N1380" t="str">
            <v>KURA</v>
          </cell>
          <cell r="O1380" t="str">
            <v>KURA ONCOLOGY IN</v>
          </cell>
          <cell r="P1380" t="str">
            <v>NASDAQ GS</v>
          </cell>
          <cell r="Q1380" t="str">
            <v>Health Care</v>
          </cell>
          <cell r="R1380" t="str">
            <v>Biotechnology</v>
          </cell>
          <cell r="S1380" t="str">
            <v>KURA</v>
          </cell>
        </row>
        <row r="1381">
          <cell r="L1381" t="str">
            <v>NCNA</v>
          </cell>
          <cell r="M1381" t="str">
            <v>NUCANA-PLC-ADR-37892976/</v>
          </cell>
          <cell r="N1381" t="str">
            <v>NCNA</v>
          </cell>
          <cell r="O1381" t="str">
            <v>NUCANA PLC-ADR</v>
          </cell>
          <cell r="P1381" t="str">
            <v>NASDAQ GS</v>
          </cell>
          <cell r="Q1381" t="str">
            <v>Health Care</v>
          </cell>
          <cell r="R1381" t="str">
            <v>Biotechnology</v>
          </cell>
          <cell r="S1381" t="str">
            <v>NCNA</v>
          </cell>
        </row>
        <row r="1382">
          <cell r="L1382" t="str">
            <v>FRGI</v>
          </cell>
          <cell r="M1382" t="str">
            <v>FIESTA-RESTAURANT-GROUP-I-10490225/</v>
          </cell>
          <cell r="N1382" t="str">
            <v>FRGI</v>
          </cell>
          <cell r="O1382" t="str">
            <v>FIESTA RESTAURAN</v>
          </cell>
          <cell r="P1382" t="str">
            <v>NASDAQ GS</v>
          </cell>
          <cell r="Q1382" t="str">
            <v>Consumer Discretionary</v>
          </cell>
          <cell r="R1382" t="str">
            <v>Hotels, Restaurants &amp; Leisure</v>
          </cell>
          <cell r="S1382" t="str">
            <v>FRGI</v>
          </cell>
        </row>
        <row r="1383">
          <cell r="L1383" t="str">
            <v>HZNP</v>
          </cell>
          <cell r="M1383" t="str">
            <v>HORIZON-BANCORP-INC-9522/</v>
          </cell>
          <cell r="N1383" t="str">
            <v>HZNP</v>
          </cell>
          <cell r="O1383" t="str">
            <v>HORIZON PHARMA P</v>
          </cell>
          <cell r="P1383" t="str">
            <v>NASDAQ GS</v>
          </cell>
          <cell r="Q1383" t="str">
            <v>Health Care</v>
          </cell>
          <cell r="R1383" t="str">
            <v>Pharmaceuticals</v>
          </cell>
          <cell r="S1383" t="str">
            <v>HZNP</v>
          </cell>
        </row>
        <row r="1384">
          <cell r="L1384" t="str">
            <v>HMST</v>
          </cell>
          <cell r="M1384" t="str">
            <v>HOMESTREET-INC-9981359/</v>
          </cell>
          <cell r="N1384" t="str">
            <v>HMST</v>
          </cell>
          <cell r="O1384" t="str">
            <v>HOMESTREET INC</v>
          </cell>
          <cell r="P1384" t="str">
            <v>NASDAQ GS</v>
          </cell>
          <cell r="Q1384" t="str">
            <v>Financials</v>
          </cell>
          <cell r="R1384" t="str">
            <v>Thrifts &amp; Mortgage Finance</v>
          </cell>
          <cell r="S1384" t="str">
            <v>HMST</v>
          </cell>
        </row>
        <row r="1385">
          <cell r="L1385" t="str">
            <v>EPZM</v>
          </cell>
          <cell r="M1385" t="str">
            <v>EPIZYME-INC-13314771/</v>
          </cell>
          <cell r="N1385" t="str">
            <v>EPZM</v>
          </cell>
          <cell r="O1385" t="str">
            <v>EPIZYME INC</v>
          </cell>
          <cell r="P1385" t="str">
            <v>NASDAQ GS</v>
          </cell>
          <cell r="Q1385" t="str">
            <v>Health Care</v>
          </cell>
          <cell r="R1385" t="str">
            <v>Biotechnology</v>
          </cell>
          <cell r="S1385" t="str">
            <v>EPZM</v>
          </cell>
        </row>
        <row r="1386">
          <cell r="L1386" t="str">
            <v>SPTN</v>
          </cell>
          <cell r="M1386" t="str">
            <v>SPARTANNASH-CO-16603670/</v>
          </cell>
          <cell r="N1386" t="str">
            <v>SPTN</v>
          </cell>
          <cell r="O1386" t="str">
            <v>SPARTANNASH CO</v>
          </cell>
          <cell r="P1386" t="str">
            <v>NASDAQ GS</v>
          </cell>
          <cell r="Q1386" t="str">
            <v>Consumer Staples</v>
          </cell>
          <cell r="R1386" t="str">
            <v>Food &amp; Staples Retailing</v>
          </cell>
          <cell r="S1386" t="str">
            <v>SPTN</v>
          </cell>
        </row>
        <row r="1387">
          <cell r="L1387" t="str">
            <v>CBAY</v>
          </cell>
          <cell r="M1387" t="str">
            <v>CYMABAY-THERAPEUTICS-INC-16725724/</v>
          </cell>
          <cell r="N1387" t="str">
            <v>CBAY</v>
          </cell>
          <cell r="O1387" t="str">
            <v>CYMABAY THERAPEU</v>
          </cell>
          <cell r="P1387" t="str">
            <v>NASDAQ GS</v>
          </cell>
          <cell r="Q1387" t="str">
            <v>Health Care</v>
          </cell>
          <cell r="R1387" t="str">
            <v>Pharmaceuticals</v>
          </cell>
          <cell r="S1387" t="str">
            <v>CBAY</v>
          </cell>
        </row>
        <row r="1388">
          <cell r="L1388" t="str">
            <v>MLAB</v>
          </cell>
          <cell r="M1388" t="str">
            <v>MESA-LABORATORIES-INC-10041/</v>
          </cell>
          <cell r="N1388" t="str">
            <v>MLAB</v>
          </cell>
          <cell r="O1388" t="str">
            <v>MESA LABS</v>
          </cell>
          <cell r="P1388" t="str">
            <v>NASDAQ GS</v>
          </cell>
          <cell r="Q1388" t="str">
            <v>Information Technology</v>
          </cell>
          <cell r="R1388" t="str">
            <v>Electronic Equipment, Instrume</v>
          </cell>
          <cell r="S1388" t="str">
            <v>MLAB</v>
          </cell>
        </row>
        <row r="1389">
          <cell r="L1389" t="str">
            <v>PRIM</v>
          </cell>
          <cell r="M1389" t="str">
            <v>PRIMO-WATER-CORPORATION-6845440/</v>
          </cell>
          <cell r="N1389" t="str">
            <v>PRIM</v>
          </cell>
          <cell r="O1389" t="str">
            <v>PRIMORIS SERVICE</v>
          </cell>
          <cell r="P1389" t="str">
            <v>NASDAQ GS</v>
          </cell>
          <cell r="Q1389" t="str">
            <v>Industrials</v>
          </cell>
          <cell r="R1389" t="str">
            <v>Construction &amp; Engineering</v>
          </cell>
          <cell r="S1389" t="str">
            <v>PRIM</v>
          </cell>
        </row>
        <row r="1390">
          <cell r="L1390" t="str">
            <v>FLWS</v>
          </cell>
          <cell r="M1390" t="str">
            <v>1-800-FLOWERS-COM-INC-9319/</v>
          </cell>
          <cell r="N1390" t="str">
            <v>FLWS</v>
          </cell>
          <cell r="O1390" t="str">
            <v>1-800-FLOWERS-A</v>
          </cell>
          <cell r="P1390" t="str">
            <v>NASDAQ GS</v>
          </cell>
          <cell r="Q1390" t="str">
            <v>Consumer Discretionary</v>
          </cell>
          <cell r="R1390" t="str">
            <v>Internet &amp; Direct Marketing Re</v>
          </cell>
          <cell r="S1390" t="str">
            <v>FLWS</v>
          </cell>
        </row>
        <row r="1391">
          <cell r="L1391" t="str">
            <v>GOGL</v>
          </cell>
          <cell r="M1391" t="str">
            <v>GOLDEN-ENTERTAINMENT-INC-23305978/</v>
          </cell>
          <cell r="N1391" t="str">
            <v>GOGL</v>
          </cell>
          <cell r="O1391" t="str">
            <v>GOLDEN OCEAN GRO</v>
          </cell>
          <cell r="P1391" t="str">
            <v>NASDAQ GS</v>
          </cell>
          <cell r="Q1391" t="str">
            <v>Industrials</v>
          </cell>
          <cell r="R1391" t="str">
            <v>Marine</v>
          </cell>
          <cell r="S1391" t="str">
            <v>GOGL</v>
          </cell>
        </row>
        <row r="1392">
          <cell r="L1392" t="str">
            <v>HMHC</v>
          </cell>
          <cell r="M1392" t="str">
            <v>HOUGHTON-MIFFLIN-HARCOURT-14904439/</v>
          </cell>
          <cell r="N1392" t="str">
            <v>HMHC</v>
          </cell>
          <cell r="O1392" t="str">
            <v>HOUGHTON MIFFLIN</v>
          </cell>
          <cell r="P1392" t="str">
            <v>NASDAQ GS</v>
          </cell>
          <cell r="Q1392" t="str">
            <v>Consumer Discretionary</v>
          </cell>
          <cell r="R1392" t="str">
            <v>Diversified Consumer Services</v>
          </cell>
          <cell r="S1392" t="str">
            <v>HMHC</v>
          </cell>
        </row>
        <row r="1393">
          <cell r="L1393" t="str">
            <v>ORIT</v>
          </cell>
          <cell r="M1393" t="str">
            <v>ORITANI-FINANCIAL-CORP-41752/</v>
          </cell>
          <cell r="N1393" t="str">
            <v>ORIT</v>
          </cell>
          <cell r="O1393" t="str">
            <v>ORITANI FINANCIA</v>
          </cell>
          <cell r="P1393" t="str">
            <v>NASDAQ GS</v>
          </cell>
          <cell r="Q1393" t="str">
            <v>Financials</v>
          </cell>
          <cell r="R1393" t="str">
            <v>Thrifts &amp; Mortgage Finance</v>
          </cell>
          <cell r="S1393" t="str">
            <v>ORIT</v>
          </cell>
        </row>
        <row r="1394">
          <cell r="L1394" t="str">
            <v>MIDD</v>
          </cell>
          <cell r="M1394" t="str">
            <v>MIDDLESEX-WATER-COMPANY-10093/</v>
          </cell>
          <cell r="N1394" t="str">
            <v>MIDD</v>
          </cell>
          <cell r="O1394" t="str">
            <v>MIDDLEBY CORP</v>
          </cell>
          <cell r="P1394" t="str">
            <v>NASDAQ GS</v>
          </cell>
          <cell r="Q1394" t="str">
            <v>Industrials</v>
          </cell>
          <cell r="R1394" t="str">
            <v>Machinery</v>
          </cell>
          <cell r="S1394" t="str">
            <v>MIDD</v>
          </cell>
        </row>
        <row r="1395">
          <cell r="L1395" t="str">
            <v>PTNR</v>
          </cell>
          <cell r="M1395" t="str">
            <v>PARTNER-COMMUNICATIONS-CO-10573/</v>
          </cell>
          <cell r="N1395" t="str">
            <v>PTNR</v>
          </cell>
          <cell r="O1395" t="str">
            <v>PARTNER COMM-ADR</v>
          </cell>
          <cell r="P1395" t="str">
            <v>NASDAQ GS</v>
          </cell>
          <cell r="Q1395" t="str">
            <v>Telecommunication Services</v>
          </cell>
          <cell r="R1395" t="str">
            <v>Wireless Telecommunication Ser</v>
          </cell>
          <cell r="S1395" t="str">
            <v>PTNR</v>
          </cell>
        </row>
        <row r="1396">
          <cell r="L1396" t="str">
            <v>PLAB</v>
          </cell>
          <cell r="M1396" t="str">
            <v>PHOTRONICS-INC-10477/</v>
          </cell>
          <cell r="N1396" t="str">
            <v>PLAB</v>
          </cell>
          <cell r="O1396" t="str">
            <v>PHOTRONICS INC</v>
          </cell>
          <cell r="P1396" t="str">
            <v>NASDAQ GS</v>
          </cell>
          <cell r="Q1396" t="str">
            <v>Information Technology</v>
          </cell>
          <cell r="R1396" t="str">
            <v>Semiconductors &amp; Semiconductor</v>
          </cell>
          <cell r="S1396" t="str">
            <v>PLAB</v>
          </cell>
        </row>
        <row r="1397">
          <cell r="L1397" t="str">
            <v>GSKY</v>
          </cell>
          <cell r="M1397" t="str">
            <v>GREEN-PLAINS-INC-4137405/</v>
          </cell>
          <cell r="N1397" t="str">
            <v>GSKY</v>
          </cell>
          <cell r="O1397" t="str">
            <v>GREENSKY INC-A</v>
          </cell>
          <cell r="P1397" t="str">
            <v>NASDAQ GS</v>
          </cell>
          <cell r="Q1397" t="str">
            <v>Information Technology</v>
          </cell>
          <cell r="R1397" t="str">
            <v>IT Services</v>
          </cell>
          <cell r="S1397" t="str">
            <v>GSKY</v>
          </cell>
        </row>
        <row r="1398">
          <cell r="L1398" t="str">
            <v>FANG</v>
          </cell>
          <cell r="M1398" t="str">
            <v>DIAMOND-HILL-INVESTMENT-G-9042/</v>
          </cell>
          <cell r="N1398" t="str">
            <v>FANG</v>
          </cell>
          <cell r="O1398" t="str">
            <v>DIAMONDBACK ENER</v>
          </cell>
          <cell r="P1398" t="str">
            <v>NASDAQ GS</v>
          </cell>
          <cell r="Q1398" t="str">
            <v>Energy</v>
          </cell>
          <cell r="R1398" t="str">
            <v>Oil, Gas &amp; Consumable Fuels</v>
          </cell>
          <cell r="S1398" t="str">
            <v>FANG</v>
          </cell>
        </row>
        <row r="1399">
          <cell r="L1399" t="str">
            <v>SGH</v>
          </cell>
          <cell r="M1399" t="str">
            <v>SMART-GLOBAL-HOLDINGS-INC-34991349/</v>
          </cell>
          <cell r="N1399" t="str">
            <v>SGH</v>
          </cell>
          <cell r="O1399" t="str">
            <v>SMART GLOBAL HOL</v>
          </cell>
          <cell r="P1399" t="str">
            <v>NASDAQ GS</v>
          </cell>
          <cell r="Q1399" t="str">
            <v>Information Technology</v>
          </cell>
          <cell r="R1399" t="str">
            <v>Semiconductors &amp; Semiconductor</v>
          </cell>
          <cell r="S1399" t="str">
            <v>SGH</v>
          </cell>
        </row>
        <row r="1400">
          <cell r="L1400" t="str">
            <v>FFIC</v>
          </cell>
          <cell r="M1400" t="str">
            <v>FLUSHING-FINANCIAL-CORPOR-9293/</v>
          </cell>
          <cell r="N1400" t="str">
            <v>FFIC</v>
          </cell>
          <cell r="O1400" t="str">
            <v>FLUSHING FINL</v>
          </cell>
          <cell r="P1400" t="str">
            <v>NASDAQ GS</v>
          </cell>
          <cell r="Q1400" t="str">
            <v>Financials</v>
          </cell>
          <cell r="R1400" t="str">
            <v>Banks</v>
          </cell>
          <cell r="S1400" t="str">
            <v>FFIC</v>
          </cell>
        </row>
        <row r="1401">
          <cell r="L1401" t="str">
            <v>IIIN</v>
          </cell>
          <cell r="M1401" t="str">
            <v>INSTEEL-INDUSTRIES-INC-9653/</v>
          </cell>
          <cell r="N1401" t="str">
            <v>IIIN</v>
          </cell>
          <cell r="O1401" t="str">
            <v>INSTEEL INDS</v>
          </cell>
          <cell r="P1401" t="str">
            <v>NASDAQ GS</v>
          </cell>
          <cell r="Q1401" t="str">
            <v>Industrials</v>
          </cell>
          <cell r="R1401" t="str">
            <v>Building Products</v>
          </cell>
          <cell r="S1401" t="str">
            <v>IIIN</v>
          </cell>
        </row>
        <row r="1402">
          <cell r="L1402" t="str">
            <v>NCSM</v>
          </cell>
          <cell r="M1402" t="str">
            <v>NCS-MULTISTAGE-HOLDINGS-I-34757294/</v>
          </cell>
          <cell r="N1402" t="str">
            <v>NCSM</v>
          </cell>
          <cell r="O1402" t="str">
            <v>NCS MULTISTAGE H</v>
          </cell>
          <cell r="P1402" t="str">
            <v>NASDAQ GS</v>
          </cell>
          <cell r="Q1402" t="str">
            <v>Energy</v>
          </cell>
          <cell r="R1402" t="str">
            <v>Energy Equipment &amp; Services</v>
          </cell>
          <cell r="S1402" t="str">
            <v>NCSM</v>
          </cell>
        </row>
        <row r="1403">
          <cell r="L1403" t="str">
            <v>EA</v>
          </cell>
          <cell r="M1403" t="str">
            <v>ELECTRO-SCIENTIFIC-INDUST-9212/</v>
          </cell>
          <cell r="N1403" t="str">
            <v>EA</v>
          </cell>
          <cell r="O1403" t="str">
            <v>ELECTRONIC ARTS</v>
          </cell>
          <cell r="P1403" t="str">
            <v>NASDAQ GS</v>
          </cell>
          <cell r="Q1403" t="str">
            <v>Information Technology</v>
          </cell>
          <cell r="R1403" t="str">
            <v>Software</v>
          </cell>
          <cell r="S1403" t="str">
            <v>EA</v>
          </cell>
        </row>
        <row r="1404">
          <cell r="L1404" t="str">
            <v>PETS</v>
          </cell>
          <cell r="M1404" t="str">
            <v>PETMED-EXPRESS-INC-10442/</v>
          </cell>
          <cell r="N1404" t="str">
            <v>PETS</v>
          </cell>
          <cell r="O1404" t="str">
            <v>PETMED EXPRESS</v>
          </cell>
          <cell r="P1404" t="str">
            <v>NASDAQ GS</v>
          </cell>
          <cell r="Q1404" t="str">
            <v>Consumer Discretionary</v>
          </cell>
          <cell r="R1404" t="str">
            <v>Internet &amp; Direct Marketing Re</v>
          </cell>
          <cell r="S1404" t="str">
            <v>PETS</v>
          </cell>
        </row>
        <row r="1405">
          <cell r="L1405" t="str">
            <v>SIEN</v>
          </cell>
          <cell r="M1405" t="str">
            <v>SIENTRA-INC-18397158/</v>
          </cell>
          <cell r="N1405" t="str">
            <v>SIEN</v>
          </cell>
          <cell r="O1405" t="str">
            <v>SIENTRA INC</v>
          </cell>
          <cell r="P1405" t="str">
            <v>NASDAQ GS</v>
          </cell>
          <cell r="Q1405" t="str">
            <v>Health Care</v>
          </cell>
          <cell r="R1405" t="str">
            <v>Health Care Equipment &amp; Suppli</v>
          </cell>
          <cell r="S1405" t="str">
            <v>SIEN</v>
          </cell>
        </row>
        <row r="1406">
          <cell r="L1406" t="str">
            <v>AMAT</v>
          </cell>
          <cell r="M1406" t="str">
            <v>APPLIED-OPTOELECTRONICS-I-40449762/</v>
          </cell>
          <cell r="N1406" t="str">
            <v>AMAT</v>
          </cell>
          <cell r="O1406" t="str">
            <v>APPLIED MATERIAL</v>
          </cell>
          <cell r="P1406" t="str">
            <v>NASDAQ GS</v>
          </cell>
          <cell r="Q1406" t="str">
            <v>Information Technology</v>
          </cell>
          <cell r="R1406" t="str">
            <v>Semiconductors &amp; Semiconductor</v>
          </cell>
          <cell r="S1406" t="str">
            <v>AMAT</v>
          </cell>
        </row>
        <row r="1407">
          <cell r="L1407" t="str">
            <v>KRNT</v>
          </cell>
          <cell r="M1407" t="str">
            <v>KORNIT-DIGITAL-LTD-21452915/</v>
          </cell>
          <cell r="N1407" t="str">
            <v>KRNT</v>
          </cell>
          <cell r="O1407" t="str">
            <v>KORNIT DIGITAL L</v>
          </cell>
          <cell r="P1407" t="str">
            <v>NASDAQ GS</v>
          </cell>
          <cell r="Q1407" t="str">
            <v>Industrials</v>
          </cell>
          <cell r="R1407" t="str">
            <v>Machinery</v>
          </cell>
          <cell r="S1407" t="str">
            <v>KRNT</v>
          </cell>
        </row>
        <row r="1408">
          <cell r="L1408" t="str">
            <v>CASS</v>
          </cell>
          <cell r="M1408" t="str">
            <v>CASS-INFORMATION-SYSTEMS-8677/</v>
          </cell>
          <cell r="N1408" t="str">
            <v>CASS</v>
          </cell>
          <cell r="O1408" t="str">
            <v>CASS INFORMATION</v>
          </cell>
          <cell r="P1408" t="str">
            <v>NASDAQ GS</v>
          </cell>
          <cell r="Q1408" t="str">
            <v>Information Technology</v>
          </cell>
          <cell r="R1408" t="str">
            <v>IT Services</v>
          </cell>
          <cell r="S1408" t="str">
            <v>CASS</v>
          </cell>
        </row>
        <row r="1409">
          <cell r="L1409" t="str">
            <v>EXTR</v>
          </cell>
          <cell r="M1409" t="str">
            <v>EXTREME-NETWORKS-INC-9240/</v>
          </cell>
          <cell r="N1409" t="str">
            <v>EXTR</v>
          </cell>
          <cell r="O1409" t="str">
            <v>EXTREME NETWORKS</v>
          </cell>
          <cell r="P1409" t="str">
            <v>NASDAQ GS</v>
          </cell>
          <cell r="Q1409" t="str">
            <v>Information Technology</v>
          </cell>
          <cell r="R1409" t="str">
            <v>Communications Equipment</v>
          </cell>
          <cell r="S1409" t="str">
            <v>EXTR</v>
          </cell>
        </row>
        <row r="1410">
          <cell r="L1410" t="str">
            <v>PBCT</v>
          </cell>
          <cell r="M1410" t="str">
            <v>PEOPLES-BANCORP-INC-10429/</v>
          </cell>
          <cell r="N1410" t="str">
            <v>PBCT</v>
          </cell>
          <cell r="O1410" t="str">
            <v>PEOPLE'S UNITED</v>
          </cell>
          <cell r="P1410" t="str">
            <v>NASDAQ GS</v>
          </cell>
          <cell r="Q1410" t="str">
            <v>Financials</v>
          </cell>
          <cell r="R1410" t="str">
            <v>Banks</v>
          </cell>
          <cell r="S1410" t="str">
            <v>PBCT</v>
          </cell>
        </row>
        <row r="1411">
          <cell r="L1411" t="str">
            <v>QNST</v>
          </cell>
          <cell r="M1411" t="str">
            <v>QUINSTREET-INC-5948969/</v>
          </cell>
          <cell r="N1411" t="str">
            <v>QNST</v>
          </cell>
          <cell r="O1411" t="str">
            <v>QUINSTREET INC</v>
          </cell>
          <cell r="P1411" t="str">
            <v>NASDAQ GS</v>
          </cell>
          <cell r="Q1411" t="str">
            <v>Information Technology</v>
          </cell>
          <cell r="R1411" t="str">
            <v>Internet Software &amp; Services</v>
          </cell>
          <cell r="S1411" t="str">
            <v>QNST</v>
          </cell>
        </row>
        <row r="1412">
          <cell r="L1412" t="str">
            <v>RBBN</v>
          </cell>
          <cell r="M1412" t="str">
            <v>RIBBON-COMMUNICATIONS-INC-38879242/</v>
          </cell>
          <cell r="N1412" t="str">
            <v>RBBN</v>
          </cell>
          <cell r="O1412" t="str">
            <v>RIBBON COMMUNICA</v>
          </cell>
          <cell r="P1412" t="str">
            <v>NASDAQ GS</v>
          </cell>
          <cell r="Q1412" t="str">
            <v>Information Technology</v>
          </cell>
          <cell r="R1412" t="str">
            <v>Communications Equipment</v>
          </cell>
          <cell r="S1412" t="str">
            <v>RBBN</v>
          </cell>
        </row>
        <row r="1413">
          <cell r="L1413" t="str">
            <v>HQCL</v>
          </cell>
          <cell r="M1413" t="str">
            <v>HANWHA-Q-CELLS-CO-LTD-AD-22480396/</v>
          </cell>
          <cell r="N1413" t="str">
            <v>HQCL</v>
          </cell>
          <cell r="O1413" t="str">
            <v>HANWHA Q CEL-ADR</v>
          </cell>
          <cell r="P1413" t="str">
            <v>NASDAQ GS</v>
          </cell>
          <cell r="Q1413" t="str">
            <v>Information Technology</v>
          </cell>
          <cell r="R1413" t="str">
            <v>Semiconductors &amp; Semiconductor</v>
          </cell>
          <cell r="S1413" t="str">
            <v>HQCL</v>
          </cell>
        </row>
        <row r="1414">
          <cell r="L1414" t="str">
            <v>SCHN</v>
          </cell>
          <cell r="M1414" t="str">
            <v>SCHNITZER-STEEL-INDUSTRIE-10765/</v>
          </cell>
          <cell r="N1414" t="str">
            <v>SCHN</v>
          </cell>
          <cell r="O1414" t="str">
            <v>SCHNITZER STEEL</v>
          </cell>
          <cell r="P1414" t="str">
            <v>NASDAQ GS</v>
          </cell>
          <cell r="Q1414" t="str">
            <v>Materials</v>
          </cell>
          <cell r="R1414" t="str">
            <v>Metals &amp; Mining</v>
          </cell>
          <cell r="S1414" t="str">
            <v>SCHN</v>
          </cell>
        </row>
        <row r="1415">
          <cell r="L1415" t="str">
            <v>IMKTA</v>
          </cell>
          <cell r="M1415" t="str">
            <v>INGLES-MARKETS-INCORPORA-9668/</v>
          </cell>
          <cell r="N1415" t="str">
            <v>IMKTA</v>
          </cell>
          <cell r="O1415" t="str">
            <v>INGLES MARKETS-A</v>
          </cell>
          <cell r="P1415" t="str">
            <v>NASDAQ GS</v>
          </cell>
          <cell r="Q1415" t="str">
            <v>Consumer Staples</v>
          </cell>
          <cell r="R1415" t="str">
            <v>Food &amp; Staples Retailing</v>
          </cell>
          <cell r="S1415" t="str">
            <v>IMKTA</v>
          </cell>
        </row>
        <row r="1416">
          <cell r="L1416" t="str">
            <v>BDGE</v>
          </cell>
          <cell r="M1416" t="str">
            <v>BRIDGE-BANCORP-INC-3085565/</v>
          </cell>
          <cell r="N1416" t="str">
            <v>BDGE</v>
          </cell>
          <cell r="O1416" t="str">
            <v>BRIDGE BANCORP</v>
          </cell>
          <cell r="P1416" t="str">
            <v>NASDAQ GS</v>
          </cell>
          <cell r="Q1416" t="str">
            <v>Financials</v>
          </cell>
          <cell r="R1416" t="str">
            <v>Banks</v>
          </cell>
          <cell r="S1416" t="str">
            <v>BDGE</v>
          </cell>
        </row>
        <row r="1417">
          <cell r="L1417" t="str">
            <v>VYGR</v>
          </cell>
          <cell r="M1417" t="str">
            <v>VOYAGER-THERAPEUTICS-INC-24872703/</v>
          </cell>
          <cell r="N1417" t="str">
            <v>VYGR</v>
          </cell>
          <cell r="O1417" t="str">
            <v>VOYAGER THERAPEU</v>
          </cell>
          <cell r="P1417" t="str">
            <v>NASDAQ GS</v>
          </cell>
          <cell r="Q1417" t="str">
            <v>Health Care</v>
          </cell>
          <cell r="R1417" t="str">
            <v>Biotechnology</v>
          </cell>
          <cell r="S1417" t="str">
            <v>VYGR</v>
          </cell>
        </row>
        <row r="1418">
          <cell r="L1418" t="str">
            <v>HFWA</v>
          </cell>
          <cell r="M1418" t="str">
            <v>HERITAGE-COMMERCE-CORP-9587/</v>
          </cell>
          <cell r="N1418" t="str">
            <v>HFWA</v>
          </cell>
          <cell r="O1418" t="str">
            <v>HERITAGE FINL</v>
          </cell>
          <cell r="P1418" t="str">
            <v>NASDAQ GS</v>
          </cell>
          <cell r="Q1418" t="str">
            <v>Financials</v>
          </cell>
          <cell r="R1418" t="str">
            <v>Banks</v>
          </cell>
          <cell r="S1418" t="str">
            <v>HFWA</v>
          </cell>
        </row>
        <row r="1419">
          <cell r="L1419" t="str">
            <v>SCVL</v>
          </cell>
          <cell r="M1419" t="str">
            <v>SHOE-CARNIVAL-INC-10784/</v>
          </cell>
          <cell r="N1419" t="str">
            <v>SCVL</v>
          </cell>
          <cell r="O1419" t="str">
            <v>SHOE CARNIVAL</v>
          </cell>
          <cell r="P1419" t="str">
            <v>NASDAQ GS</v>
          </cell>
          <cell r="Q1419" t="str">
            <v>Consumer Discretionary</v>
          </cell>
          <cell r="R1419" t="str">
            <v>Specialty Retail</v>
          </cell>
          <cell r="S1419" t="str">
            <v>SCVL</v>
          </cell>
        </row>
        <row r="1420">
          <cell r="L1420" t="str">
            <v>PBCT</v>
          </cell>
          <cell r="M1420" t="str">
            <v>PEOPLES-UTAH-BANCORP-22428985/</v>
          </cell>
          <cell r="N1420" t="str">
            <v>PBCT</v>
          </cell>
          <cell r="O1420" t="str">
            <v>PEOPLE'S UNITED</v>
          </cell>
          <cell r="P1420" t="str">
            <v>NASDAQ GS</v>
          </cell>
          <cell r="Q1420" t="str">
            <v>Financials</v>
          </cell>
          <cell r="R1420" t="str">
            <v>Banks</v>
          </cell>
          <cell r="S1420" t="str">
            <v>PBCT</v>
          </cell>
        </row>
        <row r="1421">
          <cell r="L1421" t="str">
            <v>DCOM</v>
          </cell>
          <cell r="M1421" t="str">
            <v>DIME-COMMUNITY-BANCSHARES-9016/</v>
          </cell>
          <cell r="N1421" t="str">
            <v>DCOM</v>
          </cell>
          <cell r="O1421" t="str">
            <v>DIME COMM BNCSHS</v>
          </cell>
          <cell r="P1421" t="str">
            <v>NASDAQ GS</v>
          </cell>
          <cell r="Q1421" t="str">
            <v>Financials</v>
          </cell>
          <cell r="R1421" t="str">
            <v>Thrifts &amp; Mortgage Finance</v>
          </cell>
          <cell r="S1421" t="str">
            <v>DCOM</v>
          </cell>
        </row>
        <row r="1422">
          <cell r="L1422" t="str">
            <v>CRESY</v>
          </cell>
          <cell r="M1422" t="str">
            <v>CRESUD-S-A-C-I-F-Y-A-8893/</v>
          </cell>
          <cell r="N1422" t="str">
            <v>CRESY</v>
          </cell>
          <cell r="O1422" t="str">
            <v>CRESUD SA-ADR</v>
          </cell>
          <cell r="P1422" t="str">
            <v>NASDAQ GS</v>
          </cell>
          <cell r="Q1422" t="str">
            <v>Real Estate</v>
          </cell>
          <cell r="R1422" t="str">
            <v>Real Estate Management &amp; Devel</v>
          </cell>
          <cell r="S1422" t="str">
            <v>CRESY</v>
          </cell>
        </row>
        <row r="1423">
          <cell r="L1423" t="str">
            <v>VCTR</v>
          </cell>
          <cell r="M1423" t="str">
            <v>VICTORY-CAPITAL-HOLDINGS-40647220/</v>
          </cell>
          <cell r="N1423" t="str">
            <v>VCTR</v>
          </cell>
          <cell r="O1423" t="str">
            <v>VICTORY CAPITA-A</v>
          </cell>
          <cell r="P1423" t="str">
            <v>NASDAQ GS</v>
          </cell>
          <cell r="Q1423" t="str">
            <v>Financials</v>
          </cell>
          <cell r="R1423" t="str">
            <v>Capital Markets</v>
          </cell>
          <cell r="S1423" t="str">
            <v>VCTR</v>
          </cell>
        </row>
        <row r="1424">
          <cell r="L1424" t="str">
            <v>SW</v>
          </cell>
          <cell r="M1424" t="str">
            <v>SIERRA-WIRELESS-INC-US-11013/</v>
          </cell>
          <cell r="N1424" t="str">
            <v>SW</v>
          </cell>
          <cell r="O1424" t="str">
            <v>SIERRA WIRELESS</v>
          </cell>
          <cell r="P1424" t="str">
            <v>NASDAQ GS</v>
          </cell>
          <cell r="Q1424" t="str">
            <v>Information Technology</v>
          </cell>
          <cell r="R1424" t="str">
            <v>Communications Equipment</v>
          </cell>
          <cell r="S1424" t="str">
            <v>SW</v>
          </cell>
        </row>
        <row r="1425">
          <cell r="L1425" t="str">
            <v>EBSB</v>
          </cell>
          <cell r="M1425" t="str">
            <v>MERIDIAN-BIOSCIENCE-INC-11296/</v>
          </cell>
          <cell r="N1425" t="str">
            <v>EBSB</v>
          </cell>
          <cell r="O1425" t="str">
            <v>MERIDIAN BANCORP</v>
          </cell>
          <cell r="P1425" t="str">
            <v>NASDAQ GS</v>
          </cell>
          <cell r="Q1425" t="str">
            <v>Financials</v>
          </cell>
          <cell r="R1425" t="str">
            <v>Thrifts &amp; Mortgage Finance</v>
          </cell>
          <cell r="S1425" t="str">
            <v>EBSB</v>
          </cell>
        </row>
        <row r="1426">
          <cell r="L1426" t="str">
            <v>PPBI</v>
          </cell>
          <cell r="M1426" t="str">
            <v>PACIFIC-BIOSCIENCES-OF-CA-6797675/</v>
          </cell>
          <cell r="N1426" t="str">
            <v>PPBI</v>
          </cell>
          <cell r="O1426" t="str">
            <v>PACIFIC PREMIER</v>
          </cell>
          <cell r="P1426" t="str">
            <v>NASDAQ GS</v>
          </cell>
          <cell r="Q1426" t="str">
            <v>Financials</v>
          </cell>
          <cell r="R1426" t="str">
            <v>Banks</v>
          </cell>
          <cell r="S1426" t="str">
            <v>PPBI</v>
          </cell>
        </row>
        <row r="1427">
          <cell r="L1427" t="str">
            <v>PGNX</v>
          </cell>
          <cell r="M1427" t="str">
            <v>PROGENICS-PHARMACEUTICALS-10461/</v>
          </cell>
          <cell r="N1427" t="str">
            <v>PGNX</v>
          </cell>
          <cell r="O1427" t="str">
            <v>PROGENICS PHARM</v>
          </cell>
          <cell r="P1427" t="str">
            <v>NASDAQ GS</v>
          </cell>
          <cell r="Q1427" t="str">
            <v>Health Care</v>
          </cell>
          <cell r="R1427" t="str">
            <v>Biotechnology</v>
          </cell>
          <cell r="S1427" t="str">
            <v>PGNX</v>
          </cell>
        </row>
        <row r="1428">
          <cell r="L1428" t="str">
            <v>CZR</v>
          </cell>
          <cell r="M1428" t="str">
            <v>CAESARSTONE-LTD-10246618/</v>
          </cell>
          <cell r="N1428" t="str">
            <v>CZR</v>
          </cell>
          <cell r="O1428" t="str">
            <v>CAESARS ENTERTAI</v>
          </cell>
          <cell r="P1428" t="str">
            <v>NASDAQ GS</v>
          </cell>
          <cell r="Q1428" t="str">
            <v>Consumer Discretionary</v>
          </cell>
          <cell r="R1428" t="str">
            <v>Hotels, Restaurants &amp; Leisure</v>
          </cell>
          <cell r="S1428" t="str">
            <v>CZR</v>
          </cell>
        </row>
        <row r="1429">
          <cell r="L1429" t="str">
            <v>ACLS</v>
          </cell>
          <cell r="M1429" t="str">
            <v>AXCELIS-TECHNOLOGIES-INC-29688112/</v>
          </cell>
          <cell r="N1429" t="str">
            <v>ACLS</v>
          </cell>
          <cell r="O1429" t="str">
            <v>AXCELIS TECH INC</v>
          </cell>
          <cell r="P1429" t="str">
            <v>NASDAQ GS</v>
          </cell>
          <cell r="Q1429" t="str">
            <v>Information Technology</v>
          </cell>
          <cell r="R1429" t="str">
            <v>Semiconductors &amp; Semiconductor</v>
          </cell>
          <cell r="S1429" t="str">
            <v>ACLS</v>
          </cell>
        </row>
        <row r="1430">
          <cell r="L1430" t="str">
            <v>SOY</v>
          </cell>
          <cell r="M1430" t="str">
            <v>SUNOPTA-INC-10968/</v>
          </cell>
          <cell r="N1430" t="str">
            <v>SOY</v>
          </cell>
          <cell r="O1430" t="str">
            <v>SUNOPTA INC</v>
          </cell>
          <cell r="P1430" t="str">
            <v>NASDAQ GS</v>
          </cell>
          <cell r="Q1430" t="str">
            <v>Consumer Staples</v>
          </cell>
          <cell r="R1430" t="str">
            <v>Food Products</v>
          </cell>
          <cell r="S1430" t="str">
            <v>SOY</v>
          </cell>
        </row>
        <row r="1431">
          <cell r="L1431" t="str">
            <v>FRPH</v>
          </cell>
          <cell r="M1431" t="str">
            <v>FRP-HOLDINGS-INC-18892404/</v>
          </cell>
          <cell r="N1431" t="str">
            <v>FRPH</v>
          </cell>
          <cell r="O1431" t="str">
            <v>FRP HOLDINGS INC</v>
          </cell>
          <cell r="P1431" t="str">
            <v>NASDAQ GS</v>
          </cell>
          <cell r="Q1431" t="str">
            <v>Real Estate</v>
          </cell>
          <cell r="R1431" t="str">
            <v>Real Estate Management &amp; Devel</v>
          </cell>
          <cell r="S1431" t="str">
            <v>FRPH</v>
          </cell>
        </row>
        <row r="1432">
          <cell r="L1432" t="str">
            <v>HONE</v>
          </cell>
          <cell r="M1432" t="str">
            <v>HARBORONE-BANCORP-INC-29688163/</v>
          </cell>
          <cell r="N1432" t="str">
            <v>HONE</v>
          </cell>
          <cell r="O1432" t="str">
            <v>HARBORONE BANCOR</v>
          </cell>
          <cell r="P1432" t="str">
            <v>NASDAQ GS</v>
          </cell>
          <cell r="Q1432" t="str">
            <v>Financials</v>
          </cell>
          <cell r="R1432" t="str">
            <v>Banks</v>
          </cell>
          <cell r="S1432" t="str">
            <v>HONE</v>
          </cell>
        </row>
        <row r="1433">
          <cell r="L1433" t="str">
            <v>LBC</v>
          </cell>
          <cell r="M1433" t="str">
            <v>LUTHER-BURBANK-CORP-38953377/</v>
          </cell>
          <cell r="N1433" t="str">
            <v>LBC</v>
          </cell>
          <cell r="O1433" t="str">
            <v>LUTHER BURBANK C</v>
          </cell>
          <cell r="P1433" t="str">
            <v>NASDAQ GS</v>
          </cell>
          <cell r="Q1433" t="str">
            <v>Financials</v>
          </cell>
          <cell r="R1433" t="str">
            <v>Thrifts &amp; Mortgage Finance</v>
          </cell>
          <cell r="S1433" t="str">
            <v>LBC</v>
          </cell>
        </row>
        <row r="1434">
          <cell r="L1434" t="str">
            <v>PGC</v>
          </cell>
          <cell r="M1434" t="str">
            <v>PEAPACK-GLADSTONE-FINANCI-3934143/</v>
          </cell>
          <cell r="N1434" t="str">
            <v>PGC</v>
          </cell>
          <cell r="O1434" t="str">
            <v>PEAPACK GLADSTON</v>
          </cell>
          <cell r="P1434" t="str">
            <v>NASDAQ GS</v>
          </cell>
          <cell r="Q1434" t="str">
            <v>Financials</v>
          </cell>
          <cell r="R1434" t="str">
            <v>Banks</v>
          </cell>
          <cell r="S1434" t="str">
            <v>PGC</v>
          </cell>
        </row>
        <row r="1435">
          <cell r="L1435" t="str">
            <v>KBAL</v>
          </cell>
          <cell r="M1435" t="str">
            <v>KIMBALL-INTERNATIONAL-INC-9795/</v>
          </cell>
          <cell r="N1435" t="str">
            <v>KBAL</v>
          </cell>
          <cell r="O1435" t="str">
            <v>KIMBALL INTL -B</v>
          </cell>
          <cell r="P1435" t="str">
            <v>NASDAQ GS</v>
          </cell>
          <cell r="Q1435" t="str">
            <v>Industrials</v>
          </cell>
          <cell r="R1435" t="str">
            <v>Commercial Services &amp; Supplies</v>
          </cell>
          <cell r="S1435" t="str">
            <v>KBAL</v>
          </cell>
        </row>
        <row r="1436">
          <cell r="L1436" t="str">
            <v>ICHR</v>
          </cell>
          <cell r="M1436" t="str">
            <v>ICHOR-HOLDINGS-LTD-37892952/</v>
          </cell>
          <cell r="N1436" t="str">
            <v>ICHR</v>
          </cell>
          <cell r="O1436" t="str">
            <v>ICHOR HOLDINGS L</v>
          </cell>
          <cell r="P1436" t="str">
            <v>NASDAQ GS</v>
          </cell>
          <cell r="Q1436" t="str">
            <v>Information Technology</v>
          </cell>
          <cell r="R1436" t="str">
            <v>Semiconductors &amp; Semiconductor</v>
          </cell>
          <cell r="S1436" t="str">
            <v>ICHR</v>
          </cell>
        </row>
        <row r="1437">
          <cell r="L1437" t="str">
            <v>PRTA</v>
          </cell>
          <cell r="M1437" t="str">
            <v>PROTHENA-CORPORATION-PLC-12213254/</v>
          </cell>
          <cell r="N1437" t="str">
            <v>PRTA</v>
          </cell>
          <cell r="O1437" t="str">
            <v>PROTHENA CORP PL</v>
          </cell>
          <cell r="P1437" t="str">
            <v>NASDAQ GS</v>
          </cell>
          <cell r="Q1437" t="str">
            <v>Health Care</v>
          </cell>
          <cell r="R1437" t="str">
            <v>Biotechnology</v>
          </cell>
          <cell r="S1437" t="str">
            <v>PRTA</v>
          </cell>
        </row>
        <row r="1438">
          <cell r="L1438" t="str">
            <v>FIXX</v>
          </cell>
          <cell r="M1438" t="str">
            <v>HOMOLOGY-MEDICINES-INC-42529124/</v>
          </cell>
          <cell r="N1438" t="str">
            <v>FIXX</v>
          </cell>
          <cell r="O1438" t="str">
            <v>HOMOLOGY MEDICIN</v>
          </cell>
          <cell r="P1438" t="str">
            <v>NASDAQ GS</v>
          </cell>
          <cell r="Q1438" t="str">
            <v>Health Care</v>
          </cell>
          <cell r="R1438" t="str">
            <v>Biotechnology</v>
          </cell>
          <cell r="S1438" t="str">
            <v>FIXX</v>
          </cell>
        </row>
        <row r="1439">
          <cell r="L1439" t="str">
            <v>NITE</v>
          </cell>
          <cell r="M1439" t="str">
            <v>NIGHTSTAR-THERAPEUTICS-PL-37908210/</v>
          </cell>
          <cell r="N1439" t="str">
            <v>NITE</v>
          </cell>
          <cell r="O1439" t="str">
            <v>NIGHTSTAR THERAP</v>
          </cell>
          <cell r="P1439" t="str">
            <v>NASDAQ GS</v>
          </cell>
          <cell r="Q1439" t="str">
            <v>Health Care</v>
          </cell>
          <cell r="R1439" t="str">
            <v>Biotechnology</v>
          </cell>
          <cell r="S1439" t="str">
            <v>NITE</v>
          </cell>
        </row>
        <row r="1440">
          <cell r="L1440" t="str">
            <v>BHBK</v>
          </cell>
          <cell r="M1440" t="str">
            <v>BLUE-BIRD-CORP-21452859/</v>
          </cell>
          <cell r="N1440" t="str">
            <v>BHBK</v>
          </cell>
          <cell r="O1440" t="str">
            <v>BLUE HILLS BANCO</v>
          </cell>
          <cell r="P1440" t="str">
            <v>NASDAQ GS</v>
          </cell>
          <cell r="Q1440" t="str">
            <v>Financials</v>
          </cell>
          <cell r="R1440" t="str">
            <v>Banks</v>
          </cell>
          <cell r="S1440" t="str">
            <v>BHBK</v>
          </cell>
        </row>
        <row r="1441">
          <cell r="L1441" t="str">
            <v>ANIK</v>
          </cell>
          <cell r="M1441" t="str">
            <v>ANIKA-THERAPEUTICS-INC-8380/</v>
          </cell>
          <cell r="N1441" t="str">
            <v>ANIK</v>
          </cell>
          <cell r="O1441" t="str">
            <v>ANIKA THERAPEUTI</v>
          </cell>
          <cell r="P1441" t="str">
            <v>NASDAQ GS</v>
          </cell>
          <cell r="Q1441" t="str">
            <v>Health Care</v>
          </cell>
          <cell r="R1441" t="str">
            <v>Health Care Equipment &amp; Suppli</v>
          </cell>
          <cell r="S1441" t="str">
            <v>ANIK</v>
          </cell>
        </row>
        <row r="1442">
          <cell r="L1442" t="str">
            <v>BHBK</v>
          </cell>
          <cell r="M1442" t="str">
            <v>BLUE-HILLS-BANCORP-INC-16953853/</v>
          </cell>
          <cell r="N1442" t="str">
            <v>BHBK</v>
          </cell>
          <cell r="O1442" t="str">
            <v>BLUE HILLS BANCO</v>
          </cell>
          <cell r="P1442" t="str">
            <v>NASDAQ GS</v>
          </cell>
          <cell r="Q1442" t="str">
            <v>Financials</v>
          </cell>
          <cell r="R1442" t="str">
            <v>Banks</v>
          </cell>
          <cell r="S1442" t="str">
            <v>BHBK</v>
          </cell>
        </row>
        <row r="1443">
          <cell r="L1443" t="str">
            <v>OPTN</v>
          </cell>
          <cell r="M1443" t="str">
            <v>OPTINOSE-INC-38123479/</v>
          </cell>
          <cell r="N1443" t="str">
            <v>OPTN</v>
          </cell>
          <cell r="O1443" t="str">
            <v>OPTINOSE INC</v>
          </cell>
          <cell r="P1443" t="str">
            <v>NASDAQ GS</v>
          </cell>
          <cell r="Q1443" t="str">
            <v>Health Care</v>
          </cell>
          <cell r="R1443" t="str">
            <v>Pharmaceuticals</v>
          </cell>
          <cell r="S1443" t="str">
            <v>OPTN</v>
          </cell>
        </row>
        <row r="1444">
          <cell r="L1444" t="str">
            <v>IMOS</v>
          </cell>
          <cell r="M1444" t="str">
            <v>CHIPMOS-TECHNOLOGIES-INC-31990053/</v>
          </cell>
          <cell r="N1444" t="str">
            <v>IMOS</v>
          </cell>
          <cell r="O1444" t="str">
            <v>CHIPMOS TECH-ADR</v>
          </cell>
          <cell r="P1444" t="str">
            <v>NASDAQ GS</v>
          </cell>
          <cell r="Q1444" t="str">
            <v>Information Technology</v>
          </cell>
          <cell r="R1444" t="str">
            <v>Semiconductors &amp; Semiconductor</v>
          </cell>
          <cell r="S1444" t="str">
            <v>IMOS</v>
          </cell>
        </row>
        <row r="1445">
          <cell r="L1445" t="str">
            <v>INDB</v>
          </cell>
          <cell r="M1445" t="str">
            <v>INDEPENDENT-BANK-CORPORAT-9612/</v>
          </cell>
          <cell r="N1445" t="str">
            <v>INDB</v>
          </cell>
          <cell r="O1445" t="str">
            <v>INDEP BANK/MA</v>
          </cell>
          <cell r="P1445" t="str">
            <v>NASDAQ GS</v>
          </cell>
          <cell r="Q1445" t="str">
            <v>Financials</v>
          </cell>
          <cell r="R1445" t="str">
            <v>Banks</v>
          </cell>
          <cell r="S1445" t="str">
            <v>INDB</v>
          </cell>
        </row>
        <row r="1446">
          <cell r="L1446" t="str">
            <v>ASPS</v>
          </cell>
          <cell r="M1446" t="str">
            <v>ALTISOURCE-PORTFOLIO-SOLU-5506020/</v>
          </cell>
          <cell r="N1446" t="str">
            <v>ASPS</v>
          </cell>
          <cell r="O1446" t="str">
            <v>ALTISOURCE PORT</v>
          </cell>
          <cell r="P1446" t="str">
            <v>NASDAQ GS</v>
          </cell>
          <cell r="Q1446" t="str">
            <v>Real Estate</v>
          </cell>
          <cell r="R1446" t="str">
            <v>Real Estate Management &amp; Devel</v>
          </cell>
          <cell r="S1446" t="str">
            <v>ASPS</v>
          </cell>
        </row>
        <row r="1447">
          <cell r="L1447" t="str">
            <v>FNKO</v>
          </cell>
          <cell r="M1447" t="str">
            <v>FUNKO-INC-38530152/</v>
          </cell>
          <cell r="N1447" t="str">
            <v>FNKO</v>
          </cell>
          <cell r="O1447" t="str">
            <v>FUNKO INC-CL A</v>
          </cell>
          <cell r="P1447" t="str">
            <v>NASDAQ GS</v>
          </cell>
          <cell r="Q1447" t="str">
            <v>Consumer Discretionary</v>
          </cell>
          <cell r="R1447" t="str">
            <v>Distributors</v>
          </cell>
          <cell r="S1447" t="str">
            <v>FNKO</v>
          </cell>
        </row>
        <row r="1448">
          <cell r="L1448" t="str">
            <v>RGEN</v>
          </cell>
          <cell r="M1448" t="str">
            <v>REPLIMUNE-GROUP-INC-44995240/</v>
          </cell>
          <cell r="N1448" t="str">
            <v>RGEN</v>
          </cell>
          <cell r="O1448" t="str">
            <v>REPLIGEN CORP</v>
          </cell>
          <cell r="P1448" t="str">
            <v>NASDAQ GS</v>
          </cell>
          <cell r="Q1448" t="str">
            <v>Health Care</v>
          </cell>
          <cell r="R1448" t="str">
            <v>Biotechnology</v>
          </cell>
          <cell r="S1448" t="str">
            <v>RGEN</v>
          </cell>
        </row>
        <row r="1449">
          <cell r="L1449" t="str">
            <v>NVAX</v>
          </cell>
          <cell r="M1449" t="str">
            <v>NOVAVAX-INC-10281/</v>
          </cell>
          <cell r="N1449" t="str">
            <v>NVAX</v>
          </cell>
          <cell r="O1449" t="str">
            <v>NOVAVAX INC</v>
          </cell>
          <cell r="P1449" t="str">
            <v>NASDAQ GS</v>
          </cell>
          <cell r="Q1449" t="str">
            <v>Health Care</v>
          </cell>
          <cell r="R1449" t="str">
            <v>Biotechnology</v>
          </cell>
          <cell r="S1449" t="str">
            <v>NVAX</v>
          </cell>
        </row>
        <row r="1450">
          <cell r="L1450" t="str">
            <v>MESO</v>
          </cell>
          <cell r="M1450" t="str">
            <v>MESOBLAST-LIMITED-24885536/</v>
          </cell>
          <cell r="N1450" t="str">
            <v>MESO</v>
          </cell>
          <cell r="O1450" t="str">
            <v>MESOBLAST LT-ADR</v>
          </cell>
          <cell r="P1450" t="str">
            <v>NASDAQ GS</v>
          </cell>
          <cell r="Q1450" t="str">
            <v>Health Care</v>
          </cell>
          <cell r="R1450" t="str">
            <v>Biotechnology</v>
          </cell>
          <cell r="S1450" t="str">
            <v>MESO</v>
          </cell>
        </row>
        <row r="1451">
          <cell r="L1451" t="str">
            <v>EZPW</v>
          </cell>
          <cell r="M1451" t="str">
            <v>EZCORP-INC-9242/</v>
          </cell>
          <cell r="N1451" t="str">
            <v>EZPW</v>
          </cell>
          <cell r="O1451" t="str">
            <v>EZCORP INC-A</v>
          </cell>
          <cell r="P1451" t="str">
            <v>NASDAQ GS</v>
          </cell>
          <cell r="Q1451" t="str">
            <v>Financials</v>
          </cell>
          <cell r="R1451" t="str">
            <v>Consumer Finance</v>
          </cell>
          <cell r="S1451" t="str">
            <v>EZPW</v>
          </cell>
        </row>
        <row r="1452">
          <cell r="L1452" t="str">
            <v>MELI</v>
          </cell>
          <cell r="M1452" t="str">
            <v>MERCANTILE-BANK-CORP-9967/</v>
          </cell>
          <cell r="N1452" t="str">
            <v>MELI</v>
          </cell>
          <cell r="O1452" t="str">
            <v>MERCADOLIBRE INC</v>
          </cell>
          <cell r="P1452" t="str">
            <v>NASDAQ GS</v>
          </cell>
          <cell r="Q1452" t="str">
            <v>Information Technology</v>
          </cell>
          <cell r="R1452" t="str">
            <v>Internet Software &amp; Services</v>
          </cell>
          <cell r="S1452" t="str">
            <v>MELI</v>
          </cell>
        </row>
        <row r="1453">
          <cell r="L1453" t="str">
            <v>ADRO</v>
          </cell>
          <cell r="M1453" t="str">
            <v>ADURO-BIOTECH-INC-21685619/</v>
          </cell>
          <cell r="N1453" t="str">
            <v>ADRO</v>
          </cell>
          <cell r="O1453" t="str">
            <v>ADURO BIOTECH IN</v>
          </cell>
          <cell r="P1453" t="str">
            <v>NASDAQ GS</v>
          </cell>
          <cell r="Q1453" t="str">
            <v>Health Care</v>
          </cell>
          <cell r="R1453" t="str">
            <v>Biotechnology</v>
          </cell>
          <cell r="S1453" t="str">
            <v>ADRO</v>
          </cell>
        </row>
        <row r="1454">
          <cell r="L1454" t="str">
            <v>NBIX</v>
          </cell>
          <cell r="M1454" t="str">
            <v>NEURONETICS-INC-44403632/</v>
          </cell>
          <cell r="N1454" t="str">
            <v>NBIX</v>
          </cell>
          <cell r="O1454" t="str">
            <v>NEUROCRINE BIOSC</v>
          </cell>
          <cell r="P1454" t="str">
            <v>NASDAQ GS</v>
          </cell>
          <cell r="Q1454" t="str">
            <v>Health Care</v>
          </cell>
          <cell r="R1454" t="str">
            <v>Biotechnology</v>
          </cell>
          <cell r="S1454" t="str">
            <v>NBIX</v>
          </cell>
        </row>
        <row r="1455">
          <cell r="L1455" t="str">
            <v>VECO</v>
          </cell>
          <cell r="M1455" t="str">
            <v>VEECO-INSTRUMENTS-INC-11276/</v>
          </cell>
          <cell r="N1455" t="str">
            <v>VECO</v>
          </cell>
          <cell r="O1455" t="str">
            <v>VEECO INSTRUMENT</v>
          </cell>
          <cell r="P1455" t="str">
            <v>NASDAQ GS</v>
          </cell>
          <cell r="Q1455" t="str">
            <v>Information Technology</v>
          </cell>
          <cell r="R1455" t="str">
            <v>Semiconductors &amp; Semiconductor</v>
          </cell>
          <cell r="S1455" t="str">
            <v>VECO</v>
          </cell>
        </row>
        <row r="1456">
          <cell r="L1456" t="str">
            <v>RARE</v>
          </cell>
          <cell r="M1456" t="str">
            <v>ULTRA-CLEAN-HOLDINGS-INC-40449510/</v>
          </cell>
          <cell r="N1456" t="str">
            <v>RARE</v>
          </cell>
          <cell r="O1456" t="str">
            <v>ULTRAGENYX PHARM</v>
          </cell>
          <cell r="P1456" t="str">
            <v>NASDAQ GS</v>
          </cell>
          <cell r="Q1456" t="str">
            <v>Health Care</v>
          </cell>
          <cell r="R1456" t="str">
            <v>Biotechnology</v>
          </cell>
          <cell r="S1456" t="str">
            <v>RARE</v>
          </cell>
        </row>
        <row r="1457">
          <cell r="L1457" t="str">
            <v>MYRG</v>
          </cell>
          <cell r="M1457" t="str">
            <v>MYR-GROUP-INC-3770321/</v>
          </cell>
          <cell r="N1457" t="str">
            <v>MYRG</v>
          </cell>
          <cell r="O1457" t="str">
            <v>MYR GROUP INC/DE</v>
          </cell>
          <cell r="P1457" t="str">
            <v>NASDAQ GS</v>
          </cell>
          <cell r="Q1457" t="str">
            <v>Industrials</v>
          </cell>
          <cell r="R1457" t="str">
            <v>Construction &amp; Engineering</v>
          </cell>
          <cell r="S1457" t="str">
            <v>MYRG</v>
          </cell>
        </row>
        <row r="1458">
          <cell r="L1458" t="str">
            <v>BOOM</v>
          </cell>
          <cell r="M1458" t="str">
            <v>DMC-GLOBAL-INC-31897421/</v>
          </cell>
          <cell r="N1458" t="str">
            <v>BOOM</v>
          </cell>
          <cell r="O1458" t="str">
            <v>DMC GLOBAL INC</v>
          </cell>
          <cell r="P1458" t="str">
            <v>NASDAQ GS</v>
          </cell>
          <cell r="Q1458" t="str">
            <v>Industrials</v>
          </cell>
          <cell r="R1458" t="str">
            <v>Machinery</v>
          </cell>
          <cell r="S1458" t="str">
            <v>BOOM</v>
          </cell>
        </row>
        <row r="1459">
          <cell r="L1459" t="str">
            <v>RIGL</v>
          </cell>
          <cell r="M1459" t="str">
            <v>RIGEL-PHARMACEUTICALS-IN-10674/</v>
          </cell>
          <cell r="N1459" t="str">
            <v>RIGL</v>
          </cell>
          <cell r="O1459" t="str">
            <v>RIGEL PHARMACEUT</v>
          </cell>
          <cell r="P1459" t="str">
            <v>NASDAQ GS</v>
          </cell>
          <cell r="Q1459" t="str">
            <v>Health Care</v>
          </cell>
          <cell r="R1459" t="str">
            <v>Biotechnology</v>
          </cell>
          <cell r="S1459" t="str">
            <v>RIGL</v>
          </cell>
        </row>
        <row r="1460">
          <cell r="L1460" t="str">
            <v>ABUS</v>
          </cell>
          <cell r="M1460" t="str">
            <v>ARBUTUS-BIOPHARMA-CORP-23319313/</v>
          </cell>
          <cell r="N1460" t="str">
            <v>ABUS</v>
          </cell>
          <cell r="O1460" t="str">
            <v>ARBUTUS BIOPHARM</v>
          </cell>
          <cell r="P1460" t="str">
            <v>NASDAQ GS</v>
          </cell>
          <cell r="Q1460" t="str">
            <v>Health Care</v>
          </cell>
          <cell r="R1460" t="str">
            <v>Biotechnology</v>
          </cell>
          <cell r="S1460" t="str">
            <v>ABUS</v>
          </cell>
        </row>
        <row r="1461">
          <cell r="L1461" t="str">
            <v>TAST</v>
          </cell>
          <cell r="M1461" t="str">
            <v>CARROLS-RESTAURANT-GROUP-39438/</v>
          </cell>
          <cell r="N1461" t="str">
            <v>TAST</v>
          </cell>
          <cell r="O1461" t="str">
            <v>CARROLS RESTAURA</v>
          </cell>
          <cell r="P1461" t="str">
            <v>NASDAQ GS</v>
          </cell>
          <cell r="Q1461" t="str">
            <v>Consumer Discretionary</v>
          </cell>
          <cell r="R1461" t="str">
            <v>Hotels, Restaurants &amp; Leisure</v>
          </cell>
          <cell r="S1461" t="str">
            <v>TAST</v>
          </cell>
        </row>
        <row r="1462">
          <cell r="L1462" t="str">
            <v>GOOD</v>
          </cell>
          <cell r="M1462" t="str">
            <v>GLADSTONE-COMMERCIAL-CORP-9468/</v>
          </cell>
          <cell r="N1462" t="str">
            <v>GOOD</v>
          </cell>
          <cell r="O1462" t="str">
            <v>GLADSTONE COMMER</v>
          </cell>
          <cell r="P1462" t="str">
            <v>NASDAQ GS</v>
          </cell>
          <cell r="Q1462" t="str">
            <v>Real Estate</v>
          </cell>
          <cell r="R1462" t="str">
            <v>Equity Real Estate Investment</v>
          </cell>
          <cell r="S1462" t="str">
            <v>GOOD</v>
          </cell>
        </row>
        <row r="1463">
          <cell r="L1463" t="str">
            <v>OBSV</v>
          </cell>
          <cell r="M1463" t="str">
            <v>OBSEVA-SA-33634951/</v>
          </cell>
          <cell r="N1463" t="str">
            <v>OBSV</v>
          </cell>
          <cell r="O1463" t="str">
            <v>OBSEVA SA</v>
          </cell>
          <cell r="P1463" t="str">
            <v>NASDAQ GS</v>
          </cell>
          <cell r="Q1463" t="str">
            <v>Health Care</v>
          </cell>
          <cell r="R1463" t="str">
            <v>Pharmaceuticals</v>
          </cell>
          <cell r="S1463" t="str">
            <v>OBSV</v>
          </cell>
        </row>
        <row r="1464">
          <cell r="L1464" t="str">
            <v>MTRX</v>
          </cell>
          <cell r="M1464" t="str">
            <v>MATRIX-SERVICE-CO-10119/</v>
          </cell>
          <cell r="N1464" t="str">
            <v>MTRX</v>
          </cell>
          <cell r="O1464" t="str">
            <v>MATRIX SERVICE</v>
          </cell>
          <cell r="P1464" t="str">
            <v>NASDAQ GS</v>
          </cell>
          <cell r="Q1464" t="str">
            <v>Energy</v>
          </cell>
          <cell r="R1464" t="str">
            <v>Energy Equipment &amp; Services</v>
          </cell>
          <cell r="S1464" t="str">
            <v>MTRX</v>
          </cell>
        </row>
        <row r="1465">
          <cell r="L1465" t="str">
            <v>CVTI</v>
          </cell>
          <cell r="M1465" t="str">
            <v>COVENANT-TRANSPORTATION-G-8973/</v>
          </cell>
          <cell r="N1465" t="str">
            <v>CVTI</v>
          </cell>
          <cell r="O1465" t="str">
            <v>COVENANT TRANS-A</v>
          </cell>
          <cell r="P1465" t="str">
            <v>NASDAQ GS</v>
          </cell>
          <cell r="Q1465" t="str">
            <v>Industrials</v>
          </cell>
          <cell r="R1465" t="str">
            <v>Road &amp; Rail</v>
          </cell>
          <cell r="S1465" t="str">
            <v>CVTI</v>
          </cell>
        </row>
        <row r="1466">
          <cell r="L1466" t="str">
            <v>BBSI</v>
          </cell>
          <cell r="M1466" t="str">
            <v>BARRETT-BUSINESS-SERVICES-8528/</v>
          </cell>
          <cell r="N1466" t="str">
            <v>BBSI</v>
          </cell>
          <cell r="O1466" t="str">
            <v>BARRETT BUS SVCS</v>
          </cell>
          <cell r="P1466" t="str">
            <v>NASDAQ GS</v>
          </cell>
          <cell r="Q1466" t="str">
            <v>Industrials</v>
          </cell>
          <cell r="R1466" t="str">
            <v>Professional Services</v>
          </cell>
          <cell r="S1466" t="str">
            <v>BBSI</v>
          </cell>
        </row>
        <row r="1467">
          <cell r="L1467" t="str">
            <v>COWN</v>
          </cell>
          <cell r="M1467" t="str">
            <v>COWEN-INC-32134081/</v>
          </cell>
          <cell r="N1467" t="str">
            <v>COWN</v>
          </cell>
          <cell r="O1467" t="str">
            <v>COWEN INC</v>
          </cell>
          <cell r="P1467" t="str">
            <v>NASDAQ GS</v>
          </cell>
          <cell r="Q1467" t="str">
            <v>Financials</v>
          </cell>
          <cell r="R1467" t="str">
            <v>Capital Markets</v>
          </cell>
          <cell r="S1467" t="str">
            <v>COWN</v>
          </cell>
        </row>
        <row r="1468">
          <cell r="L1468" t="str">
            <v>EMCI</v>
          </cell>
          <cell r="M1468" t="str">
            <v>EMC-INSURANCE-GROUP-INC-9170/</v>
          </cell>
          <cell r="N1468" t="str">
            <v>EMCI</v>
          </cell>
          <cell r="O1468" t="str">
            <v>EMC INS GROUP</v>
          </cell>
          <cell r="P1468" t="str">
            <v>NASDAQ GS</v>
          </cell>
          <cell r="Q1468" t="str">
            <v>Financials</v>
          </cell>
          <cell r="R1468" t="str">
            <v>Insurance</v>
          </cell>
          <cell r="S1468" t="str">
            <v>EMCI</v>
          </cell>
        </row>
        <row r="1469">
          <cell r="L1469" t="str">
            <v>COLL</v>
          </cell>
          <cell r="M1469" t="str">
            <v>COLLEGIUM-PHARMACEUTICAL-22148971/</v>
          </cell>
          <cell r="N1469" t="str">
            <v>COLL</v>
          </cell>
          <cell r="O1469" t="str">
            <v>COLLEGIUM PHARMA</v>
          </cell>
          <cell r="P1469" t="str">
            <v>NASDAQ GS</v>
          </cell>
          <cell r="Q1469" t="str">
            <v>Health Care</v>
          </cell>
          <cell r="R1469" t="str">
            <v>Pharmaceuticals</v>
          </cell>
          <cell r="S1469" t="str">
            <v>COLL</v>
          </cell>
        </row>
        <row r="1470">
          <cell r="L1470" t="str">
            <v>HTBI</v>
          </cell>
          <cell r="M1470" t="str">
            <v>HOMETRUST-BANCSHARES-INC-11027582/</v>
          </cell>
          <cell r="N1470" t="str">
            <v>HTBI</v>
          </cell>
          <cell r="O1470" t="str">
            <v>HOMETRUST BANCSH</v>
          </cell>
          <cell r="P1470" t="str">
            <v>NASDAQ GS</v>
          </cell>
          <cell r="Q1470" t="str">
            <v>Financials</v>
          </cell>
          <cell r="R1470" t="str">
            <v>Banks</v>
          </cell>
          <cell r="S1470" t="str">
            <v>HTBI</v>
          </cell>
        </row>
        <row r="1471">
          <cell r="L1471" t="str">
            <v>HFWA</v>
          </cell>
          <cell r="M1471" t="str">
            <v>HERITAGE-CRYSTAL-CLEAN-I-2294579/</v>
          </cell>
          <cell r="N1471" t="str">
            <v>HFWA</v>
          </cell>
          <cell r="O1471" t="str">
            <v>HERITAGE FINL</v>
          </cell>
          <cell r="P1471" t="str">
            <v>NASDAQ GS</v>
          </cell>
          <cell r="Q1471" t="str">
            <v>Financials</v>
          </cell>
          <cell r="R1471" t="str">
            <v>Banks</v>
          </cell>
          <cell r="S1471" t="str">
            <v>HFWA</v>
          </cell>
        </row>
        <row r="1472">
          <cell r="L1472" t="str">
            <v>FRTA</v>
          </cell>
          <cell r="M1472" t="str">
            <v>FORTERRA-INC-31677862/</v>
          </cell>
          <cell r="N1472" t="str">
            <v>FRTA</v>
          </cell>
          <cell r="O1472" t="str">
            <v>FORTERRA INC</v>
          </cell>
          <cell r="P1472" t="str">
            <v>NASDAQ GS</v>
          </cell>
          <cell r="Q1472" t="str">
            <v>Materials</v>
          </cell>
          <cell r="R1472" t="str">
            <v>Construction Materials</v>
          </cell>
          <cell r="S1472" t="str">
            <v>FRTA</v>
          </cell>
        </row>
        <row r="1473">
          <cell r="L1473" t="str">
            <v>LLNW</v>
          </cell>
          <cell r="M1473" t="str">
            <v>LIMELIGHT-NETWORKS-INC-52799/</v>
          </cell>
          <cell r="N1473" t="str">
            <v>LLNW</v>
          </cell>
          <cell r="O1473" t="str">
            <v>LIMELIGHT NETWOR</v>
          </cell>
          <cell r="P1473" t="str">
            <v>NASDAQ GS</v>
          </cell>
          <cell r="Q1473" t="str">
            <v>Information Technology</v>
          </cell>
          <cell r="R1473" t="str">
            <v>Internet Software &amp; Services</v>
          </cell>
          <cell r="S1473" t="str">
            <v>LLNW</v>
          </cell>
        </row>
        <row r="1474">
          <cell r="L1474" t="str">
            <v>EHTH</v>
          </cell>
          <cell r="M1474" t="str">
            <v>EHEALTH-INC-34599/</v>
          </cell>
          <cell r="N1474" t="str">
            <v>EHTH</v>
          </cell>
          <cell r="O1474" t="str">
            <v>EHEALTH INC</v>
          </cell>
          <cell r="P1474" t="str">
            <v>NASDAQ GS</v>
          </cell>
          <cell r="Q1474" t="str">
            <v>Financials</v>
          </cell>
          <cell r="R1474" t="str">
            <v>Insurance</v>
          </cell>
          <cell r="S1474" t="str">
            <v>EHTH</v>
          </cell>
        </row>
        <row r="1475">
          <cell r="L1475" t="str">
            <v>LMNR</v>
          </cell>
          <cell r="M1475" t="str">
            <v>LIMONEIRA-COMPANY-88362/</v>
          </cell>
          <cell r="N1475" t="str">
            <v>LMNR</v>
          </cell>
          <cell r="O1475" t="str">
            <v>LIMONEIRA CO</v>
          </cell>
          <cell r="P1475" t="str">
            <v>NASDAQ GS</v>
          </cell>
          <cell r="Q1475" t="str">
            <v>Consumer Staples</v>
          </cell>
          <cell r="R1475" t="str">
            <v>Food Products</v>
          </cell>
          <cell r="S1475" t="str">
            <v>LMNR</v>
          </cell>
        </row>
        <row r="1476">
          <cell r="L1476" t="str">
            <v>RRR</v>
          </cell>
          <cell r="M1476" t="str">
            <v>RED-ROBIN-GOURMET-BURGERS-10709/</v>
          </cell>
          <cell r="N1476" t="str">
            <v>RRR</v>
          </cell>
          <cell r="O1476" t="str">
            <v>RED ROCK RESOR-A</v>
          </cell>
          <cell r="P1476" t="str">
            <v>NASDAQ GS</v>
          </cell>
          <cell r="Q1476" t="str">
            <v>Consumer Discretionary</v>
          </cell>
          <cell r="R1476" t="str">
            <v>Hotels, Restaurants &amp; Leisure</v>
          </cell>
          <cell r="S1476" t="str">
            <v>RRR</v>
          </cell>
        </row>
        <row r="1477">
          <cell r="L1477" t="str">
            <v>NDLS</v>
          </cell>
          <cell r="M1477" t="str">
            <v>NOODLES-CO-13507344/</v>
          </cell>
          <cell r="N1477" t="str">
            <v>NDLS</v>
          </cell>
          <cell r="O1477" t="str">
            <v>NOODLES &amp; CO</v>
          </cell>
          <cell r="P1477" t="str">
            <v>NASDAQ GS</v>
          </cell>
          <cell r="Q1477" t="str">
            <v>Consumer Discretionary</v>
          </cell>
          <cell r="R1477" t="str">
            <v>Hotels, Restaurants &amp; Leisure</v>
          </cell>
          <cell r="S1477" t="str">
            <v>NDLS</v>
          </cell>
        </row>
        <row r="1478">
          <cell r="L1478" t="str">
            <v>BOJA</v>
          </cell>
          <cell r="M1478" t="str">
            <v>BOJANGLES-INC-22148980/</v>
          </cell>
          <cell r="N1478" t="str">
            <v>BOJA</v>
          </cell>
          <cell r="O1478" t="str">
            <v>BOJANGLES' INC</v>
          </cell>
          <cell r="P1478" t="str">
            <v>NASDAQ GS</v>
          </cell>
          <cell r="Q1478" t="str">
            <v>Consumer Discretionary</v>
          </cell>
          <cell r="R1478" t="str">
            <v>Hotels, Restaurants &amp; Leisure</v>
          </cell>
          <cell r="S1478" t="str">
            <v>BOJA</v>
          </cell>
        </row>
        <row r="1479">
          <cell r="L1479" t="str">
            <v>RECN</v>
          </cell>
          <cell r="M1479" t="str">
            <v>RESOURCES-CONNECTION-INC-10645/</v>
          </cell>
          <cell r="N1479" t="str">
            <v>RECN</v>
          </cell>
          <cell r="O1479" t="str">
            <v>RESOURCES CONNEC</v>
          </cell>
          <cell r="P1479" t="str">
            <v>NASDAQ GS</v>
          </cell>
          <cell r="Q1479" t="str">
            <v>Industrials</v>
          </cell>
          <cell r="R1479" t="str">
            <v>Professional Services</v>
          </cell>
          <cell r="S1479" t="str">
            <v>RECN</v>
          </cell>
        </row>
        <row r="1480">
          <cell r="L1480" t="str">
            <v>ODT</v>
          </cell>
          <cell r="M1480" t="str">
            <v>ODONATE-THERAPEUTICS-INC-40834338/</v>
          </cell>
          <cell r="N1480" t="str">
            <v>ODT</v>
          </cell>
          <cell r="O1480" t="str">
            <v>ODONATE THERAPEU</v>
          </cell>
          <cell r="P1480" t="str">
            <v>NASDAQ GS</v>
          </cell>
          <cell r="Q1480" t="str">
            <v>Health Care</v>
          </cell>
          <cell r="R1480" t="str">
            <v>Pharmaceuticals</v>
          </cell>
          <cell r="S1480" t="str">
            <v>ODT</v>
          </cell>
        </row>
        <row r="1481">
          <cell r="L1481" t="str">
            <v>GSKY</v>
          </cell>
          <cell r="M1481" t="str">
            <v>GREEN-BRICK-PARTNERS-INC-18397156/</v>
          </cell>
          <cell r="N1481" t="str">
            <v>GSKY</v>
          </cell>
          <cell r="O1481" t="str">
            <v>GREENSKY INC-A</v>
          </cell>
          <cell r="P1481" t="str">
            <v>NASDAQ GS</v>
          </cell>
          <cell r="Q1481" t="str">
            <v>Information Technology</v>
          </cell>
          <cell r="R1481" t="str">
            <v>IT Services</v>
          </cell>
          <cell r="S1481" t="str">
            <v>GSKY</v>
          </cell>
        </row>
        <row r="1482">
          <cell r="L1482" t="str">
            <v>CLMT</v>
          </cell>
          <cell r="M1482" t="str">
            <v>CALUMET-SPECIALTY-PRODUCT-8810/</v>
          </cell>
          <cell r="N1482" t="str">
            <v>CLMT</v>
          </cell>
          <cell r="O1482" t="str">
            <v>CALUMET SPECIALT</v>
          </cell>
          <cell r="P1482" t="str">
            <v>NASDAQ GS</v>
          </cell>
          <cell r="Q1482" t="str">
            <v>Energy</v>
          </cell>
          <cell r="R1482" t="str">
            <v>Oil, Gas &amp; Consumable Fuels</v>
          </cell>
          <cell r="S1482" t="str">
            <v>CLMT</v>
          </cell>
        </row>
        <row r="1483">
          <cell r="L1483" t="str">
            <v>FNGN</v>
          </cell>
          <cell r="M1483" t="str">
            <v>FINANCIAL-INSTITUTIONS-I-9307/</v>
          </cell>
          <cell r="N1483" t="str">
            <v>FNGN</v>
          </cell>
          <cell r="O1483" t="str">
            <v>FINANCIAL ENGINE</v>
          </cell>
          <cell r="P1483" t="str">
            <v>NASDAQ GS</v>
          </cell>
          <cell r="Q1483" t="str">
            <v>Financials</v>
          </cell>
          <cell r="R1483" t="str">
            <v>Capital Markets</v>
          </cell>
          <cell r="S1483" t="str">
            <v>FNGN</v>
          </cell>
        </row>
        <row r="1484">
          <cell r="L1484" t="str">
            <v>VRA</v>
          </cell>
          <cell r="M1484" t="str">
            <v>VERA-BRADLEY-INC-6769495/</v>
          </cell>
          <cell r="N1484" t="str">
            <v>VRA</v>
          </cell>
          <cell r="O1484" t="str">
            <v>VERA BRADLEY INC</v>
          </cell>
          <cell r="P1484" t="str">
            <v>NASDAQ GS</v>
          </cell>
          <cell r="Q1484" t="str">
            <v>Consumer Discretionary</v>
          </cell>
          <cell r="R1484" t="str">
            <v>Textiles, Apparel &amp; Luxury Goo</v>
          </cell>
          <cell r="S1484" t="str">
            <v>VRA</v>
          </cell>
        </row>
        <row r="1485">
          <cell r="L1485" t="str">
            <v>LOCO</v>
          </cell>
          <cell r="M1485" t="str">
            <v>EL-POLLO-LOCO-HOLDINGS-IN-16970736/</v>
          </cell>
          <cell r="N1485" t="str">
            <v>LOCO</v>
          </cell>
          <cell r="O1485" t="str">
            <v>EL POLLO LOCO HO</v>
          </cell>
          <cell r="P1485" t="str">
            <v>NASDAQ GS</v>
          </cell>
          <cell r="Q1485" t="str">
            <v>Consumer Discretionary</v>
          </cell>
          <cell r="R1485" t="str">
            <v>Hotels, Restaurants &amp; Leisure</v>
          </cell>
          <cell r="S1485" t="str">
            <v>LOCO</v>
          </cell>
        </row>
        <row r="1486">
          <cell r="L1486" t="str">
            <v>FIVE</v>
          </cell>
          <cell r="M1486" t="str">
            <v>FIVE-PRIME-THERAPEUTICS-I-14297720/</v>
          </cell>
          <cell r="N1486" t="str">
            <v>FIVE</v>
          </cell>
          <cell r="O1486" t="str">
            <v>FIVE BELOW</v>
          </cell>
          <cell r="P1486" t="str">
            <v>NASDAQ GS</v>
          </cell>
          <cell r="Q1486" t="str">
            <v>Consumer Discretionary</v>
          </cell>
          <cell r="R1486" t="str">
            <v>Specialty Retail</v>
          </cell>
          <cell r="S1486" t="str">
            <v>FIVE</v>
          </cell>
        </row>
        <row r="1487">
          <cell r="L1487" t="str">
            <v>ACHN</v>
          </cell>
          <cell r="M1487" t="str">
            <v>ACHILLION-PHARMACEUTICALS-35614/</v>
          </cell>
          <cell r="N1487" t="str">
            <v>ACHN</v>
          </cell>
          <cell r="O1487" t="str">
            <v>ACHILLION PHARMA</v>
          </cell>
          <cell r="P1487" t="str">
            <v>NASDAQ GS</v>
          </cell>
          <cell r="Q1487" t="str">
            <v>Health Care</v>
          </cell>
          <cell r="R1487" t="str">
            <v>Biotechnology</v>
          </cell>
          <cell r="S1487" t="str">
            <v>ACHN</v>
          </cell>
        </row>
        <row r="1488">
          <cell r="L1488" t="str">
            <v>MINI</v>
          </cell>
          <cell r="M1488" t="str">
            <v>MOBILEIRON-INC-16699883/</v>
          </cell>
          <cell r="N1488" t="str">
            <v>MINI</v>
          </cell>
          <cell r="O1488" t="str">
            <v>MOBILE MINI</v>
          </cell>
          <cell r="P1488" t="str">
            <v>NASDAQ GS</v>
          </cell>
          <cell r="Q1488" t="str">
            <v>Industrials</v>
          </cell>
          <cell r="R1488" t="str">
            <v>Commercial Services &amp; Supplies</v>
          </cell>
          <cell r="S1488" t="str">
            <v>MINI</v>
          </cell>
        </row>
        <row r="1489">
          <cell r="L1489" t="str">
            <v>INO</v>
          </cell>
          <cell r="M1489" t="str">
            <v>INOVIO-PHARMACEUTICALS-IN-17937428/</v>
          </cell>
          <cell r="N1489" t="str">
            <v>INO</v>
          </cell>
          <cell r="O1489" t="str">
            <v>INOVIO PHARMACEU</v>
          </cell>
          <cell r="P1489" t="str">
            <v>NASDAQ GS</v>
          </cell>
          <cell r="Q1489" t="str">
            <v>Health Care</v>
          </cell>
          <cell r="R1489" t="str">
            <v>Biotechnology</v>
          </cell>
          <cell r="S1489" t="str">
            <v>INO</v>
          </cell>
        </row>
        <row r="1490">
          <cell r="L1490" t="str">
            <v>GILT</v>
          </cell>
          <cell r="M1490" t="str">
            <v>GILAT-SATELLITE-NETWORKS-9433/</v>
          </cell>
          <cell r="N1490" t="str">
            <v>GILT</v>
          </cell>
          <cell r="O1490" t="str">
            <v>GILAT SATEL NETW</v>
          </cell>
          <cell r="P1490" t="str">
            <v>NASDAQ GS</v>
          </cell>
          <cell r="Q1490" t="str">
            <v>Information Technology</v>
          </cell>
          <cell r="R1490" t="str">
            <v>Communications Equipment</v>
          </cell>
          <cell r="S1490" t="str">
            <v>GILT</v>
          </cell>
        </row>
        <row r="1491">
          <cell r="L1491" t="str">
            <v>CHUY</v>
          </cell>
          <cell r="M1491" t="str">
            <v>CHUY-S-HOLDINGS-INC-11105110/</v>
          </cell>
          <cell r="N1491" t="str">
            <v>CHUY</v>
          </cell>
          <cell r="O1491" t="str">
            <v>CHUY'S HOLDINGS</v>
          </cell>
          <cell r="P1491" t="str">
            <v>NASDAQ GS</v>
          </cell>
          <cell r="Q1491" t="str">
            <v>Consumer Discretionary</v>
          </cell>
          <cell r="R1491" t="str">
            <v>Hotels, Restaurants &amp; Leisure</v>
          </cell>
          <cell r="S1491" t="str">
            <v>CHUY</v>
          </cell>
        </row>
        <row r="1492">
          <cell r="L1492" t="str">
            <v>GSKY</v>
          </cell>
          <cell r="M1492" t="str">
            <v>GREEN-PLAINS-PARTNERS-LP-22619580/</v>
          </cell>
          <cell r="N1492" t="str">
            <v>GSKY</v>
          </cell>
          <cell r="O1492" t="str">
            <v>GREENSKY INC-A</v>
          </cell>
          <cell r="P1492" t="str">
            <v>NASDAQ GS</v>
          </cell>
          <cell r="Q1492" t="str">
            <v>Information Technology</v>
          </cell>
          <cell r="R1492" t="str">
            <v>IT Services</v>
          </cell>
          <cell r="S1492" t="str">
            <v>GSKY</v>
          </cell>
        </row>
        <row r="1493">
          <cell r="L1493" t="str">
            <v>SPTN</v>
          </cell>
          <cell r="M1493" t="str">
            <v>SPARTAN-MOTORS-INC-10910/</v>
          </cell>
          <cell r="N1493" t="str">
            <v>SPTN</v>
          </cell>
          <cell r="O1493" t="str">
            <v>SPARTANNASH CO</v>
          </cell>
          <cell r="P1493" t="str">
            <v>NASDAQ GS</v>
          </cell>
          <cell r="Q1493" t="str">
            <v>Consumer Staples</v>
          </cell>
          <cell r="R1493" t="str">
            <v>Food &amp; Staples Retailing</v>
          </cell>
          <cell r="S1493" t="str">
            <v>SPTN</v>
          </cell>
        </row>
        <row r="1494">
          <cell r="L1494" t="str">
            <v>AVHI</v>
          </cell>
          <cell r="M1494" t="str">
            <v>AV-HOMES-INC-10799977/</v>
          </cell>
          <cell r="N1494" t="str">
            <v>AVHI</v>
          </cell>
          <cell r="O1494" t="str">
            <v>AV HOMES INC</v>
          </cell>
          <cell r="P1494" t="str">
            <v>NASDAQ GS</v>
          </cell>
          <cell r="Q1494" t="str">
            <v>Consumer Discretionary</v>
          </cell>
          <cell r="R1494" t="str">
            <v>Household Durables</v>
          </cell>
          <cell r="S1494" t="str">
            <v>AVHI</v>
          </cell>
        </row>
        <row r="1495">
          <cell r="L1495" t="str">
            <v>EA</v>
          </cell>
          <cell r="M1495" t="str">
            <v>ELECTROCORE-INC-44358407/</v>
          </cell>
          <cell r="N1495" t="str">
            <v>EA</v>
          </cell>
          <cell r="O1495" t="str">
            <v>ELECTRONIC ARTS</v>
          </cell>
          <cell r="P1495" t="str">
            <v>NASDAQ GS</v>
          </cell>
          <cell r="Q1495" t="str">
            <v>Information Technology</v>
          </cell>
          <cell r="R1495" t="str">
            <v>Software</v>
          </cell>
          <cell r="S1495" t="str">
            <v>EA</v>
          </cell>
        </row>
        <row r="1496">
          <cell r="L1496" t="str">
            <v>FARM</v>
          </cell>
          <cell r="M1496" t="str">
            <v>FARMER-BROS-CO-9246/</v>
          </cell>
          <cell r="N1496" t="str">
            <v>FARM</v>
          </cell>
          <cell r="O1496" t="str">
            <v>FARMER BROS CO</v>
          </cell>
          <cell r="P1496" t="str">
            <v>NASDAQ GS</v>
          </cell>
          <cell r="Q1496" t="str">
            <v>Consumer Staples</v>
          </cell>
          <cell r="R1496" t="str">
            <v>Food Products</v>
          </cell>
          <cell r="S1496" t="str">
            <v>FARM</v>
          </cell>
        </row>
        <row r="1497">
          <cell r="L1497" t="str">
            <v>HOFT</v>
          </cell>
          <cell r="M1497" t="str">
            <v>HOOKER-FURNITURE-CORPORAT-9563/</v>
          </cell>
          <cell r="N1497" t="str">
            <v>HOFT</v>
          </cell>
          <cell r="O1497" t="str">
            <v>HOOKER FURNITURE</v>
          </cell>
          <cell r="P1497" t="str">
            <v>NASDAQ GS</v>
          </cell>
          <cell r="Q1497" t="str">
            <v>Consumer Discretionary</v>
          </cell>
          <cell r="R1497" t="str">
            <v>Household Durables</v>
          </cell>
          <cell r="S1497" t="str">
            <v>HOFT</v>
          </cell>
        </row>
        <row r="1498">
          <cell r="L1498" t="str">
            <v>ACRS</v>
          </cell>
          <cell r="M1498" t="str">
            <v>ACLARIS-THERAPEUTICS-INC-26123625/</v>
          </cell>
          <cell r="N1498" t="str">
            <v>ACRS</v>
          </cell>
          <cell r="O1498" t="str">
            <v>ACLARIS THERAPEU</v>
          </cell>
          <cell r="P1498" t="str">
            <v>NASDAQ GS</v>
          </cell>
          <cell r="Q1498" t="str">
            <v>Health Care</v>
          </cell>
          <cell r="R1498" t="str">
            <v>Pharmaceuticals</v>
          </cell>
          <cell r="S1498" t="str">
            <v>ACRS</v>
          </cell>
        </row>
        <row r="1499">
          <cell r="L1499" t="str">
            <v>HLIT</v>
          </cell>
          <cell r="M1499" t="str">
            <v>HARMONIC-INC-9556/</v>
          </cell>
          <cell r="N1499" t="str">
            <v>HLIT</v>
          </cell>
          <cell r="O1499" t="str">
            <v>HARMONIC INC</v>
          </cell>
          <cell r="P1499" t="str">
            <v>NASDAQ GS</v>
          </cell>
          <cell r="Q1499" t="str">
            <v>Information Technology</v>
          </cell>
          <cell r="R1499" t="str">
            <v>Communications Equipment</v>
          </cell>
          <cell r="S1499" t="str">
            <v>HLIT</v>
          </cell>
        </row>
        <row r="1500">
          <cell r="L1500" t="str">
            <v>TEDU</v>
          </cell>
          <cell r="M1500" t="str">
            <v>TARENA-INTERNATIONAL-INC-16253053/</v>
          </cell>
          <cell r="N1500" t="str">
            <v>TEDU</v>
          </cell>
          <cell r="O1500" t="str">
            <v>TARENA INTER-ADR</v>
          </cell>
          <cell r="P1500" t="str">
            <v>NASDAQ GS</v>
          </cell>
          <cell r="Q1500" t="str">
            <v>Consumer Discretionary</v>
          </cell>
          <cell r="R1500" t="str">
            <v>Diversified Consumer Services</v>
          </cell>
          <cell r="S1500" t="str">
            <v>TEDU</v>
          </cell>
        </row>
        <row r="1501">
          <cell r="L1501" t="str">
            <v>TRMDA</v>
          </cell>
          <cell r="M1501" t="str">
            <v>TORM-PLC-38988604/</v>
          </cell>
          <cell r="N1501" t="str">
            <v>TRMDA</v>
          </cell>
          <cell r="O1501" t="str">
            <v>TORM PLC</v>
          </cell>
          <cell r="P1501" t="str">
            <v>NASDAQ GS</v>
          </cell>
          <cell r="Q1501" t="str">
            <v>Energy</v>
          </cell>
          <cell r="R1501" t="str">
            <v>Oil, Gas &amp; Consumable Fuels</v>
          </cell>
          <cell r="S1501" t="str">
            <v>TRMDA</v>
          </cell>
        </row>
        <row r="1502">
          <cell r="L1502" t="str">
            <v>HAYN</v>
          </cell>
          <cell r="M1502" t="str">
            <v>HAYNES-INTERNATIONAL-INC-46351/</v>
          </cell>
          <cell r="N1502" t="str">
            <v>HAYN</v>
          </cell>
          <cell r="O1502" t="str">
            <v>HAYNES INTL INC</v>
          </cell>
          <cell r="P1502" t="str">
            <v>NASDAQ GS</v>
          </cell>
          <cell r="Q1502" t="str">
            <v>Materials</v>
          </cell>
          <cell r="R1502" t="str">
            <v>Metals &amp; Mining</v>
          </cell>
          <cell r="S1502" t="str">
            <v>HAYN</v>
          </cell>
        </row>
        <row r="1503">
          <cell r="L1503" t="str">
            <v>RBB</v>
          </cell>
          <cell r="M1503" t="str">
            <v>RBB-BANCORP-37215916/</v>
          </cell>
          <cell r="N1503" t="str">
            <v>RBB</v>
          </cell>
          <cell r="O1503" t="str">
            <v>RBB BANCORP</v>
          </cell>
          <cell r="P1503" t="str">
            <v>NASDAQ GS</v>
          </cell>
          <cell r="Q1503" t="str">
            <v>Financials</v>
          </cell>
          <cell r="R1503" t="str">
            <v>Banks</v>
          </cell>
          <cell r="S1503" t="str">
            <v>RBB</v>
          </cell>
        </row>
        <row r="1504">
          <cell r="L1504" t="str">
            <v>AY</v>
          </cell>
          <cell r="M1504" t="str">
            <v>ATLANTIC-CAPITAL-BANCSHAR-24782868/</v>
          </cell>
          <cell r="N1504" t="str">
            <v>AY</v>
          </cell>
          <cell r="O1504" t="str">
            <v>ATLANTICA YIELD</v>
          </cell>
          <cell r="P1504" t="str">
            <v>NASDAQ GS</v>
          </cell>
          <cell r="Q1504" t="str">
            <v>Utilities</v>
          </cell>
          <cell r="R1504" t="str">
            <v>Independent Power and Renewabl</v>
          </cell>
          <cell r="S1504" t="str">
            <v>AY</v>
          </cell>
        </row>
        <row r="1505">
          <cell r="L1505" t="str">
            <v>CUTR</v>
          </cell>
          <cell r="M1505" t="str">
            <v>CUTERA-INC-8962/</v>
          </cell>
          <cell r="N1505" t="str">
            <v>CUTR</v>
          </cell>
          <cell r="O1505" t="str">
            <v>CUTERA INC</v>
          </cell>
          <cell r="P1505" t="str">
            <v>NASDAQ GS</v>
          </cell>
          <cell r="Q1505" t="str">
            <v>Health Care</v>
          </cell>
          <cell r="R1505" t="str">
            <v>Health Care Equipment &amp; Suppli</v>
          </cell>
          <cell r="S1505" t="str">
            <v>CUTR</v>
          </cell>
        </row>
        <row r="1506">
          <cell r="L1506" t="str">
            <v>WPRT</v>
          </cell>
          <cell r="M1506" t="str">
            <v>WESTPORT-FUEL-SYSTEMS-INC-3877747/</v>
          </cell>
          <cell r="N1506" t="str">
            <v>WPRT</v>
          </cell>
          <cell r="O1506" t="str">
            <v>WESTPORT FUEL SY</v>
          </cell>
          <cell r="P1506" t="str">
            <v>NASDAQ GS</v>
          </cell>
          <cell r="Q1506" t="str">
            <v>Industrials</v>
          </cell>
          <cell r="R1506" t="str">
            <v>Machinery</v>
          </cell>
          <cell r="S1506" t="str">
            <v>WPRT</v>
          </cell>
        </row>
        <row r="1507">
          <cell r="L1507" t="str">
            <v>CCNE</v>
          </cell>
          <cell r="M1507" t="str">
            <v>CNB-FINANCIAL-CORP-8711/</v>
          </cell>
          <cell r="N1507" t="str">
            <v>CCNE</v>
          </cell>
          <cell r="O1507" t="str">
            <v>CNB FINL CORP/PA</v>
          </cell>
          <cell r="P1507" t="str">
            <v>NASDAQ GS</v>
          </cell>
          <cell r="Q1507" t="str">
            <v>Financials</v>
          </cell>
          <cell r="R1507" t="str">
            <v>Banks</v>
          </cell>
          <cell r="S1507" t="str">
            <v>CCNE</v>
          </cell>
        </row>
        <row r="1508">
          <cell r="L1508" t="str">
            <v>CRAI</v>
          </cell>
          <cell r="M1508" t="str">
            <v>CRA-INTERNATIONAL-INC-8886/</v>
          </cell>
          <cell r="N1508" t="str">
            <v>CRAI</v>
          </cell>
          <cell r="O1508" t="str">
            <v>CRA INTERNATIONA</v>
          </cell>
          <cell r="P1508" t="str">
            <v>NASDAQ GS</v>
          </cell>
          <cell r="Q1508" t="str">
            <v>Industrials</v>
          </cell>
          <cell r="R1508" t="str">
            <v>Professional Services</v>
          </cell>
          <cell r="S1508" t="str">
            <v>CRAI</v>
          </cell>
        </row>
        <row r="1509">
          <cell r="L1509" t="str">
            <v>GSKY</v>
          </cell>
          <cell r="M1509" t="str">
            <v>GREENLIGHT-CAPITAL-RE-LT-51468/</v>
          </cell>
          <cell r="N1509" t="str">
            <v>GSKY</v>
          </cell>
          <cell r="O1509" t="str">
            <v>GREENSKY INC-A</v>
          </cell>
          <cell r="P1509" t="str">
            <v>NASDAQ GS</v>
          </cell>
          <cell r="Q1509" t="str">
            <v>Information Technology</v>
          </cell>
          <cell r="R1509" t="str">
            <v>IT Services</v>
          </cell>
          <cell r="S1509" t="str">
            <v>GSKY</v>
          </cell>
        </row>
        <row r="1510">
          <cell r="L1510" t="str">
            <v>OSBC</v>
          </cell>
          <cell r="M1510" t="str">
            <v>OLD-SECOND-BANCORP-INC-10365/</v>
          </cell>
          <cell r="N1510" t="str">
            <v>OSBC</v>
          </cell>
          <cell r="O1510" t="str">
            <v>OLD SECOND BNCRP</v>
          </cell>
          <cell r="P1510" t="str">
            <v>NASDAQ GS</v>
          </cell>
          <cell r="Q1510" t="str">
            <v>Financials</v>
          </cell>
          <cell r="R1510" t="str">
            <v>Banks</v>
          </cell>
          <cell r="S1510" t="str">
            <v>OSBC</v>
          </cell>
        </row>
        <row r="1511">
          <cell r="L1511" t="str">
            <v>SGYP</v>
          </cell>
          <cell r="M1511" t="str">
            <v>SYNERGY-PHARMACEUTICALS-I-9562921/</v>
          </cell>
          <cell r="N1511" t="str">
            <v>SGYP</v>
          </cell>
          <cell r="O1511" t="str">
            <v>SYNERGY PHARMACE</v>
          </cell>
          <cell r="P1511" t="str">
            <v>NASDAQ GS</v>
          </cell>
          <cell r="Q1511" t="str">
            <v>Health Care</v>
          </cell>
          <cell r="R1511" t="str">
            <v>Biotechnology</v>
          </cell>
          <cell r="S1511" t="str">
            <v>SGYP</v>
          </cell>
        </row>
        <row r="1512">
          <cell r="L1512" t="str">
            <v>SW</v>
          </cell>
          <cell r="M1512" t="str">
            <v>SIERRA-BANCORP-8629/</v>
          </cell>
          <cell r="N1512" t="str">
            <v>SW</v>
          </cell>
          <cell r="O1512" t="str">
            <v>SIERRA WIRELESS</v>
          </cell>
          <cell r="P1512" t="str">
            <v>NASDAQ GS</v>
          </cell>
          <cell r="Q1512" t="str">
            <v>Information Technology</v>
          </cell>
          <cell r="R1512" t="str">
            <v>Communications Equipment</v>
          </cell>
          <cell r="S1512" t="str">
            <v>SW</v>
          </cell>
        </row>
        <row r="1513">
          <cell r="L1513" t="str">
            <v>OFIX</v>
          </cell>
          <cell r="M1513" t="str">
            <v>ORTHOPEDIATRICS-CORP-38123460/</v>
          </cell>
          <cell r="N1513" t="str">
            <v>OFIX</v>
          </cell>
          <cell r="O1513" t="str">
            <v>ORTHOFIX INTL</v>
          </cell>
          <cell r="P1513" t="str">
            <v>NASDAQ GS</v>
          </cell>
          <cell r="Q1513" t="str">
            <v>Health Care</v>
          </cell>
          <cell r="R1513" t="str">
            <v>Health Care Equipment &amp; Suppli</v>
          </cell>
          <cell r="S1513" t="str">
            <v>OFIX</v>
          </cell>
        </row>
        <row r="1514">
          <cell r="L1514" t="str">
            <v>ZAGG</v>
          </cell>
          <cell r="M1514" t="str">
            <v>ZAGG-INC-238886/</v>
          </cell>
          <cell r="N1514" t="str">
            <v>ZAGG</v>
          </cell>
          <cell r="O1514" t="str">
            <v>ZAGG INC</v>
          </cell>
          <cell r="P1514" t="str">
            <v>NASDAQ GS</v>
          </cell>
          <cell r="Q1514" t="str">
            <v>Consumer Discretionary</v>
          </cell>
          <cell r="R1514" t="str">
            <v>Household Durables</v>
          </cell>
          <cell r="S1514" t="str">
            <v>ZAGG</v>
          </cell>
        </row>
        <row r="1515">
          <cell r="L1515" t="str">
            <v>POWL</v>
          </cell>
          <cell r="M1515" t="str">
            <v>POWELL-INDUSTRIES-INC-10520/</v>
          </cell>
          <cell r="N1515" t="str">
            <v>POWL</v>
          </cell>
          <cell r="O1515" t="str">
            <v>POWELL INDS INC</v>
          </cell>
          <cell r="P1515" t="str">
            <v>NASDAQ GS</v>
          </cell>
          <cell r="Q1515" t="str">
            <v>Industrials</v>
          </cell>
          <cell r="R1515" t="str">
            <v>Electrical Equipment</v>
          </cell>
          <cell r="S1515" t="str">
            <v>POWL</v>
          </cell>
        </row>
        <row r="1516">
          <cell r="L1516" t="str">
            <v>KEYW</v>
          </cell>
          <cell r="M1516" t="str">
            <v>KEYW-HOLDING-CORP-6681306/</v>
          </cell>
          <cell r="N1516" t="str">
            <v>KEYW</v>
          </cell>
          <cell r="O1516" t="str">
            <v>KEYW HOLDING COR</v>
          </cell>
          <cell r="P1516" t="str">
            <v>NASDAQ GS</v>
          </cell>
          <cell r="Q1516" t="str">
            <v>Industrials</v>
          </cell>
          <cell r="R1516" t="str">
            <v>Aerospace &amp; Defense</v>
          </cell>
          <cell r="S1516" t="str">
            <v>KEYW</v>
          </cell>
        </row>
        <row r="1517">
          <cell r="L1517" t="str">
            <v>FARM</v>
          </cell>
          <cell r="M1517" t="str">
            <v>FARMERS-NATIONAL-BANC-COR-9274695/</v>
          </cell>
          <cell r="N1517" t="str">
            <v>FARM</v>
          </cell>
          <cell r="O1517" t="str">
            <v>FARMER BROS CO</v>
          </cell>
          <cell r="P1517" t="str">
            <v>NASDAQ GS</v>
          </cell>
          <cell r="Q1517" t="str">
            <v>Consumer Staples</v>
          </cell>
          <cell r="R1517" t="str">
            <v>Food Products</v>
          </cell>
          <cell r="S1517" t="str">
            <v>FARM</v>
          </cell>
        </row>
        <row r="1518">
          <cell r="L1518" t="str">
            <v>PERY</v>
          </cell>
          <cell r="M1518" t="str">
            <v>PERRY-ELLIS-INTERNATIONAL-10438/</v>
          </cell>
          <cell r="N1518" t="str">
            <v>PERY</v>
          </cell>
          <cell r="O1518" t="str">
            <v>PERRY ELLIS INTL</v>
          </cell>
          <cell r="P1518" t="str">
            <v>NASDAQ GS</v>
          </cell>
          <cell r="Q1518" t="str">
            <v>Consumer Discretionary</v>
          </cell>
          <cell r="R1518" t="str">
            <v>Textiles, Apparel &amp; Luxury Goo</v>
          </cell>
          <cell r="S1518" t="str">
            <v>PERY</v>
          </cell>
        </row>
        <row r="1519">
          <cell r="L1519" t="str">
            <v>CYTK</v>
          </cell>
          <cell r="M1519" t="str">
            <v>CYTOKINETICS-INC-13479846/</v>
          </cell>
          <cell r="N1519" t="str">
            <v>CYTK</v>
          </cell>
          <cell r="O1519" t="str">
            <v>CYTOKINETICS INC</v>
          </cell>
          <cell r="P1519" t="str">
            <v>NASDAQ GS</v>
          </cell>
          <cell r="Q1519" t="str">
            <v>Health Care</v>
          </cell>
          <cell r="R1519" t="str">
            <v>Biotechnology</v>
          </cell>
          <cell r="S1519" t="str">
            <v>CYTK</v>
          </cell>
        </row>
        <row r="1520">
          <cell r="L1520" t="str">
            <v>HWKN</v>
          </cell>
          <cell r="M1520" t="str">
            <v>HAWKINS-INC-9600/</v>
          </cell>
          <cell r="N1520" t="str">
            <v>HWKN</v>
          </cell>
          <cell r="O1520" t="str">
            <v>HAWKINS INC</v>
          </cell>
          <cell r="P1520" t="str">
            <v>NASDAQ GS</v>
          </cell>
          <cell r="Q1520" t="str">
            <v>Materials</v>
          </cell>
          <cell r="R1520" t="str">
            <v>Chemicals</v>
          </cell>
          <cell r="S1520" t="str">
            <v>HWKN</v>
          </cell>
        </row>
        <row r="1521">
          <cell r="L1521" t="str">
            <v>PI</v>
          </cell>
          <cell r="M1521" t="str">
            <v>IMPINJ-INC-30049795/</v>
          </cell>
          <cell r="N1521" t="str">
            <v>PI</v>
          </cell>
          <cell r="O1521" t="str">
            <v>IMPINJ INC</v>
          </cell>
          <cell r="P1521" t="str">
            <v>NASDAQ GS</v>
          </cell>
          <cell r="Q1521" t="str">
            <v>Information Technology</v>
          </cell>
          <cell r="R1521" t="str">
            <v>Semiconductors &amp; Semiconductor</v>
          </cell>
          <cell r="S1521" t="str">
            <v>PI</v>
          </cell>
        </row>
        <row r="1522">
          <cell r="L1522" t="str">
            <v>SCHL</v>
          </cell>
          <cell r="M1522" t="str">
            <v>SCHOLAR-ROCK-HOLDING-CORP-43499888/</v>
          </cell>
          <cell r="N1522" t="str">
            <v>SCHL</v>
          </cell>
          <cell r="O1522" t="str">
            <v>SCHOLASTIC CORP</v>
          </cell>
          <cell r="P1522" t="str">
            <v>NASDAQ GS</v>
          </cell>
          <cell r="Q1522" t="str">
            <v>Consumer Discretionary</v>
          </cell>
          <cell r="R1522" t="str">
            <v>Media</v>
          </cell>
          <cell r="S1522" t="str">
            <v>SCHL</v>
          </cell>
        </row>
        <row r="1523">
          <cell r="L1523" t="str">
            <v>CTRN</v>
          </cell>
          <cell r="M1523" t="str">
            <v>CITI-TRENDS-INC-8953/</v>
          </cell>
          <cell r="N1523" t="str">
            <v>CTRN</v>
          </cell>
          <cell r="O1523" t="str">
            <v>CITI TRENDS INC</v>
          </cell>
          <cell r="P1523" t="str">
            <v>NASDAQ GS</v>
          </cell>
          <cell r="Q1523" t="str">
            <v>Consumer Discretionary</v>
          </cell>
          <cell r="R1523" t="str">
            <v>Specialty Retail</v>
          </cell>
          <cell r="S1523" t="str">
            <v>CTRN</v>
          </cell>
        </row>
        <row r="1524">
          <cell r="L1524" t="str">
            <v>FARM</v>
          </cell>
          <cell r="M1524" t="str">
            <v>FARMERS-MERCHANTS-BANCO-34858165/</v>
          </cell>
          <cell r="N1524" t="str">
            <v>FARM</v>
          </cell>
          <cell r="O1524" t="str">
            <v>FARMER BROS CO</v>
          </cell>
          <cell r="P1524" t="str">
            <v>NASDAQ GS</v>
          </cell>
          <cell r="Q1524" t="str">
            <v>Consumer Staples</v>
          </cell>
          <cell r="R1524" t="str">
            <v>Food Products</v>
          </cell>
          <cell r="S1524" t="str">
            <v>FARM</v>
          </cell>
        </row>
        <row r="1525">
          <cell r="L1525" t="str">
            <v>MCBC</v>
          </cell>
          <cell r="M1525" t="str">
            <v>MACATAWA-BANK-CORPORATION-9968/</v>
          </cell>
          <cell r="N1525" t="str">
            <v>MCBC</v>
          </cell>
          <cell r="O1525" t="str">
            <v>MACATAWA BANK</v>
          </cell>
          <cell r="P1525" t="str">
            <v>NASDAQ GS</v>
          </cell>
          <cell r="Q1525" t="str">
            <v>Financials</v>
          </cell>
          <cell r="R1525" t="str">
            <v>Banks</v>
          </cell>
          <cell r="S1525" t="str">
            <v>MCBC</v>
          </cell>
        </row>
        <row r="1526">
          <cell r="L1526" t="str">
            <v>MOFG</v>
          </cell>
          <cell r="M1526" t="str">
            <v>MIDWESTONE-FINANCIAL-GROU-2301856/</v>
          </cell>
          <cell r="N1526" t="str">
            <v>MOFG</v>
          </cell>
          <cell r="O1526" t="str">
            <v>MIDWESTONE FINAN</v>
          </cell>
          <cell r="P1526" t="str">
            <v>NASDAQ GS</v>
          </cell>
          <cell r="Q1526" t="str">
            <v>Financials</v>
          </cell>
          <cell r="R1526" t="str">
            <v>Banks</v>
          </cell>
          <cell r="S1526" t="str">
            <v>MOFG</v>
          </cell>
        </row>
        <row r="1527">
          <cell r="L1527" t="str">
            <v>LTXB</v>
          </cell>
          <cell r="M1527" t="str">
            <v>LEGACY-RESERVES-LP-40640/</v>
          </cell>
          <cell r="N1527" t="str">
            <v>LTXB</v>
          </cell>
          <cell r="O1527" t="str">
            <v>LEGACYTEXAS FINA</v>
          </cell>
          <cell r="P1527" t="str">
            <v>NASDAQ GS</v>
          </cell>
          <cell r="Q1527" t="str">
            <v>Financials</v>
          </cell>
          <cell r="R1527" t="str">
            <v>Banks</v>
          </cell>
          <cell r="S1527" t="str">
            <v>LTXB</v>
          </cell>
        </row>
        <row r="1528">
          <cell r="L1528" t="str">
            <v>SVA</v>
          </cell>
          <cell r="M1528" t="str">
            <v>SINOVAC-BIOTECH-LTD-5714593/</v>
          </cell>
          <cell r="N1528" t="str">
            <v>SVA</v>
          </cell>
          <cell r="O1528" t="str">
            <v>SINOVAC BIOTECH</v>
          </cell>
          <cell r="P1528" t="str">
            <v>NASDAQ GS</v>
          </cell>
          <cell r="Q1528" t="str">
            <v>Health Care</v>
          </cell>
          <cell r="R1528" t="str">
            <v>Biotechnology</v>
          </cell>
          <cell r="S1528" t="str">
            <v>SVA</v>
          </cell>
        </row>
        <row r="1529">
          <cell r="L1529" t="str">
            <v>INWK</v>
          </cell>
          <cell r="M1529" t="str">
            <v>INNERWORKINGS-INC-31266/</v>
          </cell>
          <cell r="N1529" t="str">
            <v>INWK</v>
          </cell>
          <cell r="O1529" t="str">
            <v>INNERWORKINGS IN</v>
          </cell>
          <cell r="P1529" t="str">
            <v>NASDAQ GS</v>
          </cell>
          <cell r="Q1529" t="str">
            <v>Industrials</v>
          </cell>
          <cell r="R1529" t="str">
            <v>Professional Services</v>
          </cell>
          <cell r="S1529" t="str">
            <v>INWK</v>
          </cell>
        </row>
        <row r="1530">
          <cell r="L1530" t="str">
            <v>MPVD</v>
          </cell>
          <cell r="M1530" t="str">
            <v>MOUNTAIN-PROVINCE-DIAMOND-19356192/</v>
          </cell>
          <cell r="N1530" t="str">
            <v>MPVD</v>
          </cell>
          <cell r="O1530" t="str">
            <v>MOUNTAIN PROVINC</v>
          </cell>
          <cell r="P1530" t="str">
            <v>NASDAQ GS</v>
          </cell>
          <cell r="Q1530" t="str">
            <v>Materials</v>
          </cell>
          <cell r="R1530" t="str">
            <v>Metals &amp; Mining</v>
          </cell>
          <cell r="S1530" t="str">
            <v>MPVD</v>
          </cell>
        </row>
        <row r="1531">
          <cell r="L1531" t="str">
            <v>VSEC</v>
          </cell>
          <cell r="M1531" t="str">
            <v>VSE-CORPORATION-11326/</v>
          </cell>
          <cell r="N1531" t="str">
            <v>VSEC</v>
          </cell>
          <cell r="O1531" t="str">
            <v>VSE CORP</v>
          </cell>
          <cell r="P1531" t="str">
            <v>NASDAQ GS</v>
          </cell>
          <cell r="Q1531" t="str">
            <v>Industrials</v>
          </cell>
          <cell r="R1531" t="str">
            <v>Commercial Services &amp; Supplies</v>
          </cell>
          <cell r="S1531" t="str">
            <v>VSEC</v>
          </cell>
        </row>
        <row r="1532">
          <cell r="L1532" t="str">
            <v>DGICB</v>
          </cell>
          <cell r="M1532" t="str">
            <v>DONEGAL-GROUP-INC-9036/</v>
          </cell>
          <cell r="N1532" t="str">
            <v>DGICB</v>
          </cell>
          <cell r="O1532" t="str">
            <v>DONEGAL GROUP-B</v>
          </cell>
          <cell r="P1532" t="str">
            <v>NASDAQ GS</v>
          </cell>
          <cell r="Q1532" t="str">
            <v>Financials</v>
          </cell>
          <cell r="R1532" t="str">
            <v>Insurance</v>
          </cell>
          <cell r="S1532" t="str">
            <v>DGICB</v>
          </cell>
        </row>
        <row r="1533">
          <cell r="L1533" t="str">
            <v>DGICB</v>
          </cell>
          <cell r="M1533" t="str">
            <v>DONEGAL-GROUP-INC-9037/</v>
          </cell>
          <cell r="N1533" t="str">
            <v>DGICB</v>
          </cell>
          <cell r="O1533" t="str">
            <v>DONEGAL GROUP-B</v>
          </cell>
          <cell r="P1533" t="str">
            <v>NASDAQ GS</v>
          </cell>
          <cell r="Q1533" t="str">
            <v>Financials</v>
          </cell>
          <cell r="R1533" t="str">
            <v>Insurance</v>
          </cell>
          <cell r="S1533" t="str">
            <v>DGICB</v>
          </cell>
        </row>
        <row r="1534">
          <cell r="L1534" t="str">
            <v>TTS</v>
          </cell>
          <cell r="M1534" t="str">
            <v>TILE-SHOP-HOLDINGS-INC-11900075/</v>
          </cell>
          <cell r="N1534" t="str">
            <v>TTS</v>
          </cell>
          <cell r="O1534" t="str">
            <v>TILE SHOP HLDGS</v>
          </cell>
          <cell r="P1534" t="str">
            <v>NASDAQ GS</v>
          </cell>
          <cell r="Q1534" t="str">
            <v>Consumer Discretionary</v>
          </cell>
          <cell r="R1534" t="str">
            <v>Specialty Retail</v>
          </cell>
          <cell r="S1534" t="str">
            <v>TTS</v>
          </cell>
        </row>
        <row r="1535">
          <cell r="L1535" t="str">
            <v>MGIC</v>
          </cell>
          <cell r="M1535" t="str">
            <v>MAGIC-SOFTWARE-ENTERPRISE-10019/</v>
          </cell>
          <cell r="N1535" t="str">
            <v>MGIC</v>
          </cell>
          <cell r="O1535" t="str">
            <v>MAGIC SOFTWARE</v>
          </cell>
          <cell r="P1535" t="str">
            <v>NASDAQ GS</v>
          </cell>
          <cell r="Q1535" t="str">
            <v>Information Technology</v>
          </cell>
          <cell r="R1535" t="str">
            <v>Software</v>
          </cell>
          <cell r="S1535" t="str">
            <v>MGIC</v>
          </cell>
        </row>
        <row r="1536">
          <cell r="L1536" t="str">
            <v>SYRS</v>
          </cell>
          <cell r="M1536" t="str">
            <v>SYROS-PHARMACEUTICALS-INC-29688130/</v>
          </cell>
          <cell r="N1536" t="str">
            <v>SYRS</v>
          </cell>
          <cell r="O1536" t="str">
            <v>SYROS PHARMACEUT</v>
          </cell>
          <cell r="P1536" t="str">
            <v>NASDAQ GS</v>
          </cell>
          <cell r="Q1536" t="str">
            <v>Health Care</v>
          </cell>
          <cell r="R1536" t="str">
            <v>Biotechnology</v>
          </cell>
          <cell r="S1536" t="str">
            <v>SYRS</v>
          </cell>
        </row>
        <row r="1537">
          <cell r="L1537" t="str">
            <v>DERM</v>
          </cell>
          <cell r="M1537" t="str">
            <v>DERMIRA-INC-18138387/</v>
          </cell>
          <cell r="N1537" t="str">
            <v>DERM</v>
          </cell>
          <cell r="O1537" t="str">
            <v>DERMIRA</v>
          </cell>
          <cell r="P1537" t="str">
            <v>NASDAQ GS</v>
          </cell>
          <cell r="Q1537" t="str">
            <v>Health Care</v>
          </cell>
          <cell r="R1537" t="str">
            <v>Pharmaceuticals</v>
          </cell>
          <cell r="S1537" t="str">
            <v>DERM</v>
          </cell>
        </row>
        <row r="1538">
          <cell r="L1538" t="str">
            <v>SVRA</v>
          </cell>
          <cell r="M1538" t="str">
            <v>SAVARA-INC-34728472/</v>
          </cell>
          <cell r="N1538" t="str">
            <v>SVRA</v>
          </cell>
          <cell r="O1538" t="str">
            <v>SAVARA INC</v>
          </cell>
          <cell r="P1538" t="str">
            <v>NASDAQ GS</v>
          </cell>
          <cell r="Q1538" t="str">
            <v>Health Care</v>
          </cell>
          <cell r="R1538" t="str">
            <v>Biotechnology</v>
          </cell>
          <cell r="S1538" t="str">
            <v>SVRA</v>
          </cell>
        </row>
        <row r="1539">
          <cell r="L1539" t="str">
            <v>YORW</v>
          </cell>
          <cell r="M1539" t="str">
            <v>YORK-WATER-CO-11464/</v>
          </cell>
          <cell r="N1539" t="str">
            <v>YORW</v>
          </cell>
          <cell r="O1539" t="str">
            <v>YORK WATER CO</v>
          </cell>
          <cell r="P1539" t="str">
            <v>NASDAQ GS</v>
          </cell>
          <cell r="Q1539" t="str">
            <v>Utilities</v>
          </cell>
          <cell r="R1539" t="str">
            <v>Water Utilities</v>
          </cell>
          <cell r="S1539" t="str">
            <v>YORW</v>
          </cell>
        </row>
        <row r="1540">
          <cell r="L1540" t="str">
            <v>HIBB</v>
          </cell>
          <cell r="M1540" t="str">
            <v>HIBBETT-SPORTS-INC-9546/</v>
          </cell>
          <cell r="N1540" t="str">
            <v>HIBB</v>
          </cell>
          <cell r="O1540" t="str">
            <v>HIBBETT SPORTS I</v>
          </cell>
          <cell r="P1540" t="str">
            <v>NASDAQ GS</v>
          </cell>
          <cell r="Q1540" t="str">
            <v>Consumer Discretionary</v>
          </cell>
          <cell r="R1540" t="str">
            <v>Specialty Retail</v>
          </cell>
          <cell r="S1540" t="str">
            <v>HIBB</v>
          </cell>
        </row>
        <row r="1541">
          <cell r="L1541" t="str">
            <v>BDGE</v>
          </cell>
          <cell r="M1541" t="str">
            <v>BRIDGEWATER-BANCSHARES-IN-42096828/</v>
          </cell>
          <cell r="N1541" t="str">
            <v>BDGE</v>
          </cell>
          <cell r="O1541" t="str">
            <v>BRIDGE BANCORP</v>
          </cell>
          <cell r="P1541" t="str">
            <v>NASDAQ GS</v>
          </cell>
          <cell r="Q1541" t="str">
            <v>Financials</v>
          </cell>
          <cell r="R1541" t="str">
            <v>Banks</v>
          </cell>
          <cell r="S1541" t="str">
            <v>BDGE</v>
          </cell>
        </row>
        <row r="1542">
          <cell r="L1542" t="str">
            <v>CPSI</v>
          </cell>
          <cell r="M1542" t="str">
            <v>COMPUTER-PROGRAMS-SYSTE-8880/</v>
          </cell>
          <cell r="N1542" t="str">
            <v>CPSI</v>
          </cell>
          <cell r="O1542" t="str">
            <v>COMPUTER PROGRAM</v>
          </cell>
          <cell r="P1542" t="str">
            <v>NASDAQ GS</v>
          </cell>
          <cell r="Q1542" t="str">
            <v>Health Care</v>
          </cell>
          <cell r="R1542" t="str">
            <v>Health Care Technology</v>
          </cell>
          <cell r="S1542" t="str">
            <v>CPSI</v>
          </cell>
        </row>
        <row r="1543">
          <cell r="L1543" t="str">
            <v>GBNK</v>
          </cell>
          <cell r="M1543" t="str">
            <v>GUARANTY-BANCSHARES-INC-34837547/</v>
          </cell>
          <cell r="N1543" t="str">
            <v>GBNK</v>
          </cell>
          <cell r="O1543" t="str">
            <v>GUARANTY BANCORP</v>
          </cell>
          <cell r="P1543" t="str">
            <v>NASDAQ GS</v>
          </cell>
          <cell r="Q1543" t="str">
            <v>Financials</v>
          </cell>
          <cell r="R1543" t="str">
            <v>Banks</v>
          </cell>
          <cell r="S1543" t="str">
            <v>GBNK</v>
          </cell>
        </row>
        <row r="1544">
          <cell r="L1544" t="str">
            <v>UEPS</v>
          </cell>
          <cell r="M1544" t="str">
            <v>NET-1-UEPS-TECHNOLOGIES-10275/</v>
          </cell>
          <cell r="N1544" t="str">
            <v>UEPS</v>
          </cell>
          <cell r="O1544" t="str">
            <v>NET 1 UEPS TECH</v>
          </cell>
          <cell r="P1544" t="str">
            <v>NASDAQ GS</v>
          </cell>
          <cell r="Q1544" t="str">
            <v>Information Technology</v>
          </cell>
          <cell r="R1544" t="str">
            <v>IT Services</v>
          </cell>
          <cell r="S1544" t="str">
            <v>UEPS</v>
          </cell>
        </row>
        <row r="1545">
          <cell r="L1545" t="str">
            <v>GOGO</v>
          </cell>
          <cell r="M1545" t="str">
            <v>GOGO-INC-13450310/</v>
          </cell>
          <cell r="N1545" t="str">
            <v>GOGO</v>
          </cell>
          <cell r="O1545" t="str">
            <v>GOGO INC</v>
          </cell>
          <cell r="P1545" t="str">
            <v>NASDAQ GS</v>
          </cell>
          <cell r="Q1545" t="str">
            <v>Information Technology</v>
          </cell>
          <cell r="R1545" t="str">
            <v>Internet Software &amp; Services</v>
          </cell>
          <cell r="S1545" t="str">
            <v>GOGO</v>
          </cell>
        </row>
        <row r="1546">
          <cell r="L1546" t="str">
            <v>MGI</v>
          </cell>
          <cell r="M1546" t="str">
            <v>MONEYGRAM-INTERNATIONAL-I-13203134/</v>
          </cell>
          <cell r="N1546" t="str">
            <v>MGI</v>
          </cell>
          <cell r="O1546" t="str">
            <v>MONEYGRAM INTERN</v>
          </cell>
          <cell r="P1546" t="str">
            <v>NASDAQ GS</v>
          </cell>
          <cell r="Q1546" t="str">
            <v>Information Technology</v>
          </cell>
          <cell r="R1546" t="str">
            <v>IT Services</v>
          </cell>
          <cell r="S1546" t="str">
            <v>MGI</v>
          </cell>
        </row>
        <row r="1547">
          <cell r="L1547" t="str">
            <v>NATH</v>
          </cell>
          <cell r="M1547" t="str">
            <v>NATHAN-S-FAMOUS-INC-10155/</v>
          </cell>
          <cell r="N1547" t="str">
            <v>NATH</v>
          </cell>
          <cell r="O1547" t="str">
            <v>NATHANS FAMOUS</v>
          </cell>
          <cell r="P1547" t="str">
            <v>NASDAQ GS</v>
          </cell>
          <cell r="Q1547" t="str">
            <v>Consumer Discretionary</v>
          </cell>
          <cell r="R1547" t="str">
            <v>Hotels, Restaurants &amp; Leisure</v>
          </cell>
          <cell r="S1547" t="str">
            <v>NATH</v>
          </cell>
        </row>
        <row r="1548">
          <cell r="L1548" t="str">
            <v>BIOS</v>
          </cell>
          <cell r="M1548" t="str">
            <v>BIOSCRIP-INC-10029/</v>
          </cell>
          <cell r="N1548" t="str">
            <v>BIOS</v>
          </cell>
          <cell r="O1548" t="str">
            <v>BIOSCRIP INC</v>
          </cell>
          <cell r="P1548" t="str">
            <v>NASDAQ GS</v>
          </cell>
          <cell r="Q1548" t="str">
            <v>Health Care</v>
          </cell>
          <cell r="R1548" t="str">
            <v>Health Care Providers &amp; Servic</v>
          </cell>
          <cell r="S1548" t="str">
            <v>BIOS</v>
          </cell>
        </row>
        <row r="1549">
          <cell r="L1549" t="str">
            <v>DGII</v>
          </cell>
          <cell r="M1549" t="str">
            <v>DIGI-INTERNATIONAL-INC-9038/</v>
          </cell>
          <cell r="N1549" t="str">
            <v>DGII</v>
          </cell>
          <cell r="O1549" t="str">
            <v>DIGI INTL INC</v>
          </cell>
          <cell r="P1549" t="str">
            <v>NASDAQ GS</v>
          </cell>
          <cell r="Q1549" t="str">
            <v>Information Technology</v>
          </cell>
          <cell r="R1549" t="str">
            <v>Communications Equipment</v>
          </cell>
          <cell r="S1549" t="str">
            <v>DGII</v>
          </cell>
        </row>
        <row r="1550">
          <cell r="L1550" t="str">
            <v>LNDC</v>
          </cell>
          <cell r="M1550" t="str">
            <v>LANDEC-CORPORATION-9895/</v>
          </cell>
          <cell r="N1550" t="str">
            <v>LNDC</v>
          </cell>
          <cell r="O1550" t="str">
            <v>LANDEC CORP</v>
          </cell>
          <cell r="P1550" t="str">
            <v>NASDAQ GS</v>
          </cell>
          <cell r="Q1550" t="str">
            <v>Consumer Staples</v>
          </cell>
          <cell r="R1550" t="str">
            <v>Food Products</v>
          </cell>
          <cell r="S1550" t="str">
            <v>LNDC</v>
          </cell>
        </row>
        <row r="1551">
          <cell r="L1551" t="str">
            <v>AGYS</v>
          </cell>
          <cell r="M1551" t="str">
            <v>AGILYSYS-INC-8294/</v>
          </cell>
          <cell r="N1551" t="str">
            <v>AGYS</v>
          </cell>
          <cell r="O1551" t="str">
            <v>AGILYSYS INC</v>
          </cell>
          <cell r="P1551" t="str">
            <v>NASDAQ GS</v>
          </cell>
          <cell r="Q1551" t="str">
            <v>Information Technology</v>
          </cell>
          <cell r="R1551" t="str">
            <v>Software</v>
          </cell>
          <cell r="S1551" t="str">
            <v>AGYS</v>
          </cell>
        </row>
        <row r="1552">
          <cell r="L1552" t="str">
            <v>BREW</v>
          </cell>
          <cell r="M1552" t="str">
            <v>CRAFT-BREW-ALLIANCE-INC-9570/</v>
          </cell>
          <cell r="N1552" t="str">
            <v>BREW</v>
          </cell>
          <cell r="O1552" t="str">
            <v>CRAFT BREW ALLIA</v>
          </cell>
          <cell r="P1552" t="str">
            <v>NASDAQ GS</v>
          </cell>
          <cell r="Q1552" t="str">
            <v>Consumer Staples</v>
          </cell>
          <cell r="R1552" t="str">
            <v>Beverages</v>
          </cell>
          <cell r="S1552" t="str">
            <v>BREW</v>
          </cell>
        </row>
        <row r="1553">
          <cell r="L1553" t="str">
            <v>DMRC</v>
          </cell>
          <cell r="M1553" t="str">
            <v>DIGIMARC-CORP-4811112/</v>
          </cell>
          <cell r="N1553" t="str">
            <v>DMRC</v>
          </cell>
          <cell r="O1553" t="str">
            <v>DIGIMARC CORP</v>
          </cell>
          <cell r="P1553" t="str">
            <v>NASDAQ GS</v>
          </cell>
          <cell r="Q1553" t="str">
            <v>Information Technology</v>
          </cell>
          <cell r="R1553" t="str">
            <v>Software</v>
          </cell>
          <cell r="S1553" t="str">
            <v>DMRC</v>
          </cell>
        </row>
        <row r="1554">
          <cell r="L1554" t="str">
            <v>MCRB</v>
          </cell>
          <cell r="M1554" t="str">
            <v>SERES-THERAPEUTICS-INC-22619573/</v>
          </cell>
          <cell r="N1554" t="str">
            <v>MCRB</v>
          </cell>
          <cell r="O1554" t="str">
            <v>SERES THERAPEUTI</v>
          </cell>
          <cell r="P1554" t="str">
            <v>NASDAQ GS</v>
          </cell>
          <cell r="Q1554" t="str">
            <v>Health Care</v>
          </cell>
          <cell r="R1554" t="str">
            <v>Biotechnology</v>
          </cell>
          <cell r="S1554" t="str">
            <v>MCRB</v>
          </cell>
        </row>
        <row r="1555">
          <cell r="L1555" t="str">
            <v>MRLN</v>
          </cell>
          <cell r="M1555" t="str">
            <v>MARLIN-BUSINESS-SERVICES-10082/</v>
          </cell>
          <cell r="N1555" t="str">
            <v>MRLN</v>
          </cell>
          <cell r="O1555" t="str">
            <v>MARLIN BUSINESS</v>
          </cell>
          <cell r="P1555" t="str">
            <v>NASDAQ GS</v>
          </cell>
          <cell r="Q1555" t="str">
            <v>Financials</v>
          </cell>
          <cell r="R1555" t="str">
            <v>Diversified Financial Services</v>
          </cell>
          <cell r="S1555" t="str">
            <v>MRLN</v>
          </cell>
        </row>
        <row r="1556">
          <cell r="L1556" t="str">
            <v>CCRN</v>
          </cell>
          <cell r="M1556" t="str">
            <v>CROSS-COUNTRY-HEALTHCARE-8717/</v>
          </cell>
          <cell r="N1556" t="str">
            <v>CCRN</v>
          </cell>
          <cell r="O1556" t="str">
            <v>CROSS COUNTRY HE</v>
          </cell>
          <cell r="P1556" t="str">
            <v>NASDAQ GS</v>
          </cell>
          <cell r="Q1556" t="str">
            <v>Health Care</v>
          </cell>
          <cell r="R1556" t="str">
            <v>Health Care Providers &amp; Servic</v>
          </cell>
          <cell r="S1556" t="str">
            <v>CCRN</v>
          </cell>
        </row>
        <row r="1557">
          <cell r="L1557" t="str">
            <v>DAKT</v>
          </cell>
          <cell r="M1557" t="str">
            <v>DAKTRONICS-INC-9003/</v>
          </cell>
          <cell r="N1557" t="str">
            <v>DAKT</v>
          </cell>
          <cell r="O1557" t="str">
            <v>DAKTRONICS INC</v>
          </cell>
          <cell r="P1557" t="str">
            <v>NASDAQ GS</v>
          </cell>
          <cell r="Q1557" t="str">
            <v>Information Technology</v>
          </cell>
          <cell r="R1557" t="str">
            <v>Electronic Equipment, Instrume</v>
          </cell>
          <cell r="S1557" t="str">
            <v>DAKT</v>
          </cell>
        </row>
        <row r="1558">
          <cell r="L1558" t="str">
            <v>FIZZ</v>
          </cell>
          <cell r="M1558" t="str">
            <v>NATIONAL-BEVERAGE-CORP-52881/</v>
          </cell>
          <cell r="N1558" t="str">
            <v>FIZZ</v>
          </cell>
          <cell r="O1558" t="str">
            <v>NATL BEVERAGE</v>
          </cell>
          <cell r="P1558" t="str">
            <v>NASDAQ GS</v>
          </cell>
          <cell r="Q1558" t="str">
            <v>Consumer Staples</v>
          </cell>
          <cell r="R1558" t="str">
            <v>Beverages</v>
          </cell>
          <cell r="S1558" t="str">
            <v>FIZZ</v>
          </cell>
        </row>
        <row r="1559">
          <cell r="L1559" t="str">
            <v>LPLA</v>
          </cell>
          <cell r="M1559" t="str">
            <v>LPL-FINANCIAL-HOLDINGS-IN-12230347/</v>
          </cell>
          <cell r="N1559" t="str">
            <v>LPLA</v>
          </cell>
          <cell r="O1559" t="str">
            <v>LPL FINANCIAL HO</v>
          </cell>
          <cell r="P1559" t="str">
            <v>NASDAQ GS</v>
          </cell>
          <cell r="Q1559" t="str">
            <v>Financials</v>
          </cell>
          <cell r="R1559" t="str">
            <v>Capital Markets</v>
          </cell>
          <cell r="S1559" t="str">
            <v>LPLA</v>
          </cell>
        </row>
        <row r="1560">
          <cell r="L1560" t="str">
            <v>HD</v>
          </cell>
          <cell r="M1560" t="str">
            <v>HOME-DEPOT-THE-4826/</v>
          </cell>
          <cell r="N1560" t="str">
            <v>HD</v>
          </cell>
          <cell r="O1560" t="str">
            <v>HOME DEPOT INC</v>
          </cell>
          <cell r="P1560" t="str">
            <v>New York</v>
          </cell>
          <cell r="Q1560" t="str">
            <v>Consumer Discretionary</v>
          </cell>
          <cell r="R1560" t="str">
            <v>Specialty Retail</v>
          </cell>
          <cell r="S1560" t="str">
            <v>HD</v>
          </cell>
        </row>
        <row r="1561">
          <cell r="L1561" t="str">
            <v>CVX</v>
          </cell>
          <cell r="M1561" t="str">
            <v>CHEVRON-CORPORATION-12064/</v>
          </cell>
          <cell r="N1561" t="str">
            <v>CVX</v>
          </cell>
          <cell r="O1561" t="str">
            <v>CHEVRON CORP</v>
          </cell>
          <cell r="P1561" t="str">
            <v>New York</v>
          </cell>
          <cell r="Q1561" t="str">
            <v>Energy</v>
          </cell>
          <cell r="R1561" t="str">
            <v>Oil, Gas &amp; Consumable Fuels</v>
          </cell>
          <cell r="S1561" t="str">
            <v>CVX</v>
          </cell>
        </row>
        <row r="1562">
          <cell r="L1562" t="str">
            <v>VZ</v>
          </cell>
          <cell r="M1562" t="str">
            <v>VERIZON-COMMUNICATIONS-4830/</v>
          </cell>
          <cell r="N1562" t="str">
            <v>VZ</v>
          </cell>
          <cell r="O1562" t="str">
            <v>VERIZON COMMUNIC</v>
          </cell>
          <cell r="P1562" t="str">
            <v>New York</v>
          </cell>
          <cell r="Q1562" t="str">
            <v>Telecommunication Services</v>
          </cell>
          <cell r="R1562" t="str">
            <v>Diversified Telecommunication</v>
          </cell>
          <cell r="S1562" t="str">
            <v>VZ</v>
          </cell>
        </row>
        <row r="1563">
          <cell r="L1563" t="str">
            <v>MA</v>
          </cell>
          <cell r="M1563" t="str">
            <v>MASTERCARD-17163/</v>
          </cell>
          <cell r="N1563" t="str">
            <v>MA</v>
          </cell>
          <cell r="O1563" t="str">
            <v>MASTERCARD INC-A</v>
          </cell>
          <cell r="P1563" t="str">
            <v>New York</v>
          </cell>
          <cell r="Q1563" t="str">
            <v>Information Technology</v>
          </cell>
          <cell r="R1563" t="str">
            <v>IT Services</v>
          </cell>
          <cell r="S1563" t="str">
            <v>MA</v>
          </cell>
        </row>
        <row r="1564">
          <cell r="L1564" t="str">
            <v>PG</v>
          </cell>
          <cell r="M1564" t="str">
            <v>PROCTER-GAMBLE-COMPANY-4838/</v>
          </cell>
          <cell r="N1564" t="str">
            <v>PG</v>
          </cell>
          <cell r="O1564" t="str">
            <v>PROCTER &amp; GAMBLE</v>
          </cell>
          <cell r="P1564" t="str">
            <v>New York</v>
          </cell>
          <cell r="Q1564" t="str">
            <v>Consumer Staples</v>
          </cell>
          <cell r="R1564" t="str">
            <v>Household Products</v>
          </cell>
          <cell r="S1564" t="str">
            <v>PG</v>
          </cell>
        </row>
        <row r="1565">
          <cell r="L1565" t="str">
            <v>BA</v>
          </cell>
          <cell r="M1565" t="str">
            <v>BOEING-COMPANY-THE-4816/</v>
          </cell>
          <cell r="N1565" t="str">
            <v>BA</v>
          </cell>
          <cell r="O1565" t="str">
            <v>BOEING CO/THE</v>
          </cell>
          <cell r="P1565" t="str">
            <v>New York</v>
          </cell>
          <cell r="Q1565" t="str">
            <v>Industrials</v>
          </cell>
          <cell r="R1565" t="str">
            <v>Aerospace &amp; Defense</v>
          </cell>
          <cell r="S1565" t="str">
            <v>BA</v>
          </cell>
        </row>
        <row r="1566">
          <cell r="L1566" t="str">
            <v>ORCL</v>
          </cell>
          <cell r="M1566" t="str">
            <v>ORACLE-CORPORATION-13620698/</v>
          </cell>
          <cell r="N1566" t="str">
            <v>ORCL</v>
          </cell>
          <cell r="O1566" t="str">
            <v>ORACLE CORP</v>
          </cell>
          <cell r="P1566" t="str">
            <v>New York</v>
          </cell>
          <cell r="Q1566" t="str">
            <v>Information Technology</v>
          </cell>
          <cell r="R1566" t="str">
            <v>Software</v>
          </cell>
          <cell r="S1566" t="str">
            <v>ORCL</v>
          </cell>
        </row>
        <row r="1567">
          <cell r="L1567" t="str">
            <v>KO</v>
          </cell>
          <cell r="M1567" t="str">
            <v>COCA-COLA-COMPANY-THE-4819/</v>
          </cell>
          <cell r="N1567" t="str">
            <v>KO</v>
          </cell>
          <cell r="O1567" t="str">
            <v>COCA-COLA CO/THE</v>
          </cell>
          <cell r="P1567" t="str">
            <v>New York</v>
          </cell>
          <cell r="Q1567" t="str">
            <v>Consumer Staples</v>
          </cell>
          <cell r="R1567" t="str">
            <v>Beverages</v>
          </cell>
          <cell r="S1567" t="str">
            <v>KO</v>
          </cell>
        </row>
        <row r="1568">
          <cell r="L1568" t="str">
            <v>MRK</v>
          </cell>
          <cell r="M1568" t="str">
            <v>MERCK-AND-COMPANY-13611/</v>
          </cell>
          <cell r="N1568" t="str">
            <v>MRK</v>
          </cell>
          <cell r="O1568" t="str">
            <v>MERCK &amp; CO</v>
          </cell>
          <cell r="P1568" t="str">
            <v>New York</v>
          </cell>
          <cell r="Q1568" t="str">
            <v>Health Care</v>
          </cell>
          <cell r="R1568" t="str">
            <v>Pharmaceuticals</v>
          </cell>
          <cell r="S1568" t="str">
            <v>MRK</v>
          </cell>
        </row>
        <row r="1569">
          <cell r="L1569" t="str">
            <v>C</v>
          </cell>
          <cell r="M1569" t="str">
            <v>CITIGROUP-4818/</v>
          </cell>
          <cell r="N1569" t="str">
            <v>C</v>
          </cell>
          <cell r="O1569" t="str">
            <v>CITIGROUP INC</v>
          </cell>
          <cell r="P1569" t="str">
            <v>New York</v>
          </cell>
          <cell r="Q1569" t="str">
            <v>Financials</v>
          </cell>
          <cell r="R1569" t="str">
            <v>Banks</v>
          </cell>
          <cell r="S1569" t="str">
            <v>C</v>
          </cell>
        </row>
        <row r="1570">
          <cell r="L1570" t="str">
            <v>DIS</v>
          </cell>
          <cell r="M1570" t="str">
            <v>WALT-DISNEY-COMPANY-THE-4842/</v>
          </cell>
          <cell r="N1570" t="str">
            <v>DIS</v>
          </cell>
          <cell r="O1570" t="str">
            <v>WALT DISNEY CO</v>
          </cell>
          <cell r="P1570" t="str">
            <v>New York</v>
          </cell>
          <cell r="Q1570" t="str">
            <v>Consumer Discretionary</v>
          </cell>
          <cell r="R1570" t="str">
            <v>Media</v>
          </cell>
          <cell r="S1570" t="str">
            <v>DIS</v>
          </cell>
        </row>
        <row r="1571">
          <cell r="L1571" t="str">
            <v>DWDP</v>
          </cell>
          <cell r="M1571" t="str">
            <v>DOWDUPONT-37717199/</v>
          </cell>
          <cell r="N1571" t="str">
            <v>DWDP</v>
          </cell>
          <cell r="O1571" t="str">
            <v>DOWDUPONT INC</v>
          </cell>
          <cell r="P1571" t="str">
            <v>New York</v>
          </cell>
          <cell r="Q1571" t="str">
            <v>Materials</v>
          </cell>
          <cell r="R1571" t="str">
            <v>Chemicals</v>
          </cell>
          <cell r="S1571" t="str">
            <v>DWDP</v>
          </cell>
        </row>
        <row r="1572">
          <cell r="L1572" t="str">
            <v>ABBV</v>
          </cell>
          <cell r="M1572" t="str">
            <v>ABBVIE-12136589/</v>
          </cell>
          <cell r="N1572" t="str">
            <v>ABBV</v>
          </cell>
          <cell r="O1572" t="str">
            <v>ABBVIE INC</v>
          </cell>
          <cell r="P1572" t="str">
            <v>New York</v>
          </cell>
          <cell r="Q1572" t="str">
            <v>Health Care</v>
          </cell>
          <cell r="R1572" t="str">
            <v>Biotechnology</v>
          </cell>
          <cell r="S1572" t="str">
            <v>ABBV</v>
          </cell>
        </row>
        <row r="1573">
          <cell r="L1573" t="str">
            <v>IBM</v>
          </cell>
          <cell r="M1573" t="str">
            <v>INTERNATIONAL-BUSINESS-MA-4828/</v>
          </cell>
          <cell r="N1573" t="str">
            <v>IBM</v>
          </cell>
          <cell r="O1573" t="str">
            <v>IBM</v>
          </cell>
          <cell r="P1573" t="str">
            <v>New York</v>
          </cell>
          <cell r="Q1573" t="str">
            <v>Information Technology</v>
          </cell>
          <cell r="R1573" t="str">
            <v>IT Services</v>
          </cell>
          <cell r="S1573" t="str">
            <v>IBM</v>
          </cell>
        </row>
        <row r="1574">
          <cell r="L1574" t="str">
            <v>NKE</v>
          </cell>
          <cell r="M1574" t="str">
            <v>NIKE-13739/</v>
          </cell>
          <cell r="N1574" t="str">
            <v>NKE</v>
          </cell>
          <cell r="O1574" t="str">
            <v>NIKE INC -CL B</v>
          </cell>
          <cell r="P1574" t="str">
            <v>New York</v>
          </cell>
          <cell r="Q1574" t="str">
            <v>Consumer Discretionary</v>
          </cell>
          <cell r="R1574" t="str">
            <v>Textiles, Apparel &amp; Luxury Goo</v>
          </cell>
          <cell r="S1574" t="str">
            <v>NKE</v>
          </cell>
        </row>
        <row r="1575">
          <cell r="L1575" t="str">
            <v>MDT</v>
          </cell>
          <cell r="M1575" t="str">
            <v>MEDTRONIC-PLC-20661655/</v>
          </cell>
          <cell r="N1575" t="str">
            <v>MDT</v>
          </cell>
          <cell r="O1575" t="str">
            <v>MEDTRONIC PLC</v>
          </cell>
          <cell r="P1575" t="str">
            <v>New York</v>
          </cell>
          <cell r="Q1575" t="str">
            <v>Health Care</v>
          </cell>
          <cell r="R1575" t="str">
            <v>Health Care Equipment &amp; Suppli</v>
          </cell>
          <cell r="S1575" t="str">
            <v>MDT</v>
          </cell>
        </row>
        <row r="1576">
          <cell r="L1576" t="str">
            <v>MCD</v>
          </cell>
          <cell r="M1576" t="str">
            <v>MCDONALD-S-CORPORATION-4833/</v>
          </cell>
          <cell r="N1576" t="str">
            <v>MCD</v>
          </cell>
          <cell r="O1576" t="str">
            <v>MCDONALDS CORP</v>
          </cell>
          <cell r="P1576" t="str">
            <v>New York</v>
          </cell>
          <cell r="Q1576" t="str">
            <v>Consumer Discretionary</v>
          </cell>
          <cell r="R1576" t="str">
            <v>Hotels, Restaurants &amp; Leisure</v>
          </cell>
          <cell r="S1576" t="str">
            <v>MCD</v>
          </cell>
        </row>
        <row r="1577">
          <cell r="L1577" t="str">
            <v>MMM</v>
          </cell>
          <cell r="M1577" t="str">
            <v>3M-COMPANY-4836/</v>
          </cell>
          <cell r="N1577" t="str">
            <v>MMM</v>
          </cell>
          <cell r="O1577" t="str">
            <v>3M CO</v>
          </cell>
          <cell r="P1577" t="str">
            <v>New York</v>
          </cell>
          <cell r="Q1577" t="str">
            <v>Industrials</v>
          </cell>
          <cell r="R1577" t="str">
            <v>Industrial Conglomerates</v>
          </cell>
          <cell r="S1577" t="str">
            <v>MMM</v>
          </cell>
        </row>
        <row r="1578">
          <cell r="L1578" t="str">
            <v>PM</v>
          </cell>
          <cell r="M1578" t="str">
            <v>PHILIP-MORRIS-INTERNATION-2836703/</v>
          </cell>
          <cell r="N1578" t="str">
            <v>PM</v>
          </cell>
          <cell r="O1578" t="str">
            <v>PHILIP MORRIS IN</v>
          </cell>
          <cell r="P1578" t="str">
            <v>New York</v>
          </cell>
          <cell r="Q1578" t="str">
            <v>Consumer Staples</v>
          </cell>
          <cell r="R1578" t="str">
            <v>Tobacco</v>
          </cell>
          <cell r="S1578" t="str">
            <v>PM</v>
          </cell>
        </row>
        <row r="1579">
          <cell r="L1579" t="str">
            <v>HON</v>
          </cell>
          <cell r="M1579" t="str">
            <v>HONEYWELL-INTERNATIONAL-4827/</v>
          </cell>
          <cell r="N1579" t="str">
            <v>HON</v>
          </cell>
          <cell r="O1579" t="str">
            <v>HONEYWELL INTL</v>
          </cell>
          <cell r="P1579" t="str">
            <v>New York</v>
          </cell>
          <cell r="Q1579" t="str">
            <v>Industrials</v>
          </cell>
          <cell r="R1579" t="str">
            <v>Industrial Conglomerates</v>
          </cell>
          <cell r="S1579" t="str">
            <v>HON</v>
          </cell>
        </row>
        <row r="1580">
          <cell r="L1580" t="str">
            <v>ABT</v>
          </cell>
          <cell r="M1580" t="str">
            <v>ABBOTT-LABORATORIES-11506/</v>
          </cell>
          <cell r="N1580" t="str">
            <v>ABT</v>
          </cell>
          <cell r="O1580" t="str">
            <v>ABBOTT LABS</v>
          </cell>
          <cell r="P1580" t="str">
            <v>New York</v>
          </cell>
          <cell r="Q1580" t="str">
            <v>Health Care</v>
          </cell>
          <cell r="R1580" t="str">
            <v>Health Care Equipment &amp; Suppli</v>
          </cell>
          <cell r="S1580" t="str">
            <v>ABT</v>
          </cell>
        </row>
        <row r="1581">
          <cell r="L1581" t="str">
            <v>ACN</v>
          </cell>
          <cell r="M1581" t="str">
            <v>ACCENTURE-11521/</v>
          </cell>
          <cell r="N1581" t="str">
            <v>ACN</v>
          </cell>
          <cell r="O1581" t="str">
            <v>ACCENTURE PLC-A</v>
          </cell>
          <cell r="P1581" t="str">
            <v>New York</v>
          </cell>
          <cell r="Q1581" t="str">
            <v>Information Technology</v>
          </cell>
          <cell r="R1581" t="str">
            <v>IT Services</v>
          </cell>
          <cell r="S1581" t="str">
            <v>ACN</v>
          </cell>
        </row>
        <row r="1582">
          <cell r="L1582" t="str">
            <v>LLY</v>
          </cell>
          <cell r="M1582" t="str">
            <v>ELI-LILLY-AND-COMPANY-13401/</v>
          </cell>
          <cell r="N1582" t="str">
            <v>LLY</v>
          </cell>
          <cell r="O1582" t="str">
            <v>ELI LILLY &amp; CO</v>
          </cell>
          <cell r="P1582" t="str">
            <v>New York</v>
          </cell>
          <cell r="Q1582" t="str">
            <v>Health Care</v>
          </cell>
          <cell r="R1582" t="str">
            <v>Pharmaceuticals</v>
          </cell>
          <cell r="S1582" t="str">
            <v>LLY</v>
          </cell>
        </row>
        <row r="1583">
          <cell r="L1583" t="str">
            <v>ABBV</v>
          </cell>
          <cell r="M1583" t="str">
            <v>ABBVIE-12136589/</v>
          </cell>
          <cell r="N1583" t="str">
            <v>ABBV</v>
          </cell>
          <cell r="O1583" t="str">
            <v>ABBVIE INC</v>
          </cell>
          <cell r="P1583" t="str">
            <v>New York</v>
          </cell>
          <cell r="Q1583" t="str">
            <v>Health Care</v>
          </cell>
          <cell r="R1583" t="str">
            <v>Biotechnology</v>
          </cell>
          <cell r="S1583" t="str">
            <v>ABBV</v>
          </cell>
        </row>
        <row r="1584">
          <cell r="L1584" t="str">
            <v>IBM</v>
          </cell>
          <cell r="M1584" t="str">
            <v>INTERNATIONAL-BUSINESS-MA-4828/</v>
          </cell>
          <cell r="N1584" t="str">
            <v>IBM</v>
          </cell>
          <cell r="O1584" t="str">
            <v>IBM</v>
          </cell>
          <cell r="P1584" t="str">
            <v>New York</v>
          </cell>
          <cell r="Q1584" t="str">
            <v>Information Technology</v>
          </cell>
          <cell r="R1584" t="str">
            <v>IT Services</v>
          </cell>
          <cell r="S1584" t="str">
            <v>IBM</v>
          </cell>
        </row>
        <row r="1585">
          <cell r="L1585" t="str">
            <v>NKE</v>
          </cell>
          <cell r="M1585" t="str">
            <v>NIKE-13739/</v>
          </cell>
          <cell r="N1585" t="str">
            <v>NKE</v>
          </cell>
          <cell r="O1585" t="str">
            <v>NIKE INC -CL B</v>
          </cell>
          <cell r="P1585" t="str">
            <v>New York</v>
          </cell>
          <cell r="Q1585" t="str">
            <v>Consumer Discretionary</v>
          </cell>
          <cell r="R1585" t="str">
            <v>Textiles, Apparel &amp; Luxury Goo</v>
          </cell>
          <cell r="S1585" t="str">
            <v>NKE</v>
          </cell>
        </row>
        <row r="1586">
          <cell r="L1586" t="str">
            <v>MDT</v>
          </cell>
          <cell r="M1586" t="str">
            <v>MEDTRONIC-PLC-20661655/</v>
          </cell>
          <cell r="N1586" t="str">
            <v>MDT</v>
          </cell>
          <cell r="O1586" t="str">
            <v>MEDTRONIC PLC</v>
          </cell>
          <cell r="P1586" t="str">
            <v>New York</v>
          </cell>
          <cell r="Q1586" t="str">
            <v>Health Care</v>
          </cell>
          <cell r="R1586" t="str">
            <v>Health Care Equipment &amp; Suppli</v>
          </cell>
          <cell r="S1586" t="str">
            <v>MDT</v>
          </cell>
        </row>
        <row r="1587">
          <cell r="L1587" t="str">
            <v>MCD</v>
          </cell>
          <cell r="M1587" t="str">
            <v>MCDONALD-S-CORPORATION-4833/</v>
          </cell>
          <cell r="N1587" t="str">
            <v>MCD</v>
          </cell>
          <cell r="O1587" t="str">
            <v>MCDONALDS CORP</v>
          </cell>
          <cell r="P1587" t="str">
            <v>New York</v>
          </cell>
          <cell r="Q1587" t="str">
            <v>Consumer Discretionary</v>
          </cell>
          <cell r="R1587" t="str">
            <v>Hotels, Restaurants &amp; Leisure</v>
          </cell>
          <cell r="S1587" t="str">
            <v>MCD</v>
          </cell>
        </row>
        <row r="1588">
          <cell r="L1588" t="str">
            <v>MMM</v>
          </cell>
          <cell r="M1588" t="str">
            <v>3M-COMPANY-4836/</v>
          </cell>
          <cell r="N1588" t="str">
            <v>MMM</v>
          </cell>
          <cell r="O1588" t="str">
            <v>3M CO</v>
          </cell>
          <cell r="P1588" t="str">
            <v>New York</v>
          </cell>
          <cell r="Q1588" t="str">
            <v>Industrials</v>
          </cell>
          <cell r="R1588" t="str">
            <v>Industrial Conglomerates</v>
          </cell>
          <cell r="S1588" t="str">
            <v>MMM</v>
          </cell>
        </row>
        <row r="1589">
          <cell r="L1589" t="str">
            <v>PM</v>
          </cell>
          <cell r="M1589" t="str">
            <v>PHILIP-MORRIS-INTERNATION-2836703/</v>
          </cell>
          <cell r="N1589" t="str">
            <v>PM</v>
          </cell>
          <cell r="O1589" t="str">
            <v>PHILIP MORRIS IN</v>
          </cell>
          <cell r="P1589" t="str">
            <v>New York</v>
          </cell>
          <cell r="Q1589" t="str">
            <v>Consumer Staples</v>
          </cell>
          <cell r="R1589" t="str">
            <v>Tobacco</v>
          </cell>
          <cell r="S1589" t="str">
            <v>PM</v>
          </cell>
        </row>
        <row r="1590">
          <cell r="L1590" t="str">
            <v>HON</v>
          </cell>
          <cell r="M1590" t="str">
            <v>HONEYWELL-INTERNATIONAL-4827/</v>
          </cell>
          <cell r="N1590" t="str">
            <v>HON</v>
          </cell>
          <cell r="O1590" t="str">
            <v>HONEYWELL INTL</v>
          </cell>
          <cell r="P1590" t="str">
            <v>New York</v>
          </cell>
          <cell r="Q1590" t="str">
            <v>Industrials</v>
          </cell>
          <cell r="R1590" t="str">
            <v>Industrial Conglomerates</v>
          </cell>
          <cell r="S1590" t="str">
            <v>HON</v>
          </cell>
        </row>
        <row r="1591">
          <cell r="L1591" t="str">
            <v>ABT</v>
          </cell>
          <cell r="M1591" t="str">
            <v>ABBOTT-LABORATORIES-11506/</v>
          </cell>
          <cell r="N1591" t="str">
            <v>ABT</v>
          </cell>
          <cell r="O1591" t="str">
            <v>ABBOTT LABS</v>
          </cell>
          <cell r="P1591" t="str">
            <v>New York</v>
          </cell>
          <cell r="Q1591" t="str">
            <v>Health Care</v>
          </cell>
          <cell r="R1591" t="str">
            <v>Health Care Equipment &amp; Suppli</v>
          </cell>
          <cell r="S1591" t="str">
            <v>ABT</v>
          </cell>
        </row>
        <row r="1592">
          <cell r="L1592" t="str">
            <v>ACN</v>
          </cell>
          <cell r="M1592" t="str">
            <v>ACCENTURE-11521/</v>
          </cell>
          <cell r="N1592" t="str">
            <v>ACN</v>
          </cell>
          <cell r="O1592" t="str">
            <v>ACCENTURE PLC-A</v>
          </cell>
          <cell r="P1592" t="str">
            <v>New York</v>
          </cell>
          <cell r="Q1592" t="str">
            <v>Information Technology</v>
          </cell>
          <cell r="R1592" t="str">
            <v>IT Services</v>
          </cell>
          <cell r="S1592" t="str">
            <v>ACN</v>
          </cell>
        </row>
        <row r="1593">
          <cell r="L1593" t="str">
            <v>LLY</v>
          </cell>
          <cell r="M1593" t="str">
            <v>ELI-LILLY-AND-COMPANY-13401/</v>
          </cell>
          <cell r="N1593" t="str">
            <v>LLY</v>
          </cell>
          <cell r="O1593" t="str">
            <v>ELI LILLY &amp; CO</v>
          </cell>
          <cell r="P1593" t="str">
            <v>New York</v>
          </cell>
          <cell r="Q1593" t="str">
            <v>Health Care</v>
          </cell>
          <cell r="R1593" t="str">
            <v>Pharmaceuticals</v>
          </cell>
          <cell r="S1593" t="str">
            <v>LLY</v>
          </cell>
        </row>
        <row r="1594">
          <cell r="L1594" t="str">
            <v>T</v>
          </cell>
          <cell r="M1594" t="str">
            <v>AT-T-14324/</v>
          </cell>
          <cell r="N1594" t="str">
            <v>T</v>
          </cell>
          <cell r="O1594" t="str">
            <v>AT&amp;T INC</v>
          </cell>
          <cell r="P1594" t="str">
            <v>New York</v>
          </cell>
          <cell r="Q1594" t="str">
            <v>Telecommunication Services</v>
          </cell>
          <cell r="R1594" t="str">
            <v>Diversified Telecommunication</v>
          </cell>
          <cell r="S1594" t="str">
            <v>T</v>
          </cell>
        </row>
        <row r="1595">
          <cell r="L1595" t="str">
            <v>DIS</v>
          </cell>
          <cell r="M1595" t="str">
            <v>WALT-DISNEY-COMPANY-THE-4842/</v>
          </cell>
          <cell r="N1595" t="str">
            <v>DIS</v>
          </cell>
          <cell r="O1595" t="str">
            <v>WALT DISNEY CO</v>
          </cell>
          <cell r="P1595" t="str">
            <v>New York</v>
          </cell>
          <cell r="Q1595" t="str">
            <v>Consumer Discretionary</v>
          </cell>
          <cell r="R1595" t="str">
            <v>Media</v>
          </cell>
          <cell r="S1595" t="str">
            <v>DIS</v>
          </cell>
        </row>
        <row r="1596">
          <cell r="L1596" t="str">
            <v>DWDP</v>
          </cell>
          <cell r="M1596" t="str">
            <v>DOWDUPONT-37717199/</v>
          </cell>
          <cell r="N1596" t="str">
            <v>DWDP</v>
          </cell>
          <cell r="O1596" t="str">
            <v>DOWDUPONT INC</v>
          </cell>
          <cell r="P1596" t="str">
            <v>New York</v>
          </cell>
          <cell r="Q1596" t="str">
            <v>Materials</v>
          </cell>
          <cell r="R1596" t="str">
            <v>Chemicals</v>
          </cell>
          <cell r="S1596" t="str">
            <v>DWDP</v>
          </cell>
        </row>
        <row r="1597">
          <cell r="L1597" t="str">
            <v>BRK/B</v>
          </cell>
          <cell r="M1597" t="str">
            <v>BERKSHIRE-HATHAWAY-INC-11916/</v>
          </cell>
          <cell r="N1597" t="str">
            <v>BRK/B</v>
          </cell>
          <cell r="O1597" t="str">
            <v>BERKSHIRE HATH-B</v>
          </cell>
          <cell r="P1597" t="str">
            <v>New York</v>
          </cell>
          <cell r="Q1597" t="str">
            <v>Financials</v>
          </cell>
          <cell r="R1597" t="str">
            <v>Diversified Financial Services</v>
          </cell>
          <cell r="S1597" t="str">
            <v>BRK/B</v>
          </cell>
        </row>
        <row r="1598">
          <cell r="L1598" t="str">
            <v>JPM</v>
          </cell>
          <cell r="M1598" t="str">
            <v>JP-MORGAN-CHASE-COMPANY-37468997/</v>
          </cell>
          <cell r="N1598" t="str">
            <v>JPM</v>
          </cell>
          <cell r="O1598" t="str">
            <v>JPMORGAN CHASE</v>
          </cell>
          <cell r="P1598" t="str">
            <v>New York</v>
          </cell>
          <cell r="Q1598" t="str">
            <v>Financials</v>
          </cell>
          <cell r="R1598" t="str">
            <v>Banks</v>
          </cell>
          <cell r="S1598" t="str">
            <v>JPM</v>
          </cell>
        </row>
        <row r="1599">
          <cell r="L1599" t="str">
            <v>JNJ</v>
          </cell>
          <cell r="M1599" t="str">
            <v>JOHNSON-JOHNSON-4832/</v>
          </cell>
          <cell r="N1599" t="str">
            <v>JNJ</v>
          </cell>
          <cell r="O1599" t="str">
            <v>JOHNSON&amp;JOHNSON</v>
          </cell>
          <cell r="P1599" t="str">
            <v>New York</v>
          </cell>
          <cell r="Q1599" t="str">
            <v>Health Care</v>
          </cell>
          <cell r="R1599" t="str">
            <v>Pharmaceuticals</v>
          </cell>
          <cell r="S1599" t="str">
            <v>JNJ</v>
          </cell>
        </row>
        <row r="1600">
          <cell r="L1600" t="str">
            <v>XOM</v>
          </cell>
          <cell r="M1600" t="str">
            <v>EXXON-MOBIL-CORPORATION-4822/</v>
          </cell>
          <cell r="N1600" t="str">
            <v>XOM</v>
          </cell>
          <cell r="O1600" t="str">
            <v>EXXON MOBIL CORP</v>
          </cell>
          <cell r="P1600" t="str">
            <v>New York</v>
          </cell>
          <cell r="Q1600" t="str">
            <v>Energy</v>
          </cell>
          <cell r="R1600" t="str">
            <v>Oil, Gas &amp; Consumable Fuels</v>
          </cell>
          <cell r="S1600" t="str">
            <v>XOM</v>
          </cell>
        </row>
        <row r="1601">
          <cell r="L1601" t="str">
            <v>V</v>
          </cell>
          <cell r="M1601" t="str">
            <v>VISA-2277468/</v>
          </cell>
          <cell r="N1601" t="str">
            <v>V</v>
          </cell>
          <cell r="O1601" t="str">
            <v>VISA INC-CLASS A</v>
          </cell>
          <cell r="P1601" t="str">
            <v>New York</v>
          </cell>
          <cell r="Q1601" t="str">
            <v>Information Technology</v>
          </cell>
          <cell r="R1601" t="str">
            <v>IT Services</v>
          </cell>
          <cell r="S1601" t="str">
            <v>V</v>
          </cell>
        </row>
        <row r="1602">
          <cell r="L1602" t="str">
            <v>BAC</v>
          </cell>
          <cell r="M1602" t="str">
            <v>BANK-OF-AMERICA-11751/</v>
          </cell>
          <cell r="N1602" t="str">
            <v>BAC</v>
          </cell>
          <cell r="O1602" t="str">
            <v>BANK OF AMERICA</v>
          </cell>
          <cell r="P1602" t="str">
            <v>New York</v>
          </cell>
          <cell r="Q1602" t="str">
            <v>Financials</v>
          </cell>
          <cell r="R1602" t="str">
            <v>Banks</v>
          </cell>
          <cell r="S1602" t="str">
            <v>BAC</v>
          </cell>
        </row>
        <row r="1603">
          <cell r="L1603" t="str">
            <v>WFC</v>
          </cell>
          <cell r="M1603" t="str">
            <v>WELLS-FARGO-14861/</v>
          </cell>
          <cell r="N1603" t="str">
            <v>WFC</v>
          </cell>
          <cell r="O1603" t="str">
            <v>WELLS FARGO &amp; CO</v>
          </cell>
          <cell r="P1603" t="str">
            <v>New York</v>
          </cell>
          <cell r="Q1603" t="str">
            <v>Financials</v>
          </cell>
          <cell r="R1603" t="str">
            <v>Banks</v>
          </cell>
          <cell r="S1603" t="str">
            <v>WFC</v>
          </cell>
        </row>
        <row r="1604">
          <cell r="L1604" t="str">
            <v>WMT</v>
          </cell>
          <cell r="M1604" t="str">
            <v>WAL-MART-STORES-4841/</v>
          </cell>
          <cell r="N1604" t="str">
            <v>WMT</v>
          </cell>
          <cell r="O1604" t="str">
            <v>WALMART INC</v>
          </cell>
          <cell r="P1604" t="str">
            <v>New York</v>
          </cell>
          <cell r="Q1604" t="str">
            <v>Consumer Staples</v>
          </cell>
          <cell r="R1604" t="str">
            <v>Food &amp; Staples Retailing</v>
          </cell>
          <cell r="S1604" t="str">
            <v>WMT</v>
          </cell>
        </row>
        <row r="1605">
          <cell r="L1605" t="str">
            <v>UNH</v>
          </cell>
          <cell r="M1605" t="str">
            <v>UNITEDHEALTH-GROUP-14750/</v>
          </cell>
          <cell r="N1605" t="str">
            <v>UNH</v>
          </cell>
          <cell r="O1605" t="str">
            <v>UNITEDHEALTH GRP</v>
          </cell>
          <cell r="P1605" t="str">
            <v>New York</v>
          </cell>
          <cell r="Q1605" t="str">
            <v>Health Care</v>
          </cell>
          <cell r="R1605" t="str">
            <v>Health Care Providers &amp; Servic</v>
          </cell>
          <cell r="S1605" t="str">
            <v>UNH</v>
          </cell>
        </row>
        <row r="1606">
          <cell r="L1606" t="str">
            <v>PFE</v>
          </cell>
          <cell r="M1606" t="str">
            <v>PFIZER-23365019/</v>
          </cell>
          <cell r="N1606" t="str">
            <v>PFE</v>
          </cell>
          <cell r="O1606" t="str">
            <v>PFIZER INC</v>
          </cell>
          <cell r="P1606" t="str">
            <v>New York</v>
          </cell>
          <cell r="Q1606" t="str">
            <v>Health Care</v>
          </cell>
          <cell r="R1606" t="str">
            <v>Pharmaceuticals</v>
          </cell>
          <cell r="S1606" t="str">
            <v>PFE</v>
          </cell>
        </row>
        <row r="1607">
          <cell r="L1607" t="str">
            <v>HD</v>
          </cell>
          <cell r="M1607" t="str">
            <v>HOME-DEPOT-THE-4826/</v>
          </cell>
          <cell r="N1607" t="str">
            <v>HD</v>
          </cell>
          <cell r="O1607" t="str">
            <v>HOME DEPOT INC</v>
          </cell>
          <cell r="P1607" t="str">
            <v>New York</v>
          </cell>
          <cell r="Q1607" t="str">
            <v>Consumer Discretionary</v>
          </cell>
          <cell r="R1607" t="str">
            <v>Specialty Retail</v>
          </cell>
          <cell r="S1607" t="str">
            <v>HD</v>
          </cell>
        </row>
        <row r="1608">
          <cell r="L1608" t="str">
            <v>T</v>
          </cell>
          <cell r="M1608" t="str">
            <v>AT-T-14324/</v>
          </cell>
          <cell r="N1608" t="str">
            <v>T</v>
          </cell>
          <cell r="O1608" t="str">
            <v>AT&amp;T INC</v>
          </cell>
          <cell r="P1608" t="str">
            <v>New York</v>
          </cell>
          <cell r="Q1608" t="str">
            <v>Telecommunication Services</v>
          </cell>
          <cell r="R1608" t="str">
            <v>Diversified Telecommunication</v>
          </cell>
          <cell r="S1608" t="str">
            <v>T</v>
          </cell>
        </row>
        <row r="1609">
          <cell r="L1609" t="str">
            <v>CVX</v>
          </cell>
          <cell r="M1609" t="str">
            <v>CHEVRON-CORPORATION-12064/</v>
          </cell>
          <cell r="N1609" t="str">
            <v>CVX</v>
          </cell>
          <cell r="O1609" t="str">
            <v>CHEVRON CORP</v>
          </cell>
          <cell r="P1609" t="str">
            <v>New York</v>
          </cell>
          <cell r="Q1609" t="str">
            <v>Energy</v>
          </cell>
          <cell r="R1609" t="str">
            <v>Oil, Gas &amp; Consumable Fuels</v>
          </cell>
          <cell r="S1609" t="str">
            <v>CVX</v>
          </cell>
        </row>
        <row r="1610">
          <cell r="L1610" t="str">
            <v>MA</v>
          </cell>
          <cell r="M1610" t="str">
            <v>MASTERCARD-17163/</v>
          </cell>
          <cell r="N1610" t="str">
            <v>MA</v>
          </cell>
          <cell r="O1610" t="str">
            <v>MASTERCARD INC-A</v>
          </cell>
          <cell r="P1610" t="str">
            <v>New York</v>
          </cell>
          <cell r="Q1610" t="str">
            <v>Information Technology</v>
          </cell>
          <cell r="R1610" t="str">
            <v>IT Services</v>
          </cell>
          <cell r="S1610" t="str">
            <v>MA</v>
          </cell>
        </row>
        <row r="1611">
          <cell r="L1611" t="str">
            <v>VZ</v>
          </cell>
          <cell r="M1611" t="str">
            <v>VERIZON-COMMUNICATIONS-4830/</v>
          </cell>
          <cell r="N1611" t="str">
            <v>VZ</v>
          </cell>
          <cell r="O1611" t="str">
            <v>VERIZON COMMUNIC</v>
          </cell>
          <cell r="P1611" t="str">
            <v>New York</v>
          </cell>
          <cell r="Q1611" t="str">
            <v>Telecommunication Services</v>
          </cell>
          <cell r="R1611" t="str">
            <v>Diversified Telecommunication</v>
          </cell>
          <cell r="S1611" t="str">
            <v>VZ</v>
          </cell>
        </row>
        <row r="1612">
          <cell r="L1612" t="str">
            <v>PG</v>
          </cell>
          <cell r="M1612" t="str">
            <v>PROCTER-GAMBLE-COMPANY-4838/</v>
          </cell>
          <cell r="N1612" t="str">
            <v>PG</v>
          </cell>
          <cell r="O1612" t="str">
            <v>PROCTER &amp; GAMBLE</v>
          </cell>
          <cell r="P1612" t="str">
            <v>New York</v>
          </cell>
          <cell r="Q1612" t="str">
            <v>Consumer Staples</v>
          </cell>
          <cell r="R1612" t="str">
            <v>Household Products</v>
          </cell>
          <cell r="S1612" t="str">
            <v>PG</v>
          </cell>
        </row>
        <row r="1613">
          <cell r="L1613" t="str">
            <v>BA</v>
          </cell>
          <cell r="M1613" t="str">
            <v>BOEING-COMPANY-THE-4816/</v>
          </cell>
          <cell r="N1613" t="str">
            <v>BA</v>
          </cell>
          <cell r="O1613" t="str">
            <v>BOEING CO/THE</v>
          </cell>
          <cell r="P1613" t="str">
            <v>New York</v>
          </cell>
          <cell r="Q1613" t="str">
            <v>Industrials</v>
          </cell>
          <cell r="R1613" t="str">
            <v>Aerospace &amp; Defense</v>
          </cell>
          <cell r="S1613" t="str">
            <v>BA</v>
          </cell>
        </row>
        <row r="1614">
          <cell r="L1614" t="str">
            <v>ORCL</v>
          </cell>
          <cell r="M1614" t="str">
            <v>ORACLE-CORPORATION-13620698/</v>
          </cell>
          <cell r="N1614" t="str">
            <v>ORCL</v>
          </cell>
          <cell r="O1614" t="str">
            <v>ORACLE CORP</v>
          </cell>
          <cell r="P1614" t="str">
            <v>New York</v>
          </cell>
          <cell r="Q1614" t="str">
            <v>Information Technology</v>
          </cell>
          <cell r="R1614" t="str">
            <v>Software</v>
          </cell>
          <cell r="S1614" t="str">
            <v>ORCL</v>
          </cell>
        </row>
        <row r="1615">
          <cell r="L1615" t="str">
            <v>KO</v>
          </cell>
          <cell r="M1615" t="str">
            <v>COCA-COLA-COMPANY-THE-4819/</v>
          </cell>
          <cell r="N1615" t="str">
            <v>KO</v>
          </cell>
          <cell r="O1615" t="str">
            <v>COCA-COLA CO/THE</v>
          </cell>
          <cell r="P1615" t="str">
            <v>New York</v>
          </cell>
          <cell r="Q1615" t="str">
            <v>Consumer Staples</v>
          </cell>
          <cell r="R1615" t="str">
            <v>Beverages</v>
          </cell>
          <cell r="S1615" t="str">
            <v>KO</v>
          </cell>
        </row>
        <row r="1616">
          <cell r="L1616" t="str">
            <v>MRK</v>
          </cell>
          <cell r="M1616" t="str">
            <v>MERCK-AND-COMPANY-13611/</v>
          </cell>
          <cell r="N1616" t="str">
            <v>MRK</v>
          </cell>
          <cell r="O1616" t="str">
            <v>MERCK &amp; CO</v>
          </cell>
          <cell r="P1616" t="str">
            <v>New York</v>
          </cell>
          <cell r="Q1616" t="str">
            <v>Health Care</v>
          </cell>
          <cell r="R1616" t="str">
            <v>Pharmaceuticals</v>
          </cell>
          <cell r="S1616" t="str">
            <v>MRK</v>
          </cell>
        </row>
        <row r="1617">
          <cell r="L1617" t="str">
            <v>C</v>
          </cell>
          <cell r="M1617" t="str">
            <v>CITIGROUP-4818/</v>
          </cell>
          <cell r="N1617" t="str">
            <v>C</v>
          </cell>
          <cell r="O1617" t="str">
            <v>CITIGROUP INC</v>
          </cell>
          <cell r="P1617" t="str">
            <v>New York</v>
          </cell>
          <cell r="Q1617" t="str">
            <v>Financials</v>
          </cell>
          <cell r="R1617" t="str">
            <v>Banks</v>
          </cell>
          <cell r="S1617" t="str">
            <v>C</v>
          </cell>
        </row>
        <row r="1618">
          <cell r="L1618" t="str">
            <v>DIS</v>
          </cell>
          <cell r="M1618" t="str">
            <v>WALT-DISNEY-COMPANY-THE-4842/</v>
          </cell>
          <cell r="N1618" t="str">
            <v>DIS</v>
          </cell>
          <cell r="O1618" t="str">
            <v>WALT DISNEY CO</v>
          </cell>
          <cell r="P1618" t="str">
            <v>New York</v>
          </cell>
          <cell r="Q1618" t="str">
            <v>Consumer Discretionary</v>
          </cell>
          <cell r="R1618" t="str">
            <v>Media</v>
          </cell>
          <cell r="S1618" t="str">
            <v>DIS</v>
          </cell>
        </row>
        <row r="1619">
          <cell r="L1619" t="str">
            <v>DWDP</v>
          </cell>
          <cell r="M1619" t="str">
            <v>DOWDUPONT-37717199/</v>
          </cell>
          <cell r="N1619" t="str">
            <v>DWDP</v>
          </cell>
          <cell r="O1619" t="str">
            <v>DOWDUPONT INC</v>
          </cell>
          <cell r="P1619" t="str">
            <v>New York</v>
          </cell>
          <cell r="Q1619" t="str">
            <v>Materials</v>
          </cell>
          <cell r="R1619" t="str">
            <v>Chemicals</v>
          </cell>
          <cell r="S1619" t="str">
            <v>DWDP</v>
          </cell>
        </row>
        <row r="1620">
          <cell r="L1620" t="str">
            <v>ABBV</v>
          </cell>
          <cell r="M1620" t="str">
            <v>ABBVIE-12136589/</v>
          </cell>
          <cell r="N1620" t="str">
            <v>ABBV</v>
          </cell>
          <cell r="O1620" t="str">
            <v>ABBVIE INC</v>
          </cell>
          <cell r="P1620" t="str">
            <v>New York</v>
          </cell>
          <cell r="Q1620" t="str">
            <v>Health Care</v>
          </cell>
          <cell r="R1620" t="str">
            <v>Biotechnology</v>
          </cell>
          <cell r="S1620" t="str">
            <v>ABBV</v>
          </cell>
        </row>
        <row r="1621">
          <cell r="L1621" t="str">
            <v>ICE</v>
          </cell>
          <cell r="M1621" t="str">
            <v>INTERNATIONAL-BUSINESS-MA-4828/</v>
          </cell>
          <cell r="N1621" t="str">
            <v>ICE</v>
          </cell>
          <cell r="O1621" t="str">
            <v>INTERCONTINENTAL</v>
          </cell>
          <cell r="P1621" t="str">
            <v>New York</v>
          </cell>
          <cell r="Q1621" t="str">
            <v>Financials</v>
          </cell>
          <cell r="R1621" t="str">
            <v>Capital Markets</v>
          </cell>
          <cell r="S1621" t="str">
            <v>ICE</v>
          </cell>
        </row>
        <row r="1622">
          <cell r="L1622" t="str">
            <v>MDT</v>
          </cell>
          <cell r="M1622" t="str">
            <v>MEDTRONIC-PLC-20661655/</v>
          </cell>
          <cell r="N1622" t="str">
            <v>MDT</v>
          </cell>
          <cell r="O1622" t="str">
            <v>MEDTRONIC PLC</v>
          </cell>
          <cell r="P1622" t="str">
            <v>New York</v>
          </cell>
          <cell r="Q1622" t="str">
            <v>Health Care</v>
          </cell>
          <cell r="R1622" t="str">
            <v>Health Care Equipment &amp; Suppli</v>
          </cell>
          <cell r="S1622" t="str">
            <v>MDT</v>
          </cell>
        </row>
        <row r="1623">
          <cell r="L1623" t="str">
            <v>NKE</v>
          </cell>
          <cell r="M1623" t="str">
            <v>NIKE-13739/</v>
          </cell>
          <cell r="N1623" t="str">
            <v>NKE</v>
          </cell>
          <cell r="O1623" t="str">
            <v>NIKE INC -CL B</v>
          </cell>
          <cell r="P1623" t="str">
            <v>New York</v>
          </cell>
          <cell r="Q1623" t="str">
            <v>Consumer Discretionary</v>
          </cell>
          <cell r="R1623" t="str">
            <v>Textiles, Apparel &amp; Luxury Goo</v>
          </cell>
          <cell r="S1623" t="str">
            <v>NKE</v>
          </cell>
        </row>
        <row r="1624">
          <cell r="L1624" t="str">
            <v>MCD</v>
          </cell>
          <cell r="M1624" t="str">
            <v>MCDONALD-S-CORPORATION-4833/</v>
          </cell>
          <cell r="N1624" t="str">
            <v>MCD</v>
          </cell>
          <cell r="O1624" t="str">
            <v>MCDONALDS CORP</v>
          </cell>
          <cell r="P1624" t="str">
            <v>New York</v>
          </cell>
          <cell r="Q1624" t="str">
            <v>Consumer Discretionary</v>
          </cell>
          <cell r="R1624" t="str">
            <v>Hotels, Restaurants &amp; Leisure</v>
          </cell>
          <cell r="S1624" t="str">
            <v>MCD</v>
          </cell>
        </row>
        <row r="1625">
          <cell r="L1625" t="str">
            <v>MMM</v>
          </cell>
          <cell r="M1625" t="str">
            <v>3M-COMPANY-4836/</v>
          </cell>
          <cell r="N1625" t="str">
            <v>MMM</v>
          </cell>
          <cell r="O1625" t="str">
            <v>3M CO</v>
          </cell>
          <cell r="P1625" t="str">
            <v>New York</v>
          </cell>
          <cell r="Q1625" t="str">
            <v>Industrials</v>
          </cell>
          <cell r="R1625" t="str">
            <v>Industrial Conglomerates</v>
          </cell>
          <cell r="S1625" t="str">
            <v>MMM</v>
          </cell>
        </row>
        <row r="1626">
          <cell r="L1626" t="str">
            <v>PM</v>
          </cell>
          <cell r="M1626" t="str">
            <v>PHILIP-MORRIS-INTERNATION-2836703/</v>
          </cell>
          <cell r="N1626" t="str">
            <v>PM</v>
          </cell>
          <cell r="O1626" t="str">
            <v>PHILIP MORRIS IN</v>
          </cell>
          <cell r="P1626" t="str">
            <v>New York</v>
          </cell>
          <cell r="Q1626" t="str">
            <v>Consumer Staples</v>
          </cell>
          <cell r="R1626" t="str">
            <v>Tobacco</v>
          </cell>
          <cell r="S1626" t="str">
            <v>PM</v>
          </cell>
        </row>
        <row r="1627">
          <cell r="L1627" t="str">
            <v>HON</v>
          </cell>
          <cell r="M1627" t="str">
            <v>HONEYWELL-INTERNATIONAL-4827/</v>
          </cell>
          <cell r="N1627" t="str">
            <v>HON</v>
          </cell>
          <cell r="O1627" t="str">
            <v>HONEYWELL INTL</v>
          </cell>
          <cell r="P1627" t="str">
            <v>New York</v>
          </cell>
          <cell r="Q1627" t="str">
            <v>Industrials</v>
          </cell>
          <cell r="R1627" t="str">
            <v>Industrial Conglomerates</v>
          </cell>
          <cell r="S1627" t="str">
            <v>HON</v>
          </cell>
        </row>
        <row r="1628">
          <cell r="L1628" t="str">
            <v>ABT</v>
          </cell>
          <cell r="M1628" t="str">
            <v>ABBOTT-LABORATORIES-11506/</v>
          </cell>
          <cell r="N1628" t="str">
            <v>ABT</v>
          </cell>
          <cell r="O1628" t="str">
            <v>ABBOTT LABS</v>
          </cell>
          <cell r="P1628" t="str">
            <v>New York</v>
          </cell>
          <cell r="Q1628" t="str">
            <v>Health Care</v>
          </cell>
          <cell r="R1628" t="str">
            <v>Health Care Equipment &amp; Suppli</v>
          </cell>
          <cell r="S1628" t="str">
            <v>ABT</v>
          </cell>
        </row>
        <row r="1629">
          <cell r="L1629" t="str">
            <v>CRM</v>
          </cell>
          <cell r="M1629" t="str">
            <v>SALESFORCE-COM-12180/</v>
          </cell>
          <cell r="N1629" t="str">
            <v>CRM</v>
          </cell>
          <cell r="O1629" t="str">
            <v>SALESFORCE.COM</v>
          </cell>
          <cell r="P1629" t="str">
            <v>New York</v>
          </cell>
          <cell r="Q1629" t="str">
            <v>Information Technology</v>
          </cell>
          <cell r="R1629" t="str">
            <v>Software</v>
          </cell>
          <cell r="S1629" t="str">
            <v>CRM</v>
          </cell>
        </row>
        <row r="1630">
          <cell r="L1630" t="str">
            <v>ACN</v>
          </cell>
          <cell r="M1630" t="str">
            <v>ACCENTURE-11521/</v>
          </cell>
          <cell r="N1630" t="str">
            <v>ACN</v>
          </cell>
          <cell r="O1630" t="str">
            <v>ACCENTURE PLC-A</v>
          </cell>
          <cell r="P1630" t="str">
            <v>New York</v>
          </cell>
          <cell r="Q1630" t="str">
            <v>Information Technology</v>
          </cell>
          <cell r="R1630" t="str">
            <v>IT Services</v>
          </cell>
          <cell r="S1630" t="str">
            <v>ACN</v>
          </cell>
        </row>
        <row r="1631">
          <cell r="L1631" t="str">
            <v>LLY</v>
          </cell>
          <cell r="M1631" t="str">
            <v>ELI-LILLY-AND-COMPANY-13401/</v>
          </cell>
          <cell r="N1631" t="str">
            <v>LLY</v>
          </cell>
          <cell r="O1631" t="str">
            <v>ELI LILLY &amp; CO</v>
          </cell>
          <cell r="P1631" t="str">
            <v>New York</v>
          </cell>
          <cell r="Q1631" t="str">
            <v>Health Care</v>
          </cell>
          <cell r="R1631" t="str">
            <v>Pharmaceuticals</v>
          </cell>
          <cell r="S1631" t="str">
            <v>LLY</v>
          </cell>
        </row>
        <row r="1632">
          <cell r="L1632" t="str">
            <v>UNP</v>
          </cell>
          <cell r="M1632" t="str">
            <v>UNION-PACIFIC-14754/</v>
          </cell>
          <cell r="N1632" t="str">
            <v>UNP</v>
          </cell>
          <cell r="O1632" t="str">
            <v>UNION PAC CORP</v>
          </cell>
          <cell r="P1632" t="str">
            <v>New York</v>
          </cell>
          <cell r="Q1632" t="str">
            <v>Industrials</v>
          </cell>
          <cell r="R1632" t="str">
            <v>Road &amp; Rail</v>
          </cell>
          <cell r="S1632" t="str">
            <v>UNP</v>
          </cell>
        </row>
        <row r="1633">
          <cell r="L1633" t="str">
            <v>MO</v>
          </cell>
          <cell r="M1633" t="str">
            <v>ALTRIA-GROUP-4837/</v>
          </cell>
          <cell r="N1633" t="str">
            <v>MO</v>
          </cell>
          <cell r="O1633" t="str">
            <v>ALTRIA GROUP INC</v>
          </cell>
          <cell r="P1633" t="str">
            <v>New York</v>
          </cell>
          <cell r="Q1633" t="str">
            <v>Consumer Staples</v>
          </cell>
          <cell r="R1633" t="str">
            <v>Tobacco</v>
          </cell>
          <cell r="S1633" t="str">
            <v>MO</v>
          </cell>
        </row>
        <row r="1634">
          <cell r="L1634" t="str">
            <v>GE</v>
          </cell>
          <cell r="M1634" t="str">
            <v>GENERAL-ELECTRIC-COMPANY-4823/</v>
          </cell>
          <cell r="N1634" t="str">
            <v>GE</v>
          </cell>
          <cell r="O1634" t="str">
            <v>GENERAL ELECTRIC</v>
          </cell>
          <cell r="P1634" t="str">
            <v>New York</v>
          </cell>
          <cell r="Q1634" t="str">
            <v>Industrials</v>
          </cell>
          <cell r="R1634" t="str">
            <v>Industrial Conglomerates</v>
          </cell>
          <cell r="S1634" t="str">
            <v>GE</v>
          </cell>
        </row>
        <row r="1635">
          <cell r="L1635" t="str">
            <v>UNH</v>
          </cell>
          <cell r="M1635" t="str">
            <v>UNITED-PARCEL-SERVICE-14758/</v>
          </cell>
          <cell r="N1635" t="str">
            <v>UNH</v>
          </cell>
          <cell r="O1635" t="str">
            <v>UNITEDHEALTH GRP</v>
          </cell>
          <cell r="P1635" t="str">
            <v>New York</v>
          </cell>
          <cell r="Q1635" t="str">
            <v>Health Care</v>
          </cell>
          <cell r="R1635" t="str">
            <v>Health Care Providers &amp; Servic</v>
          </cell>
          <cell r="S1635" t="str">
            <v>UNH</v>
          </cell>
        </row>
        <row r="1636">
          <cell r="L1636" t="str">
            <v>UNH</v>
          </cell>
          <cell r="M1636" t="str">
            <v>UNITED-TECHNOLOGIES-CORPO-4840/</v>
          </cell>
          <cell r="N1636" t="str">
            <v>UNH</v>
          </cell>
          <cell r="O1636" t="str">
            <v>UNITEDHEALTH GRP</v>
          </cell>
          <cell r="P1636" t="str">
            <v>New York</v>
          </cell>
          <cell r="Q1636" t="str">
            <v>Health Care</v>
          </cell>
          <cell r="R1636" t="str">
            <v>Health Care Providers &amp; Servic</v>
          </cell>
          <cell r="S1636" t="str">
            <v>UNH</v>
          </cell>
        </row>
        <row r="1637">
          <cell r="L1637" t="str">
            <v>BMY</v>
          </cell>
          <cell r="M1637" t="str">
            <v>BRISTOL-MYERS-SQUIBB-COMP-11877/</v>
          </cell>
          <cell r="N1637" t="str">
            <v>BMY</v>
          </cell>
          <cell r="O1637" t="str">
            <v>BRISTOL-MYER SQB</v>
          </cell>
          <cell r="P1637" t="str">
            <v>New York</v>
          </cell>
          <cell r="Q1637" t="str">
            <v>Health Care</v>
          </cell>
          <cell r="R1637" t="str">
            <v>Pharmaceuticals</v>
          </cell>
          <cell r="S1637" t="str">
            <v>BMY</v>
          </cell>
        </row>
        <row r="1638">
          <cell r="L1638" t="str">
            <v>TMO</v>
          </cell>
          <cell r="M1638" t="str">
            <v>THERMO-FISHER-SCIENTIFIC-14623/</v>
          </cell>
          <cell r="N1638" t="str">
            <v>TMO</v>
          </cell>
          <cell r="O1638" t="str">
            <v>THERMO FISHER</v>
          </cell>
          <cell r="P1638" t="str">
            <v>New York</v>
          </cell>
          <cell r="Q1638" t="str">
            <v>Health Care</v>
          </cell>
          <cell r="R1638" t="str">
            <v>Life Sciences Tools &amp; Services</v>
          </cell>
          <cell r="S1638" t="str">
            <v>TMO</v>
          </cell>
        </row>
        <row r="1639">
          <cell r="L1639" t="str">
            <v>AXP</v>
          </cell>
          <cell r="M1639" t="str">
            <v>AMERICAN-EXPRESS-COMPANY-4814/</v>
          </cell>
          <cell r="N1639" t="str">
            <v>AXP</v>
          </cell>
          <cell r="O1639" t="str">
            <v>AMERICAN EXPRESS</v>
          </cell>
          <cell r="P1639" t="str">
            <v>New York</v>
          </cell>
          <cell r="Q1639" t="str">
            <v>Financials</v>
          </cell>
          <cell r="R1639" t="str">
            <v>Consumer Finance</v>
          </cell>
          <cell r="S1639" t="str">
            <v>AXP</v>
          </cell>
        </row>
        <row r="1640">
          <cell r="L1640" t="str">
            <v>LMT</v>
          </cell>
          <cell r="M1640" t="str">
            <v>LOCKHEED-MARTIN-CORPORATI-13406/</v>
          </cell>
          <cell r="N1640" t="str">
            <v>LMT</v>
          </cell>
          <cell r="O1640" t="str">
            <v>LOCKHEED MARTIN</v>
          </cell>
          <cell r="P1640" t="str">
            <v>New York</v>
          </cell>
          <cell r="Q1640" t="str">
            <v>Industrials</v>
          </cell>
          <cell r="R1640" t="str">
            <v>Aerospace &amp; Defense</v>
          </cell>
          <cell r="S1640" t="str">
            <v>LMT</v>
          </cell>
        </row>
        <row r="1641">
          <cell r="L1641" t="str">
            <v>GS</v>
          </cell>
          <cell r="M1641" t="str">
            <v>GOLDMAN-SACHS-GROUP-12831/</v>
          </cell>
          <cell r="N1641" t="str">
            <v>GS</v>
          </cell>
          <cell r="O1641" t="str">
            <v>GOLDMAN SACHS GP</v>
          </cell>
          <cell r="P1641" t="str">
            <v>New York</v>
          </cell>
          <cell r="Q1641" t="str">
            <v>Financials</v>
          </cell>
          <cell r="R1641" t="str">
            <v>Capital Markets</v>
          </cell>
          <cell r="S1641" t="str">
            <v>GS</v>
          </cell>
        </row>
        <row r="1642">
          <cell r="L1642" t="str">
            <v>LOW</v>
          </cell>
          <cell r="M1642" t="str">
            <v>LOWE-S-COMPANIES-13416/</v>
          </cell>
          <cell r="N1642" t="str">
            <v>LOW</v>
          </cell>
          <cell r="O1642" t="str">
            <v>LOWE'S COS INC</v>
          </cell>
          <cell r="P1642" t="str">
            <v>New York</v>
          </cell>
          <cell r="Q1642" t="str">
            <v>Consumer Discretionary</v>
          </cell>
          <cell r="R1642" t="str">
            <v>Specialty Retail</v>
          </cell>
          <cell r="S1642" t="str">
            <v>LOW</v>
          </cell>
        </row>
        <row r="1643">
          <cell r="L1643" t="str">
            <v>USB</v>
          </cell>
          <cell r="M1643" t="str">
            <v>US-BANCORP-47501/</v>
          </cell>
          <cell r="N1643" t="str">
            <v>USB</v>
          </cell>
          <cell r="O1643" t="str">
            <v>US BANCORP</v>
          </cell>
          <cell r="P1643" t="str">
            <v>New York</v>
          </cell>
          <cell r="Q1643" t="str">
            <v>Financials</v>
          </cell>
          <cell r="R1643" t="str">
            <v>Banks</v>
          </cell>
          <cell r="S1643" t="str">
            <v>USB</v>
          </cell>
        </row>
        <row r="1644">
          <cell r="L1644" t="str">
            <v>SLB</v>
          </cell>
          <cell r="M1644" t="str">
            <v>SCHLUMBERGER-NV-14411/</v>
          </cell>
          <cell r="N1644" t="str">
            <v>SLB</v>
          </cell>
          <cell r="O1644" t="str">
            <v>SCHLUMBERGER LTD</v>
          </cell>
          <cell r="P1644" t="str">
            <v>New York</v>
          </cell>
          <cell r="Q1644" t="str">
            <v>Energy</v>
          </cell>
          <cell r="R1644" t="str">
            <v>Energy Equipment &amp; Services</v>
          </cell>
          <cell r="S1644" t="str">
            <v>SLB</v>
          </cell>
        </row>
        <row r="1645">
          <cell r="L1645" t="str">
            <v>MS</v>
          </cell>
          <cell r="M1645" t="str">
            <v>MORGAN-STANLEY-13654/</v>
          </cell>
          <cell r="N1645" t="str">
            <v>MS</v>
          </cell>
          <cell r="O1645" t="str">
            <v>MORGAN STANLEY</v>
          </cell>
          <cell r="P1645" t="str">
            <v>New York</v>
          </cell>
          <cell r="Q1645" t="str">
            <v>Financials</v>
          </cell>
          <cell r="R1645" t="str">
            <v>Capital Markets</v>
          </cell>
          <cell r="S1645" t="str">
            <v>MS</v>
          </cell>
        </row>
        <row r="1646">
          <cell r="L1646" t="str">
            <v>COP</v>
          </cell>
          <cell r="M1646" t="str">
            <v>CONOCOPHILLIPS-13929/</v>
          </cell>
          <cell r="N1646" t="str">
            <v>COP</v>
          </cell>
          <cell r="O1646" t="str">
            <v>CONOCOPHILLIPS</v>
          </cell>
          <cell r="P1646" t="str">
            <v>New York</v>
          </cell>
          <cell r="Q1646" t="str">
            <v>Energy</v>
          </cell>
          <cell r="R1646" t="str">
            <v>Oil, Gas &amp; Consumable Fuels</v>
          </cell>
          <cell r="S1646" t="str">
            <v>COP</v>
          </cell>
        </row>
        <row r="1647">
          <cell r="L1647" t="str">
            <v>CAT</v>
          </cell>
          <cell r="M1647" t="str">
            <v>CATERPILLAR-4817/</v>
          </cell>
          <cell r="N1647" t="str">
            <v>CAT</v>
          </cell>
          <cell r="O1647" t="str">
            <v>CATERPILLAR INC</v>
          </cell>
          <cell r="P1647" t="str">
            <v>New York</v>
          </cell>
          <cell r="Q1647" t="str">
            <v>Industrials</v>
          </cell>
          <cell r="R1647" t="str">
            <v>Machinery</v>
          </cell>
          <cell r="S1647" t="str">
            <v>CAT</v>
          </cell>
        </row>
        <row r="1648">
          <cell r="L1648" t="str">
            <v>NEE</v>
          </cell>
          <cell r="M1648" t="str">
            <v>NEXTERA-ENERGY-INC-6337180/</v>
          </cell>
          <cell r="N1648" t="str">
            <v>NEE</v>
          </cell>
          <cell r="O1648" t="str">
            <v>NEXTERA ENERGY</v>
          </cell>
          <cell r="P1648" t="str">
            <v>New York</v>
          </cell>
          <cell r="Q1648" t="str">
            <v>Utilities</v>
          </cell>
          <cell r="R1648" t="str">
            <v>Electric Utilities</v>
          </cell>
          <cell r="S1648" t="str">
            <v>NEE</v>
          </cell>
        </row>
        <row r="1649">
          <cell r="L1649" t="str">
            <v>BLK</v>
          </cell>
          <cell r="M1649" t="str">
            <v>BLACKROCK-11862/</v>
          </cell>
          <cell r="N1649" t="str">
            <v>BLK</v>
          </cell>
          <cell r="O1649" t="str">
            <v>BLACKROCK INC</v>
          </cell>
          <cell r="P1649" t="str">
            <v>New York</v>
          </cell>
          <cell r="Q1649" t="str">
            <v>Financials</v>
          </cell>
          <cell r="R1649" t="str">
            <v>Capital Markets</v>
          </cell>
          <cell r="S1649" t="str">
            <v>BLK</v>
          </cell>
        </row>
        <row r="1650">
          <cell r="L1650" t="str">
            <v>CVS</v>
          </cell>
          <cell r="M1650" t="str">
            <v>CVS-HEALTH-CORPORATION-12230/</v>
          </cell>
          <cell r="N1650" t="str">
            <v>CVS</v>
          </cell>
          <cell r="O1650" t="str">
            <v>CVS HEALTH CORP</v>
          </cell>
          <cell r="P1650" t="str">
            <v>New York</v>
          </cell>
          <cell r="Q1650" t="str">
            <v>Health Care</v>
          </cell>
          <cell r="R1650" t="str">
            <v>Health Care Providers &amp; Servic</v>
          </cell>
          <cell r="S1650" t="str">
            <v>CVS</v>
          </cell>
        </row>
        <row r="1651">
          <cell r="L1651" t="str">
            <v>DHR</v>
          </cell>
          <cell r="M1651" t="str">
            <v>DANAHER-CORPORATION-12295/</v>
          </cell>
          <cell r="N1651" t="str">
            <v>DHR</v>
          </cell>
          <cell r="O1651" t="str">
            <v>DANAHER CORP</v>
          </cell>
          <cell r="P1651" t="str">
            <v>New York</v>
          </cell>
          <cell r="Q1651" t="str">
            <v>Health Care</v>
          </cell>
          <cell r="R1651" t="str">
            <v>Health Care Equipment &amp; Suppli</v>
          </cell>
          <cell r="S1651" t="str">
            <v>DHR</v>
          </cell>
        </row>
        <row r="1652">
          <cell r="L1652" t="str">
            <v>BDX</v>
          </cell>
          <cell r="M1652" t="str">
            <v>BECTON-DICKINSON-AND-COM-11801/</v>
          </cell>
          <cell r="N1652" t="str">
            <v>BDX</v>
          </cell>
          <cell r="O1652" t="str">
            <v>BECTON DICKINSON</v>
          </cell>
          <cell r="P1652" t="str">
            <v>New York</v>
          </cell>
          <cell r="Q1652" t="str">
            <v>Health Care</v>
          </cell>
          <cell r="R1652" t="str">
            <v>Health Care Equipment &amp; Suppli</v>
          </cell>
          <cell r="S1652" t="str">
            <v>BDX</v>
          </cell>
        </row>
        <row r="1653">
          <cell r="L1653" t="str">
            <v>TJX</v>
          </cell>
          <cell r="M1653" t="str">
            <v>THE-TJX-COMPANIES-9894794/</v>
          </cell>
          <cell r="N1653" t="str">
            <v>TJX</v>
          </cell>
          <cell r="O1653" t="str">
            <v>TJX COS INC</v>
          </cell>
          <cell r="P1653" t="str">
            <v>New York</v>
          </cell>
          <cell r="Q1653" t="str">
            <v>Consumer Discretionary</v>
          </cell>
          <cell r="R1653" t="str">
            <v>Specialty Retail</v>
          </cell>
          <cell r="S1653" t="str">
            <v>TJX</v>
          </cell>
        </row>
        <row r="1654">
          <cell r="L1654" t="str">
            <v>CRL</v>
          </cell>
          <cell r="M1654" t="str">
            <v>CHARLES-SCHWAB-CORPORATIO-9603993/</v>
          </cell>
          <cell r="N1654" t="str">
            <v>CRL</v>
          </cell>
          <cell r="O1654" t="str">
            <v>CHARLES RIVER LA</v>
          </cell>
          <cell r="P1654" t="str">
            <v>New York</v>
          </cell>
          <cell r="Q1654" t="str">
            <v>Health Care</v>
          </cell>
          <cell r="R1654" t="str">
            <v>Life Sciences Tools &amp; Services</v>
          </cell>
          <cell r="S1654" t="str">
            <v>CRL</v>
          </cell>
        </row>
        <row r="1655">
          <cell r="L1655" t="str">
            <v>ANTM</v>
          </cell>
          <cell r="M1655" t="str">
            <v>ANTHEM-INC-18740543/</v>
          </cell>
          <cell r="N1655" t="str">
            <v>ANTM</v>
          </cell>
          <cell r="O1655" t="str">
            <v>ANTHEM INC</v>
          </cell>
          <cell r="P1655" t="str">
            <v>New York</v>
          </cell>
          <cell r="Q1655" t="str">
            <v>Health Care</v>
          </cell>
          <cell r="R1655" t="str">
            <v>Health Care Providers &amp; Servic</v>
          </cell>
          <cell r="S1655" t="str">
            <v>ANTM</v>
          </cell>
        </row>
        <row r="1656">
          <cell r="L1656" t="str">
            <v>EOG</v>
          </cell>
          <cell r="M1656" t="str">
            <v>EOG-RESOURCES-12468/</v>
          </cell>
          <cell r="N1656" t="str">
            <v>EOG</v>
          </cell>
          <cell r="O1656" t="str">
            <v>EOG RESOURCES</v>
          </cell>
          <cell r="P1656" t="str">
            <v>New York</v>
          </cell>
          <cell r="Q1656" t="str">
            <v>Energy</v>
          </cell>
          <cell r="R1656" t="str">
            <v>Oil, Gas &amp; Consumable Fuels</v>
          </cell>
          <cell r="S1656" t="str">
            <v>EOG</v>
          </cell>
        </row>
        <row r="1657">
          <cell r="L1657" t="str">
            <v>PNC</v>
          </cell>
          <cell r="M1657" t="str">
            <v>PNC-FINANCIAL-SERVICES-GR-14066/</v>
          </cell>
          <cell r="N1657" t="str">
            <v>PNC</v>
          </cell>
          <cell r="O1657" t="str">
            <v>PNC FINANCIAL SE</v>
          </cell>
          <cell r="P1657" t="str">
            <v>New York</v>
          </cell>
          <cell r="Q1657" t="str">
            <v>Financials</v>
          </cell>
          <cell r="R1657" t="str">
            <v>Banks</v>
          </cell>
          <cell r="S1657" t="str">
            <v>PNC</v>
          </cell>
        </row>
        <row r="1658">
          <cell r="L1658" t="str">
            <v>AXP</v>
          </cell>
          <cell r="M1658" t="str">
            <v>AMERICAN-TOWER-CORP-9789139/</v>
          </cell>
          <cell r="N1658" t="str">
            <v>AXP</v>
          </cell>
          <cell r="O1658" t="str">
            <v>AMERICAN EXPRESS</v>
          </cell>
          <cell r="P1658" t="str">
            <v>New York</v>
          </cell>
          <cell r="Q1658" t="str">
            <v>Financials</v>
          </cell>
          <cell r="R1658" t="str">
            <v>Consumer Finance</v>
          </cell>
          <cell r="S1658" t="str">
            <v>AXP</v>
          </cell>
        </row>
        <row r="1659">
          <cell r="L1659" t="str">
            <v>AET</v>
          </cell>
          <cell r="M1659" t="str">
            <v>AETNA-11549/</v>
          </cell>
          <cell r="N1659" t="str">
            <v>AET</v>
          </cell>
          <cell r="O1659" t="str">
            <v>AETNA INC</v>
          </cell>
          <cell r="P1659" t="str">
            <v>New York</v>
          </cell>
          <cell r="Q1659" t="str">
            <v>Health Care</v>
          </cell>
          <cell r="R1659" t="str">
            <v>Health Care Providers &amp; Servic</v>
          </cell>
          <cell r="S1659" t="str">
            <v>AET</v>
          </cell>
        </row>
        <row r="1660">
          <cell r="L1660" t="str">
            <v>AGN</v>
          </cell>
          <cell r="M1660" t="str">
            <v>ALLERGAN-PLC-22497284/</v>
          </cell>
          <cell r="N1660" t="str">
            <v>AGN</v>
          </cell>
          <cell r="O1660" t="str">
            <v>ALLERGAN PLC</v>
          </cell>
          <cell r="P1660" t="str">
            <v>New York</v>
          </cell>
          <cell r="Q1660" t="str">
            <v>Health Care</v>
          </cell>
          <cell r="R1660" t="str">
            <v>Pharmaceuticals</v>
          </cell>
          <cell r="S1660" t="str">
            <v>AGN</v>
          </cell>
        </row>
        <row r="1661">
          <cell r="L1661" t="str">
            <v>FDX</v>
          </cell>
          <cell r="M1661" t="str">
            <v>FEDEX-CORPORATION-12585/</v>
          </cell>
          <cell r="N1661" t="str">
            <v>FDX</v>
          </cell>
          <cell r="O1661" t="str">
            <v>FEDEX CORP</v>
          </cell>
          <cell r="P1661" t="str">
            <v>New York</v>
          </cell>
          <cell r="Q1661" t="str">
            <v>Industrials</v>
          </cell>
          <cell r="R1661" t="str">
            <v>Air Freight &amp; Logistics</v>
          </cell>
          <cell r="S1661" t="str">
            <v>FDX</v>
          </cell>
        </row>
        <row r="1662">
          <cell r="L1662" t="str">
            <v>CB</v>
          </cell>
          <cell r="M1662" t="str">
            <v>CHUBB-LTD-3860961/</v>
          </cell>
          <cell r="N1662" t="str">
            <v>CB</v>
          </cell>
          <cell r="O1662" t="str">
            <v>CHUBB LTD</v>
          </cell>
          <cell r="P1662" t="str">
            <v>New York</v>
          </cell>
          <cell r="Q1662" t="str">
            <v>Financials</v>
          </cell>
          <cell r="R1662" t="str">
            <v>Insurance</v>
          </cell>
          <cell r="S1662" t="str">
            <v>CB</v>
          </cell>
        </row>
        <row r="1663">
          <cell r="L1663" t="str">
            <v>SYK</v>
          </cell>
          <cell r="M1663" t="str">
            <v>STRYKER-CORPORATION-14536/</v>
          </cell>
          <cell r="N1663" t="str">
            <v>SYK</v>
          </cell>
          <cell r="O1663" t="str">
            <v>STRYKER CORP</v>
          </cell>
          <cell r="P1663" t="str">
            <v>New York</v>
          </cell>
          <cell r="Q1663" t="str">
            <v>Health Care</v>
          </cell>
          <cell r="R1663" t="str">
            <v>Health Care Equipment &amp; Suppli</v>
          </cell>
          <cell r="S1663" t="str">
            <v>SYK</v>
          </cell>
        </row>
        <row r="1664">
          <cell r="L1664" t="str">
            <v>OXY</v>
          </cell>
          <cell r="M1664" t="str">
            <v>OCCIDENTAL-PETROLEUM-CORP-13928/</v>
          </cell>
          <cell r="N1664" t="str">
            <v>OXY</v>
          </cell>
          <cell r="O1664" t="str">
            <v>OCCIDENTAL PETE</v>
          </cell>
          <cell r="P1664" t="str">
            <v>New York</v>
          </cell>
          <cell r="Q1664" t="str">
            <v>Energy</v>
          </cell>
          <cell r="R1664" t="str">
            <v>Oil, Gas &amp; Consumable Fuels</v>
          </cell>
          <cell r="S1664" t="str">
            <v>OXY</v>
          </cell>
        </row>
        <row r="1665">
          <cell r="L1665" t="str">
            <v>DUK</v>
          </cell>
          <cell r="M1665" t="str">
            <v>DUKE-ENERGY-CORP-11076385/</v>
          </cell>
          <cell r="N1665" t="str">
            <v>DUK</v>
          </cell>
          <cell r="O1665" t="str">
            <v>DUKE ENERGY CORP</v>
          </cell>
          <cell r="P1665" t="str">
            <v>New York</v>
          </cell>
          <cell r="Q1665" t="str">
            <v>Utilities</v>
          </cell>
          <cell r="R1665" t="str">
            <v>Electric Utilities</v>
          </cell>
          <cell r="S1665" t="str">
            <v>DUK</v>
          </cell>
        </row>
        <row r="1666">
          <cell r="L1666" t="str">
            <v>GE</v>
          </cell>
          <cell r="M1666" t="str">
            <v>GENERAL-DYNAMICS-12723/</v>
          </cell>
          <cell r="N1666" t="str">
            <v>GE</v>
          </cell>
          <cell r="O1666" t="str">
            <v>GENERAL ELECTRIC</v>
          </cell>
          <cell r="P1666" t="str">
            <v>New York</v>
          </cell>
          <cell r="Q1666" t="str">
            <v>Industrials</v>
          </cell>
          <cell r="R1666" t="str">
            <v>Industrial Conglomerates</v>
          </cell>
          <cell r="S1666" t="str">
            <v>GE</v>
          </cell>
        </row>
        <row r="1667">
          <cell r="L1667" t="str">
            <v>CL</v>
          </cell>
          <cell r="M1667" t="str">
            <v>COLGATE-PALMOLIVE-COMPANY-12089/</v>
          </cell>
          <cell r="N1667" t="str">
            <v>CL</v>
          </cell>
          <cell r="O1667" t="str">
            <v>COLGATE-PALMOLIV</v>
          </cell>
          <cell r="P1667" t="str">
            <v>New York</v>
          </cell>
          <cell r="Q1667" t="str">
            <v>Consumer Staples</v>
          </cell>
          <cell r="R1667" t="str">
            <v>Household Products</v>
          </cell>
          <cell r="S1667" t="str">
            <v>CL</v>
          </cell>
        </row>
        <row r="1668">
          <cell r="L1668" t="str">
            <v>RTN</v>
          </cell>
          <cell r="M1668" t="str">
            <v>RAYTHEON-14299/</v>
          </cell>
          <cell r="N1668" t="str">
            <v>RTN</v>
          </cell>
          <cell r="O1668" t="str">
            <v>RAYTHEON CO</v>
          </cell>
          <cell r="P1668" t="str">
            <v>New York</v>
          </cell>
          <cell r="Q1668" t="str">
            <v>Industrials</v>
          </cell>
          <cell r="R1668" t="str">
            <v>Aerospace &amp; Defense</v>
          </cell>
          <cell r="S1668" t="str">
            <v>RTN</v>
          </cell>
        </row>
        <row r="1669">
          <cell r="L1669" t="str">
            <v>SPG</v>
          </cell>
          <cell r="M1669" t="str">
            <v>SIMON-PROPERTY-GROUP-14452/</v>
          </cell>
          <cell r="N1669" t="str">
            <v>SPG</v>
          </cell>
          <cell r="O1669" t="str">
            <v>SIMON PROPERTY</v>
          </cell>
          <cell r="P1669" t="str">
            <v>New York</v>
          </cell>
          <cell r="Q1669" t="str">
            <v>Real Estate</v>
          </cell>
          <cell r="R1669" t="str">
            <v>Equity Real Estate Investment</v>
          </cell>
          <cell r="S1669" t="str">
            <v>SPG</v>
          </cell>
        </row>
        <row r="1670">
          <cell r="L1670" t="str">
            <v>PSX</v>
          </cell>
          <cell r="M1670" t="str">
            <v>PHILLIPS-66-10447684/</v>
          </cell>
          <cell r="N1670" t="str">
            <v>PSX</v>
          </cell>
          <cell r="O1670" t="str">
            <v>PHILLIPS 66</v>
          </cell>
          <cell r="P1670" t="str">
            <v>New York</v>
          </cell>
          <cell r="Q1670" t="str">
            <v>Energy</v>
          </cell>
          <cell r="R1670" t="str">
            <v>Oil, Gas &amp; Consumable Fuels</v>
          </cell>
          <cell r="S1670" t="str">
            <v>PSX</v>
          </cell>
        </row>
        <row r="1671">
          <cell r="L1671" t="str">
            <v>BAC</v>
          </cell>
          <cell r="M1671" t="str">
            <v>BANK-OF-NEW-YORK-MELLON--11848/</v>
          </cell>
          <cell r="N1671" t="str">
            <v>BAC</v>
          </cell>
          <cell r="O1671" t="str">
            <v>BANK OF AMERICA</v>
          </cell>
          <cell r="P1671" t="str">
            <v>New York</v>
          </cell>
          <cell r="Q1671" t="str">
            <v>Financials</v>
          </cell>
          <cell r="R1671" t="str">
            <v>Banks</v>
          </cell>
          <cell r="S1671" t="str">
            <v>BAC</v>
          </cell>
        </row>
        <row r="1672">
          <cell r="L1672" t="str">
            <v>SPGI</v>
          </cell>
          <cell r="M1672" t="str">
            <v>S-P-GLOBAL-INC-27377749/</v>
          </cell>
          <cell r="N1672" t="str">
            <v>SPGI</v>
          </cell>
          <cell r="O1672" t="str">
            <v>S&amp;P GLOBAL INC</v>
          </cell>
          <cell r="P1672" t="str">
            <v>New York</v>
          </cell>
          <cell r="Q1672" t="str">
            <v>Financials</v>
          </cell>
          <cell r="R1672" t="str">
            <v>Capital Markets</v>
          </cell>
          <cell r="S1672" t="str">
            <v>SPGI</v>
          </cell>
        </row>
        <row r="1673">
          <cell r="L1673" t="str">
            <v>NOC</v>
          </cell>
          <cell r="M1673" t="str">
            <v>NORTHROP-GRUMMAN-CORPORAT-13763/</v>
          </cell>
          <cell r="N1673" t="str">
            <v>NOC</v>
          </cell>
          <cell r="O1673" t="str">
            <v>NORTHROP GRUMMAN</v>
          </cell>
          <cell r="P1673" t="str">
            <v>New York</v>
          </cell>
          <cell r="Q1673" t="str">
            <v>Industrials</v>
          </cell>
          <cell r="R1673" t="str">
            <v>Aerospace &amp; Defense</v>
          </cell>
          <cell r="S1673" t="str">
            <v>NOC</v>
          </cell>
        </row>
        <row r="1674">
          <cell r="L1674" t="str">
            <v>VLO</v>
          </cell>
          <cell r="M1674" t="str">
            <v>VALERO-ENERGY-14811/</v>
          </cell>
          <cell r="N1674" t="str">
            <v>VLO</v>
          </cell>
          <cell r="O1674" t="str">
            <v>VALERO ENERGY</v>
          </cell>
          <cell r="P1674" t="str">
            <v>New York</v>
          </cell>
          <cell r="Q1674" t="str">
            <v>Energy</v>
          </cell>
          <cell r="R1674" t="str">
            <v>Oil, Gas &amp; Consumable Fuels</v>
          </cell>
          <cell r="S1674" t="str">
            <v>VLO</v>
          </cell>
        </row>
        <row r="1675">
          <cell r="L1675" t="str">
            <v>EL</v>
          </cell>
          <cell r="M1675" t="str">
            <v>ESTEE-LAUDER-COMPANIES-12437/</v>
          </cell>
          <cell r="N1675" t="str">
            <v>EL</v>
          </cell>
          <cell r="O1675" t="str">
            <v>ESTEE LAUDER</v>
          </cell>
          <cell r="P1675" t="str">
            <v>New York</v>
          </cell>
          <cell r="Q1675" t="str">
            <v>Consumer Staples</v>
          </cell>
          <cell r="R1675" t="str">
            <v>Personal Products</v>
          </cell>
          <cell r="S1675" t="str">
            <v>EL</v>
          </cell>
        </row>
        <row r="1676">
          <cell r="L1676" t="str">
            <v>GE</v>
          </cell>
          <cell r="M1676" t="str">
            <v>GENERAL-MOTORS-CORPORATIO-6873535/</v>
          </cell>
          <cell r="N1676" t="str">
            <v>GE</v>
          </cell>
          <cell r="O1676" t="str">
            <v>GENERAL ELECTRIC</v>
          </cell>
          <cell r="P1676" t="str">
            <v>New York</v>
          </cell>
          <cell r="Q1676" t="str">
            <v>Industrials</v>
          </cell>
          <cell r="R1676" t="str">
            <v>Industrial Conglomerates</v>
          </cell>
          <cell r="S1676" t="str">
            <v>GE</v>
          </cell>
        </row>
        <row r="1677">
          <cell r="L1677" t="str">
            <v>BSX</v>
          </cell>
          <cell r="M1677" t="str">
            <v>BOSTON-SCIENTIFIC-CORPORA-11935/</v>
          </cell>
          <cell r="N1677" t="str">
            <v>BSX</v>
          </cell>
          <cell r="O1677" t="str">
            <v>BOSTON SCIENTIFC</v>
          </cell>
          <cell r="P1677" t="str">
            <v>New York</v>
          </cell>
          <cell r="Q1677" t="str">
            <v>Health Care</v>
          </cell>
          <cell r="R1677" t="str">
            <v>Health Care Equipment &amp; Suppli</v>
          </cell>
          <cell r="S1677" t="str">
            <v>BSX</v>
          </cell>
        </row>
        <row r="1678">
          <cell r="L1678" t="str">
            <v>NSC</v>
          </cell>
          <cell r="M1678" t="str">
            <v>NORFOLK-SOUTHERN-CORPORAT-13802/</v>
          </cell>
          <cell r="N1678" t="str">
            <v>NSC</v>
          </cell>
          <cell r="O1678" t="str">
            <v>NORFOLK SOUTHERN</v>
          </cell>
          <cell r="P1678" t="str">
            <v>New York</v>
          </cell>
          <cell r="Q1678" t="str">
            <v>Industrials</v>
          </cell>
          <cell r="R1678" t="str">
            <v>Road &amp; Rail</v>
          </cell>
          <cell r="S1678" t="str">
            <v>NSC</v>
          </cell>
        </row>
        <row r="1679">
          <cell r="L1679" t="str">
            <v>EMR</v>
          </cell>
          <cell r="M1679" t="str">
            <v>EMERSON-ELECTRIC-12451/</v>
          </cell>
          <cell r="N1679" t="str">
            <v>EMR</v>
          </cell>
          <cell r="O1679" t="str">
            <v>EMERSON ELEC CO</v>
          </cell>
          <cell r="P1679" t="str">
            <v>New York</v>
          </cell>
          <cell r="Q1679" t="str">
            <v>Industrials</v>
          </cell>
          <cell r="R1679" t="str">
            <v>Electrical Equipment</v>
          </cell>
          <cell r="S1679" t="str">
            <v>EMR</v>
          </cell>
        </row>
        <row r="1680">
          <cell r="L1680" t="str">
            <v>COF</v>
          </cell>
          <cell r="M1680" t="str">
            <v>CAPITAL-ONE-FINANCIAL-COR-12144/</v>
          </cell>
          <cell r="N1680" t="str">
            <v>COF</v>
          </cell>
          <cell r="O1680" t="str">
            <v>CAPITAL ONE FINA</v>
          </cell>
          <cell r="P1680" t="str">
            <v>New York</v>
          </cell>
          <cell r="Q1680" t="str">
            <v>Financials</v>
          </cell>
          <cell r="R1680" t="str">
            <v>Consumer Finance</v>
          </cell>
          <cell r="S1680" t="str">
            <v>COF</v>
          </cell>
        </row>
        <row r="1681">
          <cell r="L1681" t="str">
            <v>AXP</v>
          </cell>
          <cell r="M1681" t="str">
            <v>AMERICAN-INTERNATIONAL-GR-4815/</v>
          </cell>
          <cell r="N1681" t="str">
            <v>AXP</v>
          </cell>
          <cell r="O1681" t="str">
            <v>AMERICAN EXPRESS</v>
          </cell>
          <cell r="P1681" t="str">
            <v>New York</v>
          </cell>
          <cell r="Q1681" t="str">
            <v>Financials</v>
          </cell>
          <cell r="R1681" t="str">
            <v>Consumer Finance</v>
          </cell>
          <cell r="S1681" t="str">
            <v>AXP</v>
          </cell>
        </row>
        <row r="1682">
          <cell r="L1682" t="str">
            <v>CCI</v>
          </cell>
          <cell r="M1682" t="str">
            <v>CROWN-CASTLE-INTERNATIONA-19476277/</v>
          </cell>
          <cell r="N1682" t="str">
            <v>CCI</v>
          </cell>
          <cell r="O1682" t="str">
            <v>CROWN CASTLE INT</v>
          </cell>
          <cell r="P1682" t="str">
            <v>New York</v>
          </cell>
          <cell r="Q1682" t="str">
            <v>Real Estate</v>
          </cell>
          <cell r="R1682" t="str">
            <v>Equity Real Estate Investment</v>
          </cell>
          <cell r="S1682" t="str">
            <v>CCI</v>
          </cell>
        </row>
        <row r="1683">
          <cell r="L1683" t="str">
            <v>TGT</v>
          </cell>
          <cell r="M1683" t="str">
            <v>TARGET-CORPORATION-12291/</v>
          </cell>
          <cell r="N1683" t="str">
            <v>TGT</v>
          </cell>
          <cell r="O1683" t="str">
            <v>TARGET CORP</v>
          </cell>
          <cell r="P1683" t="str">
            <v>New York</v>
          </cell>
          <cell r="Q1683" t="str">
            <v>Consumer Discretionary</v>
          </cell>
          <cell r="R1683" t="str">
            <v>Multiline Retail</v>
          </cell>
          <cell r="S1683" t="str">
            <v>TGT</v>
          </cell>
        </row>
        <row r="1684">
          <cell r="L1684" t="str">
            <v>ITW</v>
          </cell>
          <cell r="M1684" t="str">
            <v>ILLINOIS-TOOL-WORKS-13125/</v>
          </cell>
          <cell r="N1684" t="str">
            <v>ITW</v>
          </cell>
          <cell r="O1684" t="str">
            <v>ILLINOIS TOOL WO</v>
          </cell>
          <cell r="P1684" t="str">
            <v>New York</v>
          </cell>
          <cell r="Q1684" t="str">
            <v>Industrials</v>
          </cell>
          <cell r="R1684" t="str">
            <v>Machinery</v>
          </cell>
          <cell r="S1684" t="str">
            <v>ITW</v>
          </cell>
        </row>
        <row r="1685">
          <cell r="L1685" t="str">
            <v>D</v>
          </cell>
          <cell r="M1685" t="str">
            <v>DOMINION-ENERGY-12255/</v>
          </cell>
          <cell r="N1685" t="str">
            <v>D</v>
          </cell>
          <cell r="O1685" t="str">
            <v>DOMINION ENERGY</v>
          </cell>
          <cell r="P1685" t="str">
            <v>New York</v>
          </cell>
          <cell r="Q1685" t="str">
            <v>Utilities</v>
          </cell>
          <cell r="R1685" t="str">
            <v>Multi-Utilities</v>
          </cell>
          <cell r="S1685" t="str">
            <v>D</v>
          </cell>
        </row>
        <row r="1686">
          <cell r="L1686" t="str">
            <v>HCA</v>
          </cell>
          <cell r="M1686" t="str">
            <v>HCA-HOLDINGS-HOSPITAL-CO-7534808/</v>
          </cell>
          <cell r="N1686" t="str">
            <v>HCA</v>
          </cell>
          <cell r="O1686" t="str">
            <v>HCA HEALTHCARE I</v>
          </cell>
          <cell r="P1686" t="str">
            <v>New York</v>
          </cell>
          <cell r="Q1686" t="str">
            <v>Health Care</v>
          </cell>
          <cell r="R1686" t="str">
            <v>Health Care Providers &amp; Servic</v>
          </cell>
          <cell r="S1686" t="str">
            <v>HCA</v>
          </cell>
        </row>
        <row r="1687">
          <cell r="L1687" t="str">
            <v>DE</v>
          </cell>
          <cell r="M1687" t="str">
            <v>DEERE-COMPANY-12279/</v>
          </cell>
          <cell r="N1687" t="str">
            <v>DE</v>
          </cell>
          <cell r="O1687" t="str">
            <v>DEERE &amp; CO</v>
          </cell>
          <cell r="P1687" t="str">
            <v>New York</v>
          </cell>
          <cell r="Q1687" t="str">
            <v>Industrials</v>
          </cell>
          <cell r="R1687" t="str">
            <v>Machinery</v>
          </cell>
          <cell r="S1687" t="str">
            <v>DE</v>
          </cell>
        </row>
        <row r="1688">
          <cell r="L1688" t="str">
            <v>MET</v>
          </cell>
          <cell r="M1688" t="str">
            <v>METLIFE-13496/</v>
          </cell>
          <cell r="N1688" t="str">
            <v>MET</v>
          </cell>
          <cell r="O1688" t="str">
            <v>METLIFE INC</v>
          </cell>
          <cell r="P1688" t="str">
            <v>New York</v>
          </cell>
          <cell r="Q1688" t="str">
            <v>Financials</v>
          </cell>
          <cell r="R1688" t="str">
            <v>Insurance</v>
          </cell>
          <cell r="S1688" t="str">
            <v>MET</v>
          </cell>
        </row>
        <row r="1689">
          <cell r="L1689" t="str">
            <v>HUM</v>
          </cell>
          <cell r="M1689" t="str">
            <v>HUMANA-13000/</v>
          </cell>
          <cell r="N1689" t="str">
            <v>HUM</v>
          </cell>
          <cell r="O1689" t="str">
            <v>HUMANA INC</v>
          </cell>
          <cell r="P1689" t="str">
            <v>New York</v>
          </cell>
          <cell r="Q1689" t="str">
            <v>Health Care</v>
          </cell>
          <cell r="R1689" t="str">
            <v>Health Care Providers &amp; Servic</v>
          </cell>
          <cell r="S1689" t="str">
            <v>HUM</v>
          </cell>
        </row>
        <row r="1690">
          <cell r="L1690" t="str">
            <v>CI</v>
          </cell>
          <cell r="M1690" t="str">
            <v>CIGNA-CORPORATION-12068/</v>
          </cell>
          <cell r="N1690" t="str">
            <v>CI</v>
          </cell>
          <cell r="O1690" t="str">
            <v>CIGNA CORP</v>
          </cell>
          <cell r="P1690" t="str">
            <v>New York</v>
          </cell>
          <cell r="Q1690" t="str">
            <v>Health Care</v>
          </cell>
          <cell r="R1690" t="str">
            <v>Health Care Providers &amp; Servic</v>
          </cell>
          <cell r="S1690" t="str">
            <v>CI</v>
          </cell>
        </row>
        <row r="1691">
          <cell r="L1691" t="str">
            <v>PX</v>
          </cell>
          <cell r="M1691" t="str">
            <v>PRAXAIR-14158/</v>
          </cell>
          <cell r="N1691" t="str">
            <v>PX</v>
          </cell>
          <cell r="O1691" t="str">
            <v>PRAXAIR INC</v>
          </cell>
          <cell r="P1691" t="str">
            <v>New York</v>
          </cell>
          <cell r="Q1691" t="str">
            <v>Materials</v>
          </cell>
          <cell r="R1691" t="str">
            <v>Chemicals</v>
          </cell>
          <cell r="S1691" t="str">
            <v>PX</v>
          </cell>
        </row>
        <row r="1692">
          <cell r="L1692" t="str">
            <v>SO</v>
          </cell>
          <cell r="M1692" t="str">
            <v>SOUTHERN-COMPANY-14441/</v>
          </cell>
          <cell r="N1692" t="str">
            <v>SO</v>
          </cell>
          <cell r="O1692" t="str">
            <v>SOUTHERN CO</v>
          </cell>
          <cell r="P1692" t="str">
            <v>New York</v>
          </cell>
          <cell r="Q1692" t="str">
            <v>Utilities</v>
          </cell>
          <cell r="R1692" t="str">
            <v>Electric Utilities</v>
          </cell>
          <cell r="S1692" t="str">
            <v>SO</v>
          </cell>
        </row>
        <row r="1693">
          <cell r="L1693" t="str">
            <v>ICE</v>
          </cell>
          <cell r="M1693" t="str">
            <v>INTERCONTINENTAL-EXCHANGE-14931198/</v>
          </cell>
          <cell r="N1693" t="str">
            <v>ICE</v>
          </cell>
          <cell r="O1693" t="str">
            <v>INTERCONTINENTAL</v>
          </cell>
          <cell r="P1693" t="str">
            <v>New York</v>
          </cell>
          <cell r="Q1693" t="str">
            <v>Financials</v>
          </cell>
          <cell r="R1693" t="str">
            <v>Capital Markets</v>
          </cell>
          <cell r="S1693" t="str">
            <v>ICE</v>
          </cell>
        </row>
        <row r="1694">
          <cell r="L1694" t="str">
            <v>ECL</v>
          </cell>
          <cell r="M1694" t="str">
            <v>ECOLAB-12399/</v>
          </cell>
          <cell r="N1694" t="str">
            <v>ECL</v>
          </cell>
          <cell r="O1694" t="str">
            <v>ECOLAB INC</v>
          </cell>
          <cell r="P1694" t="str">
            <v>New York</v>
          </cell>
          <cell r="Q1694" t="str">
            <v>Materials</v>
          </cell>
          <cell r="R1694" t="str">
            <v>Chemicals</v>
          </cell>
          <cell r="S1694" t="str">
            <v>ECL</v>
          </cell>
        </row>
        <row r="1695">
          <cell r="L1695" t="str">
            <v>ZTS</v>
          </cell>
          <cell r="M1695" t="str">
            <v>ZOETIS-12482719/</v>
          </cell>
          <cell r="N1695" t="str">
            <v>ZTS</v>
          </cell>
          <cell r="O1695" t="str">
            <v>ZOETIS INC</v>
          </cell>
          <cell r="P1695" t="str">
            <v>New York</v>
          </cell>
          <cell r="Q1695" t="str">
            <v>Health Care</v>
          </cell>
          <cell r="R1695" t="str">
            <v>Pharmaceuticals</v>
          </cell>
          <cell r="S1695" t="str">
            <v>ZTS</v>
          </cell>
        </row>
        <row r="1696">
          <cell r="L1696" t="str">
            <v>LYB</v>
          </cell>
          <cell r="M1696" t="str">
            <v>LYONDELLBASELL-INDUSTRIES-6742278/</v>
          </cell>
          <cell r="N1696" t="str">
            <v>LYB</v>
          </cell>
          <cell r="O1696" t="str">
            <v>LYONDELLBASELL-A</v>
          </cell>
          <cell r="P1696" t="str">
            <v>New York</v>
          </cell>
          <cell r="Q1696" t="str">
            <v>Materials</v>
          </cell>
          <cell r="R1696" t="str">
            <v>Chemicals</v>
          </cell>
          <cell r="S1696" t="str">
            <v>LYB</v>
          </cell>
        </row>
        <row r="1697">
          <cell r="L1697" t="str">
            <v>SHW</v>
          </cell>
          <cell r="M1697" t="str">
            <v>SHERWIN-WILLIAMS-14390/</v>
          </cell>
          <cell r="N1697" t="str">
            <v>SHW</v>
          </cell>
          <cell r="O1697" t="str">
            <v>SHERWIN-WILLIAMS</v>
          </cell>
          <cell r="P1697" t="str">
            <v>New York</v>
          </cell>
          <cell r="Q1697" t="str">
            <v>Materials</v>
          </cell>
          <cell r="R1697" t="str">
            <v>Chemicals</v>
          </cell>
          <cell r="S1697" t="str">
            <v>SHW</v>
          </cell>
        </row>
        <row r="1698">
          <cell r="L1698" t="str">
            <v>CCL</v>
          </cell>
          <cell r="M1698" t="str">
            <v>CARNIVAL-CORP-12003/</v>
          </cell>
          <cell r="N1698" t="str">
            <v>CCL</v>
          </cell>
          <cell r="O1698" t="str">
            <v>CARNIVAL CORP</v>
          </cell>
          <cell r="P1698" t="str">
            <v>New York</v>
          </cell>
          <cell r="Q1698" t="str">
            <v>Consumer Discretionary</v>
          </cell>
          <cell r="R1698" t="str">
            <v>Hotels, Restaurants &amp; Leisure</v>
          </cell>
          <cell r="S1698" t="str">
            <v>CCL</v>
          </cell>
        </row>
        <row r="1699">
          <cell r="L1699" t="str">
            <v>MMC</v>
          </cell>
          <cell r="M1699" t="str">
            <v>MARSH-MCLENNAN-COMPANIE-13573/</v>
          </cell>
          <cell r="N1699" t="str">
            <v>MMC</v>
          </cell>
          <cell r="O1699" t="str">
            <v>MARSH &amp; MCLENNAN</v>
          </cell>
          <cell r="P1699" t="str">
            <v>New York</v>
          </cell>
          <cell r="Q1699" t="str">
            <v>Financials</v>
          </cell>
          <cell r="R1699" t="str">
            <v>Insurance</v>
          </cell>
          <cell r="S1699" t="str">
            <v>MMC</v>
          </cell>
        </row>
        <row r="1700">
          <cell r="L1700" t="str">
            <v>EXC</v>
          </cell>
          <cell r="M1700" t="str">
            <v>EXELON-CORPORATION-13963/</v>
          </cell>
          <cell r="N1700" t="str">
            <v>EXC</v>
          </cell>
          <cell r="O1700" t="str">
            <v>EXELON CORP</v>
          </cell>
          <cell r="P1700" t="str">
            <v>New York</v>
          </cell>
          <cell r="Q1700" t="str">
            <v>Utilities</v>
          </cell>
          <cell r="R1700" t="str">
            <v>Electric Utilities</v>
          </cell>
          <cell r="S1700" t="str">
            <v>EXC</v>
          </cell>
        </row>
        <row r="1701">
          <cell r="L1701" t="str">
            <v>PLD</v>
          </cell>
          <cell r="M1701" t="str">
            <v>PROLOGIS-INC-14050/</v>
          </cell>
          <cell r="N1701" t="str">
            <v>PLD</v>
          </cell>
          <cell r="O1701" t="str">
            <v>PROLOGIS INC</v>
          </cell>
          <cell r="P1701" t="str">
            <v>New York</v>
          </cell>
          <cell r="Q1701" t="str">
            <v>Real Estate</v>
          </cell>
          <cell r="R1701" t="str">
            <v>Equity Real Estate Investment</v>
          </cell>
          <cell r="S1701" t="str">
            <v>PLD</v>
          </cell>
        </row>
        <row r="1702">
          <cell r="L1702" t="str">
            <v>PRU</v>
          </cell>
          <cell r="M1702" t="str">
            <v>PRUDENTIAL-FINANCIAL-14113/</v>
          </cell>
          <cell r="N1702" t="str">
            <v>PRU</v>
          </cell>
          <cell r="O1702" t="str">
            <v>PRUDENTL FINL</v>
          </cell>
          <cell r="P1702" t="str">
            <v>New York</v>
          </cell>
          <cell r="Q1702" t="str">
            <v>Financials</v>
          </cell>
          <cell r="R1702" t="str">
            <v>Insurance</v>
          </cell>
          <cell r="S1702" t="str">
            <v>PRU</v>
          </cell>
        </row>
        <row r="1703">
          <cell r="L1703" t="str">
            <v>DAL</v>
          </cell>
          <cell r="M1703" t="str">
            <v>DELTA-AIR-LINES-49285/</v>
          </cell>
          <cell r="N1703" t="str">
            <v>DAL</v>
          </cell>
          <cell r="O1703" t="str">
            <v>DELTA AIR LI</v>
          </cell>
          <cell r="P1703" t="str">
            <v>New York</v>
          </cell>
          <cell r="Q1703" t="str">
            <v>Industrials</v>
          </cell>
          <cell r="R1703" t="str">
            <v>Airlines</v>
          </cell>
          <cell r="S1703" t="str">
            <v>DAL</v>
          </cell>
        </row>
        <row r="1704">
          <cell r="L1704" t="str">
            <v>BBT</v>
          </cell>
          <cell r="M1704" t="str">
            <v>BB-T-11773/</v>
          </cell>
          <cell r="N1704" t="str">
            <v>BBT</v>
          </cell>
          <cell r="O1704" t="str">
            <v>BB&amp;T CORP</v>
          </cell>
          <cell r="P1704" t="str">
            <v>New York</v>
          </cell>
          <cell r="Q1704" t="str">
            <v>Financials</v>
          </cell>
          <cell r="R1704" t="str">
            <v>Banks</v>
          </cell>
          <cell r="S1704" t="str">
            <v>BBT</v>
          </cell>
        </row>
        <row r="1705">
          <cell r="L1705" t="str">
            <v>STZ</v>
          </cell>
          <cell r="M1705" t="str">
            <v>CONSTELLATION-BRANDS-14502/</v>
          </cell>
          <cell r="N1705" t="str">
            <v>STZ</v>
          </cell>
          <cell r="O1705" t="str">
            <v>CONSTELLATION-A</v>
          </cell>
          <cell r="P1705" t="str">
            <v>New York</v>
          </cell>
          <cell r="Q1705" t="str">
            <v>Consumer Staples</v>
          </cell>
          <cell r="R1705" t="str">
            <v>Beverages</v>
          </cell>
          <cell r="S1705" t="str">
            <v>STZ</v>
          </cell>
        </row>
        <row r="1706">
          <cell r="L1706" t="str">
            <v>BAX</v>
          </cell>
          <cell r="M1706" t="str">
            <v>BAXTER-INTERNATIONAL-11763/</v>
          </cell>
          <cell r="N1706" t="str">
            <v>BAX</v>
          </cell>
          <cell r="O1706" t="str">
            <v>BAXTER INTL INC</v>
          </cell>
          <cell r="P1706" t="str">
            <v>New York</v>
          </cell>
          <cell r="Q1706" t="str">
            <v>Health Care</v>
          </cell>
          <cell r="R1706" t="str">
            <v>Health Care Equipment &amp; Suppli</v>
          </cell>
          <cell r="S1706" t="str">
            <v>BAX</v>
          </cell>
        </row>
        <row r="1707">
          <cell r="L1707" t="str">
            <v>PGR</v>
          </cell>
          <cell r="M1707" t="str">
            <v>PROGRESSIVE-CORPORATION-13995/</v>
          </cell>
          <cell r="N1707" t="str">
            <v>PGR</v>
          </cell>
          <cell r="O1707" t="str">
            <v>PROGRESSIVE CORP</v>
          </cell>
          <cell r="P1707" t="str">
            <v>New York</v>
          </cell>
          <cell r="Q1707" t="str">
            <v>Financials</v>
          </cell>
          <cell r="R1707" t="str">
            <v>Insurance</v>
          </cell>
          <cell r="S1707" t="str">
            <v>PGR</v>
          </cell>
        </row>
        <row r="1708">
          <cell r="L1708" t="str">
            <v>KMB</v>
          </cell>
          <cell r="M1708" t="str">
            <v>KIMBERLY-CLARK-13266/</v>
          </cell>
          <cell r="N1708" t="str">
            <v>KMB</v>
          </cell>
          <cell r="O1708" t="str">
            <v>KIMBERLY-CLARK</v>
          </cell>
          <cell r="P1708" t="str">
            <v>New York</v>
          </cell>
          <cell r="Q1708" t="str">
            <v>Consumer Staples</v>
          </cell>
          <cell r="R1708" t="str">
            <v>Household Products</v>
          </cell>
          <cell r="S1708" t="str">
            <v>KMB</v>
          </cell>
        </row>
        <row r="1709">
          <cell r="L1709" t="str">
            <v>HPQ</v>
          </cell>
          <cell r="M1709" t="str">
            <v>HP-INC-24782740/</v>
          </cell>
          <cell r="N1709" t="str">
            <v>HPQ</v>
          </cell>
          <cell r="O1709" t="str">
            <v>HP INC</v>
          </cell>
          <cell r="P1709" t="str">
            <v>New York</v>
          </cell>
          <cell r="Q1709" t="str">
            <v>Information Technology</v>
          </cell>
          <cell r="R1709" t="str">
            <v>Technology Hardware, Storage &amp;</v>
          </cell>
          <cell r="S1709" t="str">
            <v>HPQ</v>
          </cell>
        </row>
        <row r="1710">
          <cell r="L1710" t="str">
            <v>SYY</v>
          </cell>
          <cell r="M1710" t="str">
            <v>SYSCO-CORPORATION-14540/</v>
          </cell>
          <cell r="N1710" t="str">
            <v>SYY</v>
          </cell>
          <cell r="O1710" t="str">
            <v>SYSCO CORP</v>
          </cell>
          <cell r="P1710" t="str">
            <v>New York</v>
          </cell>
          <cell r="Q1710" t="str">
            <v>Consumer Staples</v>
          </cell>
          <cell r="R1710" t="str">
            <v>Food &amp; Staples Retailing</v>
          </cell>
          <cell r="S1710" t="str">
            <v>SYY</v>
          </cell>
        </row>
        <row r="1711">
          <cell r="L1711" t="str">
            <v>WM</v>
          </cell>
          <cell r="M1711" t="str">
            <v>WASTE-MANAGEMENT-14885/</v>
          </cell>
          <cell r="N1711" t="str">
            <v>WM</v>
          </cell>
          <cell r="O1711" t="str">
            <v>WASTE MANAGEMENT</v>
          </cell>
          <cell r="P1711" t="str">
            <v>New York</v>
          </cell>
          <cell r="Q1711" t="str">
            <v>Industrials</v>
          </cell>
          <cell r="R1711" t="str">
            <v>Commercial Services &amp; Supplies</v>
          </cell>
          <cell r="S1711" t="str">
            <v>WM</v>
          </cell>
        </row>
        <row r="1712">
          <cell r="L1712" t="str">
            <v>KMI</v>
          </cell>
          <cell r="M1712" t="str">
            <v>KINDER-MORGAN-INC-7331799/</v>
          </cell>
          <cell r="N1712" t="str">
            <v>KMI</v>
          </cell>
          <cell r="O1712" t="str">
            <v>KINDER MORGAN IN</v>
          </cell>
          <cell r="P1712" t="str">
            <v>New York</v>
          </cell>
          <cell r="Q1712" t="str">
            <v>Energy</v>
          </cell>
          <cell r="R1712" t="str">
            <v>Oil, Gas &amp; Consumable Fuels</v>
          </cell>
          <cell r="S1712" t="str">
            <v>KMI</v>
          </cell>
        </row>
        <row r="1713">
          <cell r="L1713" t="str">
            <v>MPC</v>
          </cell>
          <cell r="M1713" t="str">
            <v>MARATHON-PETROLEUM-CORPOR-8251813/</v>
          </cell>
          <cell r="N1713" t="str">
            <v>MPC</v>
          </cell>
          <cell r="O1713" t="str">
            <v>MARATHON PETROLE</v>
          </cell>
          <cell r="P1713" t="str">
            <v>New York</v>
          </cell>
          <cell r="Q1713" t="str">
            <v>Energy</v>
          </cell>
          <cell r="R1713" t="str">
            <v>Oil, Gas &amp; Consumable Fuels</v>
          </cell>
          <cell r="S1713" t="str">
            <v>MPC</v>
          </cell>
        </row>
        <row r="1714">
          <cell r="L1714" t="str">
            <v>F</v>
          </cell>
          <cell r="M1714" t="str">
            <v>FORD-MOTOR-COMPANY-12542/</v>
          </cell>
          <cell r="N1714" t="str">
            <v>F</v>
          </cell>
          <cell r="O1714" t="str">
            <v>FORD MOTOR CO</v>
          </cell>
          <cell r="P1714" t="str">
            <v>New York</v>
          </cell>
          <cell r="Q1714" t="str">
            <v>Consumer Discretionary</v>
          </cell>
          <cell r="R1714" t="str">
            <v>Automobiles</v>
          </cell>
          <cell r="S1714" t="str">
            <v>F</v>
          </cell>
        </row>
        <row r="1715">
          <cell r="L1715" t="str">
            <v>PSA</v>
          </cell>
          <cell r="M1715" t="str">
            <v>PUBLIC-STORAGE-14115/</v>
          </cell>
          <cell r="N1715" t="str">
            <v>PSA</v>
          </cell>
          <cell r="O1715" t="str">
            <v>PUBLIC STORAGE</v>
          </cell>
          <cell r="P1715" t="str">
            <v>New York</v>
          </cell>
          <cell r="Q1715" t="str">
            <v>Real Estate</v>
          </cell>
          <cell r="R1715" t="str">
            <v>Equity Real Estate Investment</v>
          </cell>
          <cell r="S1715" t="str">
            <v>PSA</v>
          </cell>
        </row>
        <row r="1716">
          <cell r="L1716" t="str">
            <v>VFC</v>
          </cell>
          <cell r="M1716" t="str">
            <v>VF-CORPORATION-14798/</v>
          </cell>
          <cell r="N1716" t="str">
            <v>VFC</v>
          </cell>
          <cell r="O1716" t="str">
            <v>VF CORP</v>
          </cell>
          <cell r="P1716" t="str">
            <v>New York</v>
          </cell>
          <cell r="Q1716" t="str">
            <v>Consumer Discretionary</v>
          </cell>
          <cell r="R1716" t="str">
            <v>Textiles, Apparel &amp; Luxury Goo</v>
          </cell>
          <cell r="S1716" t="str">
            <v>VFC</v>
          </cell>
        </row>
        <row r="1717">
          <cell r="L1717" t="str">
            <v>APD</v>
          </cell>
          <cell r="M1717" t="str">
            <v>AIR-PRODUCTS-CHEMICALS-11666/</v>
          </cell>
          <cell r="N1717" t="str">
            <v>APD</v>
          </cell>
          <cell r="O1717" t="str">
            <v>AIR PRODS &amp; CHEM</v>
          </cell>
          <cell r="P1717" t="str">
            <v>New York</v>
          </cell>
          <cell r="Q1717" t="str">
            <v>Materials</v>
          </cell>
          <cell r="R1717" t="str">
            <v>Chemicals</v>
          </cell>
          <cell r="S1717" t="str">
            <v>APD</v>
          </cell>
        </row>
        <row r="1718">
          <cell r="L1718" t="str">
            <v>ETN</v>
          </cell>
          <cell r="M1718" t="str">
            <v>EATON-CORPORATION-PLC-12029421/</v>
          </cell>
          <cell r="N1718" t="str">
            <v>ETN</v>
          </cell>
          <cell r="O1718" t="str">
            <v>EATON CORP PLC</v>
          </cell>
          <cell r="P1718" t="str">
            <v>New York</v>
          </cell>
          <cell r="Q1718" t="str">
            <v>Industrials</v>
          </cell>
          <cell r="R1718" t="str">
            <v>Electrical Equipment</v>
          </cell>
          <cell r="S1718" t="str">
            <v>ETN</v>
          </cell>
        </row>
        <row r="1719">
          <cell r="L1719" t="str">
            <v>AFL</v>
          </cell>
          <cell r="M1719" t="str">
            <v>AFLAC-11556/</v>
          </cell>
          <cell r="N1719" t="str">
            <v>AFL</v>
          </cell>
          <cell r="O1719" t="str">
            <v>AFLAC INC</v>
          </cell>
          <cell r="P1719" t="str">
            <v>New York</v>
          </cell>
          <cell r="Q1719" t="str">
            <v>Financials</v>
          </cell>
          <cell r="R1719" t="str">
            <v>Insurance</v>
          </cell>
          <cell r="S1719" t="str">
            <v>AFL</v>
          </cell>
        </row>
        <row r="1720">
          <cell r="L1720" t="str">
            <v>AON</v>
          </cell>
          <cell r="M1720" t="str">
            <v>AON-PLC-11994390/</v>
          </cell>
          <cell r="N1720" t="str">
            <v>AON</v>
          </cell>
          <cell r="O1720" t="str">
            <v>AON PLC</v>
          </cell>
          <cell r="P1720" t="str">
            <v>New York</v>
          </cell>
          <cell r="Q1720" t="str">
            <v>Financials</v>
          </cell>
          <cell r="R1720" t="str">
            <v>Insurance</v>
          </cell>
          <cell r="S1720" t="str">
            <v>AON</v>
          </cell>
        </row>
        <row r="1721">
          <cell r="L1721" t="str">
            <v>AXP</v>
          </cell>
          <cell r="M1721" t="str">
            <v>AMERICAN-ELECTRIC-POWER-11546/</v>
          </cell>
          <cell r="N1721" t="str">
            <v>AXP</v>
          </cell>
          <cell r="O1721" t="str">
            <v>AMERICAN EXPRESS</v>
          </cell>
          <cell r="P1721" t="str">
            <v>New York</v>
          </cell>
          <cell r="Q1721" t="str">
            <v>Financials</v>
          </cell>
          <cell r="R1721" t="str">
            <v>Consumer Finance</v>
          </cell>
          <cell r="S1721" t="str">
            <v>AXP</v>
          </cell>
        </row>
        <row r="1722">
          <cell r="L1722" t="str">
            <v>BHGE</v>
          </cell>
          <cell r="M1722" t="str">
            <v>BAKER-HUGHES-A-GE-CO-40311111/</v>
          </cell>
          <cell r="N1722" t="str">
            <v>BHGE</v>
          </cell>
          <cell r="O1722" t="str">
            <v>BAKER HUGHES A</v>
          </cell>
          <cell r="P1722" t="str">
            <v>New York</v>
          </cell>
          <cell r="Q1722" t="str">
            <v>Energy</v>
          </cell>
          <cell r="R1722" t="str">
            <v>Energy Equipment &amp; Services</v>
          </cell>
          <cell r="S1722" t="str">
            <v>BHGE</v>
          </cell>
        </row>
        <row r="1723">
          <cell r="L1723" t="str">
            <v>SO</v>
          </cell>
          <cell r="M1723" t="str">
            <v>SOUTHWEST-AIRLINES-13439/</v>
          </cell>
          <cell r="N1723" t="str">
            <v>SO</v>
          </cell>
          <cell r="O1723" t="str">
            <v>SOUTHERN CO</v>
          </cell>
          <cell r="P1723" t="str">
            <v>New York</v>
          </cell>
          <cell r="Q1723" t="str">
            <v>Utilities</v>
          </cell>
          <cell r="R1723" t="str">
            <v>Electric Utilities</v>
          </cell>
          <cell r="S1723" t="str">
            <v>SO</v>
          </cell>
        </row>
        <row r="1724">
          <cell r="L1724" t="str">
            <v>FIS</v>
          </cell>
          <cell r="M1724" t="str">
            <v>FIDELITY-NATIONAL-INFORMA-12027/</v>
          </cell>
          <cell r="N1724" t="str">
            <v>FIS</v>
          </cell>
          <cell r="O1724" t="str">
            <v>FIDELITY NATIONA</v>
          </cell>
          <cell r="P1724" t="str">
            <v>New York</v>
          </cell>
          <cell r="Q1724" t="str">
            <v>Information Technology</v>
          </cell>
          <cell r="R1724" t="str">
            <v>IT Services</v>
          </cell>
          <cell r="S1724" t="str">
            <v>FIS</v>
          </cell>
        </row>
        <row r="1725">
          <cell r="L1725" t="str">
            <v>TRV</v>
          </cell>
          <cell r="M1725" t="str">
            <v>THE-TRAVELERS-COMPANIES-14449/</v>
          </cell>
          <cell r="N1725" t="str">
            <v>TRV</v>
          </cell>
          <cell r="O1725" t="str">
            <v>TRAVELERS COS IN</v>
          </cell>
          <cell r="P1725" t="str">
            <v>New York</v>
          </cell>
          <cell r="Q1725" t="str">
            <v>Financials</v>
          </cell>
          <cell r="R1725" t="str">
            <v>Insurance</v>
          </cell>
          <cell r="S1725" t="str">
            <v>TRV</v>
          </cell>
        </row>
        <row r="1726">
          <cell r="L1726" t="str">
            <v>WMB</v>
          </cell>
          <cell r="M1726" t="str">
            <v>WILLIAMS-COMPANIES-14884/</v>
          </cell>
          <cell r="N1726" t="str">
            <v>WMB</v>
          </cell>
          <cell r="O1726" t="str">
            <v>WILLIAMS COS INC</v>
          </cell>
          <cell r="P1726" t="str">
            <v>New York</v>
          </cell>
          <cell r="Q1726" t="str">
            <v>Energy</v>
          </cell>
          <cell r="R1726" t="str">
            <v>Oil, Gas &amp; Consumable Fuels</v>
          </cell>
          <cell r="S1726" t="str">
            <v>WMB</v>
          </cell>
        </row>
        <row r="1727">
          <cell r="L1727" t="str">
            <v>ALL</v>
          </cell>
          <cell r="M1727" t="str">
            <v>THE-ALLSTATE-CORPORATION-40311125/</v>
          </cell>
          <cell r="N1727" t="str">
            <v>ALL</v>
          </cell>
          <cell r="O1727" t="str">
            <v>ALLSTATE CORP</v>
          </cell>
          <cell r="P1727" t="str">
            <v>New York</v>
          </cell>
          <cell r="Q1727" t="str">
            <v>Financials</v>
          </cell>
          <cell r="R1727" t="str">
            <v>Insurance</v>
          </cell>
          <cell r="S1727" t="str">
            <v>ALL</v>
          </cell>
        </row>
        <row r="1728">
          <cell r="L1728" t="str">
            <v>JNJ</v>
          </cell>
          <cell r="M1728" t="str">
            <v>JOHNSON-CONTROLS-INTERNAT-31222816/</v>
          </cell>
          <cell r="N1728" t="str">
            <v>JNJ</v>
          </cell>
          <cell r="O1728" t="str">
            <v>JOHNSON&amp;JOHNSON</v>
          </cell>
          <cell r="P1728" t="str">
            <v>New York</v>
          </cell>
          <cell r="Q1728" t="str">
            <v>Health Care</v>
          </cell>
          <cell r="R1728" t="str">
            <v>Pharmaceuticals</v>
          </cell>
          <cell r="S1728" t="str">
            <v>JNJ</v>
          </cell>
        </row>
        <row r="1729">
          <cell r="L1729" t="str">
            <v>HAL</v>
          </cell>
          <cell r="M1729" t="str">
            <v>HALLIBURTON-COMPANY-12871/</v>
          </cell>
          <cell r="N1729" t="str">
            <v>HAL</v>
          </cell>
          <cell r="O1729" t="str">
            <v>HALLIBURTON CO</v>
          </cell>
          <cell r="P1729" t="str">
            <v>New York</v>
          </cell>
          <cell r="Q1729" t="str">
            <v>Energy</v>
          </cell>
          <cell r="R1729" t="str">
            <v>Energy Equipment &amp; Services</v>
          </cell>
          <cell r="S1729" t="str">
            <v>HAL</v>
          </cell>
        </row>
        <row r="1730">
          <cell r="L1730" t="str">
            <v>MCO</v>
          </cell>
          <cell r="M1730" t="str">
            <v>MOODY-S-CORPORATION-16724/</v>
          </cell>
          <cell r="N1730" t="str">
            <v>MCO</v>
          </cell>
          <cell r="O1730" t="str">
            <v>MOODY'S CORP</v>
          </cell>
          <cell r="P1730" t="str">
            <v>New York</v>
          </cell>
          <cell r="Q1730" t="str">
            <v>Financials</v>
          </cell>
          <cell r="R1730" t="str">
            <v>Capital Markets</v>
          </cell>
          <cell r="S1730" t="str">
            <v>MCO</v>
          </cell>
        </row>
        <row r="1731">
          <cell r="L1731" t="str">
            <v>STI</v>
          </cell>
          <cell r="M1731" t="str">
            <v>SUNTRUST-BANKS-14488/</v>
          </cell>
          <cell r="N1731" t="str">
            <v>STI</v>
          </cell>
          <cell r="O1731" t="str">
            <v>SUNTRUST BANKS</v>
          </cell>
          <cell r="P1731" t="str">
            <v>New York</v>
          </cell>
          <cell r="Q1731" t="str">
            <v>Financials</v>
          </cell>
          <cell r="R1731" t="str">
            <v>Banks</v>
          </cell>
          <cell r="S1731" t="str">
            <v>STI</v>
          </cell>
        </row>
        <row r="1732">
          <cell r="L1732" t="str">
            <v>STT</v>
          </cell>
          <cell r="M1732" t="str">
            <v>STATE-STREET-CORPORATION-14499/</v>
          </cell>
          <cell r="N1732" t="str">
            <v>STT</v>
          </cell>
          <cell r="O1732" t="str">
            <v>STATE ST CORP</v>
          </cell>
          <cell r="P1732" t="str">
            <v>New York</v>
          </cell>
          <cell r="Q1732" t="str">
            <v>Financials</v>
          </cell>
          <cell r="R1732" t="str">
            <v>Capital Markets</v>
          </cell>
          <cell r="S1732" t="str">
            <v>STT</v>
          </cell>
        </row>
        <row r="1733">
          <cell r="L1733" t="str">
            <v>APC</v>
          </cell>
          <cell r="M1733" t="str">
            <v>ANADARKO-PETROLEUM-11665/</v>
          </cell>
          <cell r="N1733" t="str">
            <v>APC</v>
          </cell>
          <cell r="O1733" t="str">
            <v>ANADARKO PETROLE</v>
          </cell>
          <cell r="P1733" t="str">
            <v>New York</v>
          </cell>
          <cell r="Q1733" t="str">
            <v>Energy</v>
          </cell>
          <cell r="R1733" t="str">
            <v>Oil, Gas &amp; Consumable Fuels</v>
          </cell>
          <cell r="S1733" t="str">
            <v>APC</v>
          </cell>
        </row>
        <row r="1734">
          <cell r="L1734" t="str">
            <v>SRE</v>
          </cell>
          <cell r="M1734" t="str">
            <v>SEMPRA-ENERGY-14471/</v>
          </cell>
          <cell r="N1734" t="str">
            <v>SRE</v>
          </cell>
          <cell r="O1734" t="str">
            <v>SEMPRA ENERGY</v>
          </cell>
          <cell r="P1734" t="str">
            <v>New York</v>
          </cell>
          <cell r="Q1734" t="str">
            <v>Utilities</v>
          </cell>
          <cell r="R1734" t="str">
            <v>Multi-Utilities</v>
          </cell>
          <cell r="S1734" t="str">
            <v>SRE</v>
          </cell>
        </row>
        <row r="1735">
          <cell r="L1735" t="str">
            <v>TEL</v>
          </cell>
          <cell r="M1735" t="str">
            <v>TE-CONNECTIVITY-52802/</v>
          </cell>
          <cell r="N1735" t="str">
            <v>TEL</v>
          </cell>
          <cell r="O1735" t="str">
            <v>TE CONNECTIVITY</v>
          </cell>
          <cell r="P1735" t="str">
            <v>New York</v>
          </cell>
          <cell r="Q1735" t="str">
            <v>Information Technology</v>
          </cell>
          <cell r="R1735" t="str">
            <v>Electronic Equipment, Instrume</v>
          </cell>
          <cell r="S1735" t="str">
            <v>TEL</v>
          </cell>
        </row>
        <row r="1736">
          <cell r="L1736" t="str">
            <v>ROP</v>
          </cell>
          <cell r="M1736" t="str">
            <v>ROPER-TECHNOLOGIES-14279/</v>
          </cell>
          <cell r="N1736" t="str">
            <v>ROP</v>
          </cell>
          <cell r="O1736" t="str">
            <v>ROPER TECHNOLOGI</v>
          </cell>
          <cell r="P1736" t="str">
            <v>New York</v>
          </cell>
          <cell r="Q1736" t="str">
            <v>Industrials</v>
          </cell>
          <cell r="R1736" t="str">
            <v>Industrial Conglomerates</v>
          </cell>
          <cell r="S1736" t="str">
            <v>ROP</v>
          </cell>
        </row>
        <row r="1737">
          <cell r="L1737" t="str">
            <v>CNC</v>
          </cell>
          <cell r="M1737" t="str">
            <v>CENTENE-CORPORATION-12129/</v>
          </cell>
          <cell r="N1737" t="str">
            <v>CNC</v>
          </cell>
          <cell r="O1737" t="str">
            <v>CENTENE CORP</v>
          </cell>
          <cell r="P1737" t="str">
            <v>New York</v>
          </cell>
          <cell r="Q1737" t="str">
            <v>Health Care</v>
          </cell>
          <cell r="R1737" t="str">
            <v>Health Care Providers &amp; Servic</v>
          </cell>
          <cell r="S1737" t="str">
            <v>CNC</v>
          </cell>
        </row>
        <row r="1738">
          <cell r="L1738" t="str">
            <v>EW</v>
          </cell>
          <cell r="M1738" t="str">
            <v>EDWARDS-LIFESCIENCES-CORP-12521/</v>
          </cell>
          <cell r="N1738" t="str">
            <v>EW</v>
          </cell>
          <cell r="O1738" t="str">
            <v>EDWARDS LIFE</v>
          </cell>
          <cell r="P1738" t="str">
            <v>New York</v>
          </cell>
          <cell r="Q1738" t="str">
            <v>Health Care</v>
          </cell>
          <cell r="R1738" t="str">
            <v>Health Care Equipment &amp; Suppli</v>
          </cell>
          <cell r="S1738" t="str">
            <v>EW</v>
          </cell>
        </row>
        <row r="1739">
          <cell r="L1739" t="str">
            <v>DG</v>
          </cell>
          <cell r="M1739" t="str">
            <v>DOLLAR-GENERAL-CORPORATIO-5699818/</v>
          </cell>
          <cell r="N1739" t="str">
            <v>DG</v>
          </cell>
          <cell r="O1739" t="str">
            <v>DOLLAR GENERAL C</v>
          </cell>
          <cell r="P1739" t="str">
            <v>New York</v>
          </cell>
          <cell r="Q1739" t="str">
            <v>Consumer Discretionary</v>
          </cell>
          <cell r="R1739" t="str">
            <v>Multiline Retail</v>
          </cell>
          <cell r="S1739" t="str">
            <v>DG</v>
          </cell>
        </row>
        <row r="1740">
          <cell r="L1740" t="str">
            <v>PXD</v>
          </cell>
          <cell r="M1740" t="str">
            <v>PIONEER-NATURAL-RESOURCES-14159/</v>
          </cell>
          <cell r="N1740" t="str">
            <v>PXD</v>
          </cell>
          <cell r="O1740" t="str">
            <v>PIONEER NATURAL</v>
          </cell>
          <cell r="P1740" t="str">
            <v>New York</v>
          </cell>
          <cell r="Q1740" t="str">
            <v>Energy</v>
          </cell>
          <cell r="R1740" t="str">
            <v>Oil, Gas &amp; Consumable Fuels</v>
          </cell>
          <cell r="S1740" t="str">
            <v>PXD</v>
          </cell>
        </row>
        <row r="1741">
          <cell r="L1741" t="str">
            <v>FTV</v>
          </cell>
          <cell r="M1741" t="str">
            <v>FORTIVE-CORPORATION-28859043/</v>
          </cell>
          <cell r="N1741" t="str">
            <v>FTV</v>
          </cell>
          <cell r="O1741" t="str">
            <v>FORTIVE CORP</v>
          </cell>
          <cell r="P1741" t="str">
            <v>New York</v>
          </cell>
          <cell r="Q1741" t="str">
            <v>Industrials</v>
          </cell>
          <cell r="R1741" t="str">
            <v>Machinery</v>
          </cell>
          <cell r="S1741" t="str">
            <v>FTV</v>
          </cell>
        </row>
        <row r="1742">
          <cell r="L1742" t="str">
            <v>APH</v>
          </cell>
          <cell r="M1742" t="str">
            <v>AMPHENOL-11668/</v>
          </cell>
          <cell r="N1742" t="str">
            <v>APH</v>
          </cell>
          <cell r="O1742" t="str">
            <v>AMPHENOL CORP-A</v>
          </cell>
          <cell r="P1742" t="str">
            <v>New York</v>
          </cell>
          <cell r="Q1742" t="str">
            <v>Information Technology</v>
          </cell>
          <cell r="R1742" t="str">
            <v>Electronic Equipment, Instrume</v>
          </cell>
          <cell r="S1742" t="str">
            <v>APH</v>
          </cell>
        </row>
        <row r="1743">
          <cell r="L1743" t="str">
            <v>ADM</v>
          </cell>
          <cell r="M1743" t="str">
            <v>ARCHER-DANIELS-MIDLAND-CO-11533/</v>
          </cell>
          <cell r="N1743" t="str">
            <v>ADM</v>
          </cell>
          <cell r="O1743" t="str">
            <v>ARCHER-DANIELS</v>
          </cell>
          <cell r="P1743" t="str">
            <v>New York</v>
          </cell>
          <cell r="Q1743" t="str">
            <v>Consumer Staples</v>
          </cell>
          <cell r="R1743" t="str">
            <v>Food Products</v>
          </cell>
          <cell r="S1743" t="str">
            <v>ADM</v>
          </cell>
        </row>
        <row r="1744">
          <cell r="L1744" t="str">
            <v>YUM</v>
          </cell>
          <cell r="M1744" t="str">
            <v>YUM-BRANDS-46353249</v>
          </cell>
          <cell r="N1744" t="str">
            <v>YUM</v>
          </cell>
          <cell r="O1744" t="str">
            <v>YUM! BRANDS INC</v>
          </cell>
          <cell r="P1744" t="str">
            <v>New York</v>
          </cell>
          <cell r="Q1744" t="str">
            <v>Consumer Discretionary</v>
          </cell>
          <cell r="R1744" t="str">
            <v>Hotels, Restaurants &amp; Leisure</v>
          </cell>
          <cell r="S1744" t="str">
            <v>YUM</v>
          </cell>
        </row>
        <row r="1745">
          <cell r="L1745" t="str">
            <v>GE</v>
          </cell>
          <cell r="M1745" t="str">
            <v>GENERAL-MILLS-12763/</v>
          </cell>
          <cell r="N1745" t="str">
            <v>GE</v>
          </cell>
          <cell r="O1745" t="str">
            <v>GENERAL ELECTRIC</v>
          </cell>
          <cell r="P1745" t="str">
            <v>New York</v>
          </cell>
          <cell r="Q1745" t="str">
            <v>Industrials</v>
          </cell>
          <cell r="R1745" t="str">
            <v>Industrial Conglomerates</v>
          </cell>
          <cell r="S1745" t="str">
            <v>GE</v>
          </cell>
        </row>
        <row r="1746">
          <cell r="L1746" t="str">
            <v>AAP</v>
          </cell>
          <cell r="M1746" t="str">
            <v>ADVANCE-AUTO-PARTS-11492/</v>
          </cell>
          <cell r="N1746" t="str">
            <v>AAP</v>
          </cell>
          <cell r="O1746" t="str">
            <v>ADVANCE AUTO PAR</v>
          </cell>
          <cell r="P1746" t="str">
            <v>New York</v>
          </cell>
          <cell r="Q1746" t="str">
            <v>Consumer Discretionary</v>
          </cell>
          <cell r="R1746" t="str">
            <v>Specialty Retail</v>
          </cell>
          <cell r="S1746" t="str">
            <v>AAP</v>
          </cell>
        </row>
        <row r="1747">
          <cell r="L1747" t="str">
            <v>CXO</v>
          </cell>
          <cell r="M1747" t="str">
            <v>CONCHO-RESOURCES-57243/</v>
          </cell>
          <cell r="N1747" t="str">
            <v>CXO</v>
          </cell>
          <cell r="O1747" t="str">
            <v>CONCHO RESOURCES</v>
          </cell>
          <cell r="P1747" t="str">
            <v>New York</v>
          </cell>
          <cell r="Q1747" t="str">
            <v>Energy</v>
          </cell>
          <cell r="R1747" t="str">
            <v>Oil, Gas &amp; Consumable Fuels</v>
          </cell>
          <cell r="S1747" t="str">
            <v>CXO</v>
          </cell>
        </row>
        <row r="1748">
          <cell r="L1748" t="str">
            <v>GLW</v>
          </cell>
          <cell r="M1748" t="str">
            <v>CORNING-INCORPORATED-12788/</v>
          </cell>
          <cell r="N1748" t="str">
            <v>GLW</v>
          </cell>
          <cell r="O1748" t="str">
            <v>CORNING INC</v>
          </cell>
          <cell r="P1748" t="str">
            <v>New York</v>
          </cell>
          <cell r="Q1748" t="str">
            <v>Information Technology</v>
          </cell>
          <cell r="R1748" t="str">
            <v>Electronic Equipment, Instrume</v>
          </cell>
          <cell r="S1748" t="str">
            <v>GLW</v>
          </cell>
        </row>
        <row r="1749">
          <cell r="L1749" t="str">
            <v>OKE</v>
          </cell>
          <cell r="M1749" t="str">
            <v>ONEOK-13899/</v>
          </cell>
          <cell r="N1749" t="str">
            <v>OKE</v>
          </cell>
          <cell r="O1749" t="str">
            <v>ONEOK INC</v>
          </cell>
          <cell r="P1749" t="str">
            <v>New York</v>
          </cell>
          <cell r="Q1749" t="str">
            <v>Energy</v>
          </cell>
          <cell r="R1749" t="str">
            <v>Oil, Gas &amp; Consumable Fuels</v>
          </cell>
          <cell r="S1749" t="str">
            <v>OKE</v>
          </cell>
        </row>
        <row r="1750">
          <cell r="L1750" t="str">
            <v>DFS</v>
          </cell>
          <cell r="M1750" t="str">
            <v>DISCOVER-FINANCIAL-SERVIC-52882/</v>
          </cell>
          <cell r="N1750" t="str">
            <v>DFS</v>
          </cell>
          <cell r="O1750" t="str">
            <v>DISCOVER FINANCI</v>
          </cell>
          <cell r="P1750" t="str">
            <v>New York</v>
          </cell>
          <cell r="Q1750" t="str">
            <v>Financials</v>
          </cell>
          <cell r="R1750" t="str">
            <v>Consumer Finance</v>
          </cell>
          <cell r="S1750" t="str">
            <v>DFS</v>
          </cell>
        </row>
        <row r="1751">
          <cell r="L1751" t="str">
            <v>PSA</v>
          </cell>
          <cell r="M1751" t="str">
            <v>PUBLIC-SERVICE-ENTERPRISE-13969/</v>
          </cell>
          <cell r="N1751" t="str">
            <v>PSA</v>
          </cell>
          <cell r="O1751" t="str">
            <v>PUBLIC STORAGE</v>
          </cell>
          <cell r="P1751" t="str">
            <v>New York</v>
          </cell>
          <cell r="Q1751" t="str">
            <v>Real Estate</v>
          </cell>
          <cell r="R1751" t="str">
            <v>Equity Real Estate Investment</v>
          </cell>
          <cell r="S1751" t="str">
            <v>PSA</v>
          </cell>
        </row>
        <row r="1752">
          <cell r="L1752" t="str">
            <v>PPG</v>
          </cell>
          <cell r="M1752" t="str">
            <v>PPG-INDUSTRIES-14090/</v>
          </cell>
          <cell r="N1752" t="str">
            <v>PPG</v>
          </cell>
          <cell r="O1752" t="str">
            <v>PPG INDS INC</v>
          </cell>
          <cell r="P1752" t="str">
            <v>New York</v>
          </cell>
          <cell r="Q1752" t="str">
            <v>Materials</v>
          </cell>
          <cell r="R1752" t="str">
            <v>Chemicals</v>
          </cell>
          <cell r="S1752" t="str">
            <v>PPG</v>
          </cell>
        </row>
        <row r="1753">
          <cell r="L1753" t="str">
            <v>RHT</v>
          </cell>
          <cell r="M1753" t="str">
            <v>RED-HAT-40311139/</v>
          </cell>
          <cell r="N1753" t="str">
            <v>RHT</v>
          </cell>
          <cell r="O1753" t="str">
            <v>RED HAT INC</v>
          </cell>
          <cell r="P1753" t="str">
            <v>New York</v>
          </cell>
          <cell r="Q1753" t="str">
            <v>Information Technology</v>
          </cell>
          <cell r="R1753" t="str">
            <v>Software</v>
          </cell>
          <cell r="S1753" t="str">
            <v>RHT</v>
          </cell>
        </row>
        <row r="1754">
          <cell r="L1754" t="str">
            <v>TWTR</v>
          </cell>
          <cell r="M1754" t="str">
            <v>TWITTER-INC-38965267/</v>
          </cell>
          <cell r="N1754" t="str">
            <v>TWTR</v>
          </cell>
          <cell r="O1754" t="str">
            <v>TWITTER INC</v>
          </cell>
          <cell r="P1754" t="str">
            <v>New York</v>
          </cell>
          <cell r="Q1754" t="str">
            <v>Information Technology</v>
          </cell>
          <cell r="R1754" t="str">
            <v>Internet Software &amp; Services</v>
          </cell>
          <cell r="S1754" t="str">
            <v>TWTR</v>
          </cell>
        </row>
        <row r="1755">
          <cell r="L1755" t="str">
            <v>IQV</v>
          </cell>
          <cell r="M1755" t="str">
            <v>IQVIA-HOLDINGS-INC-40331382/</v>
          </cell>
          <cell r="N1755" t="str">
            <v>IQV</v>
          </cell>
          <cell r="O1755" t="str">
            <v>IQVIA HOLDINGS I</v>
          </cell>
          <cell r="P1755" t="str">
            <v>New York</v>
          </cell>
          <cell r="Q1755" t="str">
            <v>Health Care</v>
          </cell>
          <cell r="R1755" t="str">
            <v>Life Sciences Tools &amp; Services</v>
          </cell>
          <cell r="S1755" t="str">
            <v>IQV</v>
          </cell>
        </row>
        <row r="1756">
          <cell r="L1756" t="str">
            <v>WY</v>
          </cell>
          <cell r="M1756" t="str">
            <v>WEYERHAEUSER-COMPANY-14932/</v>
          </cell>
          <cell r="N1756" t="str">
            <v>WY</v>
          </cell>
          <cell r="O1756" t="str">
            <v>WEYERHAEUSER CO</v>
          </cell>
          <cell r="P1756" t="str">
            <v>New York</v>
          </cell>
          <cell r="Q1756" t="str">
            <v>Real Estate</v>
          </cell>
          <cell r="R1756" t="str">
            <v>Equity Real Estate Investment</v>
          </cell>
          <cell r="S1756" t="str">
            <v>WY</v>
          </cell>
        </row>
        <row r="1757">
          <cell r="L1757" t="str">
            <v>MTB</v>
          </cell>
          <cell r="M1757" t="str">
            <v>M-T-BANK-CORPORATION-13626/</v>
          </cell>
          <cell r="N1757" t="str">
            <v>MTB</v>
          </cell>
          <cell r="O1757" t="str">
            <v>M&amp;T BANK CORP</v>
          </cell>
          <cell r="P1757" t="str">
            <v>New York</v>
          </cell>
          <cell r="Q1757" t="str">
            <v>Financials</v>
          </cell>
          <cell r="R1757" t="str">
            <v>Banks</v>
          </cell>
          <cell r="S1757" t="str">
            <v>MTB</v>
          </cell>
        </row>
        <row r="1758">
          <cell r="L1758" t="str">
            <v>EQR</v>
          </cell>
          <cell r="M1758" t="str">
            <v>EQUITY-RESIDENTIAL-12485/</v>
          </cell>
          <cell r="N1758" t="str">
            <v>EQR</v>
          </cell>
          <cell r="O1758" t="str">
            <v>EQUITY RESIDENTI</v>
          </cell>
          <cell r="P1758" t="str">
            <v>New York</v>
          </cell>
          <cell r="Q1758" t="str">
            <v>Real Estate</v>
          </cell>
          <cell r="R1758" t="str">
            <v>Equity Real Estate Investment</v>
          </cell>
          <cell r="S1758" t="str">
            <v>EQR</v>
          </cell>
        </row>
        <row r="1759">
          <cell r="L1759" t="str">
            <v>DXC</v>
          </cell>
          <cell r="M1759" t="str">
            <v>DXC-TECHNOLOGY-COMPANY-34481067/</v>
          </cell>
          <cell r="N1759" t="str">
            <v>DXC</v>
          </cell>
          <cell r="O1759" t="str">
            <v>DXC TECHNOLOGY C</v>
          </cell>
          <cell r="P1759" t="str">
            <v>New York</v>
          </cell>
          <cell r="Q1759" t="str">
            <v>Information Technology</v>
          </cell>
          <cell r="R1759" t="str">
            <v>IT Services</v>
          </cell>
          <cell r="S1759" t="str">
            <v>DXC</v>
          </cell>
        </row>
        <row r="1760">
          <cell r="L1760" t="str">
            <v>BF/A</v>
          </cell>
          <cell r="M1760" t="str">
            <v>BROWN-FORMAN-CORPORATION-11816/</v>
          </cell>
          <cell r="N1760" t="str">
            <v>BF/A</v>
          </cell>
          <cell r="O1760" t="str">
            <v>BROWN-FORMAN -A</v>
          </cell>
          <cell r="P1760" t="str">
            <v>New York</v>
          </cell>
          <cell r="Q1760" t="str">
            <v>Consumer Staples</v>
          </cell>
          <cell r="R1760" t="str">
            <v>Beverages</v>
          </cell>
          <cell r="S1760" t="str">
            <v>BF/A</v>
          </cell>
        </row>
        <row r="1761">
          <cell r="L1761" t="str">
            <v>DLR</v>
          </cell>
          <cell r="M1761" t="str">
            <v>DIGITAL-REALTY-TRUST-12320/</v>
          </cell>
          <cell r="N1761" t="str">
            <v>DLR</v>
          </cell>
          <cell r="O1761" t="str">
            <v>DIGITAL REALTY</v>
          </cell>
          <cell r="P1761" t="str">
            <v>New York</v>
          </cell>
          <cell r="Q1761" t="str">
            <v>Real Estate</v>
          </cell>
          <cell r="R1761" t="str">
            <v>Equity Real Estate Investment</v>
          </cell>
          <cell r="S1761" t="str">
            <v>DLR</v>
          </cell>
        </row>
        <row r="1762">
          <cell r="L1762" t="str">
            <v>KR</v>
          </cell>
          <cell r="M1762" t="str">
            <v>KROGER-13293/</v>
          </cell>
          <cell r="N1762" t="str">
            <v>KR</v>
          </cell>
          <cell r="O1762" t="str">
            <v>KROGER CO</v>
          </cell>
          <cell r="P1762" t="str">
            <v>New York</v>
          </cell>
          <cell r="Q1762" t="str">
            <v>Consumer Staples</v>
          </cell>
          <cell r="R1762" t="str">
            <v>Food &amp; Staples Retailing</v>
          </cell>
          <cell r="S1762" t="str">
            <v>KR</v>
          </cell>
        </row>
        <row r="1763">
          <cell r="L1763" t="str">
            <v>RCL</v>
          </cell>
          <cell r="M1763" t="str">
            <v>ROYAL-CARIBBEAN-CRUISES-14206/</v>
          </cell>
          <cell r="N1763" t="str">
            <v>RCL</v>
          </cell>
          <cell r="O1763" t="str">
            <v>ROYAL CARIBBEAN</v>
          </cell>
          <cell r="P1763" t="str">
            <v>New York</v>
          </cell>
          <cell r="Q1763" t="str">
            <v>Consumer Discretionary</v>
          </cell>
          <cell r="R1763" t="str">
            <v>Hotels, Restaurants &amp; Leisure</v>
          </cell>
          <cell r="S1763" t="str">
            <v>RCL</v>
          </cell>
        </row>
        <row r="1764">
          <cell r="L1764" t="str">
            <v>AVB</v>
          </cell>
          <cell r="M1764" t="str">
            <v>AVALONBAY-COMMUNITIES-11717/</v>
          </cell>
          <cell r="N1764" t="str">
            <v>AVB</v>
          </cell>
          <cell r="O1764" t="str">
            <v>AVALONBAY COMMUN</v>
          </cell>
          <cell r="P1764" t="str">
            <v>New York</v>
          </cell>
          <cell r="Q1764" t="str">
            <v>Real Estate</v>
          </cell>
          <cell r="R1764" t="str">
            <v>Equity Real Estate Investment</v>
          </cell>
          <cell r="S1764" t="str">
            <v>AVB</v>
          </cell>
        </row>
        <row r="1765">
          <cell r="L1765" t="str">
            <v>HPE</v>
          </cell>
          <cell r="M1765" t="str">
            <v>HEWLETT-PACKARD-ENTERPRIS-24843838/</v>
          </cell>
          <cell r="N1765" t="str">
            <v>HPE</v>
          </cell>
          <cell r="O1765" t="str">
            <v>HEWLETT PACKA</v>
          </cell>
          <cell r="P1765" t="str">
            <v>New York</v>
          </cell>
          <cell r="Q1765" t="str">
            <v>Information Technology</v>
          </cell>
          <cell r="R1765" t="str">
            <v>Technology Hardware, Storage &amp;</v>
          </cell>
          <cell r="S1765" t="str">
            <v>HPE</v>
          </cell>
        </row>
        <row r="1766">
          <cell r="L1766" t="str">
            <v>IR</v>
          </cell>
          <cell r="M1766" t="str">
            <v>INGERSOLL-RAND-13109/</v>
          </cell>
          <cell r="N1766" t="str">
            <v>IR</v>
          </cell>
          <cell r="O1766" t="str">
            <v>INGERSOLL-RAND</v>
          </cell>
          <cell r="P1766" t="str">
            <v>New York</v>
          </cell>
          <cell r="Q1766" t="str">
            <v>Industrials</v>
          </cell>
          <cell r="R1766" t="str">
            <v>Machinery</v>
          </cell>
          <cell r="S1766" t="str">
            <v>IR</v>
          </cell>
        </row>
        <row r="1767">
          <cell r="L1767" t="str">
            <v>K</v>
          </cell>
          <cell r="M1767" t="str">
            <v>KELLOGG-13226/</v>
          </cell>
          <cell r="N1767" t="str">
            <v>K</v>
          </cell>
          <cell r="O1767" t="str">
            <v>KELLOGG CO</v>
          </cell>
          <cell r="P1767" t="str">
            <v>New York</v>
          </cell>
          <cell r="Q1767" t="str">
            <v>Consumer Staples</v>
          </cell>
          <cell r="R1767" t="str">
            <v>Food Products</v>
          </cell>
          <cell r="S1767" t="str">
            <v>K</v>
          </cell>
        </row>
        <row r="1768">
          <cell r="L1768" t="str">
            <v>ZBH</v>
          </cell>
          <cell r="M1768" t="str">
            <v>ZIMMER-BIOMET-HOLDINGS-14996/</v>
          </cell>
          <cell r="N1768" t="str">
            <v>ZBH</v>
          </cell>
          <cell r="O1768" t="str">
            <v>ZIMMER BIOMET HO</v>
          </cell>
          <cell r="P1768" t="str">
            <v>New York</v>
          </cell>
          <cell r="Q1768" t="str">
            <v>Health Care</v>
          </cell>
          <cell r="R1768" t="str">
            <v>Health Care Equipment &amp; Suppli</v>
          </cell>
          <cell r="S1768" t="str">
            <v>ZBH</v>
          </cell>
        </row>
        <row r="1769">
          <cell r="L1769" t="str">
            <v>MCK</v>
          </cell>
          <cell r="M1769" t="str">
            <v>MCKESSON-CORPORATION-13470/</v>
          </cell>
          <cell r="N1769" t="str">
            <v>MCK</v>
          </cell>
          <cell r="O1769" t="str">
            <v>MCKESSON CORP</v>
          </cell>
          <cell r="P1769" t="str">
            <v>New York</v>
          </cell>
          <cell r="Q1769" t="str">
            <v>Health Care</v>
          </cell>
          <cell r="R1769" t="str">
            <v>Health Care Providers &amp; Servic</v>
          </cell>
          <cell r="S1769" t="str">
            <v>MCK</v>
          </cell>
        </row>
        <row r="1770">
          <cell r="L1770" t="str">
            <v>NOC</v>
          </cell>
          <cell r="M1770" t="str">
            <v>NORTHERN-TRUST-CORPORATIO-40311094/</v>
          </cell>
          <cell r="N1770" t="str">
            <v>NOC</v>
          </cell>
          <cell r="O1770" t="str">
            <v>NORTHROP GRUMMAN</v>
          </cell>
          <cell r="P1770" t="str">
            <v>New York</v>
          </cell>
          <cell r="Q1770" t="str">
            <v>Industrials</v>
          </cell>
          <cell r="R1770" t="str">
            <v>Aerospace &amp; Defense</v>
          </cell>
          <cell r="S1770" t="str">
            <v>NOC</v>
          </cell>
        </row>
        <row r="1771">
          <cell r="L1771" t="str">
            <v>WELL</v>
          </cell>
          <cell r="M1771" t="str">
            <v>WELLTOWER-INC-24156984/</v>
          </cell>
          <cell r="N1771" t="str">
            <v>WELL</v>
          </cell>
          <cell r="O1771" t="str">
            <v>WELLTOWER INC</v>
          </cell>
          <cell r="P1771" t="str">
            <v>New York</v>
          </cell>
          <cell r="Q1771" t="str">
            <v>Real Estate</v>
          </cell>
          <cell r="R1771" t="str">
            <v>Equity Real Estate Investment</v>
          </cell>
          <cell r="S1771" t="str">
            <v>WELL</v>
          </cell>
        </row>
        <row r="1772">
          <cell r="L1772" t="str">
            <v>PCG</v>
          </cell>
          <cell r="M1772" t="str">
            <v>PG-E-CORPORATION-13946/</v>
          </cell>
          <cell r="N1772" t="str">
            <v>PCG</v>
          </cell>
          <cell r="O1772" t="str">
            <v>PG&amp;E CORP</v>
          </cell>
          <cell r="P1772" t="str">
            <v>New York</v>
          </cell>
          <cell r="Q1772" t="str">
            <v>Utilities</v>
          </cell>
          <cell r="R1772" t="str">
            <v>Electric Utilities</v>
          </cell>
          <cell r="S1772" t="str">
            <v>PCG</v>
          </cell>
        </row>
        <row r="1773">
          <cell r="L1773" t="str">
            <v>UNH</v>
          </cell>
          <cell r="M1773" t="str">
            <v>UNITED-CONTINENTAL-HOLDIN-13094239/</v>
          </cell>
          <cell r="N1773" t="str">
            <v>UNH</v>
          </cell>
          <cell r="O1773" t="str">
            <v>UNITEDHEALTH GRP</v>
          </cell>
          <cell r="P1773" t="str">
            <v>New York</v>
          </cell>
          <cell r="Q1773" t="str">
            <v>Health Care</v>
          </cell>
          <cell r="R1773" t="str">
            <v>Health Care Providers &amp; Servic</v>
          </cell>
          <cell r="S1773" t="str">
            <v>UNH</v>
          </cell>
        </row>
        <row r="1774">
          <cell r="L1774" t="str">
            <v>RSG</v>
          </cell>
          <cell r="M1774" t="str">
            <v>REPUBLIC-SERVICES-14296/</v>
          </cell>
          <cell r="N1774" t="str">
            <v>RSG</v>
          </cell>
          <cell r="O1774" t="str">
            <v>REPUBLIC SVCS</v>
          </cell>
          <cell r="P1774" t="str">
            <v>New York</v>
          </cell>
          <cell r="Q1774" t="str">
            <v>Industrials</v>
          </cell>
          <cell r="R1774" t="str">
            <v>Commercial Services &amp; Supplies</v>
          </cell>
          <cell r="S1774" t="str">
            <v>RSG</v>
          </cell>
        </row>
        <row r="1775">
          <cell r="L1775" t="str">
            <v>SYF</v>
          </cell>
          <cell r="M1775" t="str">
            <v>SYNCHRONY-FINANCIAL-17093673/</v>
          </cell>
          <cell r="N1775" t="str">
            <v>SYF</v>
          </cell>
          <cell r="O1775" t="str">
            <v>SYNCHRONY FINANC</v>
          </cell>
          <cell r="P1775" t="str">
            <v>New York</v>
          </cell>
          <cell r="Q1775" t="str">
            <v>Financials</v>
          </cell>
          <cell r="R1775" t="str">
            <v>Consumer Finance</v>
          </cell>
          <cell r="S1775" t="str">
            <v>SYF</v>
          </cell>
        </row>
        <row r="1776">
          <cell r="L1776" t="str">
            <v>ANDV</v>
          </cell>
          <cell r="M1776" t="str">
            <v>ANDEAVOR-37468992/</v>
          </cell>
          <cell r="N1776" t="str">
            <v>ANDV</v>
          </cell>
          <cell r="O1776" t="str">
            <v>ANDEAVOR</v>
          </cell>
          <cell r="P1776" t="str">
            <v>New York</v>
          </cell>
          <cell r="Q1776" t="str">
            <v>Energy</v>
          </cell>
          <cell r="R1776" t="str">
            <v>Oil, Gas &amp; Consumable Fuels</v>
          </cell>
          <cell r="S1776" t="str">
            <v>ANDV</v>
          </cell>
        </row>
        <row r="1777">
          <cell r="L1777" t="str">
            <v>CTL</v>
          </cell>
          <cell r="M1777" t="str">
            <v>CENTURYLINK-14056214/</v>
          </cell>
          <cell r="N1777" t="str">
            <v>CTL</v>
          </cell>
          <cell r="O1777" t="str">
            <v>CENTURYLINK INC</v>
          </cell>
          <cell r="P1777" t="str">
            <v>New York</v>
          </cell>
          <cell r="Q1777" t="str">
            <v>Telecommunication Services</v>
          </cell>
          <cell r="R1777" t="str">
            <v>Diversified Telecommunication</v>
          </cell>
          <cell r="S1777" t="str">
            <v>CTL</v>
          </cell>
        </row>
        <row r="1778">
          <cell r="L1778" t="str">
            <v>PH</v>
          </cell>
          <cell r="M1778" t="str">
            <v>PARKER-HANNIFIN-40295173/</v>
          </cell>
          <cell r="N1778" t="str">
            <v>PH</v>
          </cell>
          <cell r="O1778" t="str">
            <v>PARKER HANNIFIN</v>
          </cell>
          <cell r="P1778" t="str">
            <v>New York</v>
          </cell>
          <cell r="Q1778" t="str">
            <v>Industrials</v>
          </cell>
          <cell r="R1778" t="str">
            <v>Machinery</v>
          </cell>
          <cell r="S1778" t="str">
            <v>PH</v>
          </cell>
        </row>
        <row r="1779">
          <cell r="L1779" t="str">
            <v>APTV</v>
          </cell>
          <cell r="M1779" t="str">
            <v>APTIV-9428309/</v>
          </cell>
          <cell r="N1779" t="str">
            <v>APTV</v>
          </cell>
          <cell r="O1779" t="str">
            <v>APTIV PLC</v>
          </cell>
          <cell r="P1779" t="str">
            <v>New York</v>
          </cell>
          <cell r="Q1779" t="str">
            <v>Consumer Discretionary</v>
          </cell>
          <cell r="R1779" t="str">
            <v>Auto Components</v>
          </cell>
          <cell r="S1779" t="str">
            <v>APTV</v>
          </cell>
        </row>
        <row r="1780">
          <cell r="L1780" t="str">
            <v>HLT</v>
          </cell>
          <cell r="M1780" t="str">
            <v>HILTON-WORLDWIDE-HOLDINGS-40311470/</v>
          </cell>
          <cell r="N1780" t="str">
            <v>HLT</v>
          </cell>
          <cell r="O1780" t="str">
            <v>HILTON WORLDWIDE</v>
          </cell>
          <cell r="P1780" t="str">
            <v>New York</v>
          </cell>
          <cell r="Q1780" t="str">
            <v>Consumer Discretionary</v>
          </cell>
          <cell r="R1780" t="str">
            <v>Hotels, Restaurants &amp; Leisure</v>
          </cell>
          <cell r="S1780" t="str">
            <v>HLT</v>
          </cell>
        </row>
        <row r="1781">
          <cell r="L1781" t="str">
            <v>TSN</v>
          </cell>
          <cell r="M1781" t="str">
            <v>TYSON-FOODS-14672/</v>
          </cell>
          <cell r="N1781" t="str">
            <v>TSN</v>
          </cell>
          <cell r="O1781" t="str">
            <v>TYSON FOODS-A</v>
          </cell>
          <cell r="P1781" t="str">
            <v>New York</v>
          </cell>
          <cell r="Q1781" t="str">
            <v>Consumer Staples</v>
          </cell>
          <cell r="R1781" t="str">
            <v>Food Products</v>
          </cell>
          <cell r="S1781" t="str">
            <v>TSN</v>
          </cell>
        </row>
        <row r="1782">
          <cell r="L1782" t="str">
            <v>CMI</v>
          </cell>
          <cell r="M1782" t="str">
            <v>CUMMINS-12214/</v>
          </cell>
          <cell r="N1782" t="str">
            <v>CMI</v>
          </cell>
          <cell r="O1782" t="str">
            <v>CUMMINS INC</v>
          </cell>
          <cell r="P1782" t="str">
            <v>New York</v>
          </cell>
          <cell r="Q1782" t="str">
            <v>Industrials</v>
          </cell>
          <cell r="R1782" t="str">
            <v>Machinery</v>
          </cell>
          <cell r="S1782" t="str">
            <v>CMI</v>
          </cell>
        </row>
        <row r="1783">
          <cell r="L1783" t="str">
            <v>BBY</v>
          </cell>
          <cell r="M1783" t="str">
            <v>BEST-BUY-COMPANY-11778/</v>
          </cell>
          <cell r="N1783" t="str">
            <v>BBY</v>
          </cell>
          <cell r="O1783" t="str">
            <v>BEST BUY CO INC</v>
          </cell>
          <cell r="P1783" t="str">
            <v>New York</v>
          </cell>
          <cell r="Q1783" t="str">
            <v>Consumer Discretionary</v>
          </cell>
          <cell r="R1783" t="str">
            <v>Specialty Retail</v>
          </cell>
          <cell r="S1783" t="str">
            <v>BBY</v>
          </cell>
        </row>
        <row r="1784">
          <cell r="L1784" t="str">
            <v>COL</v>
          </cell>
          <cell r="M1784" t="str">
            <v>ROCKWELL-AUTOMATION-14277/</v>
          </cell>
          <cell r="N1784" t="str">
            <v>COL</v>
          </cell>
          <cell r="O1784" t="str">
            <v>ROCKWELL COLLINS</v>
          </cell>
          <cell r="P1784" t="str">
            <v>New York</v>
          </cell>
          <cell r="Q1784" t="str">
            <v>Industrials</v>
          </cell>
          <cell r="R1784" t="str">
            <v>Aerospace &amp; Defense</v>
          </cell>
          <cell r="S1784" t="str">
            <v>COL</v>
          </cell>
        </row>
        <row r="1785">
          <cell r="L1785" t="str">
            <v>COL</v>
          </cell>
          <cell r="M1785" t="str">
            <v>ROCKWELL-COLLINS-16723/</v>
          </cell>
          <cell r="N1785" t="str">
            <v>COL</v>
          </cell>
          <cell r="O1785" t="str">
            <v>ROCKWELL COLLINS</v>
          </cell>
          <cell r="P1785" t="str">
            <v>New York</v>
          </cell>
          <cell r="Q1785" t="str">
            <v>Industrials</v>
          </cell>
          <cell r="R1785" t="str">
            <v>Aerospace &amp; Defense</v>
          </cell>
          <cell r="S1785" t="str">
            <v>COL</v>
          </cell>
        </row>
        <row r="1786">
          <cell r="L1786" t="str">
            <v>KEY</v>
          </cell>
          <cell r="M1786" t="str">
            <v>KEYCORP-40311107/</v>
          </cell>
          <cell r="N1786" t="str">
            <v>KEY</v>
          </cell>
          <cell r="O1786" t="str">
            <v>KEYCORP</v>
          </cell>
          <cell r="P1786" t="str">
            <v>New York</v>
          </cell>
          <cell r="Q1786" t="str">
            <v>Financials</v>
          </cell>
          <cell r="R1786" t="str">
            <v>Banks</v>
          </cell>
          <cell r="S1786" t="str">
            <v>KEY</v>
          </cell>
        </row>
        <row r="1787">
          <cell r="L1787" t="str">
            <v>EIX</v>
          </cell>
          <cell r="M1787" t="str">
            <v>EDISON-INTERNATIONAL-12435/</v>
          </cell>
          <cell r="N1787" t="str">
            <v>EIX</v>
          </cell>
          <cell r="O1787" t="str">
            <v>EDISON INTL</v>
          </cell>
          <cell r="P1787" t="str">
            <v>New York</v>
          </cell>
          <cell r="Q1787" t="str">
            <v>Utilities</v>
          </cell>
          <cell r="R1787" t="str">
            <v>Electric Utilities</v>
          </cell>
          <cell r="S1787" t="str">
            <v>EIX</v>
          </cell>
        </row>
        <row r="1788">
          <cell r="L1788" t="str">
            <v>RF</v>
          </cell>
          <cell r="M1788" t="str">
            <v>REGIONS-FINANCIAL-CORPORA-14228/</v>
          </cell>
          <cell r="N1788" t="str">
            <v>RF</v>
          </cell>
          <cell r="O1788" t="str">
            <v>REGIONS FINANCIA</v>
          </cell>
          <cell r="P1788" t="str">
            <v>New York</v>
          </cell>
          <cell r="Q1788" t="str">
            <v>Financials</v>
          </cell>
          <cell r="R1788" t="str">
            <v>Banks</v>
          </cell>
          <cell r="S1788" t="str">
            <v>RF</v>
          </cell>
        </row>
        <row r="1789">
          <cell r="L1789" t="str">
            <v>DVN</v>
          </cell>
          <cell r="M1789" t="str">
            <v>DEVON-ENERGY-CORPORATION-40311142/</v>
          </cell>
          <cell r="N1789" t="str">
            <v>DVN</v>
          </cell>
          <cell r="O1789" t="str">
            <v>DEVON ENERGY CO</v>
          </cell>
          <cell r="P1789" t="str">
            <v>New York</v>
          </cell>
          <cell r="Q1789" t="str">
            <v>Energy</v>
          </cell>
          <cell r="R1789" t="str">
            <v>Oil, Gas &amp; Consumable Fuels</v>
          </cell>
          <cell r="S1789" t="str">
            <v>DVN</v>
          </cell>
        </row>
        <row r="1790">
          <cell r="L1790" t="str">
            <v>WEC</v>
          </cell>
          <cell r="M1790" t="str">
            <v>WEC-ENERGY-GROUP-22762482/</v>
          </cell>
          <cell r="N1790" t="str">
            <v>WEC</v>
          </cell>
          <cell r="O1790" t="str">
            <v>WEC ENERGY GROUP</v>
          </cell>
          <cell r="P1790" t="str">
            <v>New York</v>
          </cell>
          <cell r="Q1790" t="str">
            <v>Utilities</v>
          </cell>
          <cell r="R1790" t="str">
            <v>Multi-Utilities</v>
          </cell>
          <cell r="S1790" t="str">
            <v>WEC</v>
          </cell>
        </row>
        <row r="1791">
          <cell r="L1791" t="str">
            <v>A</v>
          </cell>
          <cell r="M1791" t="str">
            <v>AGILENT-TECHNOLOGIES-11488/</v>
          </cell>
          <cell r="N1791" t="str">
            <v>A</v>
          </cell>
          <cell r="O1791" t="str">
            <v>AGILENT TECH INC</v>
          </cell>
          <cell r="P1791" t="str">
            <v>New York</v>
          </cell>
          <cell r="Q1791" t="str">
            <v>Health Care</v>
          </cell>
          <cell r="R1791" t="str">
            <v>Life Sciences Tools &amp; Services</v>
          </cell>
          <cell r="S1791" t="str">
            <v>A</v>
          </cell>
        </row>
        <row r="1792">
          <cell r="L1792" t="str">
            <v>SWK</v>
          </cell>
          <cell r="M1792" t="str">
            <v>STANLEY-BLACK-DECKER-14522/</v>
          </cell>
          <cell r="N1792" t="str">
            <v>SWK</v>
          </cell>
          <cell r="O1792" t="str">
            <v>STANLEY BLACK &amp;</v>
          </cell>
          <cell r="P1792" t="str">
            <v>New York</v>
          </cell>
          <cell r="Q1792" t="str">
            <v>Industrials</v>
          </cell>
          <cell r="R1792" t="str">
            <v>Machinery</v>
          </cell>
          <cell r="S1792" t="str">
            <v>SWK</v>
          </cell>
        </row>
        <row r="1793">
          <cell r="L1793" t="str">
            <v>HSY</v>
          </cell>
          <cell r="M1793" t="str">
            <v>THE-HERSHEY-COMPANY-12988/</v>
          </cell>
          <cell r="N1793" t="str">
            <v>HSY</v>
          </cell>
          <cell r="O1793" t="str">
            <v>HERSHEY CO/THE</v>
          </cell>
          <cell r="P1793" t="str">
            <v>New York</v>
          </cell>
          <cell r="Q1793" t="str">
            <v>Consumer Staples</v>
          </cell>
          <cell r="R1793" t="str">
            <v>Food Products</v>
          </cell>
          <cell r="S1793" t="str">
            <v>HSY</v>
          </cell>
        </row>
        <row r="1794">
          <cell r="L1794" t="str">
            <v>HRL</v>
          </cell>
          <cell r="M1794" t="str">
            <v>HORMEL-FOODS-12977/</v>
          </cell>
          <cell r="N1794" t="str">
            <v>HRL</v>
          </cell>
          <cell r="O1794" t="str">
            <v>HORMEL FOODS CRP</v>
          </cell>
          <cell r="P1794" t="str">
            <v>New York</v>
          </cell>
          <cell r="Q1794" t="str">
            <v>Consumer Staples</v>
          </cell>
          <cell r="R1794" t="str">
            <v>Food Products</v>
          </cell>
          <cell r="S1794" t="str">
            <v>HRL</v>
          </cell>
        </row>
        <row r="1795">
          <cell r="L1795" t="str">
            <v>VTR</v>
          </cell>
          <cell r="M1795" t="str">
            <v>VENTAS-14836/</v>
          </cell>
          <cell r="N1795" t="str">
            <v>VTR</v>
          </cell>
          <cell r="O1795" t="str">
            <v>VENTAS INC</v>
          </cell>
          <cell r="P1795" t="str">
            <v>New York</v>
          </cell>
          <cell r="Q1795" t="str">
            <v>Real Estate</v>
          </cell>
          <cell r="R1795" t="str">
            <v>Equity Real Estate Investment</v>
          </cell>
          <cell r="S1795" t="str">
            <v>VTR</v>
          </cell>
        </row>
        <row r="1796">
          <cell r="L1796" t="str">
            <v>PPL</v>
          </cell>
          <cell r="M1796" t="str">
            <v>PPL-CORPORATION-14091/</v>
          </cell>
          <cell r="N1796" t="str">
            <v>PPL</v>
          </cell>
          <cell r="O1796" t="str">
            <v>PPL CORP</v>
          </cell>
          <cell r="P1796" t="str">
            <v>New York</v>
          </cell>
          <cell r="Q1796" t="str">
            <v>Utilities</v>
          </cell>
          <cell r="R1796" t="str">
            <v>Electric Utilities</v>
          </cell>
          <cell r="S1796" t="str">
            <v>PPL</v>
          </cell>
        </row>
        <row r="1797">
          <cell r="L1797" t="str">
            <v>ICE</v>
          </cell>
          <cell r="M1797" t="str">
            <v>INTERNATIONAL-PAPER-COMPA-13095/</v>
          </cell>
          <cell r="N1797" t="str">
            <v>ICE</v>
          </cell>
          <cell r="O1797" t="str">
            <v>INTERCONTINENTAL</v>
          </cell>
          <cell r="P1797" t="str">
            <v>New York</v>
          </cell>
          <cell r="Q1797" t="str">
            <v>Financials</v>
          </cell>
          <cell r="R1797" t="str">
            <v>Capital Markets</v>
          </cell>
          <cell r="S1797" t="str">
            <v>ICE</v>
          </cell>
        </row>
        <row r="1798">
          <cell r="L1798" t="str">
            <v>MSI</v>
          </cell>
          <cell r="M1798" t="str">
            <v>MOTOROLA-SOLUTIONS-7130472/</v>
          </cell>
          <cell r="N1798" t="str">
            <v>MSI</v>
          </cell>
          <cell r="O1798" t="str">
            <v>MOTOROLA SOLUTIO</v>
          </cell>
          <cell r="P1798" t="str">
            <v>New York</v>
          </cell>
          <cell r="Q1798" t="str">
            <v>Information Technology</v>
          </cell>
          <cell r="R1798" t="str">
            <v>Communications Equipment</v>
          </cell>
          <cell r="S1798" t="str">
            <v>MSI</v>
          </cell>
        </row>
        <row r="1799">
          <cell r="L1799" t="str">
            <v>AZO</v>
          </cell>
          <cell r="M1799" t="str">
            <v>AUTOZONE-11746/</v>
          </cell>
          <cell r="N1799" t="str">
            <v>AZO</v>
          </cell>
          <cell r="O1799" t="str">
            <v>AUTOZONE INC</v>
          </cell>
          <cell r="P1799" t="str">
            <v>New York</v>
          </cell>
          <cell r="Q1799" t="str">
            <v>Consumer Discretionary</v>
          </cell>
          <cell r="R1799" t="str">
            <v>Specialty Retail</v>
          </cell>
          <cell r="S1799" t="str">
            <v>AZO</v>
          </cell>
        </row>
        <row r="1800">
          <cell r="L1800" t="str">
            <v>AXP</v>
          </cell>
          <cell r="M1800" t="str">
            <v>AMERIPRISE-FINANCIAL-11642/</v>
          </cell>
          <cell r="N1800" t="str">
            <v>AXP</v>
          </cell>
          <cell r="O1800" t="str">
            <v>AMERICAN EXPRESS</v>
          </cell>
          <cell r="P1800" t="str">
            <v>New York</v>
          </cell>
          <cell r="Q1800" t="str">
            <v>Financials</v>
          </cell>
          <cell r="R1800" t="str">
            <v>Consumer Finance</v>
          </cell>
          <cell r="S1800" t="str">
            <v>AXP</v>
          </cell>
        </row>
        <row r="1801">
          <cell r="L1801" t="str">
            <v>DTE</v>
          </cell>
          <cell r="M1801" t="str">
            <v>DTE-ENERGY-CO-12368/</v>
          </cell>
          <cell r="N1801" t="str">
            <v>DTE</v>
          </cell>
          <cell r="O1801" t="str">
            <v>DTE ENERGY CO</v>
          </cell>
          <cell r="P1801" t="str">
            <v>New York</v>
          </cell>
          <cell r="Q1801" t="str">
            <v>Utilities</v>
          </cell>
          <cell r="R1801" t="str">
            <v>Multi-Utilities</v>
          </cell>
          <cell r="S1801" t="str">
            <v>DTE</v>
          </cell>
        </row>
        <row r="1802">
          <cell r="L1802" t="str">
            <v>GWW</v>
          </cell>
          <cell r="M1802" t="str">
            <v>GRAINGER-WW-12858/</v>
          </cell>
          <cell r="N1802" t="str">
            <v>GWW</v>
          </cell>
          <cell r="O1802" t="str">
            <v>WW GRAINGER INC</v>
          </cell>
          <cell r="P1802" t="str">
            <v>New York</v>
          </cell>
          <cell r="Q1802" t="str">
            <v>Industrials</v>
          </cell>
          <cell r="R1802" t="str">
            <v>Trading Companies &amp; Distributo</v>
          </cell>
          <cell r="S1802" t="str">
            <v>GWW</v>
          </cell>
        </row>
        <row r="1803">
          <cell r="L1803" t="str">
            <v>BSX</v>
          </cell>
          <cell r="M1803" t="str">
            <v>BOSTON-PROPERTIES-11957/</v>
          </cell>
          <cell r="N1803" t="str">
            <v>BSX</v>
          </cell>
          <cell r="O1803" t="str">
            <v>BOSTON SCIENTIFC</v>
          </cell>
          <cell r="P1803" t="str">
            <v>New York</v>
          </cell>
          <cell r="Q1803" t="str">
            <v>Health Care</v>
          </cell>
          <cell r="R1803" t="str">
            <v>Health Care Equipment &amp; Suppli</v>
          </cell>
          <cell r="S1803" t="str">
            <v>BSX</v>
          </cell>
        </row>
        <row r="1804">
          <cell r="L1804" t="str">
            <v>GPN</v>
          </cell>
          <cell r="M1804" t="str">
            <v>GLOBAL-PAYMENTS-12814/</v>
          </cell>
          <cell r="N1804" t="str">
            <v>GPN</v>
          </cell>
          <cell r="O1804" t="str">
            <v>GLOBAL PAYMENTS</v>
          </cell>
          <cell r="P1804" t="str">
            <v>New York</v>
          </cell>
          <cell r="Q1804" t="str">
            <v>Information Technology</v>
          </cell>
          <cell r="R1804" t="str">
            <v>IT Services</v>
          </cell>
          <cell r="S1804" t="str">
            <v>GPN</v>
          </cell>
        </row>
        <row r="1805">
          <cell r="L1805" t="str">
            <v>CBS</v>
          </cell>
          <cell r="M1805" t="str">
            <v>CBS-CORPORATION-14804/</v>
          </cell>
          <cell r="N1805" t="str">
            <v>CBS</v>
          </cell>
          <cell r="O1805" t="str">
            <v>CBS CORP-B</v>
          </cell>
          <cell r="P1805" t="str">
            <v>New York</v>
          </cell>
          <cell r="Q1805" t="str">
            <v>Consumer Discretionary</v>
          </cell>
          <cell r="R1805" t="str">
            <v>Media</v>
          </cell>
          <cell r="S1805" t="str">
            <v>CBS</v>
          </cell>
        </row>
        <row r="1806">
          <cell r="L1806" t="str">
            <v>ES</v>
          </cell>
          <cell r="M1806" t="str">
            <v>EVERSOURCE-ENERGY-20814111/</v>
          </cell>
          <cell r="N1806" t="str">
            <v>ES</v>
          </cell>
          <cell r="O1806" t="str">
            <v>EVERSOURCE ENERG</v>
          </cell>
          <cell r="P1806" t="str">
            <v>New York</v>
          </cell>
          <cell r="Q1806" t="str">
            <v>Utilities</v>
          </cell>
          <cell r="R1806" t="str">
            <v>Electric Utilities</v>
          </cell>
          <cell r="S1806" t="str">
            <v>ES</v>
          </cell>
        </row>
        <row r="1807">
          <cell r="L1807" t="str">
            <v>HES</v>
          </cell>
          <cell r="M1807" t="str">
            <v>HESS-CORPORATION-11570/</v>
          </cell>
          <cell r="N1807" t="str">
            <v>HES</v>
          </cell>
          <cell r="O1807" t="str">
            <v>HESS CORP</v>
          </cell>
          <cell r="P1807" t="str">
            <v>New York</v>
          </cell>
          <cell r="Q1807" t="str">
            <v>Energy</v>
          </cell>
          <cell r="R1807" t="str">
            <v>Oil, Gas &amp; Consumable Fuels</v>
          </cell>
          <cell r="S1807" t="str">
            <v>HES</v>
          </cell>
        </row>
        <row r="1808">
          <cell r="L1808" t="str">
            <v>NUE</v>
          </cell>
          <cell r="M1808" t="str">
            <v>NUCOR-13823/</v>
          </cell>
          <cell r="N1808" t="str">
            <v>NUE</v>
          </cell>
          <cell r="O1808" t="str">
            <v>NUCOR CORP</v>
          </cell>
          <cell r="P1808" t="str">
            <v>New York</v>
          </cell>
          <cell r="Q1808" t="str">
            <v>Materials</v>
          </cell>
          <cell r="R1808" t="str">
            <v>Metals &amp; Mining</v>
          </cell>
          <cell r="S1808" t="str">
            <v>NUE</v>
          </cell>
        </row>
        <row r="1809">
          <cell r="L1809" t="str">
            <v>CFG</v>
          </cell>
          <cell r="M1809" t="str">
            <v>CITIZENS-FINANCIAL-GROUP-18045268/</v>
          </cell>
          <cell r="N1809" t="str">
            <v>CFG</v>
          </cell>
          <cell r="O1809" t="str">
            <v>CITIZENS FINANCI</v>
          </cell>
          <cell r="P1809" t="str">
            <v>New York</v>
          </cell>
          <cell r="Q1809" t="str">
            <v>Financials</v>
          </cell>
          <cell r="R1809" t="str">
            <v>Banks</v>
          </cell>
          <cell r="S1809" t="str">
            <v>CFG</v>
          </cell>
        </row>
        <row r="1810">
          <cell r="L1810" t="str">
            <v>FCX</v>
          </cell>
          <cell r="M1810" t="str">
            <v>FREEPORT-MCMORAN-12574/</v>
          </cell>
          <cell r="N1810" t="str">
            <v>FCX</v>
          </cell>
          <cell r="O1810" t="str">
            <v>FREEPORT-MCMORAN</v>
          </cell>
          <cell r="P1810" t="str">
            <v>New York</v>
          </cell>
          <cell r="Q1810" t="str">
            <v>Materials</v>
          </cell>
          <cell r="R1810" t="str">
            <v>Metals &amp; Mining</v>
          </cell>
          <cell r="S1810" t="str">
            <v>FCX</v>
          </cell>
        </row>
        <row r="1811">
          <cell r="L1811" t="str">
            <v>WMB</v>
          </cell>
          <cell r="M1811" t="str">
            <v>WILLIS-TOWERS-WATSON-25623167/</v>
          </cell>
          <cell r="N1811" t="str">
            <v>WMB</v>
          </cell>
          <cell r="O1811" t="str">
            <v>WILLIAMS COS INC</v>
          </cell>
          <cell r="P1811" t="str">
            <v>New York</v>
          </cell>
          <cell r="Q1811" t="str">
            <v>Energy</v>
          </cell>
          <cell r="R1811" t="str">
            <v>Oil, Gas &amp; Consumable Fuels</v>
          </cell>
          <cell r="S1811" t="str">
            <v>WMB</v>
          </cell>
        </row>
        <row r="1812">
          <cell r="L1812" t="str">
            <v>AXP</v>
          </cell>
          <cell r="M1812" t="str">
            <v>AMERISOURCEBERGEN-9428091/</v>
          </cell>
          <cell r="N1812" t="str">
            <v>AXP</v>
          </cell>
          <cell r="O1812" t="str">
            <v>AMERICAN EXPRESS</v>
          </cell>
          <cell r="P1812" t="str">
            <v>New York</v>
          </cell>
          <cell r="Q1812" t="str">
            <v>Financials</v>
          </cell>
          <cell r="R1812" t="str">
            <v>Consumer Finance</v>
          </cell>
          <cell r="S1812" t="str">
            <v>AXP</v>
          </cell>
        </row>
        <row r="1813">
          <cell r="L1813" t="str">
            <v>HRS</v>
          </cell>
          <cell r="M1813" t="str">
            <v>HARRIS-CORPORATION-12981/</v>
          </cell>
          <cell r="N1813" t="str">
            <v>HRS</v>
          </cell>
          <cell r="O1813" t="str">
            <v>HARRIS CORP</v>
          </cell>
          <cell r="P1813" t="str">
            <v>New York</v>
          </cell>
          <cell r="Q1813" t="str">
            <v>Industrials</v>
          </cell>
          <cell r="R1813" t="str">
            <v>Aerospace &amp; Defense</v>
          </cell>
          <cell r="S1813" t="str">
            <v>HRS</v>
          </cell>
        </row>
        <row r="1814">
          <cell r="L1814" t="str">
            <v>FLT</v>
          </cell>
          <cell r="M1814" t="str">
            <v>FLEETCOR-TECHNOLOGIES-IN-6996903/</v>
          </cell>
          <cell r="N1814" t="str">
            <v>FLT</v>
          </cell>
          <cell r="O1814" t="str">
            <v>FLEETCOR TECHNOL</v>
          </cell>
          <cell r="P1814" t="str">
            <v>New York</v>
          </cell>
          <cell r="Q1814" t="str">
            <v>Information Technology</v>
          </cell>
          <cell r="R1814" t="str">
            <v>IT Services</v>
          </cell>
          <cell r="S1814" t="str">
            <v>FLT</v>
          </cell>
        </row>
        <row r="1815">
          <cell r="L1815" t="str">
            <v>DG</v>
          </cell>
          <cell r="M1815" t="str">
            <v>DOLLAR-TREE-4868/</v>
          </cell>
          <cell r="N1815" t="str">
            <v>DG</v>
          </cell>
          <cell r="O1815" t="str">
            <v>DOLLAR GENERAL C</v>
          </cell>
          <cell r="P1815" t="str">
            <v>New York</v>
          </cell>
          <cell r="Q1815" t="str">
            <v>Consumer Discretionary</v>
          </cell>
          <cell r="R1815" t="str">
            <v>Multiline Retail</v>
          </cell>
          <cell r="S1815" t="str">
            <v>DG</v>
          </cell>
        </row>
        <row r="1816">
          <cell r="L1816" t="str">
            <v>AXP</v>
          </cell>
          <cell r="M1816" t="str">
            <v>AMERICAN-AIRLINES-GROUP-15171667/</v>
          </cell>
          <cell r="N1816" t="str">
            <v>AXP</v>
          </cell>
          <cell r="O1816" t="str">
            <v>AMERICAN EXPRESS</v>
          </cell>
          <cell r="P1816" t="str">
            <v>New York</v>
          </cell>
          <cell r="Q1816" t="str">
            <v>Financials</v>
          </cell>
          <cell r="R1816" t="str">
            <v>Consumer Finance</v>
          </cell>
          <cell r="S1816" t="str">
            <v>AXP</v>
          </cell>
        </row>
        <row r="1817">
          <cell r="L1817" t="str">
            <v>CLX</v>
          </cell>
          <cell r="M1817" t="str">
            <v>CLOROX-12103/</v>
          </cell>
          <cell r="N1817" t="str">
            <v>CLX</v>
          </cell>
          <cell r="O1817" t="str">
            <v>CLOROX CO</v>
          </cell>
          <cell r="P1817" t="str">
            <v>New York</v>
          </cell>
          <cell r="Q1817" t="str">
            <v>Consumer Staples</v>
          </cell>
          <cell r="R1817" t="str">
            <v>Household Products</v>
          </cell>
          <cell r="S1817" t="str">
            <v>CLX</v>
          </cell>
        </row>
        <row r="1818">
          <cell r="L1818" t="str">
            <v>TDG</v>
          </cell>
          <cell r="M1818" t="str">
            <v>TRANSDIGM-GROUP-16156/</v>
          </cell>
          <cell r="N1818" t="str">
            <v>TDG</v>
          </cell>
          <cell r="O1818" t="str">
            <v>TRANSDIGM GROUP</v>
          </cell>
          <cell r="P1818" t="str">
            <v>New York</v>
          </cell>
          <cell r="Q1818" t="str">
            <v>Industrials</v>
          </cell>
          <cell r="R1818" t="str">
            <v>Aerospace &amp; Defense</v>
          </cell>
          <cell r="S1818" t="str">
            <v>TDG</v>
          </cell>
        </row>
        <row r="1819">
          <cell r="L1819" t="str">
            <v>FDC</v>
          </cell>
          <cell r="M1819" t="str">
            <v>FIRSTENERGY-CORPORATION-12586/</v>
          </cell>
          <cell r="N1819" t="str">
            <v>FDC</v>
          </cell>
          <cell r="O1819" t="str">
            <v>FIRST DATA COR-A</v>
          </cell>
          <cell r="P1819" t="str">
            <v>New York</v>
          </cell>
          <cell r="Q1819" t="str">
            <v>Information Technology</v>
          </cell>
          <cell r="R1819" t="str">
            <v>IT Services</v>
          </cell>
          <cell r="S1819" t="str">
            <v>FDC</v>
          </cell>
        </row>
        <row r="1820">
          <cell r="L1820" t="str">
            <v>HIG</v>
          </cell>
          <cell r="M1820" t="str">
            <v>HARTFORD-FINANCIAL-SERVIC-12910/</v>
          </cell>
          <cell r="N1820" t="str">
            <v>HIG</v>
          </cell>
          <cell r="O1820" t="str">
            <v>HARTFORD FINL SV</v>
          </cell>
          <cell r="P1820" t="str">
            <v>New York</v>
          </cell>
          <cell r="Q1820" t="str">
            <v>Financials</v>
          </cell>
          <cell r="R1820" t="str">
            <v>Insurance</v>
          </cell>
          <cell r="S1820" t="str">
            <v>HIG</v>
          </cell>
        </row>
        <row r="1821">
          <cell r="L1821" t="str">
            <v>MPC</v>
          </cell>
          <cell r="M1821" t="str">
            <v>MARATHON-OIL-CORPORATION-40311089/</v>
          </cell>
          <cell r="N1821" t="str">
            <v>MPC</v>
          </cell>
          <cell r="O1821" t="str">
            <v>MARATHON PETROLE</v>
          </cell>
          <cell r="P1821" t="str">
            <v>New York</v>
          </cell>
          <cell r="Q1821" t="str">
            <v>Energy</v>
          </cell>
          <cell r="R1821" t="str">
            <v>Oil, Gas &amp; Consumable Fuels</v>
          </cell>
          <cell r="S1821" t="str">
            <v>MPC</v>
          </cell>
        </row>
        <row r="1822">
          <cell r="L1822" t="str">
            <v>TSS</v>
          </cell>
          <cell r="M1822" t="str">
            <v>TOTAL-SYSTEM-SERVICES-14675/</v>
          </cell>
          <cell r="N1822" t="str">
            <v>TSS</v>
          </cell>
          <cell r="O1822" t="str">
            <v>TOTAL SYS SERVS</v>
          </cell>
          <cell r="P1822" t="str">
            <v>New York</v>
          </cell>
          <cell r="Q1822" t="str">
            <v>Information Technology</v>
          </cell>
          <cell r="R1822" t="str">
            <v>IT Services</v>
          </cell>
          <cell r="S1822" t="str">
            <v>TSS</v>
          </cell>
        </row>
        <row r="1823">
          <cell r="L1823" t="str">
            <v>AME</v>
          </cell>
          <cell r="M1823" t="str">
            <v>AMETEK-11635/</v>
          </cell>
          <cell r="N1823" t="str">
            <v>AME</v>
          </cell>
          <cell r="O1823" t="str">
            <v>AMETEK INC</v>
          </cell>
          <cell r="P1823" t="str">
            <v>New York</v>
          </cell>
          <cell r="Q1823" t="str">
            <v>Industrials</v>
          </cell>
          <cell r="R1823" t="str">
            <v>Electrical Equipment</v>
          </cell>
          <cell r="S1823" t="str">
            <v>AME</v>
          </cell>
        </row>
        <row r="1824">
          <cell r="L1824" t="str">
            <v>NNN</v>
          </cell>
          <cell r="M1824" t="str">
            <v>NATIONAL-OILWELL-VARCO-13765/</v>
          </cell>
          <cell r="N1824" t="str">
            <v>NNN</v>
          </cell>
          <cell r="O1824" t="str">
            <v>NATIONAL RETAIL</v>
          </cell>
          <cell r="P1824" t="str">
            <v>New York</v>
          </cell>
          <cell r="Q1824" t="str">
            <v>Real Estate</v>
          </cell>
          <cell r="R1824" t="str">
            <v>Equity Real Estate Investment</v>
          </cell>
          <cell r="S1824" t="str">
            <v>NNN</v>
          </cell>
        </row>
        <row r="1825">
          <cell r="L1825" t="str">
            <v>TXT</v>
          </cell>
          <cell r="M1825" t="str">
            <v>TEXTRON-14698/</v>
          </cell>
          <cell r="N1825" t="str">
            <v>TXT</v>
          </cell>
          <cell r="O1825" t="str">
            <v>TEXTRON INC</v>
          </cell>
          <cell r="P1825" t="str">
            <v>New York</v>
          </cell>
          <cell r="Q1825" t="str">
            <v>Industrials</v>
          </cell>
          <cell r="R1825" t="str">
            <v>Aerospace &amp; Defense</v>
          </cell>
          <cell r="S1825" t="str">
            <v>TXT</v>
          </cell>
        </row>
        <row r="1826">
          <cell r="L1826" t="str">
            <v>LH</v>
          </cell>
          <cell r="M1826" t="str">
            <v>LABORATORY-CORPORATION-OF-13392/</v>
          </cell>
          <cell r="N1826" t="str">
            <v>LH</v>
          </cell>
          <cell r="O1826" t="str">
            <v>LABORATORY CP</v>
          </cell>
          <cell r="P1826" t="str">
            <v>New York</v>
          </cell>
          <cell r="Q1826" t="str">
            <v>Health Care</v>
          </cell>
          <cell r="R1826" t="str">
            <v>Health Care Providers &amp; Servic</v>
          </cell>
          <cell r="S1826" t="str">
            <v>LH</v>
          </cell>
        </row>
        <row r="1827">
          <cell r="L1827" t="str">
            <v>O</v>
          </cell>
          <cell r="M1827" t="str">
            <v>REALTY-INCOME-CORPORATION-13868/</v>
          </cell>
          <cell r="N1827" t="str">
            <v>O</v>
          </cell>
          <cell r="O1827" t="str">
            <v>REALTY INCOME</v>
          </cell>
          <cell r="P1827" t="str">
            <v>New York</v>
          </cell>
          <cell r="Q1827" t="str">
            <v>Real Estate</v>
          </cell>
          <cell r="R1827" t="str">
            <v>Equity Real Estate Investment</v>
          </cell>
          <cell r="S1827" t="str">
            <v>O</v>
          </cell>
        </row>
        <row r="1828">
          <cell r="L1828" t="str">
            <v>DHI</v>
          </cell>
          <cell r="M1828" t="str">
            <v>D-R-HORTON-12293/</v>
          </cell>
          <cell r="N1828" t="str">
            <v>DHI</v>
          </cell>
          <cell r="O1828" t="str">
            <v>DR HORTON INC</v>
          </cell>
          <cell r="P1828" t="str">
            <v>New York</v>
          </cell>
          <cell r="Q1828" t="str">
            <v>Consumer Discretionary</v>
          </cell>
          <cell r="R1828" t="str">
            <v>Household Durables</v>
          </cell>
          <cell r="S1828" t="str">
            <v>DHI</v>
          </cell>
        </row>
        <row r="1829">
          <cell r="L1829" t="str">
            <v>CMA</v>
          </cell>
          <cell r="M1829" t="str">
            <v>COMERICA-INCORPORATED-12105/</v>
          </cell>
          <cell r="N1829" t="str">
            <v>CMA</v>
          </cell>
          <cell r="O1829" t="str">
            <v>COMERICA INC</v>
          </cell>
          <cell r="P1829" t="str">
            <v>New York</v>
          </cell>
          <cell r="Q1829" t="str">
            <v>Financials</v>
          </cell>
          <cell r="R1829" t="str">
            <v>Banks</v>
          </cell>
          <cell r="S1829" t="str">
            <v>CMA</v>
          </cell>
        </row>
        <row r="1830">
          <cell r="L1830" t="str">
            <v>LEN</v>
          </cell>
          <cell r="M1830" t="str">
            <v>LENNAR-CORPORATION-13379/</v>
          </cell>
          <cell r="N1830" t="str">
            <v>LEN</v>
          </cell>
          <cell r="O1830" t="str">
            <v>LENNAR CORP-A</v>
          </cell>
          <cell r="P1830" t="str">
            <v>New York</v>
          </cell>
          <cell r="Q1830" t="str">
            <v>Consumer Discretionary</v>
          </cell>
          <cell r="R1830" t="str">
            <v>Household Durables</v>
          </cell>
          <cell r="S1830" t="str">
            <v>LEN</v>
          </cell>
        </row>
        <row r="1831">
          <cell r="L1831" t="str">
            <v>MKC</v>
          </cell>
          <cell r="M1831" t="str">
            <v>MCCORMICK-COMPANY-13556/</v>
          </cell>
          <cell r="N1831" t="str">
            <v>MKC</v>
          </cell>
          <cell r="O1831" t="str">
            <v>MCCORMICK-N/V</v>
          </cell>
          <cell r="P1831" t="str">
            <v>New York</v>
          </cell>
          <cell r="Q1831" t="str">
            <v>Consumer Staples</v>
          </cell>
          <cell r="R1831" t="str">
            <v>Food Products</v>
          </cell>
          <cell r="S1831" t="str">
            <v>MKC</v>
          </cell>
        </row>
        <row r="1832">
          <cell r="L1832" t="str">
            <v>LLL</v>
          </cell>
          <cell r="M1832" t="str">
            <v>L3-TECHNOLOGIES-INC-40328834/</v>
          </cell>
          <cell r="N1832" t="str">
            <v>LLL</v>
          </cell>
          <cell r="O1832" t="str">
            <v>L3 TECHNOLOGIES</v>
          </cell>
          <cell r="P1832" t="str">
            <v>New York</v>
          </cell>
          <cell r="Q1832" t="str">
            <v>Industrials</v>
          </cell>
          <cell r="R1832" t="str">
            <v>Aerospace &amp; Defense</v>
          </cell>
          <cell r="S1832" t="str">
            <v>LLL</v>
          </cell>
        </row>
        <row r="1833">
          <cell r="L1833" t="str">
            <v>APA</v>
          </cell>
          <cell r="M1833" t="str">
            <v>APACHE-CORPORATION-11664/</v>
          </cell>
          <cell r="N1833" t="str">
            <v>APA</v>
          </cell>
          <cell r="O1833" t="str">
            <v>APACHE CORP</v>
          </cell>
          <cell r="P1833" t="str">
            <v>New York</v>
          </cell>
          <cell r="Q1833" t="str">
            <v>Energy</v>
          </cell>
          <cell r="R1833" t="str">
            <v>Oil, Gas &amp; Consumable Fuels</v>
          </cell>
          <cell r="S1833" t="str">
            <v>APA</v>
          </cell>
        </row>
        <row r="1834">
          <cell r="L1834" t="str">
            <v>BEN</v>
          </cell>
          <cell r="M1834" t="str">
            <v>FRANKLIN-RESOURCES-11807/</v>
          </cell>
          <cell r="N1834" t="str">
            <v>BEN</v>
          </cell>
          <cell r="O1834" t="str">
            <v>FRANKLIN RES INC</v>
          </cell>
          <cell r="P1834" t="str">
            <v>New York</v>
          </cell>
          <cell r="Q1834" t="str">
            <v>Financials</v>
          </cell>
          <cell r="R1834" t="str">
            <v>Capital Markets</v>
          </cell>
          <cell r="S1834" t="str">
            <v>BEN</v>
          </cell>
        </row>
        <row r="1835">
          <cell r="L1835" t="str">
            <v>EFX</v>
          </cell>
          <cell r="M1835" t="str">
            <v>EQUIFAX-12424/</v>
          </cell>
          <cell r="N1835" t="str">
            <v>EFX</v>
          </cell>
          <cell r="O1835" t="str">
            <v>EQUIFAX INC</v>
          </cell>
          <cell r="P1835" t="str">
            <v>New York</v>
          </cell>
          <cell r="Q1835" t="str">
            <v>Industrials</v>
          </cell>
          <cell r="R1835" t="str">
            <v>Professional Services</v>
          </cell>
          <cell r="S1835" t="str">
            <v>EFX</v>
          </cell>
        </row>
        <row r="1836">
          <cell r="L1836" t="str">
            <v>MSCI</v>
          </cell>
          <cell r="M1836" t="str">
            <v>MSCI-INC-3021165/</v>
          </cell>
          <cell r="N1836" t="str">
            <v>MSCI</v>
          </cell>
          <cell r="O1836" t="str">
            <v>MSCI INC</v>
          </cell>
          <cell r="P1836" t="str">
            <v>New York</v>
          </cell>
          <cell r="Q1836" t="str">
            <v>Financials</v>
          </cell>
          <cell r="R1836" t="str">
            <v>Capital Markets</v>
          </cell>
          <cell r="S1836" t="str">
            <v>MSCI</v>
          </cell>
        </row>
        <row r="1837">
          <cell r="L1837" t="str">
            <v>CBRE</v>
          </cell>
          <cell r="M1837" t="str">
            <v>CBRE-GROUP-INC-9823294/</v>
          </cell>
          <cell r="N1837" t="str">
            <v>CBRE</v>
          </cell>
          <cell r="O1837" t="str">
            <v>CBRE GROUP INC-A</v>
          </cell>
          <cell r="P1837" t="str">
            <v>New York</v>
          </cell>
          <cell r="Q1837" t="str">
            <v>Real Estate</v>
          </cell>
          <cell r="R1837" t="str">
            <v>Real Estate Management &amp; Devel</v>
          </cell>
          <cell r="S1837" t="str">
            <v>CBRE</v>
          </cell>
        </row>
        <row r="1838">
          <cell r="L1838" t="str">
            <v>ESS</v>
          </cell>
          <cell r="M1838" t="str">
            <v>ESSEX-PROPERTY-TRUST-12501/</v>
          </cell>
          <cell r="N1838" t="str">
            <v>ESS</v>
          </cell>
          <cell r="O1838" t="str">
            <v>ESSEX PROPERTY</v>
          </cell>
          <cell r="P1838" t="str">
            <v>New York</v>
          </cell>
          <cell r="Q1838" t="str">
            <v>Real Estate</v>
          </cell>
          <cell r="R1838" t="str">
            <v>Equity Real Estate Investment</v>
          </cell>
          <cell r="S1838" t="str">
            <v>ESS</v>
          </cell>
        </row>
        <row r="1839">
          <cell r="L1839" t="str">
            <v>NEM</v>
          </cell>
          <cell r="M1839" t="str">
            <v>NEWMONT-MINING-CORPORATIO-13711/</v>
          </cell>
          <cell r="N1839" t="str">
            <v>NEM</v>
          </cell>
          <cell r="O1839" t="str">
            <v>NEWMONT MINING</v>
          </cell>
          <cell r="P1839" t="str">
            <v>New York</v>
          </cell>
          <cell r="Q1839" t="str">
            <v>Materials</v>
          </cell>
          <cell r="R1839" t="str">
            <v>Metals &amp; Mining</v>
          </cell>
          <cell r="S1839" t="str">
            <v>NEM</v>
          </cell>
        </row>
        <row r="1840">
          <cell r="L1840" t="str">
            <v>AXP</v>
          </cell>
          <cell r="M1840" t="str">
            <v>AMERICAN-WATER-WORKS-COMP-2989352/</v>
          </cell>
          <cell r="N1840" t="str">
            <v>AXP</v>
          </cell>
          <cell r="O1840" t="str">
            <v>AMERICAN EXPRESS</v>
          </cell>
          <cell r="P1840" t="str">
            <v>New York</v>
          </cell>
          <cell r="Q1840" t="str">
            <v>Financials</v>
          </cell>
          <cell r="R1840" t="str">
            <v>Consumer Finance</v>
          </cell>
          <cell r="S1840" t="str">
            <v>AXP</v>
          </cell>
        </row>
        <row r="1841">
          <cell r="L1841" t="str">
            <v>RMD</v>
          </cell>
          <cell r="M1841" t="str">
            <v>RESMED-14259/</v>
          </cell>
          <cell r="N1841" t="str">
            <v>RMD</v>
          </cell>
          <cell r="O1841" t="str">
            <v>RESMED INC</v>
          </cell>
          <cell r="P1841" t="str">
            <v>New York</v>
          </cell>
          <cell r="Q1841" t="str">
            <v>Health Care</v>
          </cell>
          <cell r="R1841" t="str">
            <v>Health Care Equipment &amp; Suppli</v>
          </cell>
          <cell r="S1841" t="str">
            <v>RMD</v>
          </cell>
        </row>
        <row r="1842">
          <cell r="L1842" t="str">
            <v>L</v>
          </cell>
          <cell r="M1842" t="str">
            <v>LOEWS-CORPORATION-13434/</v>
          </cell>
          <cell r="N1842" t="str">
            <v>L</v>
          </cell>
          <cell r="O1842" t="str">
            <v>LOEWS CORP</v>
          </cell>
          <cell r="P1842" t="str">
            <v>New York</v>
          </cell>
          <cell r="Q1842" t="str">
            <v>Financials</v>
          </cell>
          <cell r="R1842" t="str">
            <v>Insurance</v>
          </cell>
          <cell r="S1842" t="str">
            <v>L</v>
          </cell>
        </row>
        <row r="1843">
          <cell r="L1843" t="str">
            <v>CAH</v>
          </cell>
          <cell r="M1843" t="str">
            <v>CARDINAL-HEALTH-11969/</v>
          </cell>
          <cell r="N1843" t="str">
            <v>CAH</v>
          </cell>
          <cell r="O1843" t="str">
            <v>CARDINAL HEALTH</v>
          </cell>
          <cell r="P1843" t="str">
            <v>New York</v>
          </cell>
          <cell r="Q1843" t="str">
            <v>Health Care</v>
          </cell>
          <cell r="R1843" t="str">
            <v>Health Care Providers &amp; Servic</v>
          </cell>
          <cell r="S1843" t="str">
            <v>CAH</v>
          </cell>
        </row>
        <row r="1844">
          <cell r="L1844" t="str">
            <v>HST</v>
          </cell>
          <cell r="M1844" t="str">
            <v>HOST-HOTELS-RESORTS-12950/</v>
          </cell>
          <cell r="N1844" t="str">
            <v>HST</v>
          </cell>
          <cell r="O1844" t="str">
            <v>HOST HOTELS &amp; RE</v>
          </cell>
          <cell r="P1844" t="str">
            <v>New York</v>
          </cell>
          <cell r="Q1844" t="str">
            <v>Real Estate</v>
          </cell>
          <cell r="R1844" t="str">
            <v>Equity Real Estate Investment</v>
          </cell>
          <cell r="S1844" t="str">
            <v>HST</v>
          </cell>
        </row>
        <row r="1845">
          <cell r="L1845" t="str">
            <v>EVRG</v>
          </cell>
          <cell r="M1845" t="str">
            <v>EVERGY-INC-44136983/</v>
          </cell>
          <cell r="N1845" t="str">
            <v>EVRG</v>
          </cell>
          <cell r="O1845" t="str">
            <v>EVERGY INC</v>
          </cell>
          <cell r="P1845" t="str">
            <v>New York</v>
          </cell>
          <cell r="Q1845" t="str">
            <v>Utilities</v>
          </cell>
          <cell r="R1845" t="str">
            <v>Electric Utilities</v>
          </cell>
          <cell r="S1845" t="str">
            <v>EVRG</v>
          </cell>
        </row>
        <row r="1846">
          <cell r="L1846" t="str">
            <v>AEE</v>
          </cell>
          <cell r="M1846" t="str">
            <v>AMEREN-11540/</v>
          </cell>
          <cell r="N1846" t="str">
            <v>AEE</v>
          </cell>
          <cell r="O1846" t="str">
            <v>AMEREN CORP</v>
          </cell>
          <cell r="P1846" t="str">
            <v>New York</v>
          </cell>
          <cell r="Q1846" t="str">
            <v>Utilities</v>
          </cell>
          <cell r="R1846" t="str">
            <v>Multi-Utilities</v>
          </cell>
          <cell r="S1846" t="str">
            <v>AEE</v>
          </cell>
        </row>
        <row r="1847">
          <cell r="L1847" t="str">
            <v>OMC</v>
          </cell>
          <cell r="M1847" t="str">
            <v>OMNICOM-GROUP-13904/</v>
          </cell>
          <cell r="N1847" t="str">
            <v>OMC</v>
          </cell>
          <cell r="O1847" t="str">
            <v>OMNICOM GROUP</v>
          </cell>
          <cell r="P1847" t="str">
            <v>New York</v>
          </cell>
          <cell r="Q1847" t="str">
            <v>Consumer Discretionary</v>
          </cell>
          <cell r="R1847" t="str">
            <v>Media</v>
          </cell>
          <cell r="S1847" t="str">
            <v>OMC</v>
          </cell>
        </row>
        <row r="1848">
          <cell r="L1848" t="str">
            <v>ETR</v>
          </cell>
          <cell r="M1848" t="str">
            <v>ENTERGY-CORPORATION-12512/</v>
          </cell>
          <cell r="N1848" t="str">
            <v>ETR</v>
          </cell>
          <cell r="O1848" t="str">
            <v>ENTERGY CORP</v>
          </cell>
          <cell r="P1848" t="str">
            <v>New York</v>
          </cell>
          <cell r="Q1848" t="str">
            <v>Utilities</v>
          </cell>
          <cell r="R1848" t="str">
            <v>Electric Utilities</v>
          </cell>
          <cell r="S1848" t="str">
            <v>ETR</v>
          </cell>
        </row>
        <row r="1849">
          <cell r="L1849" t="str">
            <v>MGM</v>
          </cell>
          <cell r="M1849" t="str">
            <v>MGM-RESORTS-INTERNATIONAL-13513/</v>
          </cell>
          <cell r="N1849" t="str">
            <v>MGM</v>
          </cell>
          <cell r="O1849" t="str">
            <v>MGM RESORTS INTE</v>
          </cell>
          <cell r="P1849" t="str">
            <v>New York</v>
          </cell>
          <cell r="Q1849" t="str">
            <v>Consumer Discretionary</v>
          </cell>
          <cell r="R1849" t="str">
            <v>Hotels, Restaurants &amp; Leisure</v>
          </cell>
          <cell r="S1849" t="str">
            <v>MGM</v>
          </cell>
        </row>
        <row r="1850">
          <cell r="L1850" t="str">
            <v>TIF</v>
          </cell>
          <cell r="M1850" t="str">
            <v>TIFFANY-CO-14597/</v>
          </cell>
          <cell r="N1850" t="str">
            <v>TIF</v>
          </cell>
          <cell r="O1850" t="str">
            <v>TIFFANY &amp; CO</v>
          </cell>
          <cell r="P1850" t="str">
            <v>New York</v>
          </cell>
          <cell r="Q1850" t="str">
            <v>Consumer Discretionary</v>
          </cell>
          <cell r="R1850" t="str">
            <v>Specialty Retail</v>
          </cell>
          <cell r="S1850" t="str">
            <v>TIF</v>
          </cell>
        </row>
        <row r="1851">
          <cell r="L1851" t="str">
            <v>DGX</v>
          </cell>
          <cell r="M1851" t="str">
            <v>QUEST-DIAGNOSTICS-12290/</v>
          </cell>
          <cell r="N1851" t="str">
            <v>DGX</v>
          </cell>
          <cell r="O1851" t="str">
            <v>QUEST DIAGNOSTIC</v>
          </cell>
          <cell r="P1851" t="str">
            <v>New York</v>
          </cell>
          <cell r="Q1851" t="str">
            <v>Health Care</v>
          </cell>
          <cell r="R1851" t="str">
            <v>Health Care Providers &amp; Servic</v>
          </cell>
          <cell r="S1851" t="str">
            <v>DGX</v>
          </cell>
        </row>
        <row r="1852">
          <cell r="L1852" t="str">
            <v>XL</v>
          </cell>
          <cell r="M1852" t="str">
            <v>XL-GROUP-LTD-30325827/</v>
          </cell>
          <cell r="N1852" t="str">
            <v>XL</v>
          </cell>
          <cell r="O1852" t="str">
            <v>XL GROUP LTD</v>
          </cell>
          <cell r="P1852" t="str">
            <v>New York</v>
          </cell>
          <cell r="Q1852" t="str">
            <v>Financials</v>
          </cell>
          <cell r="R1852" t="str">
            <v>Insurance</v>
          </cell>
          <cell r="S1852" t="str">
            <v>XL</v>
          </cell>
        </row>
        <row r="1853">
          <cell r="L1853" t="str">
            <v>GPC</v>
          </cell>
          <cell r="M1853" t="str">
            <v>GENUINE-PARTS-COMPANY-40311101/</v>
          </cell>
          <cell r="N1853" t="str">
            <v>GPC</v>
          </cell>
          <cell r="O1853" t="str">
            <v>GENUINE PARTS CO</v>
          </cell>
          <cell r="P1853" t="str">
            <v>New York</v>
          </cell>
          <cell r="Q1853" t="str">
            <v>Consumer Discretionary</v>
          </cell>
          <cell r="R1853" t="str">
            <v>Distributors</v>
          </cell>
          <cell r="S1853" t="str">
            <v>GPC</v>
          </cell>
        </row>
        <row r="1854">
          <cell r="L1854" t="str">
            <v>TPR</v>
          </cell>
          <cell r="M1854" t="str">
            <v>TAPESTRY-INC-38530108/</v>
          </cell>
          <cell r="N1854" t="str">
            <v>TPR</v>
          </cell>
          <cell r="O1854" t="str">
            <v>TAPESTRY INC</v>
          </cell>
          <cell r="P1854" t="str">
            <v>New York</v>
          </cell>
          <cell r="Q1854" t="str">
            <v>Consumer Discretionary</v>
          </cell>
          <cell r="R1854" t="str">
            <v>Textiles, Apparel &amp; Luxury Goo</v>
          </cell>
          <cell r="S1854" t="str">
            <v>TPR</v>
          </cell>
        </row>
        <row r="1855">
          <cell r="L1855" t="str">
            <v>VMC</v>
          </cell>
          <cell r="M1855" t="str">
            <v>VULCAN-MATERIALS-COMPANY-14815/</v>
          </cell>
          <cell r="N1855" t="str">
            <v>VMC</v>
          </cell>
          <cell r="O1855" t="str">
            <v>VULCAN MATERIALS</v>
          </cell>
          <cell r="P1855" t="str">
            <v>New York</v>
          </cell>
          <cell r="Q1855" t="str">
            <v>Materials</v>
          </cell>
          <cell r="R1855" t="str">
            <v>Construction Materials</v>
          </cell>
          <cell r="S1855" t="str">
            <v>VMC</v>
          </cell>
        </row>
        <row r="1856">
          <cell r="L1856" t="str">
            <v>MTD</v>
          </cell>
          <cell r="M1856" t="str">
            <v>METTLER-TOLEDO-INTERNATIO-13627/</v>
          </cell>
          <cell r="N1856" t="str">
            <v>MTD</v>
          </cell>
          <cell r="O1856" t="str">
            <v>METTLER-TOLEDO</v>
          </cell>
          <cell r="P1856" t="str">
            <v>New York</v>
          </cell>
          <cell r="Q1856" t="str">
            <v>Health Care</v>
          </cell>
          <cell r="R1856" t="str">
            <v>Life Sciences Tools &amp; Services</v>
          </cell>
          <cell r="S1856" t="str">
            <v>MTD</v>
          </cell>
        </row>
        <row r="1857">
          <cell r="L1857" t="str">
            <v>DRI</v>
          </cell>
          <cell r="M1857" t="str">
            <v>DARDEN-RESTAURANTS-12355/</v>
          </cell>
          <cell r="N1857" t="str">
            <v>DRI</v>
          </cell>
          <cell r="O1857" t="str">
            <v>DARDEN RESTAURAN</v>
          </cell>
          <cell r="P1857" t="str">
            <v>New York</v>
          </cell>
          <cell r="Q1857" t="str">
            <v>Consumer Discretionary</v>
          </cell>
          <cell r="R1857" t="str">
            <v>Hotels, Restaurants &amp; Leisure</v>
          </cell>
          <cell r="S1857" t="str">
            <v>DRI</v>
          </cell>
        </row>
        <row r="1858">
          <cell r="L1858" t="str">
            <v>WAT</v>
          </cell>
          <cell r="M1858" t="str">
            <v>WATERS-CORPORATION-14845/</v>
          </cell>
          <cell r="N1858" t="str">
            <v>WAT</v>
          </cell>
          <cell r="O1858" t="str">
            <v>WATERS CORP</v>
          </cell>
          <cell r="P1858" t="str">
            <v>New York</v>
          </cell>
          <cell r="Q1858" t="str">
            <v>Health Care</v>
          </cell>
          <cell r="R1858" t="str">
            <v>Life Sciences Tools &amp; Services</v>
          </cell>
          <cell r="S1858" t="str">
            <v>WAT</v>
          </cell>
        </row>
        <row r="1859">
          <cell r="L1859" t="str">
            <v>VNO</v>
          </cell>
          <cell r="M1859" t="str">
            <v>VORNADO-REALTY-TRUST-14818/</v>
          </cell>
          <cell r="N1859" t="str">
            <v>VNO</v>
          </cell>
          <cell r="O1859" t="str">
            <v>VORNADO RLTY TST</v>
          </cell>
          <cell r="P1859" t="str">
            <v>New York</v>
          </cell>
          <cell r="Q1859" t="str">
            <v>Real Estate</v>
          </cell>
          <cell r="R1859" t="str">
            <v>Equity Real Estate Investment</v>
          </cell>
          <cell r="S1859" t="str">
            <v>VNO</v>
          </cell>
        </row>
        <row r="1860">
          <cell r="L1860" t="str">
            <v>LNC</v>
          </cell>
          <cell r="M1860" t="str">
            <v>LINCOLN-NATIONAL-CORPORAT-13407/</v>
          </cell>
          <cell r="N1860" t="str">
            <v>LNC</v>
          </cell>
          <cell r="O1860" t="str">
            <v>LINCOLN NATL CRP</v>
          </cell>
          <cell r="P1860" t="str">
            <v>New York</v>
          </cell>
          <cell r="Q1860" t="str">
            <v>Financials</v>
          </cell>
          <cell r="R1860" t="str">
            <v>Insurance</v>
          </cell>
          <cell r="S1860" t="str">
            <v>LNC</v>
          </cell>
        </row>
        <row r="1861">
          <cell r="L1861" t="str">
            <v>BLL</v>
          </cell>
          <cell r="M1861" t="str">
            <v>BALL-CORPORATION-40311104/</v>
          </cell>
          <cell r="N1861" t="str">
            <v>BLL</v>
          </cell>
          <cell r="O1861" t="str">
            <v>BALL CORP</v>
          </cell>
          <cell r="P1861" t="str">
            <v>New York</v>
          </cell>
          <cell r="Q1861" t="str">
            <v>Materials</v>
          </cell>
          <cell r="R1861" t="str">
            <v>Containers &amp; Packaging</v>
          </cell>
          <cell r="S1861" t="str">
            <v>BLL</v>
          </cell>
        </row>
        <row r="1862">
          <cell r="L1862" t="str">
            <v>MHK</v>
          </cell>
          <cell r="M1862" t="str">
            <v>MOHAWK-INDUSTRIES-13521/</v>
          </cell>
          <cell r="N1862" t="str">
            <v>MHK</v>
          </cell>
          <cell r="O1862" t="str">
            <v>MOHAWK INDS</v>
          </cell>
          <cell r="P1862" t="str">
            <v>New York</v>
          </cell>
          <cell r="Q1862" t="str">
            <v>Consumer Discretionary</v>
          </cell>
          <cell r="R1862" t="str">
            <v>Household Durables</v>
          </cell>
          <cell r="S1862" t="str">
            <v>MHK</v>
          </cell>
        </row>
        <row r="1863">
          <cell r="L1863" t="str">
            <v>CAG</v>
          </cell>
          <cell r="M1863" t="str">
            <v>CONAGRA-BRANDS-11968/</v>
          </cell>
          <cell r="N1863" t="str">
            <v>CAG</v>
          </cell>
          <cell r="O1863" t="str">
            <v>CONAGRA BRANDS I</v>
          </cell>
          <cell r="P1863" t="str">
            <v>New York</v>
          </cell>
          <cell r="Q1863" t="str">
            <v>Consumer Staples</v>
          </cell>
          <cell r="R1863" t="str">
            <v>Food Products</v>
          </cell>
          <cell r="S1863" t="str">
            <v>CAG</v>
          </cell>
        </row>
        <row r="1864">
          <cell r="L1864" t="str">
            <v>TAP</v>
          </cell>
          <cell r="M1864" t="str">
            <v>MOLSON-COORS-BREWING-14548/</v>
          </cell>
          <cell r="N1864" t="str">
            <v>TAP</v>
          </cell>
          <cell r="O1864" t="str">
            <v>MOLSON COORS-B</v>
          </cell>
          <cell r="P1864" t="str">
            <v>New York</v>
          </cell>
          <cell r="Q1864" t="str">
            <v>Consumer Staples</v>
          </cell>
          <cell r="R1864" t="str">
            <v>Beverages</v>
          </cell>
          <cell r="S1864" t="str">
            <v>TAP</v>
          </cell>
        </row>
        <row r="1865">
          <cell r="L1865" t="str">
            <v>NBL</v>
          </cell>
          <cell r="M1865" t="str">
            <v>NOBLE-ENERGY-13688/</v>
          </cell>
          <cell r="N1865" t="str">
            <v>NBL</v>
          </cell>
          <cell r="O1865" t="str">
            <v>NOBLE ENERGY INC</v>
          </cell>
          <cell r="P1865" t="str">
            <v>New York</v>
          </cell>
          <cell r="Q1865" t="str">
            <v>Energy</v>
          </cell>
          <cell r="R1865" t="str">
            <v>Oil, Gas &amp; Consumable Fuels</v>
          </cell>
          <cell r="S1865" t="str">
            <v>NBL</v>
          </cell>
        </row>
        <row r="1866">
          <cell r="L1866" t="str">
            <v>CMS</v>
          </cell>
          <cell r="M1866" t="str">
            <v>CMS-ENERGY-12117/</v>
          </cell>
          <cell r="N1866" t="str">
            <v>CMS</v>
          </cell>
          <cell r="O1866" t="str">
            <v>CMS ENERGY CORP</v>
          </cell>
          <cell r="P1866" t="str">
            <v>New York</v>
          </cell>
          <cell r="Q1866" t="str">
            <v>Utilities</v>
          </cell>
          <cell r="R1866" t="str">
            <v>Multi-Utilities</v>
          </cell>
          <cell r="S1866" t="str">
            <v>CMS</v>
          </cell>
        </row>
        <row r="1867">
          <cell r="L1867" t="str">
            <v>KMX</v>
          </cell>
          <cell r="M1867" t="str">
            <v>CARMAX-13273/</v>
          </cell>
          <cell r="N1867" t="str">
            <v>KMX</v>
          </cell>
          <cell r="O1867" t="str">
            <v>CARMAX INC</v>
          </cell>
          <cell r="P1867" t="str">
            <v>New York</v>
          </cell>
          <cell r="Q1867" t="str">
            <v>Consumer Discretionary</v>
          </cell>
          <cell r="R1867" t="str">
            <v>Specialty Retail</v>
          </cell>
          <cell r="S1867" t="str">
            <v>KMX</v>
          </cell>
        </row>
        <row r="1868">
          <cell r="L1868" t="str">
            <v>FTI</v>
          </cell>
          <cell r="M1868" t="str">
            <v>TECHNIPFMC-33375934/</v>
          </cell>
          <cell r="N1868" t="str">
            <v>FTI</v>
          </cell>
          <cell r="O1868" t="str">
            <v>TECHNIPFMC PLC</v>
          </cell>
          <cell r="P1868" t="str">
            <v>New York</v>
          </cell>
          <cell r="Q1868" t="str">
            <v>Energy</v>
          </cell>
          <cell r="R1868" t="str">
            <v>Energy Equipment &amp; Services</v>
          </cell>
          <cell r="S1868" t="str">
            <v>FTI</v>
          </cell>
        </row>
        <row r="1869">
          <cell r="L1869" t="str">
            <v>CHD</v>
          </cell>
          <cell r="M1869" t="str">
            <v>CHURCH-DWIGHT-CO-12050/</v>
          </cell>
          <cell r="N1869" t="str">
            <v>CHD</v>
          </cell>
          <cell r="O1869" t="str">
            <v>CHURCH &amp; DWIGHT</v>
          </cell>
          <cell r="P1869" t="str">
            <v>New York</v>
          </cell>
          <cell r="Q1869" t="str">
            <v>Consumer Staples</v>
          </cell>
          <cell r="R1869" t="str">
            <v>Household Products</v>
          </cell>
          <cell r="S1869" t="str">
            <v>CHD</v>
          </cell>
        </row>
        <row r="1870">
          <cell r="L1870" t="str">
            <v>IT</v>
          </cell>
          <cell r="M1870" t="str">
            <v>GARTNER-40311131/</v>
          </cell>
          <cell r="N1870" t="str">
            <v>IT</v>
          </cell>
          <cell r="O1870" t="str">
            <v>GARTNER INC</v>
          </cell>
          <cell r="P1870" t="str">
            <v>New York</v>
          </cell>
          <cell r="Q1870" t="str">
            <v>Information Technology</v>
          </cell>
          <cell r="R1870" t="str">
            <v>IT Services</v>
          </cell>
          <cell r="S1870" t="str">
            <v>IT</v>
          </cell>
        </row>
        <row r="1871">
          <cell r="L1871" t="str">
            <v>WRK</v>
          </cell>
          <cell r="M1871" t="str">
            <v>WESTROCK-40311477/</v>
          </cell>
          <cell r="N1871" t="str">
            <v>WRK</v>
          </cell>
          <cell r="O1871" t="str">
            <v>WESTROCK CO</v>
          </cell>
          <cell r="P1871" t="str">
            <v>New York</v>
          </cell>
          <cell r="Q1871" t="str">
            <v>Materials</v>
          </cell>
          <cell r="R1871" t="str">
            <v>Containers &amp; Packaging</v>
          </cell>
          <cell r="S1871" t="str">
            <v>WRK</v>
          </cell>
        </row>
        <row r="1872">
          <cell r="L1872" t="str">
            <v>KSS</v>
          </cell>
          <cell r="M1872" t="str">
            <v>KOHL-S-CORPORATION-13316/</v>
          </cell>
          <cell r="N1872" t="str">
            <v>KSS</v>
          </cell>
          <cell r="O1872" t="str">
            <v>KOHLS CORP</v>
          </cell>
          <cell r="P1872" t="str">
            <v>New York</v>
          </cell>
          <cell r="Q1872" t="str">
            <v>Consumer Discretionary</v>
          </cell>
          <cell r="R1872" t="str">
            <v>Multiline Retail</v>
          </cell>
          <cell r="S1872" t="str">
            <v>KSS</v>
          </cell>
        </row>
        <row r="1873">
          <cell r="L1873" t="str">
            <v>EMN</v>
          </cell>
          <cell r="M1873" t="str">
            <v>EASTMAN-CHEMICAL-COMPANY-12448/</v>
          </cell>
          <cell r="N1873" t="str">
            <v>EMN</v>
          </cell>
          <cell r="O1873" t="str">
            <v>EASTMAN CHEMICAL</v>
          </cell>
          <cell r="P1873" t="str">
            <v>New York</v>
          </cell>
          <cell r="Q1873" t="str">
            <v>Materials</v>
          </cell>
          <cell r="R1873" t="str">
            <v>Chemicals</v>
          </cell>
          <cell r="S1873" t="str">
            <v>EMN</v>
          </cell>
        </row>
        <row r="1874">
          <cell r="L1874" t="str">
            <v>RJF</v>
          </cell>
          <cell r="M1874" t="str">
            <v>RAYMOND-JAMES-FINANCIAL-14252/</v>
          </cell>
          <cell r="N1874" t="str">
            <v>RJF</v>
          </cell>
          <cell r="O1874" t="str">
            <v>RAYMOND JAMES</v>
          </cell>
          <cell r="P1874" t="str">
            <v>New York</v>
          </cell>
          <cell r="Q1874" t="str">
            <v>Financials</v>
          </cell>
          <cell r="R1874" t="str">
            <v>Capital Markets</v>
          </cell>
          <cell r="S1874" t="str">
            <v>RJF</v>
          </cell>
        </row>
        <row r="1875">
          <cell r="L1875" t="str">
            <v>XYL</v>
          </cell>
          <cell r="M1875" t="str">
            <v>XYLEM-9391714/</v>
          </cell>
          <cell r="N1875" t="str">
            <v>XYL</v>
          </cell>
          <cell r="O1875" t="str">
            <v>XYLEM INC</v>
          </cell>
          <cell r="P1875" t="str">
            <v>New York</v>
          </cell>
          <cell r="Q1875" t="str">
            <v>Industrials</v>
          </cell>
          <cell r="R1875" t="str">
            <v>Machinery</v>
          </cell>
          <cell r="S1875" t="str">
            <v>XYL</v>
          </cell>
        </row>
        <row r="1876">
          <cell r="L1876" t="str">
            <v>DFS</v>
          </cell>
          <cell r="M1876" t="str">
            <v>DISCOVERY-INC-9015/</v>
          </cell>
          <cell r="N1876" t="str">
            <v>DFS</v>
          </cell>
          <cell r="O1876" t="str">
            <v>DISCOVER FINANCI</v>
          </cell>
          <cell r="P1876" t="str">
            <v>New York</v>
          </cell>
          <cell r="Q1876" t="str">
            <v>Financials</v>
          </cell>
          <cell r="R1876" t="str">
            <v>Consumer Finance</v>
          </cell>
          <cell r="S1876" t="str">
            <v>DFS</v>
          </cell>
        </row>
        <row r="1877">
          <cell r="L1877" t="str">
            <v>DFS</v>
          </cell>
          <cell r="M1877" t="str">
            <v>DISCOVERY-INC-4025862/</v>
          </cell>
          <cell r="N1877" t="str">
            <v>DFS</v>
          </cell>
          <cell r="O1877" t="str">
            <v>DISCOVER FINANCI</v>
          </cell>
          <cell r="P1877" t="str">
            <v>New York</v>
          </cell>
          <cell r="Q1877" t="str">
            <v>Financials</v>
          </cell>
          <cell r="R1877" t="str">
            <v>Consumer Finance</v>
          </cell>
          <cell r="S1877" t="str">
            <v>DFS</v>
          </cell>
        </row>
        <row r="1878">
          <cell r="L1878" t="str">
            <v>HFC</v>
          </cell>
          <cell r="M1878" t="str">
            <v>HOLLYFRONTIER-CORP-8307259/</v>
          </cell>
          <cell r="N1878" t="str">
            <v>HFC</v>
          </cell>
          <cell r="O1878" t="str">
            <v>HOLLYFRONTIER CO</v>
          </cell>
          <cell r="P1878" t="str">
            <v>New York</v>
          </cell>
          <cell r="Q1878" t="str">
            <v>Energy</v>
          </cell>
          <cell r="R1878" t="str">
            <v>Oil, Gas &amp; Consumable Fuels</v>
          </cell>
          <cell r="S1878" t="str">
            <v>HFC</v>
          </cell>
        </row>
        <row r="1879">
          <cell r="L1879" t="str">
            <v>AJG</v>
          </cell>
          <cell r="M1879" t="str">
            <v>ARTHUR-J-GALLAGHER-CO-11601/</v>
          </cell>
          <cell r="N1879" t="str">
            <v>AJG</v>
          </cell>
          <cell r="O1879" t="str">
            <v>ARTHUR J GALLAGH</v>
          </cell>
          <cell r="P1879" t="str">
            <v>New York</v>
          </cell>
          <cell r="Q1879" t="str">
            <v>Financials</v>
          </cell>
          <cell r="R1879" t="str">
            <v>Insurance</v>
          </cell>
          <cell r="S1879" t="str">
            <v>AJG</v>
          </cell>
        </row>
        <row r="1880">
          <cell r="L1880" t="str">
            <v>ARE</v>
          </cell>
          <cell r="M1880" t="str">
            <v>ALEXANDRIA-REAL-ESTATE-EQ-11676/</v>
          </cell>
          <cell r="N1880" t="str">
            <v>ARE</v>
          </cell>
          <cell r="O1880" t="str">
            <v>ALEXANDRIA REAL</v>
          </cell>
          <cell r="P1880" t="str">
            <v>New York</v>
          </cell>
          <cell r="Q1880" t="str">
            <v>Real Estate</v>
          </cell>
          <cell r="R1880" t="str">
            <v>Equity Real Estate Investment</v>
          </cell>
          <cell r="S1880" t="str">
            <v>ARE</v>
          </cell>
        </row>
        <row r="1881">
          <cell r="L1881" t="str">
            <v>CMG</v>
          </cell>
          <cell r="M1881" t="str">
            <v>CHIPOTLE-MEXICAN-GRILL-12109/</v>
          </cell>
          <cell r="N1881" t="str">
            <v>CMG</v>
          </cell>
          <cell r="O1881" t="str">
            <v>CHIPOTLE MEXICAN</v>
          </cell>
          <cell r="P1881" t="str">
            <v>New York</v>
          </cell>
          <cell r="Q1881" t="str">
            <v>Consumer Discretionary</v>
          </cell>
          <cell r="R1881" t="str">
            <v>Hotels, Restaurants &amp; Leisure</v>
          </cell>
          <cell r="S1881" t="str">
            <v>CMG</v>
          </cell>
        </row>
        <row r="1882">
          <cell r="L1882" t="str">
            <v>UNH</v>
          </cell>
          <cell r="M1882" t="str">
            <v>UNITED-RENTALS-40311160/</v>
          </cell>
          <cell r="N1882" t="str">
            <v>UNH</v>
          </cell>
          <cell r="O1882" t="str">
            <v>UNITEDHEALTH GRP</v>
          </cell>
          <cell r="P1882" t="str">
            <v>New York</v>
          </cell>
          <cell r="Q1882" t="str">
            <v>Health Care</v>
          </cell>
          <cell r="R1882" t="str">
            <v>Health Care Providers &amp; Servic</v>
          </cell>
          <cell r="S1882" t="str">
            <v>UNH</v>
          </cell>
        </row>
        <row r="1883">
          <cell r="L1883" t="str">
            <v>ADS</v>
          </cell>
          <cell r="M1883" t="str">
            <v>ALLIANCE-DATA-SYSTEMS-COR-11535/</v>
          </cell>
          <cell r="N1883" t="str">
            <v>ADS</v>
          </cell>
          <cell r="O1883" t="str">
            <v>ALLIANCE DATA</v>
          </cell>
          <cell r="P1883" t="str">
            <v>New York</v>
          </cell>
          <cell r="Q1883" t="str">
            <v>Information Technology</v>
          </cell>
          <cell r="R1883" t="str">
            <v>IT Services</v>
          </cell>
          <cell r="S1883" t="str">
            <v>ADS</v>
          </cell>
        </row>
        <row r="1884">
          <cell r="L1884" t="str">
            <v>EQT</v>
          </cell>
          <cell r="M1884" t="str">
            <v>EQT-CORPORATION-12492/</v>
          </cell>
          <cell r="N1884" t="str">
            <v>EQT</v>
          </cell>
          <cell r="O1884" t="str">
            <v>EQT CORP</v>
          </cell>
          <cell r="P1884" t="str">
            <v>New York</v>
          </cell>
          <cell r="Q1884" t="str">
            <v>Energy</v>
          </cell>
          <cell r="R1884" t="str">
            <v>Oil, Gas &amp; Consumable Fuels</v>
          </cell>
          <cell r="S1884" t="str">
            <v>EQT</v>
          </cell>
        </row>
        <row r="1885">
          <cell r="L1885" t="str">
            <v>DOV</v>
          </cell>
          <cell r="M1885" t="str">
            <v>DOVER-CORPORATION-12331/</v>
          </cell>
          <cell r="N1885" t="str">
            <v>DOV</v>
          </cell>
          <cell r="O1885" t="str">
            <v>DOVER CORP</v>
          </cell>
          <cell r="P1885" t="str">
            <v>New York</v>
          </cell>
          <cell r="Q1885" t="str">
            <v>Industrials</v>
          </cell>
          <cell r="R1885" t="str">
            <v>Machinery</v>
          </cell>
          <cell r="S1885" t="str">
            <v>DOV</v>
          </cell>
        </row>
        <row r="1886">
          <cell r="L1886" t="str">
            <v>COO</v>
          </cell>
          <cell r="M1886" t="str">
            <v>THE-COOPER-COMPANIES-12149/</v>
          </cell>
          <cell r="N1886" t="str">
            <v>COO</v>
          </cell>
          <cell r="O1886" t="str">
            <v>COOPER COS INC</v>
          </cell>
          <cell r="P1886" t="str">
            <v>New York</v>
          </cell>
          <cell r="Q1886" t="str">
            <v>Health Care</v>
          </cell>
          <cell r="R1886" t="str">
            <v>Health Care Equipment &amp; Suppli</v>
          </cell>
          <cell r="S1886" t="str">
            <v>COO</v>
          </cell>
        </row>
        <row r="1887">
          <cell r="L1887" t="str">
            <v>AAP</v>
          </cell>
          <cell r="M1887" t="str">
            <v>ADVANCE-AUTO-PARTS-11492/</v>
          </cell>
          <cell r="N1887" t="str">
            <v>AAP</v>
          </cell>
          <cell r="O1887" t="str">
            <v>ADVANCE AUTO PAR</v>
          </cell>
          <cell r="P1887" t="str">
            <v>New York</v>
          </cell>
          <cell r="Q1887" t="str">
            <v>Consumer Discretionary</v>
          </cell>
          <cell r="R1887" t="str">
            <v>Specialty Retail</v>
          </cell>
          <cell r="S1887" t="str">
            <v>AAP</v>
          </cell>
        </row>
        <row r="1888">
          <cell r="L1888" t="str">
            <v>MLM</v>
          </cell>
          <cell r="M1888" t="str">
            <v>MARTIN-MARIETTA-MATERIALS-13564/</v>
          </cell>
          <cell r="N1888" t="str">
            <v>MLM</v>
          </cell>
          <cell r="O1888" t="str">
            <v>MARTIN MAR MTLS</v>
          </cell>
          <cell r="P1888" t="str">
            <v>New York</v>
          </cell>
          <cell r="Q1888" t="str">
            <v>Materials</v>
          </cell>
          <cell r="R1888" t="str">
            <v>Construction Materials</v>
          </cell>
          <cell r="S1888" t="str">
            <v>MLM</v>
          </cell>
        </row>
        <row r="1889">
          <cell r="L1889" t="str">
            <v>HCP</v>
          </cell>
          <cell r="M1889" t="str">
            <v>HCP-12889/</v>
          </cell>
          <cell r="N1889" t="str">
            <v>HCP</v>
          </cell>
          <cell r="O1889" t="str">
            <v>HCP INC</v>
          </cell>
          <cell r="P1889" t="str">
            <v>New York</v>
          </cell>
          <cell r="Q1889" t="str">
            <v>Real Estate</v>
          </cell>
          <cell r="R1889" t="str">
            <v>Equity Real Estate Investment</v>
          </cell>
          <cell r="S1889" t="str">
            <v>HCP</v>
          </cell>
        </row>
        <row r="1890">
          <cell r="L1890" t="str">
            <v>CF</v>
          </cell>
          <cell r="M1890" t="str">
            <v>CF-INDUSTRIES-HOLDINGS-12028/</v>
          </cell>
          <cell r="N1890" t="str">
            <v>CF</v>
          </cell>
          <cell r="O1890" t="str">
            <v>CF INDUSTRIES HO</v>
          </cell>
          <cell r="P1890" t="str">
            <v>New York</v>
          </cell>
          <cell r="Q1890" t="str">
            <v>Materials</v>
          </cell>
          <cell r="R1890" t="str">
            <v>Chemicals</v>
          </cell>
          <cell r="S1890" t="str">
            <v>CF</v>
          </cell>
        </row>
        <row r="1891">
          <cell r="L1891" t="str">
            <v>CNC</v>
          </cell>
          <cell r="M1891" t="str">
            <v>CENTERPOINT-ENERGY-12964/</v>
          </cell>
          <cell r="N1891" t="str">
            <v>CNC</v>
          </cell>
          <cell r="O1891" t="str">
            <v>CENTENE CORP</v>
          </cell>
          <cell r="P1891" t="str">
            <v>New York</v>
          </cell>
          <cell r="Q1891" t="str">
            <v>Health Care</v>
          </cell>
          <cell r="R1891" t="str">
            <v>Health Care Providers &amp; Servic</v>
          </cell>
          <cell r="S1891" t="str">
            <v>CNC</v>
          </cell>
        </row>
        <row r="1892">
          <cell r="L1892" t="str">
            <v>UHS</v>
          </cell>
          <cell r="M1892" t="str">
            <v>UNIVERSAL-HEALTH-SERVICES-40311163/</v>
          </cell>
          <cell r="N1892" t="str">
            <v>UHS</v>
          </cell>
          <cell r="O1892" t="str">
            <v>UNIVERSAL HLTH-B</v>
          </cell>
          <cell r="P1892" t="str">
            <v>New York</v>
          </cell>
          <cell r="Q1892" t="str">
            <v>Health Care</v>
          </cell>
          <cell r="R1892" t="str">
            <v>Health Care Providers &amp; Servic</v>
          </cell>
          <cell r="S1892" t="str">
            <v>UHS</v>
          </cell>
        </row>
        <row r="1893">
          <cell r="L1893" t="str">
            <v>CPB</v>
          </cell>
          <cell r="M1893" t="str">
            <v>CAMPBELL-SOUP-12154/</v>
          </cell>
          <cell r="N1893" t="str">
            <v>CPB</v>
          </cell>
          <cell r="O1893" t="str">
            <v>CAMPBELL SOUP CO</v>
          </cell>
          <cell r="P1893" t="str">
            <v>New York</v>
          </cell>
          <cell r="Q1893" t="str">
            <v>Consumer Staples</v>
          </cell>
          <cell r="R1893" t="str">
            <v>Food Products</v>
          </cell>
          <cell r="S1893" t="str">
            <v>CPB</v>
          </cell>
        </row>
        <row r="1894">
          <cell r="L1894" t="str">
            <v>MOS</v>
          </cell>
          <cell r="M1894" t="str">
            <v>MOSAIC-CO-11900095/</v>
          </cell>
          <cell r="N1894" t="str">
            <v>MOS</v>
          </cell>
          <cell r="O1894" t="str">
            <v>MOSAIC CO/THE</v>
          </cell>
          <cell r="P1894" t="str">
            <v>New York</v>
          </cell>
          <cell r="Q1894" t="str">
            <v>Materials</v>
          </cell>
          <cell r="R1894" t="str">
            <v>Chemicals</v>
          </cell>
          <cell r="S1894" t="str">
            <v>MOS</v>
          </cell>
        </row>
        <row r="1895">
          <cell r="L1895" t="str">
            <v>SJM</v>
          </cell>
          <cell r="M1895" t="str">
            <v>THE-JM-SMUCKER-COMPANY-14400/</v>
          </cell>
          <cell r="N1895" t="str">
            <v>SJM</v>
          </cell>
          <cell r="O1895" t="str">
            <v>JM SMUCKER CO</v>
          </cell>
          <cell r="P1895" t="str">
            <v>New York</v>
          </cell>
          <cell r="Q1895" t="str">
            <v>Consumer Staples</v>
          </cell>
          <cell r="R1895" t="str">
            <v>Food Products</v>
          </cell>
          <cell r="S1895" t="str">
            <v>SJM</v>
          </cell>
        </row>
        <row r="1896">
          <cell r="L1896" t="str">
            <v>GPS</v>
          </cell>
          <cell r="M1896" t="str">
            <v>GAP-12816/</v>
          </cell>
          <cell r="N1896" t="str">
            <v>GPS</v>
          </cell>
          <cell r="O1896" t="str">
            <v>GAP INC/THE</v>
          </cell>
          <cell r="P1896" t="str">
            <v>New York</v>
          </cell>
          <cell r="Q1896" t="str">
            <v>Consumer Discretionary</v>
          </cell>
          <cell r="R1896" t="str">
            <v>Specialty Retail</v>
          </cell>
          <cell r="S1896" t="str">
            <v>GPS</v>
          </cell>
        </row>
        <row r="1897">
          <cell r="L1897" t="str">
            <v>KSU</v>
          </cell>
          <cell r="M1897" t="str">
            <v>KANSAS-CITY-SOUTHERN-40328823/</v>
          </cell>
          <cell r="N1897" t="str">
            <v>KSU</v>
          </cell>
          <cell r="O1897" t="str">
            <v>KANSAS CITY SOUT</v>
          </cell>
          <cell r="P1897" t="str">
            <v>New York</v>
          </cell>
          <cell r="Q1897" t="str">
            <v>Industrials</v>
          </cell>
          <cell r="R1897" t="str">
            <v>Road &amp; Rail</v>
          </cell>
          <cell r="S1897" t="str">
            <v>KSU</v>
          </cell>
        </row>
        <row r="1898">
          <cell r="L1898" t="str">
            <v>MAA</v>
          </cell>
          <cell r="M1898" t="str">
            <v>MID-AMERICA-APARTMENT-COM-13452/</v>
          </cell>
          <cell r="N1898" t="str">
            <v>MAA</v>
          </cell>
          <cell r="O1898" t="str">
            <v>MID-AMERICA APAR</v>
          </cell>
          <cell r="P1898" t="str">
            <v>New York</v>
          </cell>
          <cell r="Q1898" t="str">
            <v>Real Estate</v>
          </cell>
          <cell r="R1898" t="str">
            <v>Equity Real Estate Investment</v>
          </cell>
          <cell r="S1898" t="str">
            <v>MAA</v>
          </cell>
        </row>
        <row r="1899">
          <cell r="L1899" t="str">
            <v>EXR</v>
          </cell>
          <cell r="M1899" t="str">
            <v>EXTRA-SPACE-STORAGE-12540/</v>
          </cell>
          <cell r="N1899" t="str">
            <v>EXR</v>
          </cell>
          <cell r="O1899" t="str">
            <v>EXTRA SPACE STOR</v>
          </cell>
          <cell r="P1899" t="str">
            <v>New York</v>
          </cell>
          <cell r="Q1899" t="str">
            <v>Real Estate</v>
          </cell>
          <cell r="R1899" t="str">
            <v>Equity Real Estate Investment</v>
          </cell>
          <cell r="S1899" t="str">
            <v>EXR</v>
          </cell>
        </row>
        <row r="1900">
          <cell r="L1900" t="str">
            <v>MAS</v>
          </cell>
          <cell r="M1900" t="str">
            <v>MASCO-13461/</v>
          </cell>
          <cell r="N1900" t="str">
            <v>MAS</v>
          </cell>
          <cell r="O1900" t="str">
            <v>MASCO CORP</v>
          </cell>
          <cell r="P1900" t="str">
            <v>New York</v>
          </cell>
          <cell r="Q1900" t="str">
            <v>Industrials</v>
          </cell>
          <cell r="R1900" t="str">
            <v>Building Products</v>
          </cell>
          <cell r="S1900" t="str">
            <v>MAS</v>
          </cell>
        </row>
        <row r="1901">
          <cell r="L1901" t="str">
            <v>DVA</v>
          </cell>
          <cell r="M1901" t="str">
            <v>DAVITA-12378/</v>
          </cell>
          <cell r="N1901" t="str">
            <v>DVA</v>
          </cell>
          <cell r="O1901" t="str">
            <v>DAVITA INC</v>
          </cell>
          <cell r="P1901" t="str">
            <v>New York</v>
          </cell>
          <cell r="Q1901" t="str">
            <v>Health Care</v>
          </cell>
          <cell r="R1901" t="str">
            <v>Health Care Providers &amp; Servic</v>
          </cell>
          <cell r="S1901" t="str">
            <v>DVA</v>
          </cell>
        </row>
        <row r="1902">
          <cell r="L1902" t="str">
            <v>FMC</v>
          </cell>
          <cell r="M1902" t="str">
            <v>FMC-CORPORATION-12616/</v>
          </cell>
          <cell r="N1902" t="str">
            <v>FMC</v>
          </cell>
          <cell r="O1902" t="str">
            <v>FMC CORP</v>
          </cell>
          <cell r="P1902" t="str">
            <v>New York</v>
          </cell>
          <cell r="Q1902" t="str">
            <v>Materials</v>
          </cell>
          <cell r="R1902" t="str">
            <v>Chemicals</v>
          </cell>
          <cell r="S1902" t="str">
            <v>FMC</v>
          </cell>
        </row>
        <row r="1903">
          <cell r="L1903" t="str">
            <v>M</v>
          </cell>
          <cell r="M1903" t="str">
            <v>MACY-S-12578/</v>
          </cell>
          <cell r="N1903" t="str">
            <v>M</v>
          </cell>
          <cell r="O1903" t="str">
            <v>MACY'S INC</v>
          </cell>
          <cell r="P1903" t="str">
            <v>New York</v>
          </cell>
          <cell r="Q1903" t="str">
            <v>Consumer Discretionary</v>
          </cell>
          <cell r="R1903" t="str">
            <v>Multiline Retail</v>
          </cell>
          <cell r="S1903" t="str">
            <v>M</v>
          </cell>
        </row>
        <row r="1904">
          <cell r="L1904" t="str">
            <v>JWN</v>
          </cell>
          <cell r="M1904" t="str">
            <v>NORDSTROM-13210/</v>
          </cell>
          <cell r="N1904" t="str">
            <v>JWN</v>
          </cell>
          <cell r="O1904" t="str">
            <v>NORDSTROM INC</v>
          </cell>
          <cell r="P1904" t="str">
            <v>New York</v>
          </cell>
          <cell r="Q1904" t="str">
            <v>Consumer Discretionary</v>
          </cell>
          <cell r="R1904" t="str">
            <v>Multiline Retail</v>
          </cell>
          <cell r="S1904" t="str">
            <v>JWN</v>
          </cell>
        </row>
        <row r="1905">
          <cell r="L1905" t="str">
            <v>NRG</v>
          </cell>
          <cell r="M1905" t="str">
            <v>NRG-ENERGY-13792/</v>
          </cell>
          <cell r="N1905" t="str">
            <v>NRG</v>
          </cell>
          <cell r="O1905" t="str">
            <v>NRG ENERGY</v>
          </cell>
          <cell r="P1905" t="str">
            <v>New York</v>
          </cell>
          <cell r="Q1905" t="str">
            <v>Utilities</v>
          </cell>
          <cell r="R1905" t="str">
            <v>Independent Power and Renewabl</v>
          </cell>
          <cell r="S1905" t="str">
            <v>NRG</v>
          </cell>
        </row>
        <row r="1906">
          <cell r="L1906" t="str">
            <v>KORS</v>
          </cell>
          <cell r="M1906" t="str">
            <v>MICHAEL-KORS-HOLDINGS-45344020/</v>
          </cell>
          <cell r="N1906" t="str">
            <v>KORS</v>
          </cell>
          <cell r="O1906" t="str">
            <v>MICHAEL KORS HOL</v>
          </cell>
          <cell r="P1906" t="str">
            <v>New York</v>
          </cell>
          <cell r="Q1906" t="str">
            <v>Consumer Discretionary</v>
          </cell>
          <cell r="R1906" t="str">
            <v>Textiles, Apparel &amp; Luxury Goo</v>
          </cell>
          <cell r="S1906" t="str">
            <v>KORS</v>
          </cell>
        </row>
        <row r="1907">
          <cell r="L1907" t="str">
            <v>ARNC</v>
          </cell>
          <cell r="M1907" t="str">
            <v>ARCONIC-31776173/</v>
          </cell>
          <cell r="N1907" t="str">
            <v>ARNC</v>
          </cell>
          <cell r="O1907" t="str">
            <v>ARCONIC INC</v>
          </cell>
          <cell r="P1907" t="str">
            <v>New York</v>
          </cell>
          <cell r="Q1907" t="str">
            <v>Industrials</v>
          </cell>
          <cell r="R1907" t="str">
            <v>Aerospace &amp; Defense</v>
          </cell>
          <cell r="S1907" t="str">
            <v>ARNC</v>
          </cell>
        </row>
        <row r="1908">
          <cell r="L1908" t="str">
            <v>RL</v>
          </cell>
          <cell r="M1908" t="str">
            <v>RALPH-LAUREN-CORP-14256/</v>
          </cell>
          <cell r="N1908" t="str">
            <v>RL</v>
          </cell>
          <cell r="O1908" t="str">
            <v>RALPH LAUREN COR</v>
          </cell>
          <cell r="P1908" t="str">
            <v>New York</v>
          </cell>
          <cell r="Q1908" t="str">
            <v>Consumer Discretionary</v>
          </cell>
          <cell r="R1908" t="str">
            <v>Textiles, Apparel &amp; Luxury Goo</v>
          </cell>
          <cell r="S1908" t="str">
            <v>RL</v>
          </cell>
        </row>
        <row r="1909">
          <cell r="L1909" t="str">
            <v>UDR</v>
          </cell>
          <cell r="M1909" t="str">
            <v>UDR-INC-14730/</v>
          </cell>
          <cell r="N1909" t="str">
            <v>UDR</v>
          </cell>
          <cell r="O1909" t="str">
            <v>UDR INC</v>
          </cell>
          <cell r="P1909" t="str">
            <v>New York</v>
          </cell>
          <cell r="Q1909" t="str">
            <v>Real Estate</v>
          </cell>
          <cell r="R1909" t="str">
            <v>Equity Real Estate Investment</v>
          </cell>
          <cell r="S1909" t="str">
            <v>UDR</v>
          </cell>
        </row>
        <row r="1910">
          <cell r="L1910" t="str">
            <v>PVH</v>
          </cell>
          <cell r="M1910" t="str">
            <v>PVH-CORPORATION-11900102/</v>
          </cell>
          <cell r="N1910" t="str">
            <v>PVH</v>
          </cell>
          <cell r="O1910" t="str">
            <v>PVH CORP</v>
          </cell>
          <cell r="P1910" t="str">
            <v>New York</v>
          </cell>
          <cell r="Q1910" t="str">
            <v>Consumer Discretionary</v>
          </cell>
          <cell r="R1910" t="str">
            <v>Textiles, Apparel &amp; Luxury Goo</v>
          </cell>
          <cell r="S1910" t="str">
            <v>PVH</v>
          </cell>
        </row>
        <row r="1911">
          <cell r="L1911" t="str">
            <v>ALB</v>
          </cell>
          <cell r="M1911" t="str">
            <v>ALBEMARLE-11613/</v>
          </cell>
          <cell r="N1911" t="str">
            <v>ALB</v>
          </cell>
          <cell r="O1911" t="str">
            <v>ALBEMARLE CORP</v>
          </cell>
          <cell r="P1911" t="str">
            <v>New York</v>
          </cell>
          <cell r="Q1911" t="str">
            <v>Materials</v>
          </cell>
          <cell r="R1911" t="str">
            <v>Chemicals</v>
          </cell>
          <cell r="S1911" t="str">
            <v>ALB</v>
          </cell>
        </row>
        <row r="1912">
          <cell r="L1912" t="str">
            <v>PRGO</v>
          </cell>
          <cell r="M1912" t="str">
            <v>PERRIGO-COMPANY-PLC-15809538/</v>
          </cell>
          <cell r="N1912" t="str">
            <v>PRGO</v>
          </cell>
          <cell r="O1912" t="str">
            <v>PERRIGO CO PLC</v>
          </cell>
          <cell r="P1912" t="str">
            <v>New York</v>
          </cell>
          <cell r="Q1912" t="str">
            <v>Health Care</v>
          </cell>
          <cell r="R1912" t="str">
            <v>Pharmaceuticals</v>
          </cell>
          <cell r="S1912" t="str">
            <v>PRGO</v>
          </cell>
        </row>
        <row r="1913">
          <cell r="L1913" t="str">
            <v>IRM</v>
          </cell>
          <cell r="M1913" t="str">
            <v>IRON-MOUNTAIN-INC-20499310/</v>
          </cell>
          <cell r="N1913" t="str">
            <v>IRM</v>
          </cell>
          <cell r="O1913" t="str">
            <v>IRON MOUNTAIN</v>
          </cell>
          <cell r="P1913" t="str">
            <v>New York</v>
          </cell>
          <cell r="Q1913" t="str">
            <v>Real Estate</v>
          </cell>
          <cell r="R1913" t="str">
            <v>Equity Real Estate Investment</v>
          </cell>
          <cell r="S1913" t="str">
            <v>IRM</v>
          </cell>
        </row>
        <row r="1914">
          <cell r="L1914" t="str">
            <v>PKG</v>
          </cell>
          <cell r="M1914" t="str">
            <v>PCA-PACKAGING-CORPORATI-40311146/</v>
          </cell>
          <cell r="N1914" t="str">
            <v>PKG</v>
          </cell>
          <cell r="O1914" t="str">
            <v>PACKAGING CORP</v>
          </cell>
          <cell r="P1914" t="str">
            <v>New York</v>
          </cell>
          <cell r="Q1914" t="str">
            <v>Materials</v>
          </cell>
          <cell r="R1914" t="str">
            <v>Containers &amp; Packaging</v>
          </cell>
          <cell r="S1914" t="str">
            <v>PKG</v>
          </cell>
        </row>
        <row r="1915">
          <cell r="L1915" t="str">
            <v>ICE</v>
          </cell>
          <cell r="M1915" t="str">
            <v>INTERNATIONAL-FLAVORS-F-13047/</v>
          </cell>
          <cell r="N1915" t="str">
            <v>ICE</v>
          </cell>
          <cell r="O1915" t="str">
            <v>INTERCONTINENTAL</v>
          </cell>
          <cell r="P1915" t="str">
            <v>New York</v>
          </cell>
          <cell r="Q1915" t="str">
            <v>Financials</v>
          </cell>
          <cell r="R1915" t="str">
            <v>Capital Markets</v>
          </cell>
          <cell r="S1915" t="str">
            <v>ICE</v>
          </cell>
        </row>
        <row r="1916">
          <cell r="L1916" t="str">
            <v>PKI</v>
          </cell>
          <cell r="M1916" t="str">
            <v>PERKINELMER-12426/</v>
          </cell>
          <cell r="N1916" t="str">
            <v>PKI</v>
          </cell>
          <cell r="O1916" t="str">
            <v>PERKINELMER INC</v>
          </cell>
          <cell r="P1916" t="str">
            <v>New York</v>
          </cell>
          <cell r="Q1916" t="str">
            <v>Health Care</v>
          </cell>
          <cell r="R1916" t="str">
            <v>Life Sciences Tools &amp; Services</v>
          </cell>
          <cell r="S1916" t="str">
            <v>PKI</v>
          </cell>
        </row>
        <row r="1917">
          <cell r="L1917" t="str">
            <v>JEC</v>
          </cell>
          <cell r="M1917" t="str">
            <v>JACOBS-ENGINEERING-GROUP-13160/</v>
          </cell>
          <cell r="N1917" t="str">
            <v>JEC</v>
          </cell>
          <cell r="O1917" t="str">
            <v>JACOBS ENGIN GRP</v>
          </cell>
          <cell r="P1917" t="str">
            <v>New York</v>
          </cell>
          <cell r="Q1917" t="str">
            <v>Industrials</v>
          </cell>
          <cell r="R1917" t="str">
            <v>Construction &amp; Engineering</v>
          </cell>
          <cell r="S1917" t="str">
            <v>JEC</v>
          </cell>
        </row>
        <row r="1918">
          <cell r="L1918" t="str">
            <v>VAR</v>
          </cell>
          <cell r="M1918" t="str">
            <v>VARIAN-MEDICAL-SYSTEMS-14785/</v>
          </cell>
          <cell r="N1918" t="str">
            <v>VAR</v>
          </cell>
          <cell r="O1918" t="str">
            <v>VARIAN MEDICAL S</v>
          </cell>
          <cell r="P1918" t="str">
            <v>New York</v>
          </cell>
          <cell r="Q1918" t="str">
            <v>Health Care</v>
          </cell>
          <cell r="R1918" t="str">
            <v>Health Care Equipment &amp; Suppli</v>
          </cell>
          <cell r="S1918" t="str">
            <v>VAR</v>
          </cell>
        </row>
        <row r="1919">
          <cell r="L1919" t="str">
            <v>COG</v>
          </cell>
          <cell r="M1919" t="str">
            <v>CABOT-OIL-GAS-12146/</v>
          </cell>
          <cell r="N1919" t="str">
            <v>COG</v>
          </cell>
          <cell r="O1919" t="str">
            <v>CABOT OIL &amp; GAS</v>
          </cell>
          <cell r="P1919" t="str">
            <v>New York</v>
          </cell>
          <cell r="Q1919" t="str">
            <v>Energy</v>
          </cell>
          <cell r="R1919" t="str">
            <v>Oil, Gas &amp; Consumable Fuels</v>
          </cell>
          <cell r="S1919" t="str">
            <v>COG</v>
          </cell>
        </row>
        <row r="1920">
          <cell r="L1920" t="str">
            <v>NWL</v>
          </cell>
          <cell r="M1920" t="str">
            <v>NEWELL-BRANDS-13844/</v>
          </cell>
          <cell r="N1920" t="str">
            <v>NWL</v>
          </cell>
          <cell r="O1920" t="str">
            <v>NEWELL BRANDS IN</v>
          </cell>
          <cell r="P1920" t="str">
            <v>New York</v>
          </cell>
          <cell r="Q1920" t="str">
            <v>Consumer Discretionary</v>
          </cell>
          <cell r="R1920" t="str">
            <v>Household Durables</v>
          </cell>
          <cell r="S1920" t="str">
            <v>NWL</v>
          </cell>
        </row>
        <row r="1921">
          <cell r="L1921" t="str">
            <v>ADS</v>
          </cell>
          <cell r="M1921" t="str">
            <v>ALLIANT-ENERGY-13413/</v>
          </cell>
          <cell r="N1921" t="str">
            <v>ADS</v>
          </cell>
          <cell r="O1921" t="str">
            <v>ALLIANCE DATA</v>
          </cell>
          <cell r="P1921" t="str">
            <v>New York</v>
          </cell>
          <cell r="Q1921" t="str">
            <v>Information Technology</v>
          </cell>
          <cell r="R1921" t="str">
            <v>IT Services</v>
          </cell>
          <cell r="S1921" t="str">
            <v>ADS</v>
          </cell>
        </row>
        <row r="1922">
          <cell r="L1922" t="str">
            <v>SNA</v>
          </cell>
          <cell r="M1922" t="str">
            <v>SNAP-ON-14431/</v>
          </cell>
          <cell r="N1922" t="str">
            <v>SNA</v>
          </cell>
          <cell r="O1922" t="str">
            <v>SNAP-ON INC</v>
          </cell>
          <cell r="P1922" t="str">
            <v>New York</v>
          </cell>
          <cell r="Q1922" t="str">
            <v>Industrials</v>
          </cell>
          <cell r="R1922" t="str">
            <v>Machinery</v>
          </cell>
          <cell r="S1922" t="str">
            <v>SNA</v>
          </cell>
        </row>
        <row r="1923">
          <cell r="L1923" t="str">
            <v>DUK</v>
          </cell>
          <cell r="M1923" t="str">
            <v>DUKE-REALTY-CORPORATION-40311149/</v>
          </cell>
          <cell r="N1923" t="str">
            <v>DUK</v>
          </cell>
          <cell r="O1923" t="str">
            <v>DUKE ENERGY CORP</v>
          </cell>
          <cell r="P1923" t="str">
            <v>New York</v>
          </cell>
          <cell r="Q1923" t="str">
            <v>Utilities</v>
          </cell>
          <cell r="R1923" t="str">
            <v>Electric Utilities</v>
          </cell>
          <cell r="S1923" t="str">
            <v>DUK</v>
          </cell>
        </row>
        <row r="1924">
          <cell r="L1924" t="str">
            <v>TMK</v>
          </cell>
          <cell r="M1924" t="str">
            <v>TORCHMARK-CORPORATION-14619/</v>
          </cell>
          <cell r="N1924" t="str">
            <v>TMK</v>
          </cell>
          <cell r="O1924" t="str">
            <v>TORCHMARK CORP</v>
          </cell>
          <cell r="P1924" t="str">
            <v>New York</v>
          </cell>
          <cell r="Q1924" t="str">
            <v>Financials</v>
          </cell>
          <cell r="R1924" t="str">
            <v>Insurance</v>
          </cell>
          <cell r="S1924" t="str">
            <v>TMK</v>
          </cell>
        </row>
        <row r="1925">
          <cell r="L1925" t="str">
            <v>IVZ</v>
          </cell>
          <cell r="M1925" t="str">
            <v>INVESCO-LTD-11728/</v>
          </cell>
          <cell r="N1925" t="str">
            <v>IVZ</v>
          </cell>
          <cell r="O1925" t="str">
            <v>INVESCO LTD</v>
          </cell>
          <cell r="P1925" t="str">
            <v>New York</v>
          </cell>
          <cell r="Q1925" t="str">
            <v>Financials</v>
          </cell>
          <cell r="R1925" t="str">
            <v>Capital Markets</v>
          </cell>
          <cell r="S1925" t="str">
            <v>IVZ</v>
          </cell>
        </row>
        <row r="1926">
          <cell r="L1926" t="str">
            <v>AOS</v>
          </cell>
          <cell r="M1926" t="str">
            <v>AO-SMITH-40311155/</v>
          </cell>
          <cell r="N1926" t="str">
            <v>AOS</v>
          </cell>
          <cell r="O1926" t="str">
            <v>SMITH (A.O.)CORP</v>
          </cell>
          <cell r="P1926" t="str">
            <v>New York</v>
          </cell>
          <cell r="Q1926" t="str">
            <v>Industrials</v>
          </cell>
          <cell r="R1926" t="str">
            <v>Building Products</v>
          </cell>
          <cell r="S1926" t="str">
            <v>AOS</v>
          </cell>
        </row>
        <row r="1927">
          <cell r="L1927" t="str">
            <v>NI</v>
          </cell>
          <cell r="M1927" t="str">
            <v>NISOURCE-13731/</v>
          </cell>
          <cell r="N1927" t="str">
            <v>NI</v>
          </cell>
          <cell r="O1927" t="str">
            <v>NISOURCE INC</v>
          </cell>
          <cell r="P1927" t="str">
            <v>New York</v>
          </cell>
          <cell r="Q1927" t="str">
            <v>Utilities</v>
          </cell>
          <cell r="R1927" t="str">
            <v>Multi-Utilities</v>
          </cell>
          <cell r="S1927" t="str">
            <v>NI</v>
          </cell>
        </row>
        <row r="1928">
          <cell r="L1928" t="str">
            <v>JNPR</v>
          </cell>
          <cell r="M1928" t="str">
            <v>JUNIPER-NETWORKS-4881/</v>
          </cell>
          <cell r="N1928" t="str">
            <v>JNPR</v>
          </cell>
          <cell r="O1928" t="str">
            <v>JUNIPER NETWORKS</v>
          </cell>
          <cell r="P1928" t="str">
            <v>New York</v>
          </cell>
          <cell r="Q1928" t="str">
            <v>Information Technology</v>
          </cell>
          <cell r="R1928" t="str">
            <v>Communications Equipment</v>
          </cell>
          <cell r="S1928" t="str">
            <v>JNPR</v>
          </cell>
        </row>
        <row r="1929">
          <cell r="L1929" t="str">
            <v>RHI</v>
          </cell>
          <cell r="M1929" t="str">
            <v>ROBERT-HALF-INTERNATIONAL-14243/</v>
          </cell>
          <cell r="N1929" t="str">
            <v>RHI</v>
          </cell>
          <cell r="O1929" t="str">
            <v>ROBERT HALF INTL</v>
          </cell>
          <cell r="P1929" t="str">
            <v>New York</v>
          </cell>
          <cell r="Q1929" t="str">
            <v>Industrials</v>
          </cell>
          <cell r="R1929" t="str">
            <v>Professional Services</v>
          </cell>
          <cell r="S1929" t="str">
            <v>RHI</v>
          </cell>
        </row>
        <row r="1930">
          <cell r="L1930" t="str">
            <v>FII</v>
          </cell>
          <cell r="M1930" t="str">
            <v>FEDERAL-REALTY-INVESTMENT-12673/</v>
          </cell>
          <cell r="N1930" t="str">
            <v>FII</v>
          </cell>
          <cell r="O1930" t="str">
            <v>FEDERATED INV-B</v>
          </cell>
          <cell r="P1930" t="str">
            <v>New York</v>
          </cell>
          <cell r="Q1930" t="str">
            <v>Financials</v>
          </cell>
          <cell r="R1930" t="str">
            <v>Capital Markets</v>
          </cell>
          <cell r="S1930" t="str">
            <v>FII</v>
          </cell>
        </row>
        <row r="1931">
          <cell r="L1931" t="str">
            <v>NLSN</v>
          </cell>
          <cell r="M1931" t="str">
            <v>NIELSEN-HOLDINGS-PLC-23609494/</v>
          </cell>
          <cell r="N1931" t="str">
            <v>NLSN</v>
          </cell>
          <cell r="O1931" t="str">
            <v>NIELSEN HOLDINGS</v>
          </cell>
          <cell r="P1931" t="str">
            <v>New York</v>
          </cell>
          <cell r="Q1931" t="str">
            <v>Industrials</v>
          </cell>
          <cell r="R1931" t="str">
            <v>Professional Services</v>
          </cell>
          <cell r="S1931" t="str">
            <v>NLSN</v>
          </cell>
        </row>
        <row r="1932">
          <cell r="L1932" t="str">
            <v>BWA</v>
          </cell>
          <cell r="M1932" t="str">
            <v>BORGWARNER-40311128/</v>
          </cell>
          <cell r="N1932" t="str">
            <v>BWA</v>
          </cell>
          <cell r="O1932" t="str">
            <v>BORGWARNER INC</v>
          </cell>
          <cell r="P1932" t="str">
            <v>New York</v>
          </cell>
          <cell r="Q1932" t="str">
            <v>Consumer Discretionary</v>
          </cell>
          <cell r="R1932" t="str">
            <v>Auto Components</v>
          </cell>
          <cell r="S1932" t="str">
            <v>BWA</v>
          </cell>
        </row>
        <row r="1933">
          <cell r="L1933" t="str">
            <v>AVY</v>
          </cell>
          <cell r="M1933" t="str">
            <v>AVERY-DENNISON-CORPORATIO-11727/</v>
          </cell>
          <cell r="N1933" t="str">
            <v>AVY</v>
          </cell>
          <cell r="O1933" t="str">
            <v>AVERY DENNISON</v>
          </cell>
          <cell r="P1933" t="str">
            <v>New York</v>
          </cell>
          <cell r="Q1933" t="str">
            <v>Materials</v>
          </cell>
          <cell r="R1933" t="str">
            <v>Containers &amp; Packaging</v>
          </cell>
          <cell r="S1933" t="str">
            <v>AVY</v>
          </cell>
        </row>
        <row r="1934">
          <cell r="L1934" t="str">
            <v>RE</v>
          </cell>
          <cell r="M1934" t="str">
            <v>EVEREST-RE-GROUP-14215/</v>
          </cell>
          <cell r="N1934" t="str">
            <v>RE</v>
          </cell>
          <cell r="O1934" t="str">
            <v>EVEREST RE GROUP</v>
          </cell>
          <cell r="P1934" t="str">
            <v>New York</v>
          </cell>
          <cell r="Q1934" t="str">
            <v>Financials</v>
          </cell>
          <cell r="R1934" t="str">
            <v>Insurance</v>
          </cell>
          <cell r="S1934" t="str">
            <v>RE</v>
          </cell>
        </row>
        <row r="1935">
          <cell r="L1935" t="str">
            <v>COTY</v>
          </cell>
          <cell r="M1935" t="str">
            <v>COTY-13396702/</v>
          </cell>
          <cell r="N1935" t="str">
            <v>COTY</v>
          </cell>
          <cell r="O1935" t="str">
            <v>COTY INC-CL A</v>
          </cell>
          <cell r="P1935" t="str">
            <v>New York</v>
          </cell>
          <cell r="Q1935" t="str">
            <v>Consumer Staples</v>
          </cell>
          <cell r="R1935" t="str">
            <v>Personal Products</v>
          </cell>
          <cell r="S1935" t="str">
            <v>COTY</v>
          </cell>
        </row>
        <row r="1936">
          <cell r="L1936" t="str">
            <v>UA</v>
          </cell>
          <cell r="M1936" t="str">
            <v>UNDER-ARMOUR-39444/</v>
          </cell>
          <cell r="N1936" t="str">
            <v>UA</v>
          </cell>
          <cell r="O1936" t="str">
            <v>UNDER ARMO-C</v>
          </cell>
          <cell r="P1936" t="str">
            <v>New York</v>
          </cell>
          <cell r="Q1936" t="str">
            <v>Consumer Discretionary</v>
          </cell>
          <cell r="R1936" t="str">
            <v>Textiles, Apparel &amp; Luxury Goo</v>
          </cell>
          <cell r="S1936" t="str">
            <v>UA</v>
          </cell>
        </row>
        <row r="1937">
          <cell r="L1937" t="str">
            <v>SLG</v>
          </cell>
          <cell r="M1937" t="str">
            <v>SL-GREEN-REALTY-CORP-14414/</v>
          </cell>
          <cell r="N1937" t="str">
            <v>SLG</v>
          </cell>
          <cell r="O1937" t="str">
            <v>SL GREEN REALTY</v>
          </cell>
          <cell r="P1937" t="str">
            <v>New York</v>
          </cell>
          <cell r="Q1937" t="str">
            <v>Real Estate</v>
          </cell>
          <cell r="R1937" t="str">
            <v>Equity Real Estate Investment</v>
          </cell>
          <cell r="S1937" t="str">
            <v>SLG</v>
          </cell>
        </row>
        <row r="1938">
          <cell r="L1938" t="str">
            <v>PNW</v>
          </cell>
          <cell r="M1938" t="str">
            <v>PINNACLE-WEST-CAPITAL-14077/</v>
          </cell>
          <cell r="N1938" t="str">
            <v>PNW</v>
          </cell>
          <cell r="O1938" t="str">
            <v>PINNACLE WEST</v>
          </cell>
          <cell r="P1938" t="str">
            <v>New York</v>
          </cell>
          <cell r="Q1938" t="str">
            <v>Utilities</v>
          </cell>
          <cell r="R1938" t="str">
            <v>Electric Utilities</v>
          </cell>
          <cell r="S1938" t="str">
            <v>PNW</v>
          </cell>
        </row>
        <row r="1939">
          <cell r="L1939" t="str">
            <v>ICE</v>
          </cell>
          <cell r="M1939" t="str">
            <v>INTERPUBLIC-GROUP-13096/</v>
          </cell>
          <cell r="N1939" t="str">
            <v>ICE</v>
          </cell>
          <cell r="O1939" t="str">
            <v>INTERCONTINENTAL</v>
          </cell>
          <cell r="P1939" t="str">
            <v>New York</v>
          </cell>
          <cell r="Q1939" t="str">
            <v>Financials</v>
          </cell>
          <cell r="R1939" t="str">
            <v>Capital Markets</v>
          </cell>
          <cell r="S1939" t="str">
            <v>ICE</v>
          </cell>
        </row>
        <row r="1940">
          <cell r="L1940" t="str">
            <v>AES</v>
          </cell>
          <cell r="M1940" t="str">
            <v>AES-CORPORATION-11547/</v>
          </cell>
          <cell r="N1940" t="str">
            <v>AES</v>
          </cell>
          <cell r="O1940" t="str">
            <v>AES CORP</v>
          </cell>
          <cell r="P1940" t="str">
            <v>New York</v>
          </cell>
          <cell r="Q1940" t="str">
            <v>Utilities</v>
          </cell>
          <cell r="R1940" t="str">
            <v>Independent Power and Renewabl</v>
          </cell>
          <cell r="S1940" t="str">
            <v>AES</v>
          </cell>
        </row>
        <row r="1941">
          <cell r="L1941" t="str">
            <v>ALK</v>
          </cell>
          <cell r="M1941" t="str">
            <v>ALASKA-AIR-GROUP-11619/</v>
          </cell>
          <cell r="N1941" t="str">
            <v>ALK</v>
          </cell>
          <cell r="O1941" t="str">
            <v>ALASKA AIR GROUP</v>
          </cell>
          <cell r="P1941" t="str">
            <v>New York</v>
          </cell>
          <cell r="Q1941" t="str">
            <v>Industrials</v>
          </cell>
          <cell r="R1941" t="str">
            <v>Airlines</v>
          </cell>
          <cell r="S1941" t="str">
            <v>ALK</v>
          </cell>
        </row>
        <row r="1942">
          <cell r="L1942" t="str">
            <v>Y</v>
          </cell>
          <cell r="M1942" t="str">
            <v>ALLEGION-14946780/</v>
          </cell>
          <cell r="N1942" t="str">
            <v>Y</v>
          </cell>
          <cell r="O1942" t="str">
            <v>ALLEGHANY CORP</v>
          </cell>
          <cell r="P1942" t="str">
            <v>New York</v>
          </cell>
          <cell r="Q1942" t="str">
            <v>Financials</v>
          </cell>
          <cell r="R1942" t="str">
            <v>Insurance</v>
          </cell>
          <cell r="S1942" t="str">
            <v>Y</v>
          </cell>
        </row>
        <row r="1943">
          <cell r="L1943" t="str">
            <v>UNM</v>
          </cell>
          <cell r="M1943" t="str">
            <v>UNUM-GROUP-14751/</v>
          </cell>
          <cell r="N1943" t="str">
            <v>UNM</v>
          </cell>
          <cell r="O1943" t="str">
            <v>UNUM GROUP</v>
          </cell>
          <cell r="P1943" t="str">
            <v>New York</v>
          </cell>
          <cell r="Q1943" t="str">
            <v>Financials</v>
          </cell>
          <cell r="R1943" t="str">
            <v>Insurance</v>
          </cell>
          <cell r="S1943" t="str">
            <v>UNM</v>
          </cell>
        </row>
        <row r="1944">
          <cell r="L1944" t="str">
            <v>MAC</v>
          </cell>
          <cell r="M1944" t="str">
            <v>MACERICH-COMPANY-13455/</v>
          </cell>
          <cell r="N1944" t="str">
            <v>MAC</v>
          </cell>
          <cell r="O1944" t="str">
            <v>MACERICH CO</v>
          </cell>
          <cell r="P1944" t="str">
            <v>New York</v>
          </cell>
          <cell r="Q1944" t="str">
            <v>Real Estate</v>
          </cell>
          <cell r="R1944" t="str">
            <v>Equity Real Estate Investment</v>
          </cell>
          <cell r="S1944" t="str">
            <v>MAC</v>
          </cell>
        </row>
        <row r="1945">
          <cell r="L1945" t="str">
            <v>XEC</v>
          </cell>
          <cell r="M1945" t="str">
            <v>CIMAREX-ENERGY-CO-14939/</v>
          </cell>
          <cell r="N1945" t="str">
            <v>XEC</v>
          </cell>
          <cell r="O1945" t="str">
            <v>CIMAREX ENERGY C</v>
          </cell>
          <cell r="P1945" t="str">
            <v>New York</v>
          </cell>
          <cell r="Q1945" t="str">
            <v>Energy</v>
          </cell>
          <cell r="R1945" t="str">
            <v>Oil, Gas &amp; Consumable Fuels</v>
          </cell>
          <cell r="S1945" t="str">
            <v>XEC</v>
          </cell>
        </row>
        <row r="1946">
          <cell r="L1946" t="str">
            <v>WHR</v>
          </cell>
          <cell r="M1946" t="str">
            <v>WHIRLPOOL-14872/</v>
          </cell>
          <cell r="N1946" t="str">
            <v>WHR</v>
          </cell>
          <cell r="O1946" t="str">
            <v>WHIRLPOOL CORP</v>
          </cell>
          <cell r="P1946" t="str">
            <v>New York</v>
          </cell>
          <cell r="Q1946" t="str">
            <v>Consumer Discretionary</v>
          </cell>
          <cell r="R1946" t="str">
            <v>Household Durables</v>
          </cell>
          <cell r="S1946" t="str">
            <v>WHR</v>
          </cell>
        </row>
        <row r="1947">
          <cell r="L1947" t="str">
            <v>PHM</v>
          </cell>
          <cell r="M1947" t="str">
            <v>PULTEGROUP-14003/</v>
          </cell>
          <cell r="N1947" t="str">
            <v>PHM</v>
          </cell>
          <cell r="O1947" t="str">
            <v>PULTEGROUP INC</v>
          </cell>
          <cell r="P1947" t="str">
            <v>New York</v>
          </cell>
          <cell r="Q1947" t="str">
            <v>Consumer Discretionary</v>
          </cell>
          <cell r="R1947" t="str">
            <v>Household Durables</v>
          </cell>
          <cell r="S1947" t="str">
            <v>PHM</v>
          </cell>
        </row>
        <row r="1948">
          <cell r="L1948" t="str">
            <v>FLR</v>
          </cell>
          <cell r="M1948" t="str">
            <v>FLUOR-CORPORATION-41148781/</v>
          </cell>
          <cell r="N1948" t="str">
            <v>FLR</v>
          </cell>
          <cell r="O1948" t="str">
            <v>FLUOR CORP</v>
          </cell>
          <cell r="P1948" t="str">
            <v>New York</v>
          </cell>
          <cell r="Q1948" t="str">
            <v>Industrials</v>
          </cell>
          <cell r="R1948" t="str">
            <v>Construction &amp; Engineering</v>
          </cell>
          <cell r="S1948" t="str">
            <v>FLR</v>
          </cell>
        </row>
        <row r="1949">
          <cell r="L1949" t="str">
            <v>JEF</v>
          </cell>
          <cell r="M1949" t="str">
            <v>JEFFERIES-FINANCIAL-GROUP-43482239/</v>
          </cell>
          <cell r="N1949" t="str">
            <v>JEF</v>
          </cell>
          <cell r="O1949" t="str">
            <v>JEFFERIES FINANC</v>
          </cell>
          <cell r="P1949" t="str">
            <v>New York</v>
          </cell>
          <cell r="Q1949" t="str">
            <v>Financials</v>
          </cell>
          <cell r="R1949" t="str">
            <v>Diversified Financial Services</v>
          </cell>
          <cell r="S1949" t="str">
            <v>JEF</v>
          </cell>
        </row>
        <row r="1950">
          <cell r="L1950" t="str">
            <v>AMG</v>
          </cell>
          <cell r="M1950" t="str">
            <v>AFFILIATED-MANAGERS-GROUP-11637/</v>
          </cell>
          <cell r="N1950" t="str">
            <v>AMG</v>
          </cell>
          <cell r="O1950" t="str">
            <v>AFFIL MANAGERS</v>
          </cell>
          <cell r="P1950" t="str">
            <v>New York</v>
          </cell>
          <cell r="Q1950" t="str">
            <v>Financials</v>
          </cell>
          <cell r="R1950" t="str">
            <v>Capital Markets</v>
          </cell>
          <cell r="S1950" t="str">
            <v>AMG</v>
          </cell>
        </row>
        <row r="1951">
          <cell r="L1951" t="str">
            <v>FBHS</v>
          </cell>
          <cell r="M1951" t="str">
            <v>FORTUNE-BRANDS-HOME-SEC-9016938/</v>
          </cell>
          <cell r="N1951" t="str">
            <v>FBHS</v>
          </cell>
          <cell r="O1951" t="str">
            <v>FORTUNE BRANDS H</v>
          </cell>
          <cell r="P1951" t="str">
            <v>New York</v>
          </cell>
          <cell r="Q1951" t="str">
            <v>Industrials</v>
          </cell>
          <cell r="R1951" t="str">
            <v>Building Products</v>
          </cell>
          <cell r="S1951" t="str">
            <v>FBHS</v>
          </cell>
        </row>
        <row r="1952">
          <cell r="L1952" t="str">
            <v>PNR</v>
          </cell>
          <cell r="M1952" t="str">
            <v>PENTAIR-PLC-16656327/</v>
          </cell>
          <cell r="N1952" t="str">
            <v>PNR</v>
          </cell>
          <cell r="O1952" t="str">
            <v>PENTAIR PLC</v>
          </cell>
          <cell r="P1952" t="str">
            <v>New York</v>
          </cell>
          <cell r="Q1952" t="str">
            <v>Industrials</v>
          </cell>
          <cell r="R1952" t="str">
            <v>Machinery</v>
          </cell>
          <cell r="S1952" t="str">
            <v>PNR</v>
          </cell>
        </row>
        <row r="1953">
          <cell r="L1953" t="str">
            <v>LB</v>
          </cell>
          <cell r="M1953" t="str">
            <v>L-BRANDS-21245782/</v>
          </cell>
          <cell r="N1953" t="str">
            <v>LB</v>
          </cell>
          <cell r="O1953" t="str">
            <v>L BRANDS INC</v>
          </cell>
          <cell r="P1953" t="str">
            <v>New York</v>
          </cell>
          <cell r="Q1953" t="str">
            <v>Consumer Discretionary</v>
          </cell>
          <cell r="R1953" t="str">
            <v>Specialty Retail</v>
          </cell>
          <cell r="S1953" t="str">
            <v>LB</v>
          </cell>
        </row>
        <row r="1954">
          <cell r="L1954" t="str">
            <v>HP</v>
          </cell>
          <cell r="M1954" t="str">
            <v>HELMERICH-PAYNE-12966/</v>
          </cell>
          <cell r="N1954" t="str">
            <v>HP</v>
          </cell>
          <cell r="O1954" t="str">
            <v>HELMERICH &amp; PAYN</v>
          </cell>
          <cell r="P1954" t="str">
            <v>New York</v>
          </cell>
          <cell r="Q1954" t="str">
            <v>Energy</v>
          </cell>
          <cell r="R1954" t="str">
            <v>Energy Equipment &amp; Services</v>
          </cell>
          <cell r="S1954" t="str">
            <v>HP</v>
          </cell>
        </row>
        <row r="1955">
          <cell r="L1955" t="str">
            <v>KIM</v>
          </cell>
          <cell r="M1955" t="str">
            <v>KIMCO-REALTY-CORPORATION-13261/</v>
          </cell>
          <cell r="N1955" t="str">
            <v>KIM</v>
          </cell>
          <cell r="O1955" t="str">
            <v>KIMCO REALTY</v>
          </cell>
          <cell r="P1955" t="str">
            <v>New York</v>
          </cell>
          <cell r="Q1955" t="str">
            <v>Real Estate</v>
          </cell>
          <cell r="R1955" t="str">
            <v>Equity Real Estate Investment</v>
          </cell>
          <cell r="S1955" t="str">
            <v>KIM</v>
          </cell>
        </row>
        <row r="1956">
          <cell r="L1956" t="str">
            <v>HOG</v>
          </cell>
          <cell r="M1956" t="str">
            <v>HARLEY-DAVIDSON-12894/</v>
          </cell>
          <cell r="N1956" t="str">
            <v>HOG</v>
          </cell>
          <cell r="O1956" t="str">
            <v>HARLEY-DAVIDSON</v>
          </cell>
          <cell r="P1956" t="str">
            <v>New York</v>
          </cell>
          <cell r="Q1956" t="str">
            <v>Consumer Discretionary</v>
          </cell>
          <cell r="R1956" t="str">
            <v>Automobiles</v>
          </cell>
          <cell r="S1956" t="str">
            <v>HOG</v>
          </cell>
        </row>
        <row r="1957">
          <cell r="L1957" t="str">
            <v>XRX</v>
          </cell>
          <cell r="M1957" t="str">
            <v>XEROX-CORP-35859265/</v>
          </cell>
          <cell r="N1957" t="str">
            <v>XRX</v>
          </cell>
          <cell r="O1957" t="str">
            <v>XEROX CORP</v>
          </cell>
          <cell r="P1957" t="str">
            <v>New York</v>
          </cell>
          <cell r="Q1957" t="str">
            <v>Information Technology</v>
          </cell>
          <cell r="R1957" t="str">
            <v>Technology Hardware, Storage &amp;</v>
          </cell>
          <cell r="S1957" t="str">
            <v>XRX</v>
          </cell>
        </row>
        <row r="1958">
          <cell r="L1958" t="str">
            <v>AIV</v>
          </cell>
          <cell r="M1958" t="str">
            <v>APARTMENT-INVESTMENT-MA-11592/</v>
          </cell>
          <cell r="N1958" t="str">
            <v>AIV</v>
          </cell>
          <cell r="O1958" t="str">
            <v>APARTMENT INVEST</v>
          </cell>
          <cell r="P1958" t="str">
            <v>New York</v>
          </cell>
          <cell r="Q1958" t="str">
            <v>Real Estate</v>
          </cell>
          <cell r="R1958" t="str">
            <v>Equity Real Estate Investment</v>
          </cell>
          <cell r="S1958" t="str">
            <v>AIV</v>
          </cell>
        </row>
        <row r="1959">
          <cell r="L1959" t="str">
            <v>FLS</v>
          </cell>
          <cell r="M1959" t="str">
            <v>FLOWSERVE-CORPORATION-12615/</v>
          </cell>
          <cell r="N1959" t="str">
            <v>FLS</v>
          </cell>
          <cell r="O1959" t="str">
            <v>FLOWSERVE CORP</v>
          </cell>
          <cell r="P1959" t="str">
            <v>New York</v>
          </cell>
          <cell r="Q1959" t="str">
            <v>Industrials</v>
          </cell>
          <cell r="R1959" t="str">
            <v>Machinery</v>
          </cell>
          <cell r="S1959" t="str">
            <v>FLS</v>
          </cell>
        </row>
        <row r="1960">
          <cell r="L1960" t="str">
            <v>AIZ</v>
          </cell>
          <cell r="M1960" t="str">
            <v>ASSURANT-11600/</v>
          </cell>
          <cell r="N1960" t="str">
            <v>AIZ</v>
          </cell>
          <cell r="O1960" t="str">
            <v>ASSURANT INC</v>
          </cell>
          <cell r="P1960" t="str">
            <v>New York</v>
          </cell>
          <cell r="Q1960" t="str">
            <v>Financials</v>
          </cell>
          <cell r="R1960" t="str">
            <v>Insurance</v>
          </cell>
          <cell r="S1960" t="str">
            <v>AIZ</v>
          </cell>
        </row>
        <row r="1961">
          <cell r="L1961" t="str">
            <v>HBI</v>
          </cell>
          <cell r="M1961" t="str">
            <v>HANESBRANDS-31267/</v>
          </cell>
          <cell r="N1961" t="str">
            <v>HBI</v>
          </cell>
          <cell r="O1961" t="str">
            <v>HANESBRANDS INC</v>
          </cell>
          <cell r="P1961" t="str">
            <v>New York</v>
          </cell>
          <cell r="Q1961" t="str">
            <v>Consumer Discretionary</v>
          </cell>
          <cell r="R1961" t="str">
            <v>Textiles, Apparel &amp; Luxury Goo</v>
          </cell>
          <cell r="S1961" t="str">
            <v>HBI</v>
          </cell>
        </row>
        <row r="1962">
          <cell r="L1962" t="str">
            <v>SEE</v>
          </cell>
          <cell r="M1962" t="str">
            <v>SEALED-AIR-CORPORATION-14348/</v>
          </cell>
          <cell r="N1962" t="str">
            <v>SEE</v>
          </cell>
          <cell r="O1962" t="str">
            <v>SEALED AIR CORP</v>
          </cell>
          <cell r="P1962" t="str">
            <v>New York</v>
          </cell>
          <cell r="Q1962" t="str">
            <v>Materials</v>
          </cell>
          <cell r="R1962" t="str">
            <v>Containers &amp; Packaging</v>
          </cell>
          <cell r="S1962" t="str">
            <v>SEE</v>
          </cell>
        </row>
        <row r="1963">
          <cell r="L1963" t="str">
            <v>LEG</v>
          </cell>
          <cell r="M1963" t="str">
            <v>LEGGETT-PLATT-13369/</v>
          </cell>
          <cell r="N1963" t="str">
            <v>LEG</v>
          </cell>
          <cell r="O1963" t="str">
            <v>LEGGETT &amp; PLATT</v>
          </cell>
          <cell r="P1963" t="str">
            <v>New York</v>
          </cell>
          <cell r="Q1963" t="str">
            <v>Consumer Discretionary</v>
          </cell>
          <cell r="R1963" t="str">
            <v>Household Durables</v>
          </cell>
          <cell r="S1963" t="str">
            <v>LEG</v>
          </cell>
        </row>
        <row r="1964">
          <cell r="L1964" t="str">
            <v>FL</v>
          </cell>
          <cell r="M1964" t="str">
            <v>FOOT-LOCKER-14991/</v>
          </cell>
          <cell r="N1964" t="str">
            <v>FL</v>
          </cell>
          <cell r="O1964" t="str">
            <v>FOOT LOCKER INC</v>
          </cell>
          <cell r="P1964" t="str">
            <v>New York</v>
          </cell>
          <cell r="Q1964" t="str">
            <v>Consumer Discretionary</v>
          </cell>
          <cell r="R1964" t="str">
            <v>Specialty Retail</v>
          </cell>
          <cell r="S1964" t="str">
            <v>FL</v>
          </cell>
        </row>
        <row r="1965">
          <cell r="L1965" t="str">
            <v>EVHC</v>
          </cell>
          <cell r="M1965" t="str">
            <v>ENVISION-HEALTHCARE-CORPO-32393329/</v>
          </cell>
          <cell r="N1965" t="str">
            <v>EVHC</v>
          </cell>
          <cell r="O1965" t="str">
            <v>ENVISION HEALTHC</v>
          </cell>
          <cell r="P1965" t="str">
            <v>New York</v>
          </cell>
          <cell r="Q1965" t="str">
            <v>Health Care</v>
          </cell>
          <cell r="R1965" t="str">
            <v>Health Care Providers &amp; Servic</v>
          </cell>
          <cell r="S1965" t="str">
            <v>EVHC</v>
          </cell>
        </row>
        <row r="1966">
          <cell r="L1966" t="str">
            <v>HRB</v>
          </cell>
          <cell r="M1966" t="str">
            <v>H-R-BLOCK-12975/</v>
          </cell>
          <cell r="N1966" t="str">
            <v>HRB</v>
          </cell>
          <cell r="O1966" t="str">
            <v>H&amp;R BLOCK INC</v>
          </cell>
          <cell r="P1966" t="str">
            <v>New York</v>
          </cell>
          <cell r="Q1966" t="str">
            <v>Consumer Discretionary</v>
          </cell>
          <cell r="R1966" t="str">
            <v>Diversified Consumer Services</v>
          </cell>
          <cell r="S1966" t="str">
            <v>HRB</v>
          </cell>
        </row>
        <row r="1967">
          <cell r="L1967" t="str">
            <v>NFX</v>
          </cell>
          <cell r="M1967" t="str">
            <v>NEWFIELD-EXPLORATION-13723/</v>
          </cell>
          <cell r="N1967" t="str">
            <v>NFX</v>
          </cell>
          <cell r="O1967" t="str">
            <v>NEWFIELD EXPLORA</v>
          </cell>
          <cell r="P1967" t="str">
            <v>New York</v>
          </cell>
          <cell r="Q1967" t="str">
            <v>Energy</v>
          </cell>
          <cell r="R1967" t="str">
            <v>Oil, Gas &amp; Consumable Fuels</v>
          </cell>
          <cell r="S1967" t="str">
            <v>NFX</v>
          </cell>
        </row>
        <row r="1968">
          <cell r="L1968" t="str">
            <v>STE</v>
          </cell>
          <cell r="M1968" t="str">
            <v>STERICYCLE-10932/</v>
          </cell>
          <cell r="N1968" t="str">
            <v>STE</v>
          </cell>
          <cell r="O1968" t="str">
            <v>STERIS PLC</v>
          </cell>
          <cell r="P1968" t="str">
            <v>New York</v>
          </cell>
          <cell r="Q1968" t="str">
            <v>Health Care</v>
          </cell>
          <cell r="R1968" t="str">
            <v>Health Care Equipment &amp; Suppli</v>
          </cell>
          <cell r="S1968" t="str">
            <v>STE</v>
          </cell>
        </row>
        <row r="1969">
          <cell r="L1969" t="str">
            <v>SCG</v>
          </cell>
          <cell r="M1969" t="str">
            <v>SCANA-CORPORATION-14334/</v>
          </cell>
          <cell r="N1969" t="str">
            <v>SCG</v>
          </cell>
          <cell r="O1969" t="str">
            <v>SCANA CORP</v>
          </cell>
          <cell r="P1969" t="str">
            <v>New York</v>
          </cell>
          <cell r="Q1969" t="str">
            <v>Utilities</v>
          </cell>
          <cell r="R1969" t="str">
            <v>Multi-Utilities</v>
          </cell>
          <cell r="S1969" t="str">
            <v>SCG</v>
          </cell>
        </row>
        <row r="1970">
          <cell r="L1970" t="str">
            <v>PWR</v>
          </cell>
          <cell r="M1970" t="str">
            <v>QUANTA-SERVICES-14157/</v>
          </cell>
          <cell r="N1970" t="str">
            <v>PWR</v>
          </cell>
          <cell r="O1970" t="str">
            <v>QUANTA SERVICES</v>
          </cell>
          <cell r="P1970" t="str">
            <v>New York</v>
          </cell>
          <cell r="Q1970" t="str">
            <v>Industrials</v>
          </cell>
          <cell r="R1970" t="str">
            <v>Construction &amp; Engineering</v>
          </cell>
          <cell r="S1970" t="str">
            <v>PWR</v>
          </cell>
        </row>
        <row r="1971">
          <cell r="L1971" t="str">
            <v>BFAM</v>
          </cell>
          <cell r="M1971" t="str">
            <v>BRIGHTHOUSE-FINANCIAL-40311483/</v>
          </cell>
          <cell r="N1971" t="str">
            <v>BFAM</v>
          </cell>
          <cell r="O1971" t="str">
            <v>BRIGHT HORIZONS</v>
          </cell>
          <cell r="P1971" t="str">
            <v>New York</v>
          </cell>
          <cell r="Q1971" t="str">
            <v>Consumer Discretionary</v>
          </cell>
          <cell r="R1971" t="str">
            <v>Diversified Consumer Services</v>
          </cell>
          <cell r="S1971" t="str">
            <v>BFAM</v>
          </cell>
        </row>
        <row r="1972">
          <cell r="L1972" t="str">
            <v>UA</v>
          </cell>
          <cell r="M1972" t="str">
            <v>UNDER-ARMOUR-27114114/</v>
          </cell>
          <cell r="N1972" t="str">
            <v>UA</v>
          </cell>
          <cell r="O1972" t="str">
            <v>UNDER ARMO-C</v>
          </cell>
          <cell r="P1972" t="str">
            <v>New York</v>
          </cell>
          <cell r="Q1972" t="str">
            <v>Consumer Discretionary</v>
          </cell>
          <cell r="R1972" t="str">
            <v>Textiles, Apparel &amp; Luxury Goo</v>
          </cell>
          <cell r="S1972" t="str">
            <v>UA</v>
          </cell>
        </row>
        <row r="1973">
          <cell r="L1973" t="str">
            <v>TFX</v>
          </cell>
          <cell r="M1973" t="str">
            <v>TELEFONAKTIEBOLAGET-LM-ER-4938/</v>
          </cell>
          <cell r="N1973" t="str">
            <v>TFX</v>
          </cell>
          <cell r="O1973" t="str">
            <v>TELEFLEX INC</v>
          </cell>
          <cell r="P1973" t="str">
            <v>New York</v>
          </cell>
          <cell r="Q1973" t="str">
            <v>Health Care</v>
          </cell>
          <cell r="R1973" t="str">
            <v>Health Care Equipment &amp; Suppli</v>
          </cell>
          <cell r="S1973" t="str">
            <v>TFX</v>
          </cell>
        </row>
        <row r="1974">
          <cell r="L1974" t="str">
            <v>AAP</v>
          </cell>
          <cell r="M1974" t="str">
            <v>ADVANCED-MICRO-DEVICES-19475876/</v>
          </cell>
          <cell r="N1974" t="str">
            <v>AAP</v>
          </cell>
          <cell r="O1974" t="str">
            <v>ADVANCE AUTO PAR</v>
          </cell>
          <cell r="P1974" t="str">
            <v>New York</v>
          </cell>
          <cell r="Q1974" t="str">
            <v>Consumer Discretionary</v>
          </cell>
          <cell r="R1974" t="str">
            <v>Specialty Retail</v>
          </cell>
          <cell r="S1974" t="str">
            <v>AAP</v>
          </cell>
        </row>
        <row r="1975">
          <cell r="L1975" t="str">
            <v>ICE</v>
          </cell>
          <cell r="M1975" t="str">
            <v>INTERACTIVE-BROKERS-GROUP-50014/</v>
          </cell>
          <cell r="N1975" t="str">
            <v>ICE</v>
          </cell>
          <cell r="O1975" t="str">
            <v>INTERCONTINENTAL</v>
          </cell>
          <cell r="P1975" t="str">
            <v>New York</v>
          </cell>
          <cell r="Q1975" t="str">
            <v>Financials</v>
          </cell>
          <cell r="R1975" t="str">
            <v>Capital Markets</v>
          </cell>
          <cell r="S1975" t="str">
            <v>ICE</v>
          </cell>
        </row>
        <row r="1976">
          <cell r="L1976" t="str">
            <v>NOC</v>
          </cell>
          <cell r="M1976" t="str">
            <v>NORTHERN-TRUST-CORPORATIO-40311094/</v>
          </cell>
          <cell r="N1976" t="str">
            <v>NOC</v>
          </cell>
          <cell r="O1976" t="str">
            <v>NORTHROP GRUMMAN</v>
          </cell>
          <cell r="P1976" t="str">
            <v>New York</v>
          </cell>
          <cell r="Q1976" t="str">
            <v>Industrials</v>
          </cell>
          <cell r="R1976" t="str">
            <v>Aerospace &amp; Defense</v>
          </cell>
          <cell r="S1976" t="str">
            <v>NOC</v>
          </cell>
        </row>
        <row r="1977">
          <cell r="L1977" t="str">
            <v>WMB</v>
          </cell>
          <cell r="M1977" t="str">
            <v>WILLIS-TOWERS-WATSON-25623167/</v>
          </cell>
          <cell r="N1977" t="str">
            <v>WMB</v>
          </cell>
          <cell r="O1977" t="str">
            <v>WILLIAMS COS INC</v>
          </cell>
          <cell r="P1977" t="str">
            <v>New York</v>
          </cell>
          <cell r="Q1977" t="str">
            <v>Energy</v>
          </cell>
          <cell r="R1977" t="str">
            <v>Oil, Gas &amp; Consumable Fuels</v>
          </cell>
          <cell r="S1977" t="str">
            <v>WMB</v>
          </cell>
        </row>
        <row r="1978">
          <cell r="L1978" t="str">
            <v>DG</v>
          </cell>
          <cell r="M1978" t="str">
            <v>DOLLAR-TREE-4868/</v>
          </cell>
          <cell r="N1978" t="str">
            <v>DG</v>
          </cell>
          <cell r="O1978" t="str">
            <v>DOLLAR GENERAL C</v>
          </cell>
          <cell r="P1978" t="str">
            <v>New York</v>
          </cell>
          <cell r="Q1978" t="str">
            <v>Consumer Discretionary</v>
          </cell>
          <cell r="R1978" t="str">
            <v>Multiline Retail</v>
          </cell>
          <cell r="S1978" t="str">
            <v>DG</v>
          </cell>
        </row>
        <row r="1979">
          <cell r="L1979" t="str">
            <v>AXP</v>
          </cell>
          <cell r="M1979" t="str">
            <v>AMERICAN-AIRLINES-GROUP-15171667/</v>
          </cell>
          <cell r="N1979" t="str">
            <v>AXP</v>
          </cell>
          <cell r="O1979" t="str">
            <v>AMERICAN EXPRESS</v>
          </cell>
          <cell r="P1979" t="str">
            <v>New York</v>
          </cell>
          <cell r="Q1979" t="str">
            <v>Financials</v>
          </cell>
          <cell r="R1979" t="str">
            <v>Consumer Finance</v>
          </cell>
          <cell r="S1979" t="str">
            <v>AXP</v>
          </cell>
        </row>
        <row r="1980">
          <cell r="L1980" t="str">
            <v>FTV</v>
          </cell>
          <cell r="M1980" t="str">
            <v>FORTINET-INC-5716262/</v>
          </cell>
          <cell r="N1980" t="str">
            <v>FTV</v>
          </cell>
          <cell r="O1980" t="str">
            <v>FORTIVE CORP</v>
          </cell>
          <cell r="P1980" t="str">
            <v>New York</v>
          </cell>
          <cell r="Q1980" t="str">
            <v>Industrials</v>
          </cell>
          <cell r="R1980" t="str">
            <v>Machinery</v>
          </cell>
          <cell r="S1980" t="str">
            <v>FTV</v>
          </cell>
        </row>
        <row r="1981">
          <cell r="L1981" t="str">
            <v>DFS</v>
          </cell>
          <cell r="M1981" t="str">
            <v>DISCOVERY-INC-9015/</v>
          </cell>
          <cell r="N1981" t="str">
            <v>DFS</v>
          </cell>
          <cell r="O1981" t="str">
            <v>DISCOVER FINANCI</v>
          </cell>
          <cell r="P1981" t="str">
            <v>New York</v>
          </cell>
          <cell r="Q1981" t="str">
            <v>Financials</v>
          </cell>
          <cell r="R1981" t="str">
            <v>Consumer Finance</v>
          </cell>
          <cell r="S1981" t="str">
            <v>DFS</v>
          </cell>
        </row>
        <row r="1982">
          <cell r="L1982" t="str">
            <v>DFS</v>
          </cell>
          <cell r="M1982" t="str">
            <v>DISCOVERY-INC-4025862/</v>
          </cell>
          <cell r="N1982" t="str">
            <v>DFS</v>
          </cell>
          <cell r="O1982" t="str">
            <v>DISCOVER FINANCI</v>
          </cell>
          <cell r="P1982" t="str">
            <v>New York</v>
          </cell>
          <cell r="Q1982" t="str">
            <v>Financials</v>
          </cell>
          <cell r="R1982" t="str">
            <v>Consumer Finance</v>
          </cell>
          <cell r="S1982" t="str">
            <v>DFS</v>
          </cell>
        </row>
        <row r="1983">
          <cell r="L1983" t="str">
            <v>JWN</v>
          </cell>
          <cell r="M1983" t="str">
            <v>NORDSON-CORPORATION-10175/</v>
          </cell>
          <cell r="N1983" t="str">
            <v>JWN</v>
          </cell>
          <cell r="O1983" t="str">
            <v>NORDSTROM INC</v>
          </cell>
          <cell r="P1983" t="str">
            <v>New York</v>
          </cell>
          <cell r="Q1983" t="str">
            <v>Consumer Discretionary</v>
          </cell>
          <cell r="R1983" t="str">
            <v>Multiline Retail</v>
          </cell>
          <cell r="S1983" t="str">
            <v>JWN</v>
          </cell>
        </row>
        <row r="1984">
          <cell r="L1984" t="str">
            <v>MKL</v>
          </cell>
          <cell r="M1984" t="str">
            <v>MARKETAXESS-HOLDINGS-INC-10039/</v>
          </cell>
          <cell r="N1984" t="str">
            <v>MKL</v>
          </cell>
          <cell r="O1984" t="str">
            <v>MARKEL CORP</v>
          </cell>
          <cell r="P1984" t="str">
            <v>New York</v>
          </cell>
          <cell r="Q1984" t="str">
            <v>Financials</v>
          </cell>
          <cell r="R1984" t="str">
            <v>Insurance</v>
          </cell>
          <cell r="S1984" t="str">
            <v>MKL</v>
          </cell>
        </row>
        <row r="1985">
          <cell r="L1985" t="str">
            <v>NNN</v>
          </cell>
          <cell r="M1985" t="str">
            <v>NATIONAL-INSTRUMENTS-CORP-10156/</v>
          </cell>
          <cell r="N1985" t="str">
            <v>NNN</v>
          </cell>
          <cell r="O1985" t="str">
            <v>NATIONAL RETAIL</v>
          </cell>
          <cell r="P1985" t="str">
            <v>New York</v>
          </cell>
          <cell r="Q1985" t="str">
            <v>Real Estate</v>
          </cell>
          <cell r="R1985" t="str">
            <v>Equity Real Estate Investment</v>
          </cell>
          <cell r="S1985" t="str">
            <v>NNN</v>
          </cell>
        </row>
        <row r="1986">
          <cell r="L1986" t="str">
            <v>ATH</v>
          </cell>
          <cell r="M1986" t="str">
            <v>ATHENAHEALTH-INC-61776/</v>
          </cell>
          <cell r="N1986" t="str">
            <v>ATH</v>
          </cell>
          <cell r="O1986" t="str">
            <v>ATHENE HOLDING-A</v>
          </cell>
          <cell r="P1986" t="str">
            <v>New York</v>
          </cell>
          <cell r="Q1986" t="str">
            <v>Financials</v>
          </cell>
          <cell r="R1986" t="str">
            <v>Insurance</v>
          </cell>
          <cell r="S1986" t="str">
            <v>ATH</v>
          </cell>
        </row>
        <row r="1987">
          <cell r="L1987" t="str">
            <v>LNC</v>
          </cell>
          <cell r="M1987" t="str">
            <v>LINCOLN-ELECTRIC-HOLDINGS-9863/</v>
          </cell>
          <cell r="N1987" t="str">
            <v>LNC</v>
          </cell>
          <cell r="O1987" t="str">
            <v>LINCOLN NATL CRP</v>
          </cell>
          <cell r="P1987" t="str">
            <v>New York</v>
          </cell>
          <cell r="Q1987" t="str">
            <v>Financials</v>
          </cell>
          <cell r="R1987" t="str">
            <v>Insurance</v>
          </cell>
          <cell r="S1987" t="str">
            <v>LNC</v>
          </cell>
        </row>
        <row r="1988">
          <cell r="L1988" t="str">
            <v>UHS</v>
          </cell>
          <cell r="M1988" t="str">
            <v>UNIVERSAL-DISPLAY-CORPORA-10394/</v>
          </cell>
          <cell r="N1988" t="str">
            <v>UHS</v>
          </cell>
          <cell r="O1988" t="str">
            <v>UNIVERSAL HLTH-B</v>
          </cell>
          <cell r="P1988" t="str">
            <v>New York</v>
          </cell>
          <cell r="Q1988" t="str">
            <v>Health Care</v>
          </cell>
          <cell r="R1988" t="str">
            <v>Health Care Providers &amp; Servic</v>
          </cell>
          <cell r="S1988" t="str">
            <v>UHS</v>
          </cell>
        </row>
        <row r="1989">
          <cell r="L1989" t="str">
            <v>HTA</v>
          </cell>
          <cell r="M1989" t="str">
            <v>HEALTHEQUITY-INC-17039506/</v>
          </cell>
          <cell r="N1989" t="str">
            <v>HTA</v>
          </cell>
          <cell r="O1989" t="str">
            <v>HEALTHCARE TRU-A</v>
          </cell>
          <cell r="P1989" t="str">
            <v>New York</v>
          </cell>
          <cell r="Q1989" t="str">
            <v>Real Estate</v>
          </cell>
          <cell r="R1989" t="str">
            <v>Equity Real Estate Investment</v>
          </cell>
          <cell r="S1989" t="str">
            <v>HTA</v>
          </cell>
        </row>
        <row r="1990">
          <cell r="L1990" t="str">
            <v>FDC</v>
          </cell>
          <cell r="M1990" t="str">
            <v>FIRST-CITIZENS-BANCSHARES-9272/</v>
          </cell>
          <cell r="N1990" t="str">
            <v>FDC</v>
          </cell>
          <cell r="O1990" t="str">
            <v>FIRST DATA COR-A</v>
          </cell>
          <cell r="P1990" t="str">
            <v>New York</v>
          </cell>
          <cell r="Q1990" t="str">
            <v>Information Technology</v>
          </cell>
          <cell r="R1990" t="str">
            <v>IT Services</v>
          </cell>
          <cell r="S1990" t="str">
            <v>FDC</v>
          </cell>
        </row>
        <row r="1991">
          <cell r="L1991" t="str">
            <v>FDC</v>
          </cell>
          <cell r="M1991" t="str">
            <v>FIRST-SOLAR-INC-37008/</v>
          </cell>
          <cell r="N1991" t="str">
            <v>FDC</v>
          </cell>
          <cell r="O1991" t="str">
            <v>FIRST DATA COR-A</v>
          </cell>
          <cell r="P1991" t="str">
            <v>New York</v>
          </cell>
          <cell r="Q1991" t="str">
            <v>Information Technology</v>
          </cell>
          <cell r="R1991" t="str">
            <v>IT Services</v>
          </cell>
          <cell r="S1991" t="str">
            <v>FDC</v>
          </cell>
        </row>
        <row r="1992">
          <cell r="L1992" t="str">
            <v>STE</v>
          </cell>
          <cell r="M1992" t="str">
            <v>STERICYCLE-10932/</v>
          </cell>
          <cell r="N1992" t="str">
            <v>STE</v>
          </cell>
          <cell r="O1992" t="str">
            <v>STERIS PLC</v>
          </cell>
          <cell r="P1992" t="str">
            <v>New York</v>
          </cell>
          <cell r="Q1992" t="str">
            <v>Health Care</v>
          </cell>
          <cell r="R1992" t="str">
            <v>Health Care Equipment &amp; Suppli</v>
          </cell>
          <cell r="S1992" t="str">
            <v>STE</v>
          </cell>
        </row>
        <row r="1993">
          <cell r="L1993" t="str">
            <v>CNC</v>
          </cell>
          <cell r="M1993" t="str">
            <v>CENTENNIAL-RESOURCE-DEVEL-31877736/</v>
          </cell>
          <cell r="N1993" t="str">
            <v>CNC</v>
          </cell>
          <cell r="O1993" t="str">
            <v>CENTENE CORP</v>
          </cell>
          <cell r="P1993" t="str">
            <v>New York</v>
          </cell>
          <cell r="Q1993" t="str">
            <v>Health Care</v>
          </cell>
          <cell r="R1993" t="str">
            <v>Health Care Providers &amp; Servic</v>
          </cell>
          <cell r="S1993" t="str">
            <v>CNC</v>
          </cell>
        </row>
        <row r="1994">
          <cell r="L1994" t="str">
            <v>UNH</v>
          </cell>
          <cell r="M1994" t="str">
            <v>UNITED-THERAPEUTICS-CORPO-11262/</v>
          </cell>
          <cell r="N1994" t="str">
            <v>UNH</v>
          </cell>
          <cell r="O1994" t="str">
            <v>UNITEDHEALTH GRP</v>
          </cell>
          <cell r="P1994" t="str">
            <v>New York</v>
          </cell>
          <cell r="Q1994" t="str">
            <v>Health Care</v>
          </cell>
          <cell r="R1994" t="str">
            <v>Health Care Providers &amp; Servic</v>
          </cell>
          <cell r="S1994" t="str">
            <v>UNH</v>
          </cell>
        </row>
        <row r="1995">
          <cell r="L1995" t="str">
            <v>OZK</v>
          </cell>
          <cell r="M1995" t="str">
            <v>BANK-OZK-44965059/</v>
          </cell>
          <cell r="N1995" t="str">
            <v>OZK</v>
          </cell>
          <cell r="O1995" t="str">
            <v>BANK OZK</v>
          </cell>
          <cell r="P1995" t="str">
            <v>New York</v>
          </cell>
          <cell r="Q1995" t="str">
            <v>Financials</v>
          </cell>
          <cell r="R1995" t="str">
            <v>Banks</v>
          </cell>
          <cell r="S1995" t="str">
            <v>OZK</v>
          </cell>
        </row>
        <row r="1996">
          <cell r="L1996" t="str">
            <v>PNW</v>
          </cell>
          <cell r="M1996" t="str">
            <v>PINNACLE-FINANCIAL-PARTNE-10507/</v>
          </cell>
          <cell r="N1996" t="str">
            <v>PNW</v>
          </cell>
          <cell r="O1996" t="str">
            <v>PINNACLE WEST</v>
          </cell>
          <cell r="P1996" t="str">
            <v>New York</v>
          </cell>
          <cell r="Q1996" t="str">
            <v>Utilities</v>
          </cell>
          <cell r="R1996" t="str">
            <v>Electric Utilities</v>
          </cell>
          <cell r="S1996" t="str">
            <v>PNW</v>
          </cell>
        </row>
        <row r="1997">
          <cell r="L1997" t="str">
            <v>BLK</v>
          </cell>
          <cell r="M1997" t="str">
            <v>BLACKBAUD-INC-8581/</v>
          </cell>
          <cell r="N1997" t="str">
            <v>BLK</v>
          </cell>
          <cell r="O1997" t="str">
            <v>BLACKROCK INC</v>
          </cell>
          <cell r="P1997" t="str">
            <v>New York</v>
          </cell>
          <cell r="Q1997" t="str">
            <v>Financials</v>
          </cell>
          <cell r="R1997" t="str">
            <v>Capital Markets</v>
          </cell>
          <cell r="S1997" t="str">
            <v>BLK</v>
          </cell>
        </row>
        <row r="1998">
          <cell r="L1998" t="str">
            <v>BFAM</v>
          </cell>
          <cell r="M1998" t="str">
            <v>BRIGHTHOUSE-FINANCIAL-40311483/</v>
          </cell>
          <cell r="N1998" t="str">
            <v>BFAM</v>
          </cell>
          <cell r="O1998" t="str">
            <v>BRIGHT HORIZONS</v>
          </cell>
          <cell r="P1998" t="str">
            <v>New York</v>
          </cell>
          <cell r="Q1998" t="str">
            <v>Consumer Discretionary</v>
          </cell>
          <cell r="R1998" t="str">
            <v>Diversified Consumer Services</v>
          </cell>
          <cell r="S1998" t="str">
            <v>BFAM</v>
          </cell>
        </row>
        <row r="1999">
          <cell r="L1999" t="str">
            <v>RCL</v>
          </cell>
          <cell r="M1999" t="str">
            <v>ROYAL-GOLD-INC-USA-10669/</v>
          </cell>
          <cell r="N1999" t="str">
            <v>RCL</v>
          </cell>
          <cell r="O1999" t="str">
            <v>ROYAL CARIBBEAN</v>
          </cell>
          <cell r="P1999" t="str">
            <v>New York</v>
          </cell>
          <cell r="Q1999" t="str">
            <v>Consumer Discretionary</v>
          </cell>
          <cell r="R1999" t="str">
            <v>Hotels, Restaurants &amp; Leisure</v>
          </cell>
          <cell r="S1999" t="str">
            <v>RCL</v>
          </cell>
        </row>
        <row r="2000">
          <cell r="L2000" t="str">
            <v>FDC</v>
          </cell>
          <cell r="M2000" t="str">
            <v>FIRST-FINANCIAL-BANKSHARE-9294/</v>
          </cell>
          <cell r="N2000" t="str">
            <v>FDC</v>
          </cell>
          <cell r="O2000" t="str">
            <v>FIRST DATA COR-A</v>
          </cell>
          <cell r="P2000" t="str">
            <v>New York</v>
          </cell>
          <cell r="Q2000" t="str">
            <v>Information Technology</v>
          </cell>
          <cell r="R2000" t="str">
            <v>IT Services</v>
          </cell>
          <cell r="S2000" t="str">
            <v>FDC</v>
          </cell>
        </row>
        <row r="2001">
          <cell r="L2001" t="str">
            <v>HD</v>
          </cell>
          <cell r="M2001" t="str">
            <v>HOME-BANCSHARES-INC-17522/</v>
          </cell>
          <cell r="N2001" t="str">
            <v>HD</v>
          </cell>
          <cell r="O2001" t="str">
            <v>HOME DEPOT INC</v>
          </cell>
          <cell r="P2001" t="str">
            <v>New York</v>
          </cell>
          <cell r="Q2001" t="str">
            <v>Consumer Discretionary</v>
          </cell>
          <cell r="R2001" t="str">
            <v>Specialty Retail</v>
          </cell>
          <cell r="S2001" t="str">
            <v>HD</v>
          </cell>
        </row>
        <row r="2002">
          <cell r="L2002" t="str">
            <v>UNH</v>
          </cell>
          <cell r="M2002" t="str">
            <v>UNITED-BANKSHARES-INC-11212/</v>
          </cell>
          <cell r="N2002" t="str">
            <v>UNH</v>
          </cell>
          <cell r="O2002" t="str">
            <v>UNITEDHEALTH GRP</v>
          </cell>
          <cell r="P2002" t="str">
            <v>New York</v>
          </cell>
          <cell r="Q2002" t="str">
            <v>Health Care</v>
          </cell>
          <cell r="R2002" t="str">
            <v>Health Care Providers &amp; Servic</v>
          </cell>
          <cell r="S2002" t="str">
            <v>UNH</v>
          </cell>
        </row>
        <row r="2003">
          <cell r="L2003" t="str">
            <v>FDC</v>
          </cell>
          <cell r="M2003" t="str">
            <v>FIRST-HAWAIIAN-INC-30432305/</v>
          </cell>
          <cell r="N2003" t="str">
            <v>FDC</v>
          </cell>
          <cell r="O2003" t="str">
            <v>FIRST DATA COR-A</v>
          </cell>
          <cell r="P2003" t="str">
            <v>New York</v>
          </cell>
          <cell r="Q2003" t="str">
            <v>Information Technology</v>
          </cell>
          <cell r="R2003" t="str">
            <v>IT Services</v>
          </cell>
          <cell r="S2003" t="str">
            <v>FDC</v>
          </cell>
        </row>
        <row r="2004">
          <cell r="L2004" t="str">
            <v>IVZ</v>
          </cell>
          <cell r="M2004" t="str">
            <v>INVESTORS-BANCORP-INC-16441286/</v>
          </cell>
          <cell r="N2004" t="str">
            <v>IVZ</v>
          </cell>
          <cell r="O2004" t="str">
            <v>INVESCO LTD</v>
          </cell>
          <cell r="P2004" t="str">
            <v>New York</v>
          </cell>
          <cell r="Q2004" t="str">
            <v>Financials</v>
          </cell>
          <cell r="R2004" t="str">
            <v>Capital Markets</v>
          </cell>
          <cell r="S2004" t="str">
            <v>IVZ</v>
          </cell>
        </row>
        <row r="2005">
          <cell r="L2005" t="str">
            <v>CHD</v>
          </cell>
          <cell r="M2005" t="str">
            <v>CHURCHILL-DOWNS-INC-8765/</v>
          </cell>
          <cell r="N2005" t="str">
            <v>CHD</v>
          </cell>
          <cell r="O2005" t="str">
            <v>CHURCH &amp; DWIGHT</v>
          </cell>
          <cell r="P2005" t="str">
            <v>New York</v>
          </cell>
          <cell r="Q2005" t="str">
            <v>Consumer Staples</v>
          </cell>
          <cell r="R2005" t="str">
            <v>Household Products</v>
          </cell>
          <cell r="S2005" t="str">
            <v>CHD</v>
          </cell>
        </row>
        <row r="2006">
          <cell r="L2006" t="str">
            <v>ICE</v>
          </cell>
          <cell r="M2006" t="str">
            <v>INTERCEPT-PHARMACEUTICALS-11718561/</v>
          </cell>
          <cell r="N2006" t="str">
            <v>ICE</v>
          </cell>
          <cell r="O2006" t="str">
            <v>INTERCONTINENTAL</v>
          </cell>
          <cell r="P2006" t="str">
            <v>New York</v>
          </cell>
          <cell r="Q2006" t="str">
            <v>Financials</v>
          </cell>
          <cell r="R2006" t="str">
            <v>Capital Markets</v>
          </cell>
          <cell r="S2006" t="str">
            <v>ICE</v>
          </cell>
        </row>
        <row r="2007">
          <cell r="L2007" t="str">
            <v>NNN</v>
          </cell>
          <cell r="M2007" t="str">
            <v>NATIONAL-VISION-HOLDINGS-38226958/</v>
          </cell>
          <cell r="N2007" t="str">
            <v>NNN</v>
          </cell>
          <cell r="O2007" t="str">
            <v>NATIONAL RETAIL</v>
          </cell>
          <cell r="P2007" t="str">
            <v>New York</v>
          </cell>
          <cell r="Q2007" t="str">
            <v>Real Estate</v>
          </cell>
          <cell r="R2007" t="str">
            <v>Equity Real Estate Investment</v>
          </cell>
          <cell r="S2007" t="str">
            <v>NNN</v>
          </cell>
        </row>
        <row r="2008">
          <cell r="L2008" t="str">
            <v>AXP</v>
          </cell>
          <cell r="M2008" t="str">
            <v>AMERICAN-NATIONAL-INSURAN-8371/</v>
          </cell>
          <cell r="N2008" t="str">
            <v>AXP</v>
          </cell>
          <cell r="O2008" t="str">
            <v>AMERICAN EXPRESS</v>
          </cell>
          <cell r="P2008" t="str">
            <v>New York</v>
          </cell>
          <cell r="Q2008" t="str">
            <v>Financials</v>
          </cell>
          <cell r="R2008" t="str">
            <v>Consumer Finance</v>
          </cell>
          <cell r="S2008" t="str">
            <v>AXP</v>
          </cell>
        </row>
        <row r="2009">
          <cell r="L2009" t="str">
            <v>ICE</v>
          </cell>
          <cell r="M2009" t="str">
            <v>INTERNATIONAL-BANCSHARES-9617/</v>
          </cell>
          <cell r="N2009" t="str">
            <v>ICE</v>
          </cell>
          <cell r="O2009" t="str">
            <v>INTERCONTINENTAL</v>
          </cell>
          <cell r="P2009" t="str">
            <v>New York</v>
          </cell>
          <cell r="Q2009" t="str">
            <v>Financials</v>
          </cell>
          <cell r="R2009" t="str">
            <v>Capital Markets</v>
          </cell>
          <cell r="S2009" t="str">
            <v>ICE</v>
          </cell>
        </row>
        <row r="2010">
          <cell r="L2010" t="str">
            <v>FDC</v>
          </cell>
          <cell r="M2010" t="str">
            <v>FIRST-FINANCIAL-BANCORP-9282/</v>
          </cell>
          <cell r="N2010" t="str">
            <v>FDC</v>
          </cell>
          <cell r="O2010" t="str">
            <v>FIRST DATA COR-A</v>
          </cell>
          <cell r="P2010" t="str">
            <v>New York</v>
          </cell>
          <cell r="Q2010" t="str">
            <v>Information Technology</v>
          </cell>
          <cell r="R2010" t="str">
            <v>IT Services</v>
          </cell>
          <cell r="S2010" t="str">
            <v>FDC</v>
          </cell>
        </row>
        <row r="2011">
          <cell r="L2011" t="str">
            <v>SO</v>
          </cell>
          <cell r="M2011" t="str">
            <v>SOUTH-STATE-CORP-16838954/</v>
          </cell>
          <cell r="N2011" t="str">
            <v>SO</v>
          </cell>
          <cell r="O2011" t="str">
            <v>SOUTHERN CO</v>
          </cell>
          <cell r="P2011" t="str">
            <v>New York</v>
          </cell>
          <cell r="Q2011" t="str">
            <v>Utilities</v>
          </cell>
          <cell r="R2011" t="str">
            <v>Electric Utilities</v>
          </cell>
          <cell r="S2011" t="str">
            <v>SO</v>
          </cell>
        </row>
        <row r="2012">
          <cell r="L2012" t="str">
            <v>HTA</v>
          </cell>
          <cell r="M2012" t="str">
            <v>HEALTHCARE-SERVICES-GROUP-9526/</v>
          </cell>
          <cell r="N2012" t="str">
            <v>HTA</v>
          </cell>
          <cell r="O2012" t="str">
            <v>HEALTHCARE TRU-A</v>
          </cell>
          <cell r="P2012" t="str">
            <v>New York</v>
          </cell>
          <cell r="Q2012" t="str">
            <v>Real Estate</v>
          </cell>
          <cell r="R2012" t="str">
            <v>Equity Real Estate Investment</v>
          </cell>
          <cell r="S2012" t="str">
            <v>HTA</v>
          </cell>
        </row>
        <row r="2013">
          <cell r="L2013" t="str">
            <v>KORS</v>
          </cell>
          <cell r="M2013" t="str">
            <v>MICHAELS-COMPANIES-INC-16783961/</v>
          </cell>
          <cell r="N2013" t="str">
            <v>KORS</v>
          </cell>
          <cell r="O2013" t="str">
            <v>MICHAEL KORS HOL</v>
          </cell>
          <cell r="P2013" t="str">
            <v>New York</v>
          </cell>
          <cell r="Q2013" t="str">
            <v>Consumer Discretionary</v>
          </cell>
          <cell r="R2013" t="str">
            <v>Textiles, Apparel &amp; Luxury Goo</v>
          </cell>
          <cell r="S2013" t="str">
            <v>KORS</v>
          </cell>
        </row>
        <row r="2014">
          <cell r="L2014" t="str">
            <v>FDC</v>
          </cell>
          <cell r="M2014" t="str">
            <v>FIRSTSERVICE-CORP-22337013/</v>
          </cell>
          <cell r="N2014" t="str">
            <v>FDC</v>
          </cell>
          <cell r="O2014" t="str">
            <v>FIRST DATA COR-A</v>
          </cell>
          <cell r="P2014" t="str">
            <v>New York</v>
          </cell>
          <cell r="Q2014" t="str">
            <v>Information Technology</v>
          </cell>
          <cell r="R2014" t="str">
            <v>IT Services</v>
          </cell>
          <cell r="S2014" t="str">
            <v>FDC</v>
          </cell>
        </row>
        <row r="2015">
          <cell r="L2015" t="str">
            <v>NNN</v>
          </cell>
          <cell r="M2015" t="str">
            <v>NATIONAL-GENERAL-HOLDINGS-15867095/</v>
          </cell>
          <cell r="N2015" t="str">
            <v>NNN</v>
          </cell>
          <cell r="O2015" t="str">
            <v>NATIONAL RETAIL</v>
          </cell>
          <cell r="P2015" t="str">
            <v>New York</v>
          </cell>
          <cell r="Q2015" t="str">
            <v>Real Estate</v>
          </cell>
          <cell r="R2015" t="str">
            <v>Equity Real Estate Investment</v>
          </cell>
          <cell r="S2015" t="str">
            <v>NNN</v>
          </cell>
        </row>
        <row r="2016">
          <cell r="L2016" t="str">
            <v>WRE</v>
          </cell>
          <cell r="M2016" t="str">
            <v>WASHINGTON-FEDERAL-INC-11375/</v>
          </cell>
          <cell r="N2016" t="str">
            <v>WRE</v>
          </cell>
          <cell r="O2016" t="str">
            <v>WASHINGTON REIT</v>
          </cell>
          <cell r="P2016" t="str">
            <v>New York</v>
          </cell>
          <cell r="Q2016" t="str">
            <v>Real Estate</v>
          </cell>
          <cell r="R2016" t="str">
            <v>Equity Real Estate Investment</v>
          </cell>
          <cell r="S2016" t="str">
            <v>WRE</v>
          </cell>
        </row>
        <row r="2017">
          <cell r="L2017" t="str">
            <v>COG</v>
          </cell>
          <cell r="M2017" t="str">
            <v>CABOT-MICROELECTRONICS-CO-8710/</v>
          </cell>
          <cell r="N2017" t="str">
            <v>COG</v>
          </cell>
          <cell r="O2017" t="str">
            <v>CABOT OIL &amp; GAS</v>
          </cell>
          <cell r="P2017" t="str">
            <v>New York</v>
          </cell>
          <cell r="Q2017" t="str">
            <v>Energy</v>
          </cell>
          <cell r="R2017" t="str">
            <v>Oil, Gas &amp; Consumable Fuels</v>
          </cell>
          <cell r="S2017" t="str">
            <v>COG</v>
          </cell>
        </row>
        <row r="2018">
          <cell r="L2018" t="str">
            <v>ICE</v>
          </cell>
          <cell r="M2018" t="str">
            <v>INTERDIGITAL-INC-9632/</v>
          </cell>
          <cell r="N2018" t="str">
            <v>ICE</v>
          </cell>
          <cell r="O2018" t="str">
            <v>INTERCONTINENTAL</v>
          </cell>
          <cell r="P2018" t="str">
            <v>New York</v>
          </cell>
          <cell r="Q2018" t="str">
            <v>Financials</v>
          </cell>
          <cell r="R2018" t="str">
            <v>Capital Markets</v>
          </cell>
          <cell r="S2018" t="str">
            <v>ICE</v>
          </cell>
        </row>
        <row r="2019">
          <cell r="L2019" t="str">
            <v>BLK</v>
          </cell>
          <cell r="M2019" t="str">
            <v>BLACKLINE-INC-31740369/</v>
          </cell>
          <cell r="N2019" t="str">
            <v>BLK</v>
          </cell>
          <cell r="O2019" t="str">
            <v>BLACKROCK INC</v>
          </cell>
          <cell r="P2019" t="str">
            <v>New York</v>
          </cell>
          <cell r="Q2019" t="str">
            <v>Financials</v>
          </cell>
          <cell r="R2019" t="str">
            <v>Capital Markets</v>
          </cell>
          <cell r="S2019" t="str">
            <v>BLK</v>
          </cell>
        </row>
        <row r="2020">
          <cell r="L2020" t="str">
            <v>FDC</v>
          </cell>
          <cell r="M2020" t="str">
            <v>FIRST-INTERSTATE-BANCSYST-6070215/</v>
          </cell>
          <cell r="N2020" t="str">
            <v>FDC</v>
          </cell>
          <cell r="O2020" t="str">
            <v>FIRST DATA COR-A</v>
          </cell>
          <cell r="P2020" t="str">
            <v>New York</v>
          </cell>
          <cell r="Q2020" t="str">
            <v>Information Technology</v>
          </cell>
          <cell r="R2020" t="str">
            <v>IT Services</v>
          </cell>
          <cell r="S2020" t="str">
            <v>FDC</v>
          </cell>
        </row>
        <row r="2021">
          <cell r="L2021" t="str">
            <v>FDC</v>
          </cell>
          <cell r="M2021" t="str">
            <v>FIRST-MIDWEST-BANCORP-INC-9323/</v>
          </cell>
          <cell r="N2021" t="str">
            <v>FDC</v>
          </cell>
          <cell r="O2021" t="str">
            <v>FIRST DATA COR-A</v>
          </cell>
          <cell r="P2021" t="str">
            <v>New York</v>
          </cell>
          <cell r="Q2021" t="str">
            <v>Information Technology</v>
          </cell>
          <cell r="R2021" t="str">
            <v>IT Services</v>
          </cell>
          <cell r="S2021" t="str">
            <v>FDC</v>
          </cell>
        </row>
        <row r="2022">
          <cell r="L2022" t="str">
            <v>UNP</v>
          </cell>
          <cell r="M2022" t="str">
            <v>UNION-BANKSHARES-CORP-16373708/</v>
          </cell>
          <cell r="N2022" t="str">
            <v>UNP</v>
          </cell>
          <cell r="O2022" t="str">
            <v>UNION PAC CORP</v>
          </cell>
          <cell r="P2022" t="str">
            <v>New York</v>
          </cell>
          <cell r="Q2022" t="str">
            <v>Industrials</v>
          </cell>
          <cell r="R2022" t="str">
            <v>Road &amp; Rail</v>
          </cell>
          <cell r="S2022" t="str">
            <v>UNP</v>
          </cell>
        </row>
        <row r="2023">
          <cell r="L2023" t="str">
            <v>OMC</v>
          </cell>
          <cell r="M2023" t="str">
            <v>OMNICELL-INC-10331/</v>
          </cell>
          <cell r="N2023" t="str">
            <v>OMC</v>
          </cell>
          <cell r="O2023" t="str">
            <v>OMNICOM GROUP</v>
          </cell>
          <cell r="P2023" t="str">
            <v>New York</v>
          </cell>
          <cell r="Q2023" t="str">
            <v>Consumer Discretionary</v>
          </cell>
          <cell r="R2023" t="str">
            <v>Media</v>
          </cell>
          <cell r="S2023" t="str">
            <v>OMC</v>
          </cell>
        </row>
        <row r="2024">
          <cell r="L2024" t="str">
            <v>BERY</v>
          </cell>
          <cell r="M2024" t="str">
            <v>BERRY-PETROLEUM-CORP-45081126/</v>
          </cell>
          <cell r="N2024" t="str">
            <v>BERY</v>
          </cell>
          <cell r="O2024" t="str">
            <v>BERRY GLOBAL GRO</v>
          </cell>
          <cell r="P2024" t="str">
            <v>New York</v>
          </cell>
          <cell r="Q2024" t="str">
            <v>Materials</v>
          </cell>
          <cell r="R2024" t="str">
            <v>Containers &amp; Packaging</v>
          </cell>
          <cell r="S2024" t="str">
            <v>BERY</v>
          </cell>
        </row>
        <row r="2025">
          <cell r="L2025" t="str">
            <v>ADS</v>
          </cell>
          <cell r="M2025" t="str">
            <v>ALLIANCE-RESOURCE-PARTNER-8423/</v>
          </cell>
          <cell r="N2025" t="str">
            <v>ADS</v>
          </cell>
          <cell r="O2025" t="str">
            <v>ALLIANCE DATA</v>
          </cell>
          <cell r="P2025" t="str">
            <v>New York</v>
          </cell>
          <cell r="Q2025" t="str">
            <v>Information Technology</v>
          </cell>
          <cell r="R2025" t="str">
            <v>IT Services</v>
          </cell>
          <cell r="S2025" t="str">
            <v>ADS</v>
          </cell>
        </row>
        <row r="2026">
          <cell r="L2026" t="str">
            <v>MCY</v>
          </cell>
          <cell r="M2026" t="str">
            <v>MERCURY-SYSTEMS-INC-10079/</v>
          </cell>
          <cell r="N2026" t="str">
            <v>MCY</v>
          </cell>
          <cell r="O2026" t="str">
            <v>MERCURY GEN CORP</v>
          </cell>
          <cell r="P2026" t="str">
            <v>New York</v>
          </cell>
          <cell r="Q2026" t="str">
            <v>Financials</v>
          </cell>
          <cell r="R2026" t="str">
            <v>Insurance</v>
          </cell>
          <cell r="S2026" t="str">
            <v>MCY</v>
          </cell>
        </row>
        <row r="2027">
          <cell r="L2027" t="str">
            <v>CNC</v>
          </cell>
          <cell r="M2027" t="str">
            <v>CENTERSTATE-BANK-CORP-8922/</v>
          </cell>
          <cell r="N2027" t="str">
            <v>CNC</v>
          </cell>
          <cell r="O2027" t="str">
            <v>CENTENE CORP</v>
          </cell>
          <cell r="P2027" t="str">
            <v>New York</v>
          </cell>
          <cell r="Q2027" t="str">
            <v>Health Care</v>
          </cell>
          <cell r="R2027" t="str">
            <v>Health Care Providers &amp; Servic</v>
          </cell>
          <cell r="S2027" t="str">
            <v>CNC</v>
          </cell>
        </row>
        <row r="2028">
          <cell r="L2028" t="str">
            <v>GPN</v>
          </cell>
          <cell r="M2028" t="str">
            <v>GLOBAL-BLOOD-THERAPEUTICS-23320379/</v>
          </cell>
          <cell r="N2028" t="str">
            <v>GPN</v>
          </cell>
          <cell r="O2028" t="str">
            <v>GLOBAL PAYMENTS</v>
          </cell>
          <cell r="P2028" t="str">
            <v>New York</v>
          </cell>
          <cell r="Q2028" t="str">
            <v>Information Technology</v>
          </cell>
          <cell r="R2028" t="str">
            <v>IT Services</v>
          </cell>
          <cell r="S2028" t="str">
            <v>GPN</v>
          </cell>
        </row>
        <row r="2029">
          <cell r="L2029" t="str">
            <v>UNH</v>
          </cell>
          <cell r="M2029" t="str">
            <v>UNITED-COMMUNITY-BANKS-I-11917588/</v>
          </cell>
          <cell r="N2029" t="str">
            <v>UNH</v>
          </cell>
          <cell r="O2029" t="str">
            <v>UNITEDHEALTH GRP</v>
          </cell>
          <cell r="P2029" t="str">
            <v>New York</v>
          </cell>
          <cell r="Q2029" t="str">
            <v>Health Care</v>
          </cell>
          <cell r="R2029" t="str">
            <v>Health Care Providers &amp; Servic</v>
          </cell>
          <cell r="S2029" t="str">
            <v>UNH</v>
          </cell>
        </row>
        <row r="2030">
          <cell r="L2030" t="str">
            <v>FDC</v>
          </cell>
          <cell r="M2030" t="str">
            <v>FIRST-MERCHANTS-CORPORATI-9363/</v>
          </cell>
          <cell r="N2030" t="str">
            <v>FDC</v>
          </cell>
          <cell r="O2030" t="str">
            <v>FIRST DATA COR-A</v>
          </cell>
          <cell r="P2030" t="str">
            <v>New York</v>
          </cell>
          <cell r="Q2030" t="str">
            <v>Information Technology</v>
          </cell>
          <cell r="R2030" t="str">
            <v>IT Services</v>
          </cell>
          <cell r="S2030" t="str">
            <v>FDC</v>
          </cell>
        </row>
        <row r="2031">
          <cell r="L2031" t="str">
            <v>AXP</v>
          </cell>
          <cell r="M2031" t="str">
            <v>AMERIS-BANCORP-8205/</v>
          </cell>
          <cell r="N2031" t="str">
            <v>AXP</v>
          </cell>
          <cell r="O2031" t="str">
            <v>AMERICAN EXPRESS</v>
          </cell>
          <cell r="P2031" t="str">
            <v>New York</v>
          </cell>
          <cell r="Q2031" t="str">
            <v>Financials</v>
          </cell>
          <cell r="R2031" t="str">
            <v>Consumer Finance</v>
          </cell>
          <cell r="S2031" t="str">
            <v>AXP</v>
          </cell>
        </row>
        <row r="2032">
          <cell r="L2032" t="str">
            <v>AAP</v>
          </cell>
          <cell r="M2032" t="str">
            <v>ADVANCED-ENERGY-INDUSTRIE-8274/</v>
          </cell>
          <cell r="N2032" t="str">
            <v>AAP</v>
          </cell>
          <cell r="O2032" t="str">
            <v>ADVANCE AUTO PAR</v>
          </cell>
          <cell r="P2032" t="str">
            <v>New York</v>
          </cell>
          <cell r="Q2032" t="str">
            <v>Consumer Discretionary</v>
          </cell>
          <cell r="R2032" t="str">
            <v>Specialty Retail</v>
          </cell>
          <cell r="S2032" t="str">
            <v>AAP</v>
          </cell>
        </row>
        <row r="2033">
          <cell r="L2033" t="str">
            <v>NOW</v>
          </cell>
          <cell r="M2033" t="str">
            <v>SERVISFIRST-BANCSHARES-I-16470903/</v>
          </cell>
          <cell r="N2033" t="str">
            <v>NOW</v>
          </cell>
          <cell r="O2033" t="str">
            <v>SERVICENOW INC</v>
          </cell>
          <cell r="P2033" t="str">
            <v>New York</v>
          </cell>
          <cell r="Q2033" t="str">
            <v>Information Technology</v>
          </cell>
          <cell r="R2033" t="str">
            <v>Software</v>
          </cell>
          <cell r="S2033" t="str">
            <v>NOW</v>
          </cell>
        </row>
        <row r="2034">
          <cell r="L2034" t="str">
            <v>UHS</v>
          </cell>
          <cell r="M2034" t="str">
            <v>UNIVERSAL-FOREST-PRODUCTS-11225/</v>
          </cell>
          <cell r="N2034" t="str">
            <v>UHS</v>
          </cell>
          <cell r="O2034" t="str">
            <v>UNIVERSAL HLTH-B</v>
          </cell>
          <cell r="P2034" t="str">
            <v>New York</v>
          </cell>
          <cell r="Q2034" t="str">
            <v>Health Care</v>
          </cell>
          <cell r="R2034" t="str">
            <v>Health Care Providers &amp; Servic</v>
          </cell>
          <cell r="S2034" t="str">
            <v>UHS</v>
          </cell>
        </row>
        <row r="2035">
          <cell r="L2035" t="str">
            <v>SPB</v>
          </cell>
          <cell r="M2035" t="str">
            <v>SPECTRUM-PHARMACEUTICALS-10921/</v>
          </cell>
          <cell r="N2035" t="str">
            <v>SPB</v>
          </cell>
          <cell r="O2035" t="str">
            <v>SPECTRUM BRANDS</v>
          </cell>
          <cell r="P2035" t="str">
            <v>New York</v>
          </cell>
          <cell r="Q2035" t="str">
            <v>Consumer Staples</v>
          </cell>
          <cell r="R2035" t="str">
            <v>Household Products</v>
          </cell>
          <cell r="S2035" t="str">
            <v>SPB</v>
          </cell>
        </row>
        <row r="2036">
          <cell r="L2036" t="str">
            <v>BEN</v>
          </cell>
          <cell r="M2036" t="str">
            <v>FRANKLIN-ELECTRIC-CO-9281/</v>
          </cell>
          <cell r="N2036" t="str">
            <v>BEN</v>
          </cell>
          <cell r="O2036" t="str">
            <v>FRANKLIN RES INC</v>
          </cell>
          <cell r="P2036" t="str">
            <v>New York</v>
          </cell>
          <cell r="Q2036" t="str">
            <v>Financials</v>
          </cell>
          <cell r="R2036" t="str">
            <v>Capital Markets</v>
          </cell>
          <cell r="S2036" t="str">
            <v>BEN</v>
          </cell>
        </row>
        <row r="2037">
          <cell r="L2037" t="str">
            <v>RPAI</v>
          </cell>
          <cell r="M2037" t="str">
            <v>RETAIL-OPPORTUNITY-INVEST-5694436/</v>
          </cell>
          <cell r="N2037" t="str">
            <v>RPAI</v>
          </cell>
          <cell r="O2037" t="str">
            <v>RETAIL PROPERTIE</v>
          </cell>
          <cell r="P2037" t="str">
            <v>New York</v>
          </cell>
          <cell r="Q2037" t="str">
            <v>Real Estate</v>
          </cell>
          <cell r="R2037" t="str">
            <v>Equity Real Estate Investment</v>
          </cell>
          <cell r="S2037" t="str">
            <v>RPAI</v>
          </cell>
        </row>
        <row r="2038">
          <cell r="L2038" t="str">
            <v>ALGT</v>
          </cell>
          <cell r="M2038" t="str">
            <v>ALLEGIANT-TRAVEL-COMPANY-38694/</v>
          </cell>
          <cell r="N2038" t="str">
            <v>Y</v>
          </cell>
          <cell r="O2038" t="str">
            <v>ALLEGIANT</v>
          </cell>
          <cell r="P2038" t="str">
            <v>New York</v>
          </cell>
          <cell r="Q2038" t="str">
            <v>Industrials</v>
          </cell>
          <cell r="R2038" t="str">
            <v>Airlines</v>
          </cell>
          <cell r="S2038" t="str">
            <v>ALGT</v>
          </cell>
        </row>
        <row r="2039">
          <cell r="L2039" t="str">
            <v>HE</v>
          </cell>
          <cell r="M2039" t="str">
            <v>HAWAIIAN-HOLDINGS-INC-3064324/</v>
          </cell>
          <cell r="N2039" t="str">
            <v>HE</v>
          </cell>
          <cell r="O2039" t="str">
            <v>HAWAIIAN ELEC</v>
          </cell>
          <cell r="P2039" t="str">
            <v>New York</v>
          </cell>
          <cell r="Q2039" t="str">
            <v>Utilities</v>
          </cell>
          <cell r="R2039" t="str">
            <v>Electric Utilities</v>
          </cell>
          <cell r="S2039" t="str">
            <v>HE</v>
          </cell>
        </row>
        <row r="2040">
          <cell r="L2040" t="str">
            <v>EXR</v>
          </cell>
          <cell r="M2040" t="str">
            <v>EXTRACTION-OIL-GAS-INC-31587299/</v>
          </cell>
          <cell r="N2040" t="str">
            <v>EXR</v>
          </cell>
          <cell r="O2040" t="str">
            <v>EXTRA SPACE STOR</v>
          </cell>
          <cell r="P2040" t="str">
            <v>New York</v>
          </cell>
          <cell r="Q2040" t="str">
            <v>Real Estate</v>
          </cell>
          <cell r="R2040" t="str">
            <v>Equity Real Estate Investment</v>
          </cell>
          <cell r="S2040" t="str">
            <v>EXR</v>
          </cell>
        </row>
        <row r="2041">
          <cell r="L2041" t="str">
            <v>ICE</v>
          </cell>
          <cell r="M2041" t="str">
            <v>INTER-PARFUMS-INC-9712/</v>
          </cell>
          <cell r="N2041" t="str">
            <v>ICE</v>
          </cell>
          <cell r="O2041" t="str">
            <v>INTERCONTINENTAL</v>
          </cell>
          <cell r="P2041" t="str">
            <v>New York</v>
          </cell>
          <cell r="Q2041" t="str">
            <v>Financials</v>
          </cell>
          <cell r="R2041" t="str">
            <v>Capital Markets</v>
          </cell>
          <cell r="S2041" t="str">
            <v>ICE</v>
          </cell>
        </row>
        <row r="2042">
          <cell r="L2042" t="str">
            <v>PNW</v>
          </cell>
          <cell r="M2042" t="str">
            <v>PINNACLE-ENTERTAINMENT-IN-27114202/</v>
          </cell>
          <cell r="N2042" t="str">
            <v>PNW</v>
          </cell>
          <cell r="O2042" t="str">
            <v>PINNACLE WEST</v>
          </cell>
          <cell r="P2042" t="str">
            <v>New York</v>
          </cell>
          <cell r="Q2042" t="str">
            <v>Utilities</v>
          </cell>
          <cell r="R2042" t="str">
            <v>Electric Utilities</v>
          </cell>
          <cell r="S2042" t="str">
            <v>PNW</v>
          </cell>
        </row>
        <row r="2043">
          <cell r="L2043" t="str">
            <v>NEU</v>
          </cell>
          <cell r="M2043" t="str">
            <v>NEWMARK-GROUP-INC-39004909/</v>
          </cell>
          <cell r="N2043" t="str">
            <v>NEU</v>
          </cell>
          <cell r="O2043" t="str">
            <v>NEWMARKET CORP</v>
          </cell>
          <cell r="P2043" t="str">
            <v>New York</v>
          </cell>
          <cell r="Q2043" t="str">
            <v>Materials</v>
          </cell>
          <cell r="R2043" t="str">
            <v>Chemicals</v>
          </cell>
          <cell r="S2043" t="str">
            <v>NEU</v>
          </cell>
        </row>
        <row r="2044">
          <cell r="L2044" t="str">
            <v>ICE</v>
          </cell>
          <cell r="M2044" t="str">
            <v>INTERNATIONAL-SPEEDWAY-CO-9729/</v>
          </cell>
          <cell r="N2044" t="str">
            <v>ICE</v>
          </cell>
          <cell r="O2044" t="str">
            <v>INTERCONTINENTAL</v>
          </cell>
          <cell r="P2044" t="str">
            <v>New York</v>
          </cell>
          <cell r="Q2044" t="str">
            <v>Financials</v>
          </cell>
          <cell r="R2044" t="str">
            <v>Capital Markets</v>
          </cell>
          <cell r="S2044" t="str">
            <v>ICE</v>
          </cell>
        </row>
        <row r="2045">
          <cell r="L2045" t="str">
            <v>NOC</v>
          </cell>
          <cell r="M2045" t="str">
            <v>NORTHWEST-BANCSHARES-INC-5832675/</v>
          </cell>
          <cell r="N2045" t="str">
            <v>NOC</v>
          </cell>
          <cell r="O2045" t="str">
            <v>NORTHROP GRUMMAN</v>
          </cell>
          <cell r="P2045" t="str">
            <v>New York</v>
          </cell>
          <cell r="Q2045" t="str">
            <v>Industrials</v>
          </cell>
          <cell r="R2045" t="str">
            <v>Aerospace &amp; Defense</v>
          </cell>
          <cell r="S2045" t="str">
            <v>NOC</v>
          </cell>
        </row>
        <row r="2046">
          <cell r="L2046" t="str">
            <v>EXP</v>
          </cell>
          <cell r="M2046" t="str">
            <v>EAGLE-BANCORP-INC-9148/</v>
          </cell>
          <cell r="N2046" t="str">
            <v>EXP</v>
          </cell>
          <cell r="O2046" t="str">
            <v>EAGLE MATERIALS</v>
          </cell>
          <cell r="P2046" t="str">
            <v>New York</v>
          </cell>
          <cell r="Q2046" t="str">
            <v>Materials</v>
          </cell>
          <cell r="R2046" t="str">
            <v>Construction Materials</v>
          </cell>
          <cell r="S2046" t="str">
            <v>EXP</v>
          </cell>
        </row>
        <row r="2047">
          <cell r="L2047" t="str">
            <v>PGR</v>
          </cell>
          <cell r="M2047" t="str">
            <v>PROGRESS-SOFTWARE-CORP-10533/</v>
          </cell>
          <cell r="N2047" t="str">
            <v>PGR</v>
          </cell>
          <cell r="O2047" t="str">
            <v>PROGRESSIVE CORP</v>
          </cell>
          <cell r="P2047" t="str">
            <v>New York</v>
          </cell>
          <cell r="Q2047" t="str">
            <v>Financials</v>
          </cell>
          <cell r="R2047" t="str">
            <v>Insurance</v>
          </cell>
          <cell r="S2047" t="str">
            <v>PGR</v>
          </cell>
        </row>
        <row r="2048">
          <cell r="L2048" t="str">
            <v>COF</v>
          </cell>
          <cell r="M2048" t="str">
            <v>CAPITOL-FEDERAL-FINANCIAL-8754/</v>
          </cell>
          <cell r="N2048" t="str">
            <v>COF</v>
          </cell>
          <cell r="O2048" t="str">
            <v>CAPITAL ONE FINA</v>
          </cell>
          <cell r="P2048" t="str">
            <v>New York</v>
          </cell>
          <cell r="Q2048" t="str">
            <v>Financials</v>
          </cell>
          <cell r="R2048" t="str">
            <v>Consumer Finance</v>
          </cell>
          <cell r="S2048" t="str">
            <v>COF</v>
          </cell>
        </row>
        <row r="2049">
          <cell r="L2049" t="str">
            <v>UNH</v>
          </cell>
          <cell r="M2049" t="str">
            <v>UNITED-NATURAL-FOODS-INC-11238/</v>
          </cell>
          <cell r="N2049" t="str">
            <v>UNH</v>
          </cell>
          <cell r="O2049" t="str">
            <v>UNITEDHEALTH GRP</v>
          </cell>
          <cell r="P2049" t="str">
            <v>New York</v>
          </cell>
          <cell r="Q2049" t="str">
            <v>Health Care</v>
          </cell>
          <cell r="R2049" t="str">
            <v>Health Care Providers &amp; Servic</v>
          </cell>
          <cell r="S2049" t="str">
            <v>UNH</v>
          </cell>
        </row>
        <row r="2050">
          <cell r="L2050" t="str">
            <v>KO</v>
          </cell>
          <cell r="M2050" t="str">
            <v>COCA-COLA-BOTTLING-CO-CON-8857/</v>
          </cell>
          <cell r="N2050" t="str">
            <v>KO</v>
          </cell>
          <cell r="O2050" t="str">
            <v>COCA-COLA CO/THE</v>
          </cell>
          <cell r="P2050" t="str">
            <v>New York</v>
          </cell>
          <cell r="Q2050" t="str">
            <v>Consumer Staples</v>
          </cell>
          <cell r="R2050" t="str">
            <v>Beverages</v>
          </cell>
          <cell r="S2050" t="str">
            <v>KO</v>
          </cell>
        </row>
        <row r="2051">
          <cell r="L2051" t="str">
            <v>FDC</v>
          </cell>
          <cell r="M2051" t="str">
            <v>FIRST-BUSEY-CORPORATION-23672736/</v>
          </cell>
          <cell r="N2051" t="str">
            <v>FDC</v>
          </cell>
          <cell r="O2051" t="str">
            <v>FIRST DATA COR-A</v>
          </cell>
          <cell r="P2051" t="str">
            <v>New York</v>
          </cell>
          <cell r="Q2051" t="str">
            <v>Information Technology</v>
          </cell>
          <cell r="R2051" t="str">
            <v>IT Services</v>
          </cell>
          <cell r="S2051" t="str">
            <v>FDC</v>
          </cell>
        </row>
        <row r="2052">
          <cell r="L2052" t="str">
            <v>AXP</v>
          </cell>
          <cell r="M2052" t="str">
            <v>AMERICAN-WOODMARK-CORPORA-8369/</v>
          </cell>
          <cell r="N2052" t="str">
            <v>AXP</v>
          </cell>
          <cell r="O2052" t="str">
            <v>AMERICAN EXPRESS</v>
          </cell>
          <cell r="P2052" t="str">
            <v>New York</v>
          </cell>
          <cell r="Q2052" t="str">
            <v>Financials</v>
          </cell>
          <cell r="R2052" t="str">
            <v>Consumer Finance</v>
          </cell>
          <cell r="S2052" t="str">
            <v>AXP</v>
          </cell>
        </row>
        <row r="2053">
          <cell r="L2053" t="str">
            <v>FCE/A</v>
          </cell>
          <cell r="M2053" t="str">
            <v>FORESCOUT-TECHNOLOGIES-IN-38467024/</v>
          </cell>
          <cell r="N2053" t="str">
            <v>FCE/A</v>
          </cell>
          <cell r="O2053" t="str">
            <v>FOREST CITY RE-A</v>
          </cell>
          <cell r="P2053" t="str">
            <v>New York</v>
          </cell>
          <cell r="Q2053" t="str">
            <v>Real Estate</v>
          </cell>
          <cell r="R2053" t="str">
            <v>Equity Real Estate Investment</v>
          </cell>
          <cell r="S2053" t="str">
            <v>FCE/A</v>
          </cell>
        </row>
        <row r="2054">
          <cell r="L2054" t="str">
            <v>QCP</v>
          </cell>
          <cell r="M2054" t="str">
            <v>QUALITY-SYSTEMS-INC-10607/</v>
          </cell>
          <cell r="N2054" t="str">
            <v>QCP</v>
          </cell>
          <cell r="O2054" t="str">
            <v>QUALITY CARE</v>
          </cell>
          <cell r="P2054" t="str">
            <v>New York</v>
          </cell>
          <cell r="Q2054" t="str">
            <v>Real Estate</v>
          </cell>
          <cell r="R2054" t="str">
            <v>Equity Real Estate Investment</v>
          </cell>
          <cell r="S2054" t="str">
            <v>QCP</v>
          </cell>
        </row>
        <row r="2055">
          <cell r="L2055" t="str">
            <v>ICE</v>
          </cell>
          <cell r="M2055" t="str">
            <v>INTERFACE-INC-10587073/</v>
          </cell>
          <cell r="N2055" t="str">
            <v>ICE</v>
          </cell>
          <cell r="O2055" t="str">
            <v>INTERCONTINENTAL</v>
          </cell>
          <cell r="P2055" t="str">
            <v>New York</v>
          </cell>
          <cell r="Q2055" t="str">
            <v>Financials</v>
          </cell>
          <cell r="R2055" t="str">
            <v>Capital Markets</v>
          </cell>
          <cell r="S2055" t="str">
            <v>ICE</v>
          </cell>
        </row>
        <row r="2056">
          <cell r="L2056" t="str">
            <v>KRA</v>
          </cell>
          <cell r="M2056" t="str">
            <v>KRATOS-DEFENSE-SECURITY-11374/</v>
          </cell>
          <cell r="N2056" t="str">
            <v>KRA</v>
          </cell>
          <cell r="O2056" t="str">
            <v>KRATON CORP</v>
          </cell>
          <cell r="P2056" t="str">
            <v>New York</v>
          </cell>
          <cell r="Q2056" t="str">
            <v>Materials</v>
          </cell>
          <cell r="R2056" t="str">
            <v>Chemicals</v>
          </cell>
          <cell r="S2056" t="str">
            <v>KRA</v>
          </cell>
        </row>
        <row r="2057">
          <cell r="L2057" t="str">
            <v>ARW</v>
          </cell>
          <cell r="M2057" t="str">
            <v>ARROWHEAD-PHARMACEUTICALS-26864651/</v>
          </cell>
          <cell r="N2057" t="str">
            <v>ARW</v>
          </cell>
          <cell r="O2057" t="str">
            <v>ARROW ELECTRONIC</v>
          </cell>
          <cell r="P2057" t="str">
            <v>New York</v>
          </cell>
          <cell r="Q2057" t="str">
            <v>Information Technology</v>
          </cell>
          <cell r="R2057" t="str">
            <v>Electronic Equipment, Instrume</v>
          </cell>
          <cell r="S2057" t="str">
            <v>ARW</v>
          </cell>
        </row>
        <row r="2058">
          <cell r="L2058" t="str">
            <v>STT</v>
          </cell>
          <cell r="M2058" t="str">
            <v>STATE-AUTO-FINANCIAL-CORP-10962/</v>
          </cell>
          <cell r="N2058" t="str">
            <v>STT</v>
          </cell>
          <cell r="O2058" t="str">
            <v>STATE ST CORP</v>
          </cell>
          <cell r="P2058" t="str">
            <v>New York</v>
          </cell>
          <cell r="Q2058" t="str">
            <v>Financials</v>
          </cell>
          <cell r="R2058" t="str">
            <v>Capital Markets</v>
          </cell>
          <cell r="S2058" t="str">
            <v>STT</v>
          </cell>
        </row>
        <row r="2059">
          <cell r="L2059" t="str">
            <v>FDP</v>
          </cell>
          <cell r="M2059" t="str">
            <v>FRESHPET-INC-18509105/</v>
          </cell>
          <cell r="N2059" t="str">
            <v>FDP</v>
          </cell>
          <cell r="O2059" t="str">
            <v>FRESH DEL MONTE</v>
          </cell>
          <cell r="P2059" t="str">
            <v>New York</v>
          </cell>
          <cell r="Q2059" t="str">
            <v>Consumer Staples</v>
          </cell>
          <cell r="R2059" t="str">
            <v>Food Products</v>
          </cell>
          <cell r="S2059" t="str">
            <v>FDP</v>
          </cell>
        </row>
        <row r="2060">
          <cell r="L2060" t="str">
            <v>ETR</v>
          </cell>
          <cell r="M2060" t="str">
            <v>ENTERPRISE-FINANCIAL-SERV-9147/</v>
          </cell>
          <cell r="N2060" t="str">
            <v>ETR</v>
          </cell>
          <cell r="O2060" t="str">
            <v>ENTERGY CORP</v>
          </cell>
          <cell r="P2060" t="str">
            <v>New York</v>
          </cell>
          <cell r="Q2060" t="str">
            <v>Utilities</v>
          </cell>
          <cell r="R2060" t="str">
            <v>Electric Utilities</v>
          </cell>
          <cell r="S2060" t="str">
            <v>ETR</v>
          </cell>
        </row>
        <row r="2061">
          <cell r="L2061" t="str">
            <v>STT</v>
          </cell>
          <cell r="M2061" t="str">
            <v>STATE-BANK-FINANCIAL-CORP-5701953/</v>
          </cell>
          <cell r="N2061" t="str">
            <v>STT</v>
          </cell>
          <cell r="O2061" t="str">
            <v>STATE ST CORP</v>
          </cell>
          <cell r="P2061" t="str">
            <v>New York</v>
          </cell>
          <cell r="Q2061" t="str">
            <v>Financials</v>
          </cell>
          <cell r="R2061" t="str">
            <v>Capital Markets</v>
          </cell>
          <cell r="S2061" t="str">
            <v>STT</v>
          </cell>
        </row>
        <row r="2062">
          <cell r="L2062" t="str">
            <v>CAH</v>
          </cell>
          <cell r="M2062" t="str">
            <v>CARDIOVASCULAR-SYSTEMS-IN-5114932/</v>
          </cell>
          <cell r="N2062" t="str">
            <v>CAH</v>
          </cell>
          <cell r="O2062" t="str">
            <v>CARDINAL HEALTH</v>
          </cell>
          <cell r="P2062" t="str">
            <v>New York</v>
          </cell>
          <cell r="Q2062" t="str">
            <v>Health Care</v>
          </cell>
          <cell r="R2062" t="str">
            <v>Health Care Providers &amp; Servic</v>
          </cell>
          <cell r="S2062" t="str">
            <v>CAH</v>
          </cell>
        </row>
        <row r="2063">
          <cell r="L2063" t="str">
            <v>HFC</v>
          </cell>
          <cell r="M2063" t="str">
            <v>HOLLYSYS-AUTOMATION-TECHN-349975/</v>
          </cell>
          <cell r="N2063" t="str">
            <v>HFC</v>
          </cell>
          <cell r="O2063" t="str">
            <v>HOLLYFRONTIER CO</v>
          </cell>
          <cell r="P2063" t="str">
            <v>New York</v>
          </cell>
          <cell r="Q2063" t="str">
            <v>Energy</v>
          </cell>
          <cell r="R2063" t="str">
            <v>Oil, Gas &amp; Consumable Fuels</v>
          </cell>
          <cell r="S2063" t="str">
            <v>HFC</v>
          </cell>
        </row>
        <row r="2064">
          <cell r="L2064" t="str">
            <v>SO</v>
          </cell>
          <cell r="M2064" t="str">
            <v>SOUTHSIDE-BANCSHARES-INC-10758/</v>
          </cell>
          <cell r="N2064" t="str">
            <v>SO</v>
          </cell>
          <cell r="O2064" t="str">
            <v>SOUTHERN CO</v>
          </cell>
          <cell r="P2064" t="str">
            <v>New York</v>
          </cell>
          <cell r="Q2064" t="str">
            <v>Utilities</v>
          </cell>
          <cell r="R2064" t="str">
            <v>Electric Utilities</v>
          </cell>
          <cell r="S2064" t="str">
            <v>SO</v>
          </cell>
        </row>
        <row r="2065">
          <cell r="L2065" t="str">
            <v>UNH</v>
          </cell>
          <cell r="M2065" t="str">
            <v>UNITED-FIRE-GROUP-INC-9948799/</v>
          </cell>
          <cell r="N2065" t="str">
            <v>UNH</v>
          </cell>
          <cell r="O2065" t="str">
            <v>UNITEDHEALTH GRP</v>
          </cell>
          <cell r="P2065" t="str">
            <v>New York</v>
          </cell>
          <cell r="Q2065" t="str">
            <v>Health Care</v>
          </cell>
          <cell r="R2065" t="str">
            <v>Health Care Providers &amp; Servic</v>
          </cell>
          <cell r="S2065" t="str">
            <v>UNH</v>
          </cell>
        </row>
        <row r="2066">
          <cell r="L2066" t="str">
            <v>FDC</v>
          </cell>
          <cell r="M2066" t="str">
            <v>FIRST-BANCORP-9253/</v>
          </cell>
          <cell r="N2066" t="str">
            <v>FDC</v>
          </cell>
          <cell r="O2066" t="str">
            <v>FIRST DATA COR-A</v>
          </cell>
          <cell r="P2066" t="str">
            <v>New York</v>
          </cell>
          <cell r="Q2066" t="str">
            <v>Information Technology</v>
          </cell>
          <cell r="R2066" t="str">
            <v>IT Services</v>
          </cell>
          <cell r="S2066" t="str">
            <v>FDC</v>
          </cell>
        </row>
        <row r="2067">
          <cell r="L2067" t="str">
            <v>AXP</v>
          </cell>
          <cell r="M2067" t="str">
            <v>AMERISAFE-INC-8362/</v>
          </cell>
          <cell r="N2067" t="str">
            <v>AXP</v>
          </cell>
          <cell r="O2067" t="str">
            <v>AMERICAN EXPRESS</v>
          </cell>
          <cell r="P2067" t="str">
            <v>New York</v>
          </cell>
          <cell r="Q2067" t="str">
            <v>Financials</v>
          </cell>
          <cell r="R2067" t="str">
            <v>Consumer Finance</v>
          </cell>
          <cell r="S2067" t="str">
            <v>AXP</v>
          </cell>
        </row>
        <row r="2068">
          <cell r="L2068" t="str">
            <v>BSX</v>
          </cell>
          <cell r="M2068" t="str">
            <v>BOSTON-PRIVATE-FINANCIAL-8608/</v>
          </cell>
          <cell r="N2068" t="str">
            <v>BSX</v>
          </cell>
          <cell r="O2068" t="str">
            <v>BOSTON SCIENTIFC</v>
          </cell>
          <cell r="P2068" t="str">
            <v>New York</v>
          </cell>
          <cell r="Q2068" t="str">
            <v>Health Care</v>
          </cell>
          <cell r="R2068" t="str">
            <v>Health Care Equipment &amp; Suppli</v>
          </cell>
          <cell r="S2068" t="str">
            <v>BSX</v>
          </cell>
        </row>
        <row r="2069">
          <cell r="L2069" t="str">
            <v>ATH</v>
          </cell>
          <cell r="M2069" t="str">
            <v>ATHENEX-INC-35806862/</v>
          </cell>
          <cell r="N2069" t="str">
            <v>ATH</v>
          </cell>
          <cell r="O2069" t="str">
            <v>ATHENE HOLDING-A</v>
          </cell>
          <cell r="P2069" t="str">
            <v>New York</v>
          </cell>
          <cell r="Q2069" t="str">
            <v>Financials</v>
          </cell>
          <cell r="R2069" t="str">
            <v>Insurance</v>
          </cell>
          <cell r="S2069" t="str">
            <v>ATH</v>
          </cell>
        </row>
        <row r="2070">
          <cell r="L2070" t="str">
            <v>WP</v>
          </cell>
          <cell r="M2070" t="str">
            <v>WORLD-ACCEPTANCE-CORP-11409/</v>
          </cell>
          <cell r="N2070" t="str">
            <v>WP</v>
          </cell>
          <cell r="O2070" t="str">
            <v>WORLDPAY INC-A</v>
          </cell>
          <cell r="P2070" t="str">
            <v>New York</v>
          </cell>
          <cell r="Q2070" t="str">
            <v>Information Technology</v>
          </cell>
          <cell r="R2070" t="str">
            <v>IT Services</v>
          </cell>
          <cell r="S2070" t="str">
            <v>WP</v>
          </cell>
        </row>
        <row r="2071">
          <cell r="L2071" t="str">
            <v>IP</v>
          </cell>
          <cell r="M2071" t="str">
            <v>INTERNATIONAL-PAPER-COMPA-13095/</v>
          </cell>
          <cell r="N2071" t="str">
            <v>IP</v>
          </cell>
          <cell r="O2071" t="str">
            <v>INTL PAPER CO</v>
          </cell>
          <cell r="P2071" t="str">
            <v>New York</v>
          </cell>
          <cell r="Q2071" t="str">
            <v>Materials</v>
          </cell>
          <cell r="R2071" t="str">
            <v>Containers &amp; Packaging</v>
          </cell>
          <cell r="S2071" t="str">
            <v>IP</v>
          </cell>
        </row>
        <row r="2072">
          <cell r="L2072" t="str">
            <v>CTL</v>
          </cell>
          <cell r="M2072" t="str">
            <v>CENTURY-ALUMINUM-CO-8741/</v>
          </cell>
          <cell r="N2072" t="str">
            <v>CTL</v>
          </cell>
          <cell r="O2072" t="str">
            <v>CENTURYLINK INC</v>
          </cell>
          <cell r="P2072" t="str">
            <v>New York</v>
          </cell>
          <cell r="Q2072" t="str">
            <v>Telecommunication Services</v>
          </cell>
          <cell r="R2072" t="str">
            <v>Diversified Telecommunication</v>
          </cell>
          <cell r="S2072" t="str">
            <v>CTL</v>
          </cell>
        </row>
        <row r="2073">
          <cell r="L2073" t="str">
            <v>UHS</v>
          </cell>
          <cell r="M2073" t="str">
            <v>UNIVERSAL-LOGISTICS-HOLDI-11199/</v>
          </cell>
          <cell r="N2073" t="str">
            <v>UHS</v>
          </cell>
          <cell r="O2073" t="str">
            <v>UNIVERSAL HLTH-B</v>
          </cell>
          <cell r="P2073" t="str">
            <v>New York</v>
          </cell>
          <cell r="Q2073" t="str">
            <v>Health Care</v>
          </cell>
          <cell r="R2073" t="str">
            <v>Health Care Providers &amp; Servic</v>
          </cell>
          <cell r="S2073" t="str">
            <v>UHS</v>
          </cell>
        </row>
        <row r="2074">
          <cell r="L2074" t="str">
            <v>WRE</v>
          </cell>
          <cell r="M2074" t="str">
            <v>WASHINGTON-TRUST-BANCORP-11345/</v>
          </cell>
          <cell r="N2074" t="str">
            <v>WRE</v>
          </cell>
          <cell r="O2074" t="str">
            <v>WASHINGTON REIT</v>
          </cell>
          <cell r="P2074" t="str">
            <v>New York</v>
          </cell>
          <cell r="Q2074" t="str">
            <v>Real Estate</v>
          </cell>
          <cell r="R2074" t="str">
            <v>Equity Real Estate Investment</v>
          </cell>
          <cell r="S2074" t="str">
            <v>WRE</v>
          </cell>
        </row>
        <row r="2075">
          <cell r="L2075" t="str">
            <v>JNJ</v>
          </cell>
          <cell r="M2075" t="str">
            <v>JOHNSON-OUTDOORS-INC-9786/</v>
          </cell>
          <cell r="N2075" t="str">
            <v>JNJ</v>
          </cell>
          <cell r="O2075" t="str">
            <v>JOHNSON&amp;JOHNSON</v>
          </cell>
          <cell r="P2075" t="str">
            <v>New York</v>
          </cell>
          <cell r="Q2075" t="str">
            <v>Health Care</v>
          </cell>
          <cell r="R2075" t="str">
            <v>Pharmaceuticals</v>
          </cell>
          <cell r="S2075" t="str">
            <v>JNJ</v>
          </cell>
        </row>
        <row r="2076">
          <cell r="L2076" t="str">
            <v>HTA</v>
          </cell>
          <cell r="M2076" t="str">
            <v>HEALTHSTREAM-INC-9585/</v>
          </cell>
          <cell r="N2076" t="str">
            <v>HTA</v>
          </cell>
          <cell r="O2076" t="str">
            <v>HEALTHCARE TRU-A</v>
          </cell>
          <cell r="P2076" t="str">
            <v>New York</v>
          </cell>
          <cell r="Q2076" t="str">
            <v>Real Estate</v>
          </cell>
          <cell r="R2076" t="str">
            <v>Equity Real Estate Investment</v>
          </cell>
          <cell r="S2076" t="str">
            <v>HTA</v>
          </cell>
        </row>
        <row r="2077">
          <cell r="L2077" t="str">
            <v>EXP</v>
          </cell>
          <cell r="M2077" t="str">
            <v>EAGLE-PHARMACEUTICALS-INC-15758349/</v>
          </cell>
          <cell r="N2077" t="str">
            <v>EXP</v>
          </cell>
          <cell r="O2077" t="str">
            <v>EAGLE MATERIALS</v>
          </cell>
          <cell r="P2077" t="str">
            <v>New York</v>
          </cell>
          <cell r="Q2077" t="str">
            <v>Materials</v>
          </cell>
          <cell r="R2077" t="str">
            <v>Construction Materials</v>
          </cell>
          <cell r="S2077" t="str">
            <v>EXP</v>
          </cell>
        </row>
        <row r="2078">
          <cell r="L2078" t="str">
            <v>ICE</v>
          </cell>
          <cell r="M2078" t="str">
            <v>INTERNET-INITIATIVE-JAPAN-9654/</v>
          </cell>
          <cell r="N2078" t="str">
            <v>ICE</v>
          </cell>
          <cell r="O2078" t="str">
            <v>INTERCONTINENTAL</v>
          </cell>
          <cell r="P2078" t="str">
            <v>New York</v>
          </cell>
          <cell r="Q2078" t="str">
            <v>Financials</v>
          </cell>
          <cell r="R2078" t="str">
            <v>Capital Markets</v>
          </cell>
          <cell r="S2078" t="str">
            <v>ICE</v>
          </cell>
        </row>
        <row r="2079">
          <cell r="L2079" t="str">
            <v>NNN</v>
          </cell>
          <cell r="M2079" t="str">
            <v>NATIONAL-RESEARCH-CORPORA-13255969/</v>
          </cell>
          <cell r="N2079" t="str">
            <v>NNN</v>
          </cell>
          <cell r="O2079" t="str">
            <v>NATIONAL RETAIL</v>
          </cell>
          <cell r="P2079" t="str">
            <v>New York</v>
          </cell>
          <cell r="Q2079" t="str">
            <v>Real Estate</v>
          </cell>
          <cell r="R2079" t="str">
            <v>Equity Real Estate Investment</v>
          </cell>
          <cell r="S2079" t="str">
            <v>NNN</v>
          </cell>
        </row>
        <row r="2080">
          <cell r="L2080" t="str">
            <v>NNN</v>
          </cell>
          <cell r="M2080" t="str">
            <v>NATIONAL-ENERGY-SERVICES-35726182/</v>
          </cell>
          <cell r="N2080" t="str">
            <v>NNN</v>
          </cell>
          <cell r="O2080" t="str">
            <v>NATIONAL RETAIL</v>
          </cell>
          <cell r="P2080" t="str">
            <v>New York</v>
          </cell>
          <cell r="Q2080" t="str">
            <v>Real Estate</v>
          </cell>
          <cell r="R2080" t="str">
            <v>Equity Real Estate Investment</v>
          </cell>
          <cell r="S2080" t="str">
            <v>NNN</v>
          </cell>
        </row>
        <row r="2081">
          <cell r="L2081" t="str">
            <v>RSG</v>
          </cell>
          <cell r="M2081" t="str">
            <v>REPUBLIC-BANCORP-INC-KY-10627/</v>
          </cell>
          <cell r="N2081" t="str">
            <v>RSG</v>
          </cell>
          <cell r="O2081" t="str">
            <v>REPUBLIC SVCS</v>
          </cell>
          <cell r="P2081" t="str">
            <v>New York</v>
          </cell>
          <cell r="Q2081" t="str">
            <v>Industrials</v>
          </cell>
          <cell r="R2081" t="str">
            <v>Commercial Services &amp; Supplies</v>
          </cell>
          <cell r="S2081" t="str">
            <v>RSG</v>
          </cell>
        </row>
        <row r="2082">
          <cell r="L2082" t="str">
            <v>UNH</v>
          </cell>
          <cell r="M2082" t="str">
            <v>UNITED-FINANCIAL-BANCORP-16383796/</v>
          </cell>
          <cell r="N2082" t="str">
            <v>UNH</v>
          </cell>
          <cell r="O2082" t="str">
            <v>UNITEDHEALTH GRP</v>
          </cell>
          <cell r="P2082" t="str">
            <v>New York</v>
          </cell>
          <cell r="Q2082" t="str">
            <v>Health Care</v>
          </cell>
          <cell r="R2082" t="str">
            <v>Health Care Providers &amp; Servic</v>
          </cell>
          <cell r="S2082" t="str">
            <v>UNH</v>
          </cell>
        </row>
        <row r="2083">
          <cell r="L2083" t="str">
            <v>UNH</v>
          </cell>
          <cell r="M2083" t="str">
            <v>UNITED-INSURANCE-HOLDINGS-12144931/</v>
          </cell>
          <cell r="N2083" t="str">
            <v>UNH</v>
          </cell>
          <cell r="O2083" t="str">
            <v>UNITEDHEALTH GRP</v>
          </cell>
          <cell r="P2083" t="str">
            <v>New York</v>
          </cell>
          <cell r="Q2083" t="str">
            <v>Health Care</v>
          </cell>
          <cell r="R2083" t="str">
            <v>Health Care Providers &amp; Servic</v>
          </cell>
          <cell r="S2083" t="str">
            <v>UNH</v>
          </cell>
        </row>
        <row r="2084">
          <cell r="L2084" t="str">
            <v>HTA</v>
          </cell>
          <cell r="M2084" t="str">
            <v>HEALTH-INSURANCE-INNOVATI-12556687/</v>
          </cell>
          <cell r="N2084" t="str">
            <v>HTA</v>
          </cell>
          <cell r="O2084" t="str">
            <v>HEALTHCARE TRU-A</v>
          </cell>
          <cell r="P2084" t="str">
            <v>New York</v>
          </cell>
          <cell r="Q2084" t="str">
            <v>Real Estate</v>
          </cell>
          <cell r="R2084" t="str">
            <v>Equity Real Estate Investment</v>
          </cell>
          <cell r="S2084" t="str">
            <v>HTA</v>
          </cell>
        </row>
        <row r="2085">
          <cell r="L2085" t="str">
            <v>ICE</v>
          </cell>
          <cell r="M2085" t="str">
            <v>INTERSECT-ENT-INC-16953840/</v>
          </cell>
          <cell r="N2085" t="str">
            <v>ICE</v>
          </cell>
          <cell r="O2085" t="str">
            <v>INTERCONTINENTAL</v>
          </cell>
          <cell r="P2085" t="str">
            <v>New York</v>
          </cell>
          <cell r="Q2085" t="str">
            <v>Financials</v>
          </cell>
          <cell r="R2085" t="str">
            <v>Capital Markets</v>
          </cell>
          <cell r="S2085" t="str">
            <v>ICE</v>
          </cell>
        </row>
        <row r="2086">
          <cell r="L2086" t="str">
            <v>AXP</v>
          </cell>
          <cell r="M2086" t="str">
            <v>AMERICAN-RAILCAR-INDUSTRI-8420/</v>
          </cell>
          <cell r="N2086" t="str">
            <v>AXP</v>
          </cell>
          <cell r="O2086" t="str">
            <v>AMERICAN EXPRESS</v>
          </cell>
          <cell r="P2086" t="str">
            <v>New York</v>
          </cell>
          <cell r="Q2086" t="str">
            <v>Financials</v>
          </cell>
          <cell r="R2086" t="str">
            <v>Consumer Finance</v>
          </cell>
          <cell r="S2086" t="str">
            <v>AXP</v>
          </cell>
        </row>
        <row r="2087">
          <cell r="L2087" t="str">
            <v>CBU</v>
          </cell>
          <cell r="M2087" t="str">
            <v>COMMUNITY-TRUST-BANCORP-8940/</v>
          </cell>
          <cell r="N2087" t="str">
            <v>CBU</v>
          </cell>
          <cell r="O2087" t="str">
            <v>COMMUNITY BANK S</v>
          </cell>
          <cell r="P2087" t="str">
            <v>New York</v>
          </cell>
          <cell r="Q2087" t="str">
            <v>Financials</v>
          </cell>
          <cell r="R2087" t="str">
            <v>Banks</v>
          </cell>
          <cell r="S2087" t="str">
            <v>CBU</v>
          </cell>
        </row>
        <row r="2088">
          <cell r="L2088" t="str">
            <v>NYT</v>
          </cell>
          <cell r="M2088" t="str">
            <v>NEW-YORK-MORTGAGE-TRUST-I-3081571/</v>
          </cell>
          <cell r="N2088" t="str">
            <v>NYT</v>
          </cell>
          <cell r="O2088" t="str">
            <v>NEW YORK TIMES-A</v>
          </cell>
          <cell r="P2088" t="str">
            <v>New York</v>
          </cell>
          <cell r="Q2088" t="str">
            <v>Consumer Discretionary</v>
          </cell>
          <cell r="R2088" t="str">
            <v>Media</v>
          </cell>
          <cell r="S2088" t="str">
            <v>NYT</v>
          </cell>
        </row>
        <row r="2089">
          <cell r="L2089" t="str">
            <v>GWB</v>
          </cell>
          <cell r="M2089" t="str">
            <v>GREAT-SOUTHERN-BANCORP-I-9483/</v>
          </cell>
          <cell r="N2089" t="str">
            <v>GWB</v>
          </cell>
          <cell r="O2089" t="str">
            <v>GREAT WESTERN BA</v>
          </cell>
          <cell r="P2089" t="str">
            <v>New York</v>
          </cell>
          <cell r="Q2089" t="str">
            <v>Financials</v>
          </cell>
          <cell r="R2089" t="str">
            <v>Banks</v>
          </cell>
          <cell r="S2089" t="str">
            <v>GWB</v>
          </cell>
        </row>
        <row r="2090">
          <cell r="L2090" t="str">
            <v>UHS</v>
          </cell>
          <cell r="M2090" t="str">
            <v>UNIVEST-CORPORATION-OF-PE-11266/</v>
          </cell>
          <cell r="N2090" t="str">
            <v>UHS</v>
          </cell>
          <cell r="O2090" t="str">
            <v>UNIVERSAL HLTH-B</v>
          </cell>
          <cell r="P2090" t="str">
            <v>New York</v>
          </cell>
          <cell r="Q2090" t="str">
            <v>Health Care</v>
          </cell>
          <cell r="R2090" t="str">
            <v>Health Care Providers &amp; Servic</v>
          </cell>
          <cell r="S2090" t="str">
            <v>UHS</v>
          </cell>
        </row>
        <row r="2091">
          <cell r="L2091" t="str">
            <v>CEIX</v>
          </cell>
          <cell r="M2091" t="str">
            <v>CONSOLIDATED-COMMUNICATIO-8839/</v>
          </cell>
          <cell r="N2091" t="str">
            <v>CEIX</v>
          </cell>
          <cell r="O2091" t="str">
            <v>CONSOL ENERGY IN</v>
          </cell>
          <cell r="P2091" t="str">
            <v>New York</v>
          </cell>
          <cell r="Q2091" t="str">
            <v>Energy</v>
          </cell>
          <cell r="R2091" t="str">
            <v>Oil, Gas &amp; Consumable Fuels</v>
          </cell>
          <cell r="S2091" t="str">
            <v>CEIX</v>
          </cell>
        </row>
        <row r="2092">
          <cell r="L2092" t="str">
            <v>JBT</v>
          </cell>
          <cell r="M2092" t="str">
            <v>JOHN-B-SANFILIPPO-SON-9771/</v>
          </cell>
          <cell r="N2092" t="str">
            <v>JBT</v>
          </cell>
          <cell r="O2092" t="str">
            <v>JOHN BEAN TECH</v>
          </cell>
          <cell r="P2092" t="str">
            <v>New York</v>
          </cell>
          <cell r="Q2092" t="str">
            <v>Industrials</v>
          </cell>
          <cell r="R2092" t="str">
            <v>Machinery</v>
          </cell>
          <cell r="S2092" t="str">
            <v>JBT</v>
          </cell>
        </row>
        <row r="2093">
          <cell r="L2093" t="str">
            <v>NOC</v>
          </cell>
          <cell r="M2093" t="str">
            <v>NORTHFIELD-BANCORP-INC-12555723/</v>
          </cell>
          <cell r="N2093" t="str">
            <v>NOC</v>
          </cell>
          <cell r="O2093" t="str">
            <v>NORTHROP GRUMMAN</v>
          </cell>
          <cell r="P2093" t="str">
            <v>New York</v>
          </cell>
          <cell r="Q2093" t="str">
            <v>Industrials</v>
          </cell>
          <cell r="R2093" t="str">
            <v>Aerospace &amp; Defense</v>
          </cell>
          <cell r="S2093" t="str">
            <v>NOC</v>
          </cell>
        </row>
        <row r="2094">
          <cell r="L2094" t="str">
            <v>AXP</v>
          </cell>
          <cell r="M2094" t="str">
            <v>AMERICAN-OUTDOOR-BRANDS-C-32683198/</v>
          </cell>
          <cell r="N2094" t="str">
            <v>AXP</v>
          </cell>
          <cell r="O2094" t="str">
            <v>AMERICAN EXPRESS</v>
          </cell>
          <cell r="P2094" t="str">
            <v>New York</v>
          </cell>
          <cell r="Q2094" t="str">
            <v>Financials</v>
          </cell>
          <cell r="R2094" t="str">
            <v>Consumer Finance</v>
          </cell>
          <cell r="S2094" t="str">
            <v>AXP</v>
          </cell>
        </row>
        <row r="2095">
          <cell r="L2095" t="str">
            <v>MTRN</v>
          </cell>
          <cell r="M2095" t="str">
            <v>MATERIALISE-NV-ADR-16783947/</v>
          </cell>
          <cell r="N2095" t="str">
            <v>MTRN</v>
          </cell>
          <cell r="O2095" t="str">
            <v>MATERION CORP</v>
          </cell>
          <cell r="P2095" t="str">
            <v>New York</v>
          </cell>
          <cell r="Q2095" t="str">
            <v>Materials</v>
          </cell>
          <cell r="R2095" t="str">
            <v>Metals &amp; Mining</v>
          </cell>
          <cell r="S2095" t="str">
            <v>MTRN</v>
          </cell>
        </row>
        <row r="2096">
          <cell r="L2096" t="str">
            <v>FDC</v>
          </cell>
          <cell r="M2096" t="str">
            <v>FIRST-FOUNDATION-INC-16529377/</v>
          </cell>
          <cell r="N2096" t="str">
            <v>FDC</v>
          </cell>
          <cell r="O2096" t="str">
            <v>FIRST DATA COR-A</v>
          </cell>
          <cell r="P2096" t="str">
            <v>New York</v>
          </cell>
          <cell r="Q2096" t="str">
            <v>Information Technology</v>
          </cell>
          <cell r="R2096" t="str">
            <v>IT Services</v>
          </cell>
          <cell r="S2096" t="str">
            <v>FDC</v>
          </cell>
        </row>
        <row r="2097">
          <cell r="L2097" t="str">
            <v>CPT</v>
          </cell>
          <cell r="M2097" t="str">
            <v>CAMDEN-NATIONAL-CORPORATI-783488/</v>
          </cell>
          <cell r="N2097" t="str">
            <v>CPT</v>
          </cell>
          <cell r="O2097" t="str">
            <v>CAMDEN PROP TR</v>
          </cell>
          <cell r="P2097" t="str">
            <v>New York</v>
          </cell>
          <cell r="Q2097" t="str">
            <v>Real Estate</v>
          </cell>
          <cell r="R2097" t="str">
            <v>Equity Real Estate Investment</v>
          </cell>
          <cell r="S2097" t="str">
            <v>CPT</v>
          </cell>
        </row>
        <row r="2098">
          <cell r="L2098" t="str">
            <v>NNN</v>
          </cell>
          <cell r="M2098" t="str">
            <v>NATIONAL-CINEMEDIA-INC-42552/</v>
          </cell>
          <cell r="N2098" t="str">
            <v>NNN</v>
          </cell>
          <cell r="O2098" t="str">
            <v>NATIONAL RETAIL</v>
          </cell>
          <cell r="P2098" t="str">
            <v>New York</v>
          </cell>
          <cell r="Q2098" t="str">
            <v>Real Estate</v>
          </cell>
          <cell r="R2098" t="str">
            <v>Equity Real Estate Investment</v>
          </cell>
          <cell r="S2098" t="str">
            <v>NNN</v>
          </cell>
        </row>
        <row r="2099">
          <cell r="L2099" t="str">
            <v>CVG</v>
          </cell>
          <cell r="M2099" t="str">
            <v>CONVERGEONE-HOLDINGS-INC-44548828/</v>
          </cell>
          <cell r="N2099" t="str">
            <v>CVG</v>
          </cell>
          <cell r="O2099" t="str">
            <v>CONVERGYS CORP</v>
          </cell>
          <cell r="P2099" t="str">
            <v>New York</v>
          </cell>
          <cell r="Q2099" t="str">
            <v>Information Technology</v>
          </cell>
          <cell r="R2099" t="str">
            <v>IT Services</v>
          </cell>
          <cell r="S2099" t="str">
            <v>CVG</v>
          </cell>
        </row>
        <row r="2100">
          <cell r="L2100" t="str">
            <v>CC</v>
          </cell>
          <cell r="M2100" t="str">
            <v>CHEMOCENTRYX-INC-9978217/</v>
          </cell>
          <cell r="N2100" t="str">
            <v>CC</v>
          </cell>
          <cell r="O2100" t="str">
            <v>CHEMOURS CO</v>
          </cell>
          <cell r="P2100" t="str">
            <v>New York</v>
          </cell>
          <cell r="Q2100" t="str">
            <v>Materials</v>
          </cell>
          <cell r="R2100" t="str">
            <v>Chemicals</v>
          </cell>
          <cell r="S2100" t="str">
            <v>CC</v>
          </cell>
        </row>
        <row r="2101">
          <cell r="L2101" t="str">
            <v>PWR</v>
          </cell>
          <cell r="M2101" t="str">
            <v>QUANTENNA-COMMUNICATIONS-31799528/</v>
          </cell>
          <cell r="N2101" t="str">
            <v>PWR</v>
          </cell>
          <cell r="O2101" t="str">
            <v>QUANTA SERVICES</v>
          </cell>
          <cell r="P2101" t="str">
            <v>New York</v>
          </cell>
          <cell r="Q2101" t="str">
            <v>Industrials</v>
          </cell>
          <cell r="R2101" t="str">
            <v>Construction &amp; Engineering</v>
          </cell>
          <cell r="S2101" t="str">
            <v>PWR</v>
          </cell>
        </row>
        <row r="2102">
          <cell r="L2102" t="str">
            <v>FIS</v>
          </cell>
          <cell r="M2102" t="str">
            <v>FIDELITY-SOUTHERN-CORPORA-9882/</v>
          </cell>
          <cell r="N2102" t="str">
            <v>FIS</v>
          </cell>
          <cell r="O2102" t="str">
            <v>FIDELITY NATIONA</v>
          </cell>
          <cell r="P2102" t="str">
            <v>New York</v>
          </cell>
          <cell r="Q2102" t="str">
            <v>Information Technology</v>
          </cell>
          <cell r="R2102" t="str">
            <v>IT Services</v>
          </cell>
          <cell r="S2102" t="str">
            <v>FIS</v>
          </cell>
        </row>
        <row r="2103">
          <cell r="L2103" t="str">
            <v>FDC</v>
          </cell>
          <cell r="M2103" t="str">
            <v>FIRST-DEFIANCE-FINANCIAL-9278/</v>
          </cell>
          <cell r="N2103" t="str">
            <v>FDC</v>
          </cell>
          <cell r="O2103" t="str">
            <v>FIRST DATA COR-A</v>
          </cell>
          <cell r="P2103" t="str">
            <v>New York</v>
          </cell>
          <cell r="Q2103" t="str">
            <v>Information Technology</v>
          </cell>
          <cell r="R2103" t="str">
            <v>IT Services</v>
          </cell>
          <cell r="S2103" t="str">
            <v>FDC</v>
          </cell>
        </row>
        <row r="2104">
          <cell r="L2104" t="str">
            <v>STL</v>
          </cell>
          <cell r="M2104" t="str">
            <v>STERLING-BANCORP-INC-38721274/</v>
          </cell>
          <cell r="N2104" t="str">
            <v>STL</v>
          </cell>
          <cell r="O2104" t="str">
            <v>STERLING BANCORP</v>
          </cell>
          <cell r="P2104" t="str">
            <v>New York</v>
          </cell>
          <cell r="Q2104" t="str">
            <v>Financials</v>
          </cell>
          <cell r="R2104" t="str">
            <v>Banks</v>
          </cell>
          <cell r="S2104" t="str">
            <v>STL</v>
          </cell>
        </row>
        <row r="2105">
          <cell r="L2105" t="str">
            <v>EQR</v>
          </cell>
          <cell r="M2105" t="str">
            <v>EQUITY-BANCSHARES-INC-24872705/</v>
          </cell>
          <cell r="N2105" t="str">
            <v>EQR</v>
          </cell>
          <cell r="O2105" t="str">
            <v>EQUITY RESIDENTI</v>
          </cell>
          <cell r="P2105" t="str">
            <v>New York</v>
          </cell>
          <cell r="Q2105" t="str">
            <v>Real Estate</v>
          </cell>
          <cell r="R2105" t="str">
            <v>Equity Real Estate Investment</v>
          </cell>
          <cell r="S2105" t="str">
            <v>EQR</v>
          </cell>
        </row>
        <row r="2106">
          <cell r="L2106" t="str">
            <v>FDC</v>
          </cell>
          <cell r="M2106" t="str">
            <v>FIRST-FINANCIAL-CORP-11088/</v>
          </cell>
          <cell r="N2106" t="str">
            <v>FDC</v>
          </cell>
          <cell r="O2106" t="str">
            <v>FIRST DATA COR-A</v>
          </cell>
          <cell r="P2106" t="str">
            <v>New York</v>
          </cell>
          <cell r="Q2106" t="str">
            <v>Information Technology</v>
          </cell>
          <cell r="R2106" t="str">
            <v>IT Services</v>
          </cell>
          <cell r="S2106" t="str">
            <v>FDC</v>
          </cell>
        </row>
        <row r="2107">
          <cell r="L2107" t="str">
            <v>FDC</v>
          </cell>
          <cell r="M2107" t="str">
            <v>FIRST-MID-ILLINOIS-BANCSH-16869872/</v>
          </cell>
          <cell r="N2107" t="str">
            <v>FDC</v>
          </cell>
          <cell r="O2107" t="str">
            <v>FIRST DATA COR-A</v>
          </cell>
          <cell r="P2107" t="str">
            <v>New York</v>
          </cell>
          <cell r="Q2107" t="str">
            <v>Information Technology</v>
          </cell>
          <cell r="R2107" t="str">
            <v>IT Services</v>
          </cell>
          <cell r="S2107" t="str">
            <v>FDC</v>
          </cell>
        </row>
        <row r="2108">
          <cell r="L2108" t="str">
            <v>STZ</v>
          </cell>
          <cell r="M2108" t="str">
            <v>CONSTRUCTION-PARTNERS-INC-43256783/</v>
          </cell>
          <cell r="N2108" t="str">
            <v>STZ</v>
          </cell>
          <cell r="O2108" t="str">
            <v>CONSTELLATION-A</v>
          </cell>
          <cell r="P2108" t="str">
            <v>New York</v>
          </cell>
          <cell r="Q2108" t="str">
            <v>Consumer Staples</v>
          </cell>
          <cell r="R2108" t="str">
            <v>Beverages</v>
          </cell>
          <cell r="S2108" t="str">
            <v>STZ</v>
          </cell>
        </row>
        <row r="2109">
          <cell r="L2109" t="str">
            <v>BAC</v>
          </cell>
          <cell r="M2109" t="str">
            <v>BANK-OF-MARIN-BANCORP-8586/</v>
          </cell>
          <cell r="N2109" t="str">
            <v>BAC</v>
          </cell>
          <cell r="O2109" t="str">
            <v>BANK OF AMERICA</v>
          </cell>
          <cell r="P2109" t="str">
            <v>New York</v>
          </cell>
          <cell r="Q2109" t="str">
            <v>Financials</v>
          </cell>
          <cell r="R2109" t="str">
            <v>Banks</v>
          </cell>
          <cell r="S2109" t="str">
            <v>BAC</v>
          </cell>
        </row>
        <row r="2110">
          <cell r="L2110" t="str">
            <v>Y</v>
          </cell>
          <cell r="M2110" t="str">
            <v>ALLEGIANCE-BANCSHARES-INC-24239931/</v>
          </cell>
          <cell r="N2110" t="str">
            <v>Y</v>
          </cell>
          <cell r="O2110" t="str">
            <v>ALLEGHANY CORP</v>
          </cell>
          <cell r="P2110" t="str">
            <v>New York</v>
          </cell>
          <cell r="Q2110" t="str">
            <v>Financials</v>
          </cell>
          <cell r="R2110" t="str">
            <v>Insurance</v>
          </cell>
          <cell r="S2110" t="str">
            <v>Y</v>
          </cell>
        </row>
        <row r="2111">
          <cell r="L2111" t="str">
            <v>AXP</v>
          </cell>
          <cell r="M2111" t="str">
            <v>AMERICA-S-CAR-MART-INC-8902/</v>
          </cell>
          <cell r="N2111" t="str">
            <v>AXP</v>
          </cell>
          <cell r="O2111" t="str">
            <v>AMERICAN EXPRESS</v>
          </cell>
          <cell r="P2111" t="str">
            <v>New York</v>
          </cell>
          <cell r="Q2111" t="str">
            <v>Financials</v>
          </cell>
          <cell r="R2111" t="str">
            <v>Consumer Finance</v>
          </cell>
          <cell r="S2111" t="str">
            <v>AXP</v>
          </cell>
        </row>
        <row r="2112">
          <cell r="L2112" t="str">
            <v>AXP</v>
          </cell>
          <cell r="M2112" t="str">
            <v>AMERICAN-PUBLIC-EDUCATION-66750/</v>
          </cell>
          <cell r="N2112" t="str">
            <v>AXP</v>
          </cell>
          <cell r="O2112" t="str">
            <v>AMERICAN EXPRESS</v>
          </cell>
          <cell r="P2112" t="str">
            <v>New York</v>
          </cell>
          <cell r="Q2112" t="str">
            <v>Financials</v>
          </cell>
          <cell r="R2112" t="str">
            <v>Consumer Finance</v>
          </cell>
          <cell r="S2112" t="str">
            <v>AXP</v>
          </cell>
        </row>
        <row r="2113">
          <cell r="L2113" t="str">
            <v>BSX</v>
          </cell>
          <cell r="M2113" t="str">
            <v>BOSTON-OMAHA-CORP-35859293/</v>
          </cell>
          <cell r="N2113" t="str">
            <v>BSX</v>
          </cell>
          <cell r="O2113" t="str">
            <v>BOSTON SCIENTIFC</v>
          </cell>
          <cell r="P2113" t="str">
            <v>New York</v>
          </cell>
          <cell r="Q2113" t="str">
            <v>Health Care</v>
          </cell>
          <cell r="R2113" t="str">
            <v>Health Care Equipment &amp; Suppli</v>
          </cell>
          <cell r="S2113" t="str">
            <v>BSX</v>
          </cell>
        </row>
        <row r="2114">
          <cell r="L2114" t="str">
            <v>BXS</v>
          </cell>
          <cell r="M2114" t="str">
            <v>BANCORP-INC-11050/</v>
          </cell>
          <cell r="N2114" t="str">
            <v>BXS</v>
          </cell>
          <cell r="O2114" t="str">
            <v>BANCORPSOUTH BAN</v>
          </cell>
          <cell r="P2114" t="str">
            <v>New York</v>
          </cell>
          <cell r="Q2114" t="str">
            <v>Financials</v>
          </cell>
          <cell r="R2114" t="str">
            <v>Banks</v>
          </cell>
          <cell r="S2114" t="str">
            <v>BXS</v>
          </cell>
        </row>
        <row r="2115">
          <cell r="L2115" t="str">
            <v>UHS</v>
          </cell>
          <cell r="M2115" t="str">
            <v>UNIVERSAL-ELECTRONICS-INC-11220/</v>
          </cell>
          <cell r="N2115" t="str">
            <v>UHS</v>
          </cell>
          <cell r="O2115" t="str">
            <v>UNIVERSAL HLTH-B</v>
          </cell>
          <cell r="P2115" t="str">
            <v>New York</v>
          </cell>
          <cell r="Q2115" t="str">
            <v>Health Care</v>
          </cell>
          <cell r="R2115" t="str">
            <v>Health Care Providers &amp; Servic</v>
          </cell>
          <cell r="S2115" t="str">
            <v>UHS</v>
          </cell>
        </row>
        <row r="2116">
          <cell r="L2116" t="str">
            <v>PII</v>
          </cell>
          <cell r="M2116" t="str">
            <v>POLARITYTE-INC-33339222/</v>
          </cell>
          <cell r="N2116" t="str">
            <v>PII</v>
          </cell>
          <cell r="O2116" t="str">
            <v>POLARIS INDS</v>
          </cell>
          <cell r="P2116" t="str">
            <v>New York</v>
          </cell>
          <cell r="Q2116" t="str">
            <v>Consumer Discretionary</v>
          </cell>
          <cell r="R2116" t="str">
            <v>Leisure Products</v>
          </cell>
          <cell r="S2116" t="str">
            <v>PII</v>
          </cell>
        </row>
        <row r="2117">
          <cell r="L2117" t="str">
            <v>FDC</v>
          </cell>
          <cell r="M2117" t="str">
            <v>FIRST-COMMUNITY-BANCSHARE-9263/</v>
          </cell>
          <cell r="N2117" t="str">
            <v>FDC</v>
          </cell>
          <cell r="O2117" t="str">
            <v>FIRST DATA COR-A</v>
          </cell>
          <cell r="P2117" t="str">
            <v>New York</v>
          </cell>
          <cell r="Q2117" t="str">
            <v>Information Technology</v>
          </cell>
          <cell r="R2117" t="str">
            <v>IT Services</v>
          </cell>
          <cell r="S2117" t="str">
            <v>FDC</v>
          </cell>
        </row>
        <row r="2118">
          <cell r="L2118" t="str">
            <v>CLH</v>
          </cell>
          <cell r="M2118" t="str">
            <v>CLEAN-ENERGY-FUELS-CORP-51467/</v>
          </cell>
          <cell r="N2118" t="str">
            <v>CLH</v>
          </cell>
          <cell r="O2118" t="str">
            <v>CLEAN HARBORS</v>
          </cell>
          <cell r="P2118" t="str">
            <v>New York</v>
          </cell>
          <cell r="Q2118" t="str">
            <v>Industrials</v>
          </cell>
          <cell r="R2118" t="str">
            <v>Commercial Services &amp; Supplies</v>
          </cell>
          <cell r="S2118" t="str">
            <v>CLH</v>
          </cell>
        </row>
        <row r="2119">
          <cell r="L2119" t="str">
            <v>AXP</v>
          </cell>
          <cell r="M2119" t="str">
            <v>AMERICAN-SOFTWARE-INC-8364/</v>
          </cell>
          <cell r="N2119" t="str">
            <v>AXP</v>
          </cell>
          <cell r="O2119" t="str">
            <v>AMERICAN EXPRESS</v>
          </cell>
          <cell r="P2119" t="str">
            <v>New York</v>
          </cell>
          <cell r="Q2119" t="str">
            <v>Financials</v>
          </cell>
          <cell r="R2119" t="str">
            <v>Consumer Finance</v>
          </cell>
          <cell r="S2119" t="str">
            <v>AXP</v>
          </cell>
        </row>
        <row r="2120">
          <cell r="L2120" t="str">
            <v>FDC</v>
          </cell>
          <cell r="M2120" t="str">
            <v>FIRST-OF-LONG-ISLAND-CORP-9313/</v>
          </cell>
          <cell r="N2120" t="str">
            <v>FDC</v>
          </cell>
          <cell r="O2120" t="str">
            <v>FIRST DATA COR-A</v>
          </cell>
          <cell r="P2120" t="str">
            <v>New York</v>
          </cell>
          <cell r="Q2120" t="str">
            <v>Information Technology</v>
          </cell>
          <cell r="R2120" t="str">
            <v>IT Services</v>
          </cell>
          <cell r="S2120" t="str">
            <v>FDC</v>
          </cell>
        </row>
        <row r="2121">
          <cell r="L2121" t="str">
            <v>ARW</v>
          </cell>
          <cell r="M2121" t="str">
            <v>ARROW-FINANCIAL-CORPORATI-8427/</v>
          </cell>
          <cell r="N2121" t="str">
            <v>ARW</v>
          </cell>
          <cell r="O2121" t="str">
            <v>ARROW ELECTRONIC</v>
          </cell>
          <cell r="P2121" t="str">
            <v>New York</v>
          </cell>
          <cell r="Q2121" t="str">
            <v>Information Technology</v>
          </cell>
          <cell r="R2121" t="str">
            <v>Electronic Equipment, Instrume</v>
          </cell>
          <cell r="S2121" t="str">
            <v>ARW</v>
          </cell>
        </row>
        <row r="2122">
          <cell r="L2122" t="str">
            <v>GPN</v>
          </cell>
          <cell r="M2122" t="str">
            <v>GLOBAL-INDEMNITY-LTD-31827820/</v>
          </cell>
          <cell r="N2122" t="str">
            <v>GPN</v>
          </cell>
          <cell r="O2122" t="str">
            <v>GLOBAL PAYMENTS</v>
          </cell>
          <cell r="P2122" t="str">
            <v>New York</v>
          </cell>
          <cell r="Q2122" t="str">
            <v>Information Technology</v>
          </cell>
          <cell r="R2122" t="str">
            <v>IT Services</v>
          </cell>
          <cell r="S2122" t="str">
            <v>GPN</v>
          </cell>
        </row>
        <row r="2123">
          <cell r="L2123" t="str">
            <v>FDC</v>
          </cell>
          <cell r="M2123" t="str">
            <v>FIRST-BANCSHARES-INC-17168/</v>
          </cell>
          <cell r="N2123" t="str">
            <v>FDC</v>
          </cell>
          <cell r="O2123" t="str">
            <v>FIRST DATA COR-A</v>
          </cell>
          <cell r="P2123" t="str">
            <v>New York</v>
          </cell>
          <cell r="Q2123" t="str">
            <v>Information Technology</v>
          </cell>
          <cell r="R2123" t="str">
            <v>IT Services</v>
          </cell>
          <cell r="S2123" t="str">
            <v>FDC</v>
          </cell>
        </row>
        <row r="2124">
          <cell r="L2124" t="str">
            <v>FRO</v>
          </cell>
          <cell r="M2124" t="str">
            <v>FRONTIER-COMMUNICATIONS-C-36846940/</v>
          </cell>
          <cell r="N2124" t="str">
            <v>FRO</v>
          </cell>
          <cell r="O2124" t="str">
            <v>FRONTLINE LTD</v>
          </cell>
          <cell r="P2124" t="str">
            <v>New York</v>
          </cell>
          <cell r="Q2124" t="str">
            <v>Energy</v>
          </cell>
          <cell r="R2124" t="str">
            <v>Oil, Gas &amp; Consumable Fuels</v>
          </cell>
          <cell r="S2124" t="str">
            <v>FRO</v>
          </cell>
        </row>
        <row r="2125">
          <cell r="L2125" t="str">
            <v>ESNT</v>
          </cell>
          <cell r="M2125" t="str">
            <v>ESSENDANT-INC-22363197/</v>
          </cell>
          <cell r="N2125" t="str">
            <v>ESNT</v>
          </cell>
          <cell r="O2125" t="str">
            <v>ESSENT GROUP LTD</v>
          </cell>
          <cell r="P2125" t="str">
            <v>New York</v>
          </cell>
          <cell r="Q2125" t="str">
            <v>Financials</v>
          </cell>
          <cell r="R2125" t="str">
            <v>Thrifts &amp; Mortgage Finance</v>
          </cell>
          <cell r="S2125" t="str">
            <v>ESNT</v>
          </cell>
        </row>
        <row r="2126">
          <cell r="L2126" t="str">
            <v>MPW</v>
          </cell>
          <cell r="M2126" t="str">
            <v>MEDICINOVA-INC-38688/</v>
          </cell>
          <cell r="N2126" t="str">
            <v>MPW</v>
          </cell>
          <cell r="O2126" t="str">
            <v>MEDICAL PROPERTI</v>
          </cell>
          <cell r="P2126" t="str">
            <v>New York</v>
          </cell>
          <cell r="Q2126" t="str">
            <v>Real Estate</v>
          </cell>
          <cell r="R2126" t="str">
            <v>Equity Real Estate Investment</v>
          </cell>
          <cell r="S2126" t="str">
            <v>MPW</v>
          </cell>
        </row>
        <row r="2127">
          <cell r="L2127" t="str">
            <v>UNH</v>
          </cell>
          <cell r="M2127" t="str">
            <v>UNITED-COMMUNITY-FINANCIA-11216/</v>
          </cell>
          <cell r="N2127" t="str">
            <v>UNH</v>
          </cell>
          <cell r="O2127" t="str">
            <v>UNITEDHEALTH GRP</v>
          </cell>
          <cell r="P2127" t="str">
            <v>New York</v>
          </cell>
          <cell r="Q2127" t="str">
            <v>Health Care</v>
          </cell>
          <cell r="R2127" t="str">
            <v>Health Care Providers &amp; Servic</v>
          </cell>
          <cell r="S2127" t="str">
            <v>UNH</v>
          </cell>
        </row>
        <row r="2128">
          <cell r="L2128" t="str">
            <v>EGN</v>
          </cell>
          <cell r="M2128" t="str">
            <v>ENERGY-RECOVERY-INC-3778567/</v>
          </cell>
          <cell r="N2128" t="str">
            <v>EGN</v>
          </cell>
          <cell r="O2128" t="str">
            <v>ENERGEN CORP</v>
          </cell>
          <cell r="P2128" t="str">
            <v>New York</v>
          </cell>
          <cell r="Q2128" t="str">
            <v>Energy</v>
          </cell>
          <cell r="R2128" t="str">
            <v>Oil, Gas &amp; Consumable Fuels</v>
          </cell>
          <cell r="S2128" t="str">
            <v>EGN</v>
          </cell>
        </row>
        <row r="2129">
          <cell r="L2129" t="str">
            <v>FDC</v>
          </cell>
          <cell r="M2129" t="str">
            <v>FIRST-CONNECTICUT-BANCORP-8305299/</v>
          </cell>
          <cell r="N2129" t="str">
            <v>FDC</v>
          </cell>
          <cell r="O2129" t="str">
            <v>FIRST DATA COR-A</v>
          </cell>
          <cell r="P2129" t="str">
            <v>New York</v>
          </cell>
          <cell r="Q2129" t="str">
            <v>Information Technology</v>
          </cell>
          <cell r="R2129" t="str">
            <v>IT Services</v>
          </cell>
          <cell r="S2129" t="str">
            <v>FDC</v>
          </cell>
        </row>
        <row r="2130">
          <cell r="L2130" t="str">
            <v>MSI</v>
          </cell>
          <cell r="M2130" t="str">
            <v>MOTORCAR-PARTS-OF-AMERICA-68334/</v>
          </cell>
          <cell r="N2130" t="str">
            <v>MSI</v>
          </cell>
          <cell r="O2130" t="str">
            <v>MOTOROLA SOLUTIO</v>
          </cell>
          <cell r="P2130" t="str">
            <v>New York</v>
          </cell>
          <cell r="Q2130" t="str">
            <v>Information Technology</v>
          </cell>
          <cell r="R2130" t="str">
            <v>Communications Equipment</v>
          </cell>
          <cell r="S2130" t="str">
            <v>MSI</v>
          </cell>
        </row>
        <row r="2131">
          <cell r="L2131" t="str">
            <v>WAT</v>
          </cell>
          <cell r="M2131" t="str">
            <v>WATERSTONE-FINANCIAL-INC-15590064/</v>
          </cell>
          <cell r="N2131" t="str">
            <v>WAT</v>
          </cell>
          <cell r="O2131" t="str">
            <v>WATERS CORP</v>
          </cell>
          <cell r="P2131" t="str">
            <v>New York</v>
          </cell>
          <cell r="Q2131" t="str">
            <v>Health Care</v>
          </cell>
          <cell r="R2131" t="str">
            <v>Life Sciences Tools &amp; Services</v>
          </cell>
          <cell r="S2131" t="str">
            <v>WAT</v>
          </cell>
        </row>
        <row r="2132">
          <cell r="L2132" t="str">
            <v>UNM</v>
          </cell>
          <cell r="M2132" t="str">
            <v>UNUM-THERAPEUTICS-INC-42529098/</v>
          </cell>
          <cell r="N2132" t="str">
            <v>UNM</v>
          </cell>
          <cell r="O2132" t="str">
            <v>UNUM GROUP</v>
          </cell>
          <cell r="P2132" t="str">
            <v>New York</v>
          </cell>
          <cell r="Q2132" t="str">
            <v>Financials</v>
          </cell>
          <cell r="R2132" t="str">
            <v>Insurance</v>
          </cell>
          <cell r="S2132" t="str">
            <v>UNM</v>
          </cell>
        </row>
        <row r="2133">
          <cell r="L2133" t="str">
            <v>ARI</v>
          </cell>
          <cell r="M2133" t="str">
            <v>APOLLO-MEDICAL-HOLDINGS-I-38979461/</v>
          </cell>
          <cell r="N2133" t="str">
            <v>ARI</v>
          </cell>
          <cell r="O2133" t="str">
            <v>APOLLO COMMERCIA</v>
          </cell>
          <cell r="P2133" t="str">
            <v>New York</v>
          </cell>
          <cell r="Q2133" t="str">
            <v>Financials</v>
          </cell>
          <cell r="R2133" t="str">
            <v>Mortgage Real Estate Investmen</v>
          </cell>
          <cell r="S2133" t="str">
            <v>ARI</v>
          </cell>
        </row>
        <row r="2134">
          <cell r="L2134" t="str">
            <v>TDG</v>
          </cell>
          <cell r="M2134" t="str">
            <v>TRANSLATE-BIO-INC-44403605/</v>
          </cell>
          <cell r="N2134" t="str">
            <v>TDG</v>
          </cell>
          <cell r="O2134" t="str">
            <v>TRANSDIGM GROUP</v>
          </cell>
          <cell r="P2134" t="str">
            <v>New York</v>
          </cell>
          <cell r="Q2134" t="str">
            <v>Industrials</v>
          </cell>
          <cell r="R2134" t="str">
            <v>Aerospace &amp; Defense</v>
          </cell>
          <cell r="S2134" t="str">
            <v>TDG</v>
          </cell>
        </row>
        <row r="2135">
          <cell r="L2135" t="str">
            <v>RSG</v>
          </cell>
          <cell r="M2135" t="str">
            <v>REPUBLIC-FIRST-BANCORP-I-9356/</v>
          </cell>
          <cell r="N2135" t="str">
            <v>RSG</v>
          </cell>
          <cell r="O2135" t="str">
            <v>REPUBLIC SVCS</v>
          </cell>
          <cell r="P2135" t="str">
            <v>New York</v>
          </cell>
          <cell r="Q2135" t="str">
            <v>Industrials</v>
          </cell>
          <cell r="R2135" t="str">
            <v>Commercial Services &amp; Supplies</v>
          </cell>
          <cell r="S2135" t="str">
            <v>RSG</v>
          </cell>
        </row>
        <row r="2136">
          <cell r="L2136" t="str">
            <v>MLM</v>
          </cell>
          <cell r="M2136" t="str">
            <v>MARTIN-MIDSTREAM-PARTNERS-40511746/</v>
          </cell>
          <cell r="N2136" t="str">
            <v>MLM</v>
          </cell>
          <cell r="O2136" t="str">
            <v>MARTIN MAR MTLS</v>
          </cell>
          <cell r="P2136" t="str">
            <v>New York</v>
          </cell>
          <cell r="Q2136" t="str">
            <v>Materials</v>
          </cell>
          <cell r="R2136" t="str">
            <v>Construction Materials</v>
          </cell>
          <cell r="S2136" t="str">
            <v>MLM</v>
          </cell>
        </row>
        <row r="2137">
          <cell r="L2137" t="str">
            <v>HD</v>
          </cell>
          <cell r="M2137" t="str">
            <v>HOME-BANCORP-INC-4069590/</v>
          </cell>
          <cell r="N2137" t="str">
            <v>HD</v>
          </cell>
          <cell r="O2137" t="str">
            <v>HOME DEPOT INC</v>
          </cell>
          <cell r="P2137" t="str">
            <v>New York</v>
          </cell>
          <cell r="Q2137" t="str">
            <v>Consumer Discretionary</v>
          </cell>
          <cell r="R2137" t="str">
            <v>Specialty Retail</v>
          </cell>
          <cell r="S2137" t="str">
            <v>HD</v>
          </cell>
        </row>
        <row r="2138">
          <cell r="L2138" t="str">
            <v>SO</v>
          </cell>
          <cell r="M2138" t="str">
            <v>SOUTHERN-NATIONAL-BANC-O-36099/</v>
          </cell>
          <cell r="N2138" t="str">
            <v>SO</v>
          </cell>
          <cell r="O2138" t="str">
            <v>SOUTHERN CO</v>
          </cell>
          <cell r="P2138" t="str">
            <v>New York</v>
          </cell>
          <cell r="Q2138" t="str">
            <v>Utilities</v>
          </cell>
          <cell r="R2138" t="str">
            <v>Electric Utilities</v>
          </cell>
          <cell r="S2138" t="str">
            <v>SO</v>
          </cell>
        </row>
        <row r="2139">
          <cell r="L2139" t="str">
            <v>UNH</v>
          </cell>
          <cell r="M2139" t="str">
            <v>UNITED-STATES-LIME-MINE-11255/</v>
          </cell>
          <cell r="N2139" t="str">
            <v>UNH</v>
          </cell>
          <cell r="O2139" t="str">
            <v>UNITEDHEALTH GRP</v>
          </cell>
          <cell r="P2139" t="str">
            <v>New York</v>
          </cell>
          <cell r="Q2139" t="str">
            <v>Health Care</v>
          </cell>
          <cell r="R2139" t="str">
            <v>Health Care Providers &amp; Servic</v>
          </cell>
          <cell r="S2139" t="str">
            <v>UNH</v>
          </cell>
        </row>
        <row r="2140">
          <cell r="L2140" t="str">
            <v>COF</v>
          </cell>
          <cell r="M2140" t="str">
            <v>CAPITAL-CITY-BANK-GROUP-8704/</v>
          </cell>
          <cell r="N2140" t="str">
            <v>COF</v>
          </cell>
          <cell r="O2140" t="str">
            <v>CAPITAL ONE FINA</v>
          </cell>
          <cell r="P2140" t="str">
            <v>New York</v>
          </cell>
          <cell r="Q2140" t="str">
            <v>Financials</v>
          </cell>
          <cell r="R2140" t="str">
            <v>Consumer Finance</v>
          </cell>
          <cell r="S2140" t="str">
            <v>COF</v>
          </cell>
        </row>
        <row r="2141">
          <cell r="L2141" t="str">
            <v>QUOT</v>
          </cell>
          <cell r="M2141" t="str">
            <v>QUOTIENT-LTD-16279163/</v>
          </cell>
          <cell r="N2141" t="str">
            <v>QUOT</v>
          </cell>
          <cell r="O2141" t="str">
            <v>QUOTIENT TECHNOL</v>
          </cell>
          <cell r="P2141" t="str">
            <v>New York</v>
          </cell>
          <cell r="Q2141" t="str">
            <v>Information Technology</v>
          </cell>
          <cell r="R2141" t="str">
            <v>Internet Software &amp; Services</v>
          </cell>
          <cell r="S2141" t="str">
            <v>QUOT</v>
          </cell>
        </row>
        <row r="2142">
          <cell r="L2142" t="str">
            <v>COF</v>
          </cell>
          <cell r="M2142" t="str">
            <v>CAPITAL-PRODUCT-PARTNERS-47497/</v>
          </cell>
          <cell r="N2142" t="str">
            <v>COF</v>
          </cell>
          <cell r="O2142" t="str">
            <v>CAPITAL ONE FINA</v>
          </cell>
          <cell r="P2142" t="str">
            <v>New York</v>
          </cell>
          <cell r="Q2142" t="str">
            <v>Financials</v>
          </cell>
          <cell r="R2142" t="str">
            <v>Consumer Finance</v>
          </cell>
          <cell r="S2142" t="str">
            <v>COF</v>
          </cell>
        </row>
        <row r="2143">
          <cell r="L2143" t="str">
            <v>MTX</v>
          </cell>
          <cell r="M2143" t="str">
            <v>MINERVA-NEUROSCIENCES-INC-16772158/</v>
          </cell>
          <cell r="N2143" t="str">
            <v>MTX</v>
          </cell>
          <cell r="O2143" t="str">
            <v>MINERALS TECH</v>
          </cell>
          <cell r="P2143" t="str">
            <v>New York</v>
          </cell>
          <cell r="Q2143" t="str">
            <v>Materials</v>
          </cell>
          <cell r="R2143" t="str">
            <v>Chemicals</v>
          </cell>
          <cell r="S2143" t="str">
            <v>MTX</v>
          </cell>
        </row>
        <row r="2144">
          <cell r="L2144" t="str">
            <v>TWI</v>
          </cell>
          <cell r="M2144" t="str">
            <v>TITAN-MACHINERY-INC-416835/</v>
          </cell>
          <cell r="N2144" t="str">
            <v>TWI</v>
          </cell>
          <cell r="O2144" t="str">
            <v>TITAN INTL INC</v>
          </cell>
          <cell r="P2144" t="str">
            <v>New York</v>
          </cell>
          <cell r="Q2144" t="str">
            <v>Industrials</v>
          </cell>
          <cell r="R2144" t="str">
            <v>Machinery</v>
          </cell>
          <cell r="S2144" t="str">
            <v>TWI</v>
          </cell>
        </row>
        <row r="2145">
          <cell r="L2145" t="str">
            <v>WST</v>
          </cell>
          <cell r="M2145" t="str">
            <v>WEST-BANCORPORATION-INC-11425/</v>
          </cell>
          <cell r="N2145" t="str">
            <v>WST</v>
          </cell>
          <cell r="O2145" t="str">
            <v>WEST PHARMACEUT</v>
          </cell>
          <cell r="P2145" t="str">
            <v>New York</v>
          </cell>
          <cell r="Q2145" t="str">
            <v>Health Care</v>
          </cell>
          <cell r="R2145" t="str">
            <v>Health Care Equipment &amp; Suppli</v>
          </cell>
          <cell r="S2145" t="str">
            <v>WST</v>
          </cell>
        </row>
        <row r="2146">
          <cell r="L2146" t="str">
            <v>STL</v>
          </cell>
          <cell r="M2146" t="str">
            <v>STERLING-CONSTRUCTION-COM-10981/</v>
          </cell>
          <cell r="N2146" t="str">
            <v>STL</v>
          </cell>
          <cell r="O2146" t="str">
            <v>STERLING BANCORP</v>
          </cell>
          <cell r="P2146" t="str">
            <v>New York</v>
          </cell>
          <cell r="Q2146" t="str">
            <v>Financials</v>
          </cell>
          <cell r="R2146" t="str">
            <v>Banks</v>
          </cell>
          <cell r="S2146" t="str">
            <v>STL</v>
          </cell>
        </row>
        <row r="2147">
          <cell r="L2147" t="str">
            <v>OXM</v>
          </cell>
          <cell r="M2147" t="str">
            <v>OXFORD-IMMUNOTEC-GLOBAL-P-14966054/</v>
          </cell>
          <cell r="N2147" t="str">
            <v>OXM</v>
          </cell>
          <cell r="O2147" t="str">
            <v>OXFORD INDS INC</v>
          </cell>
          <cell r="P2147" t="str">
            <v>New York</v>
          </cell>
          <cell r="Q2147" t="str">
            <v>Consumer Discretionary</v>
          </cell>
          <cell r="R2147" t="str">
            <v>Textiles, Apparel &amp; Luxury Goo</v>
          </cell>
          <cell r="S2147" t="str">
            <v>OXM</v>
          </cell>
        </row>
        <row r="2148">
          <cell r="L2148" t="str">
            <v>IVZ</v>
          </cell>
          <cell r="M2148" t="str">
            <v>INVESTORS-TITLE-COMPANY-9749/</v>
          </cell>
          <cell r="N2148" t="str">
            <v>IVZ</v>
          </cell>
          <cell r="O2148" t="str">
            <v>INVESCO LTD</v>
          </cell>
          <cell r="P2148" t="str">
            <v>New York</v>
          </cell>
          <cell r="Q2148" t="str">
            <v>Financials</v>
          </cell>
          <cell r="R2148" t="str">
            <v>Capital Markets</v>
          </cell>
          <cell r="S2148" t="str">
            <v>IVZ</v>
          </cell>
        </row>
        <row r="2149">
          <cell r="L2149" t="str">
            <v>PWR</v>
          </cell>
          <cell r="M2149" t="str">
            <v>QUANTERIX-CORP-38934439/</v>
          </cell>
          <cell r="N2149" t="str">
            <v>PWR</v>
          </cell>
          <cell r="O2149" t="str">
            <v>QUANTA SERVICES</v>
          </cell>
          <cell r="P2149" t="str">
            <v>New York</v>
          </cell>
          <cell r="Q2149" t="str">
            <v>Industrials</v>
          </cell>
          <cell r="R2149" t="str">
            <v>Construction &amp; Engineering</v>
          </cell>
          <cell r="S2149" t="str">
            <v>PWR</v>
          </cell>
        </row>
        <row r="2150">
          <cell r="L2150" t="str">
            <v>EXP</v>
          </cell>
          <cell r="M2150" t="str">
            <v>EAGLE-BULK-SHIPPING-INC-30531881/</v>
          </cell>
          <cell r="N2150" t="str">
            <v>EXP</v>
          </cell>
          <cell r="O2150" t="str">
            <v>EAGLE MATERIALS</v>
          </cell>
          <cell r="P2150" t="str">
            <v>New York</v>
          </cell>
          <cell r="Q2150" t="str">
            <v>Materials</v>
          </cell>
          <cell r="R2150" t="str">
            <v>Construction Materials</v>
          </cell>
          <cell r="S2150" t="str">
            <v>EXP</v>
          </cell>
        </row>
        <row r="2151">
          <cell r="L2151" t="str">
            <v>AXP</v>
          </cell>
          <cell r="M2151" t="str">
            <v>AMERICAN-NATIONAL-BANKSHA-8352/</v>
          </cell>
          <cell r="N2151" t="str">
            <v>AXP</v>
          </cell>
          <cell r="O2151" t="str">
            <v>AMERICAN EXPRESS</v>
          </cell>
          <cell r="P2151" t="str">
            <v>New York</v>
          </cell>
          <cell r="Q2151" t="str">
            <v>Financials</v>
          </cell>
          <cell r="R2151" t="str">
            <v>Consumer Finance</v>
          </cell>
          <cell r="S2151" t="str">
            <v>AXP</v>
          </cell>
        </row>
        <row r="2152">
          <cell r="L2152" t="str">
            <v>GE</v>
          </cell>
          <cell r="M2152" t="str">
            <v>GENERAL-FINANCE-CORPORATI-4058532/</v>
          </cell>
          <cell r="N2152" t="str">
            <v>GE</v>
          </cell>
          <cell r="O2152" t="str">
            <v>GENERAL ELECTRIC</v>
          </cell>
          <cell r="P2152" t="str">
            <v>New York</v>
          </cell>
          <cell r="Q2152" t="str">
            <v>Industrials</v>
          </cell>
          <cell r="R2152" t="str">
            <v>Industrial Conglomerates</v>
          </cell>
          <cell r="S2152" t="str">
            <v>GE</v>
          </cell>
        </row>
        <row r="2153">
          <cell r="L2153" t="str">
            <v>SO</v>
          </cell>
          <cell r="M2153" t="str">
            <v>SOUTHERN-MISSOURI-BANCORP-10857/</v>
          </cell>
          <cell r="N2153" t="str">
            <v>SO</v>
          </cell>
          <cell r="O2153" t="str">
            <v>SOUTHERN CO</v>
          </cell>
          <cell r="P2153" t="str">
            <v>New York</v>
          </cell>
          <cell r="Q2153" t="str">
            <v>Utilities</v>
          </cell>
          <cell r="R2153" t="str">
            <v>Electric Utilities</v>
          </cell>
          <cell r="S2153" t="str">
            <v>SO</v>
          </cell>
        </row>
        <row r="2154">
          <cell r="L2154" t="str">
            <v>AXP</v>
          </cell>
          <cell r="M2154" t="str">
            <v>AMERICA-FIRST-MULTIFAMILY-8469/</v>
          </cell>
          <cell r="N2154" t="str">
            <v>AXP</v>
          </cell>
          <cell r="O2154" t="str">
            <v>AMERICAN EXPRESS</v>
          </cell>
          <cell r="P2154" t="str">
            <v>New York</v>
          </cell>
          <cell r="Q2154" t="str">
            <v>Financials</v>
          </cell>
          <cell r="R2154" t="str">
            <v>Consumer Finance</v>
          </cell>
          <cell r="S2154" t="str">
            <v>AXP</v>
          </cell>
        </row>
        <row r="2155">
          <cell r="L2155" t="str">
            <v>CTLT</v>
          </cell>
          <cell r="M2155" t="str">
            <v>CATALYST-PHARMACEUTICALS-36303/</v>
          </cell>
          <cell r="N2155" t="str">
            <v>CTLT</v>
          </cell>
          <cell r="O2155" t="str">
            <v>CATALENT INC</v>
          </cell>
          <cell r="P2155" t="str">
            <v>New York</v>
          </cell>
          <cell r="Q2155" t="str">
            <v>Health Care</v>
          </cell>
          <cell r="R2155" t="str">
            <v>Pharmaceuticals</v>
          </cell>
          <cell r="S2155" t="str">
            <v>CTLT</v>
          </cell>
        </row>
        <row r="2156">
          <cell r="L2156" t="str">
            <v>UAA</v>
          </cell>
          <cell r="M2156" t="str">
            <v>UNDER-ARMOUR-39444/</v>
          </cell>
          <cell r="N2156" t="str">
            <v>UAA</v>
          </cell>
          <cell r="O2156" t="str">
            <v>UNDER ARMOUR-A</v>
          </cell>
          <cell r="P2156" t="str">
            <v>New York</v>
          </cell>
          <cell r="Q2156" t="str">
            <v>Consumer Discretionary</v>
          </cell>
          <cell r="R2156" t="str">
            <v>Textiles, Apparel &amp; Luxury Goo</v>
          </cell>
          <cell r="S2156" t="str">
            <v>UAA</v>
          </cell>
        </row>
        <row r="2157">
          <cell r="L2157" t="str">
            <v>ATO</v>
          </cell>
          <cell r="M2157" t="str">
            <v>ATMOS-ENERGY-CORPORATION-11707/</v>
          </cell>
          <cell r="O2157" t="str">
            <v>Atmos Energy Corporation</v>
          </cell>
          <cell r="P2157" t="str">
            <v>New York</v>
          </cell>
          <cell r="Q2157" t="str">
            <v>Utilities</v>
          </cell>
          <cell r="R2157" t="str">
            <v>Gas Utilities</v>
          </cell>
          <cell r="S2157" t="str">
            <v>ATO</v>
          </cell>
        </row>
        <row r="2158">
          <cell r="L2158" t="str">
            <v>CCE</v>
          </cell>
          <cell r="M2158" t="str">
            <v>COCA-COLA-EUROPEAN-PARTNE-28376817/</v>
          </cell>
          <cell r="N2158" t="str">
            <v>CCE</v>
          </cell>
          <cell r="O2158" t="str">
            <v>Coca-Cola european Partners</v>
          </cell>
          <cell r="P2158" t="str">
            <v>New York</v>
          </cell>
          <cell r="Q2158" t="str">
            <v>Consumer Staples</v>
          </cell>
          <cell r="R2158" t="str">
            <v>Beverages</v>
          </cell>
          <cell r="S2158" t="str">
            <v>CCE</v>
          </cell>
        </row>
        <row r="2159">
          <cell r="L2159" t="str">
            <v>BG</v>
          </cell>
          <cell r="M2159" t="str">
            <v>BUNGE-LTD-11825/</v>
          </cell>
          <cell r="N2159" t="str">
            <v>BG</v>
          </cell>
          <cell r="O2159" t="str">
            <v>BUNGE LTD</v>
          </cell>
          <cell r="P2159" t="str">
            <v>New York</v>
          </cell>
          <cell r="Q2159" t="str">
            <v>Consumer Staples</v>
          </cell>
          <cell r="R2159" t="str">
            <v>Food Products</v>
          </cell>
          <cell r="S2159" t="str">
            <v>BG</v>
          </cell>
        </row>
        <row r="2160">
          <cell r="L2160" t="str">
            <v>FLO</v>
          </cell>
          <cell r="M2160" t="str">
            <v>FLOWERS-FOODS-INC-12612/</v>
          </cell>
          <cell r="N2160" t="str">
            <v>FLO</v>
          </cell>
          <cell r="O2160" t="str">
            <v>FLOWERS FOODS</v>
          </cell>
          <cell r="P2160" t="str">
            <v>New York</v>
          </cell>
          <cell r="Q2160" t="str">
            <v>Consumer Staples</v>
          </cell>
          <cell r="R2160" t="str">
            <v>Food Products</v>
          </cell>
          <cell r="S2160" t="str">
            <v>FLO</v>
          </cell>
        </row>
        <row r="2161">
          <cell r="L2161" t="str">
            <v>GIS</v>
          </cell>
          <cell r="M2161" t="str">
            <v>GENERAL-MILLS-12763/</v>
          </cell>
          <cell r="N2161" t="str">
            <v>GIS</v>
          </cell>
          <cell r="O2161" t="str">
            <v>GENERAL MILLS IN</v>
          </cell>
          <cell r="P2161" t="str">
            <v>New York</v>
          </cell>
          <cell r="Q2161" t="str">
            <v>Consumer Staples</v>
          </cell>
          <cell r="R2161" t="str">
            <v>Food Products</v>
          </cell>
          <cell r="S2161" t="str">
            <v>GIS</v>
          </cell>
        </row>
        <row r="2162">
          <cell r="L2162" t="str">
            <v>INGR</v>
          </cell>
          <cell r="M2162" t="str">
            <v>INGREDION-INC-10759254/</v>
          </cell>
          <cell r="N2162" t="str">
            <v>INGR</v>
          </cell>
          <cell r="O2162" t="str">
            <v>INGREDION INC</v>
          </cell>
          <cell r="P2162" t="str">
            <v>New York</v>
          </cell>
          <cell r="Q2162" t="str">
            <v>Consumer Staples</v>
          </cell>
          <cell r="R2162" t="str">
            <v>Food Products</v>
          </cell>
          <cell r="S2162" t="str">
            <v>INGR</v>
          </cell>
        </row>
        <row r="2163">
          <cell r="L2163" t="str">
            <v>NOMD</v>
          </cell>
          <cell r="M2163" t="str">
            <v>NOMAD-FOODS-LTD-25805461/</v>
          </cell>
          <cell r="N2163" t="str">
            <v>NOMD</v>
          </cell>
          <cell r="O2163" t="str">
            <v>NOMAD FOODS</v>
          </cell>
          <cell r="P2163" t="str">
            <v>New York</v>
          </cell>
          <cell r="Q2163" t="str">
            <v>Consumer Staples</v>
          </cell>
          <cell r="R2163" t="str">
            <v>Food &amp; Staples Retailing</v>
          </cell>
          <cell r="S2163" t="str">
            <v>NOMD</v>
          </cell>
        </row>
        <row r="2164">
          <cell r="L2164" t="str">
            <v>POST</v>
          </cell>
          <cell r="M2164" t="str">
            <v>POST-HOLDINGS-INC-9971428/</v>
          </cell>
          <cell r="N2164" t="str">
            <v>POST</v>
          </cell>
          <cell r="O2164" t="str">
            <v>POST HOLDINGS IN</v>
          </cell>
          <cell r="P2164" t="str">
            <v>New York</v>
          </cell>
          <cell r="Q2164" t="str">
            <v>Consumer Staples</v>
          </cell>
          <cell r="R2164" t="str">
            <v>Food Products</v>
          </cell>
          <cell r="S2164" t="str">
            <v>POST</v>
          </cell>
        </row>
        <row r="2165">
          <cell r="L2165" t="str">
            <v>PF</v>
          </cell>
          <cell r="M2165" t="str">
            <v>PINNACLE-FOODS-INC-12878837/</v>
          </cell>
          <cell r="N2165" t="str">
            <v>PF</v>
          </cell>
          <cell r="O2165" t="str">
            <v>PINNACLE FOODS I</v>
          </cell>
          <cell r="P2165" t="str">
            <v>New York</v>
          </cell>
          <cell r="Q2165" t="str">
            <v>Consumer Staples</v>
          </cell>
          <cell r="R2165" t="str">
            <v>Food Products</v>
          </cell>
          <cell r="S2165" t="str">
            <v>PF</v>
          </cell>
        </row>
        <row r="2166">
          <cell r="L2166" t="str">
            <v>CRI</v>
          </cell>
          <cell r="M2166" t="str">
            <v>CARTER-S-INC-12177/</v>
          </cell>
          <cell r="N2166" t="str">
            <v>CRI</v>
          </cell>
          <cell r="O2166" t="str">
            <v>CARTER'S INC</v>
          </cell>
          <cell r="P2166" t="str">
            <v>New York</v>
          </cell>
          <cell r="Q2166" t="str">
            <v>Consumer Discretionary</v>
          </cell>
          <cell r="R2166" t="str">
            <v>Textiles, Apparel &amp; Luxury Goo</v>
          </cell>
          <cell r="S2166" t="str">
            <v>CRI</v>
          </cell>
        </row>
        <row r="2167">
          <cell r="L2167" t="str">
            <v>BURL</v>
          </cell>
          <cell r="M2167" t="str">
            <v>BURLINGTON-STORES-INC-14439064/</v>
          </cell>
          <cell r="N2167" t="str">
            <v>BURL</v>
          </cell>
          <cell r="O2167" t="str">
            <v>BURLINGTON STORE</v>
          </cell>
          <cell r="P2167" t="str">
            <v>New York</v>
          </cell>
          <cell r="Q2167" t="str">
            <v>Consumer Discretionary</v>
          </cell>
          <cell r="R2167" t="str">
            <v>Specialty Retail</v>
          </cell>
          <cell r="S2167" t="str">
            <v>BURL</v>
          </cell>
        </row>
        <row r="2168">
          <cell r="L2168" t="str">
            <v>TREX</v>
          </cell>
          <cell r="M2168" t="str">
            <v>TREX-COMPANY-INC-14692/</v>
          </cell>
          <cell r="N2168" t="str">
            <v>TREX</v>
          </cell>
          <cell r="O2168" t="str">
            <v>TREX CO INC</v>
          </cell>
          <cell r="P2168" t="str">
            <v>New York</v>
          </cell>
          <cell r="Q2168" t="str">
            <v>Industrials</v>
          </cell>
          <cell r="R2168" t="str">
            <v>Building Products</v>
          </cell>
          <cell r="S2168" t="str">
            <v>TREX</v>
          </cell>
        </row>
        <row r="2169">
          <cell r="L2169" t="str">
            <v>SSD</v>
          </cell>
          <cell r="M2169" t="str">
            <v>SIMPSON-MANUFACTURING-CO-14479/</v>
          </cell>
          <cell r="N2169" t="str">
            <v>SSD</v>
          </cell>
          <cell r="O2169" t="str">
            <v>SIMPSON MFG</v>
          </cell>
          <cell r="P2169" t="str">
            <v>New York</v>
          </cell>
          <cell r="Q2169" t="str">
            <v>Industrials</v>
          </cell>
          <cell r="R2169" t="str">
            <v>Building Products</v>
          </cell>
          <cell r="S2169" t="str">
            <v>SSD</v>
          </cell>
        </row>
        <row r="2170">
          <cell r="L2170" t="str">
            <v>KBR</v>
          </cell>
          <cell r="M2170" t="str">
            <v>KBR-INC-36548/</v>
          </cell>
          <cell r="N2170" t="str">
            <v>KBR</v>
          </cell>
          <cell r="O2170" t="str">
            <v>KBR INC</v>
          </cell>
          <cell r="P2170" t="str">
            <v>New York</v>
          </cell>
          <cell r="Q2170" t="str">
            <v>Industrials</v>
          </cell>
          <cell r="R2170" t="str">
            <v>Construction &amp; Engineering</v>
          </cell>
          <cell r="S2170" t="str">
            <v>KBR</v>
          </cell>
        </row>
        <row r="2171">
          <cell r="L2171" t="str">
            <v>PLNT</v>
          </cell>
          <cell r="M2171" t="str">
            <v>PLANET-FITNESS-INC-23264734/</v>
          </cell>
          <cell r="N2171" t="str">
            <v>PLNT</v>
          </cell>
          <cell r="O2171" t="str">
            <v>PLANET FITNESS-A</v>
          </cell>
          <cell r="P2171" t="str">
            <v>New York</v>
          </cell>
          <cell r="Q2171" t="str">
            <v>Consumer Discretionary</v>
          </cell>
          <cell r="R2171" t="str">
            <v>Hotels, Restaurants &amp; Leisure</v>
          </cell>
          <cell r="S2171" t="str">
            <v>PLNT</v>
          </cell>
        </row>
        <row r="2172">
          <cell r="L2172" t="str">
            <v>CNK</v>
          </cell>
          <cell r="M2172" t="str">
            <v>CINEMARK-HOLDINGS-INC-49154/</v>
          </cell>
          <cell r="N2172" t="str">
            <v>CNK</v>
          </cell>
          <cell r="O2172" t="str">
            <v>CINEMARK HOLDING</v>
          </cell>
          <cell r="P2172" t="str">
            <v>New York</v>
          </cell>
          <cell r="Q2172" t="str">
            <v>Consumer Discretionary</v>
          </cell>
          <cell r="R2172" t="str">
            <v>Media</v>
          </cell>
          <cell r="S2172" t="str">
            <v>CNK</v>
          </cell>
        </row>
        <row r="2173">
          <cell r="L2173" t="str">
            <v>GPK</v>
          </cell>
          <cell r="M2173" t="str">
            <v>GRAPHIC-PACKAGING-HOLDING-12812/</v>
          </cell>
          <cell r="N2173" t="str">
            <v>GPK</v>
          </cell>
          <cell r="O2173" t="str">
            <v>GRAPHIC PACKAGIN</v>
          </cell>
          <cell r="P2173" t="str">
            <v>New York</v>
          </cell>
          <cell r="Q2173" t="str">
            <v>Materials</v>
          </cell>
          <cell r="R2173" t="str">
            <v>Containers &amp; Packaging</v>
          </cell>
          <cell r="S2173" t="str">
            <v>GPK</v>
          </cell>
        </row>
        <row r="2174">
          <cell r="L2174" t="str">
            <v>KMB</v>
          </cell>
          <cell r="M2174" t="str">
            <v>KIMBERLY-CLARK-13266/</v>
          </cell>
          <cell r="N2174" t="str">
            <v>KMB</v>
          </cell>
          <cell r="O2174" t="str">
            <v>KIMBERLY-CLARK</v>
          </cell>
          <cell r="P2174" t="str">
            <v>New York</v>
          </cell>
          <cell r="Q2174" t="str">
            <v>Consumer Staples</v>
          </cell>
          <cell r="R2174" t="str">
            <v>Household Products</v>
          </cell>
          <cell r="S2174" t="str">
            <v>KMB</v>
          </cell>
        </row>
        <row r="2175">
          <cell r="L2175" t="str">
            <v>GM</v>
          </cell>
          <cell r="M2175" t="str">
            <v>GENERAL-MOTORS-CORPORATIO-6873535/</v>
          </cell>
          <cell r="N2175" t="str">
            <v>GM</v>
          </cell>
          <cell r="O2175" t="str">
            <v>GENERAL MOTORS C</v>
          </cell>
          <cell r="P2175" t="str">
            <v>New York</v>
          </cell>
          <cell r="Q2175" t="str">
            <v>Consumer Discretionary</v>
          </cell>
          <cell r="R2175" t="str">
            <v>Automobiles</v>
          </cell>
          <cell r="S2175" t="str">
            <v>GM</v>
          </cell>
        </row>
        <row r="2176">
          <cell r="L2176" t="str">
            <v>EQNR NO</v>
          </cell>
          <cell r="M2176" t="str">
            <v>EQUINOR-1413290/</v>
          </cell>
          <cell r="N2176" t="str">
            <v>STL.OL</v>
          </cell>
          <cell r="O2176" t="str">
            <v>Equinor ASA</v>
          </cell>
          <cell r="P2176" t="str">
            <v>Oslo</v>
          </cell>
          <cell r="Q2176" t="str">
            <v>Energy</v>
          </cell>
          <cell r="R2176" t="str">
            <v>Oil, Gas &amp; Consumable Fuels</v>
          </cell>
          <cell r="S2176" t="str">
            <v>EQNR.OL</v>
          </cell>
        </row>
        <row r="2177">
          <cell r="L2177" t="str">
            <v>DNB NO</v>
          </cell>
          <cell r="M2177" t="str">
            <v>DNB-ASA-56358408/</v>
          </cell>
          <cell r="N2177" t="str">
            <v>DNBNOR.OL</v>
          </cell>
          <cell r="O2177" t="str">
            <v>DNB ASA</v>
          </cell>
          <cell r="P2177" t="str">
            <v>Oslo</v>
          </cell>
          <cell r="Q2177" t="str">
            <v>Financials</v>
          </cell>
          <cell r="R2177" t="str">
            <v>Banks</v>
          </cell>
          <cell r="S2177" t="str">
            <v>DNB.OL</v>
          </cell>
        </row>
        <row r="2178">
          <cell r="L2178" t="str">
            <v>TEL NO</v>
          </cell>
          <cell r="M2178" t="str">
            <v>TELENOR-1413298/</v>
          </cell>
          <cell r="N2178" t="str">
            <v>TEL.OL</v>
          </cell>
          <cell r="O2178" t="str">
            <v>Telenor ASA</v>
          </cell>
          <cell r="P2178" t="str">
            <v>Oslo</v>
          </cell>
          <cell r="Q2178" t="str">
            <v>Telecommunication Services</v>
          </cell>
          <cell r="R2178" t="str">
            <v>Diversified Telecommunication</v>
          </cell>
          <cell r="S2178" t="str">
            <v>TEL.OL</v>
          </cell>
        </row>
        <row r="2179">
          <cell r="L2179" t="str">
            <v>AKER NO</v>
          </cell>
          <cell r="M2179" t="str">
            <v>AKER-BP-1413082/</v>
          </cell>
          <cell r="N2179" t="str">
            <v>AKERBP.OL</v>
          </cell>
          <cell r="O2179" t="str">
            <v>Aker ASA</v>
          </cell>
          <cell r="P2179" t="str">
            <v>Oslo</v>
          </cell>
          <cell r="Q2179" t="str">
            <v>Financials</v>
          </cell>
          <cell r="R2179" t="str">
            <v>Diversified Financial Services</v>
          </cell>
          <cell r="S2179" t="str">
            <v>AKER.OL</v>
          </cell>
        </row>
        <row r="2180">
          <cell r="L2180" t="str">
            <v>YAR NO</v>
          </cell>
          <cell r="M2180" t="str">
            <v>YARA-INTERNATIONAL-1413319/</v>
          </cell>
          <cell r="N2180" t="str">
            <v>YAR.OL</v>
          </cell>
          <cell r="O2180" t="str">
            <v>Yara International ASA</v>
          </cell>
          <cell r="P2180" t="str">
            <v>Oslo</v>
          </cell>
          <cell r="Q2180" t="str">
            <v>Materials</v>
          </cell>
          <cell r="R2180" t="str">
            <v>Chemicals</v>
          </cell>
          <cell r="S2180" t="str">
            <v>YAR.OL</v>
          </cell>
        </row>
        <row r="2181">
          <cell r="L2181" t="str">
            <v>NHY NO</v>
          </cell>
          <cell r="M2181" t="str">
            <v>NORSK-HYDRO-1413211/</v>
          </cell>
          <cell r="N2181" t="str">
            <v>NHY.OL</v>
          </cell>
          <cell r="O2181" t="str">
            <v>Norsk Hydro ASA</v>
          </cell>
          <cell r="P2181" t="str">
            <v>Oslo</v>
          </cell>
          <cell r="Q2181" t="str">
            <v>Materials</v>
          </cell>
          <cell r="R2181" t="str">
            <v>Metals &amp; Mining</v>
          </cell>
          <cell r="S2181" t="str">
            <v>NHY.OL</v>
          </cell>
        </row>
        <row r="2182">
          <cell r="L2182" t="str">
            <v>MHG NO</v>
          </cell>
          <cell r="M2182" t="str">
            <v>MARINE-HARVEST-1413236/</v>
          </cell>
          <cell r="N2182" t="str">
            <v>MHG.OL</v>
          </cell>
          <cell r="O2182" t="str">
            <v>Marine Harvest ASA</v>
          </cell>
          <cell r="P2182" t="str">
            <v>Oslo</v>
          </cell>
          <cell r="Q2182" t="str">
            <v>Consumer Staples</v>
          </cell>
          <cell r="R2182" t="str">
            <v>Food Products</v>
          </cell>
          <cell r="S2182" t="str">
            <v>MHG.OL</v>
          </cell>
        </row>
        <row r="2183">
          <cell r="L2183" t="str">
            <v>ORK NO</v>
          </cell>
          <cell r="M2183" t="str">
            <v>ORKLA-1413234/</v>
          </cell>
          <cell r="N2183" t="str">
            <v>ORK.OL</v>
          </cell>
          <cell r="O2183" t="str">
            <v>Orkla ASA</v>
          </cell>
          <cell r="P2183" t="str">
            <v>Oslo</v>
          </cell>
          <cell r="Q2183" t="str">
            <v>Consumer Staples</v>
          </cell>
          <cell r="R2183" t="str">
            <v>Food Products</v>
          </cell>
          <cell r="S2183" t="str">
            <v>ORK.OL</v>
          </cell>
        </row>
        <row r="2184">
          <cell r="L2184" t="str">
            <v>STB NO</v>
          </cell>
          <cell r="M2184" t="str">
            <v>STOREBRAND-1413289/</v>
          </cell>
          <cell r="N2184" t="str">
            <v>STB.OL</v>
          </cell>
          <cell r="O2184" t="str">
            <v>Storebrand ASA</v>
          </cell>
          <cell r="P2184" t="str">
            <v>Oslo</v>
          </cell>
          <cell r="Q2184" t="str">
            <v>Financials</v>
          </cell>
          <cell r="R2184" t="str">
            <v>Insurance</v>
          </cell>
          <cell r="S2184" t="str">
            <v>STB.OL</v>
          </cell>
        </row>
        <row r="2185">
          <cell r="L2185" t="str">
            <v>TGS NO</v>
          </cell>
          <cell r="M2185" t="str">
            <v>TGS-NOPEC-GEOPHYSICAL-COM-1413301/</v>
          </cell>
          <cell r="N2185" t="str">
            <v>TGS.OL</v>
          </cell>
          <cell r="O2185" t="str">
            <v>TGS NOPEC Geophysical Company ASA</v>
          </cell>
          <cell r="P2185" t="str">
            <v>Oslo</v>
          </cell>
          <cell r="Q2185" t="str">
            <v>Energy</v>
          </cell>
          <cell r="R2185" t="str">
            <v>Energy Equipment &amp; Services</v>
          </cell>
        </row>
        <row r="2186">
          <cell r="L2186" t="str">
            <v>NESN SW</v>
          </cell>
          <cell r="M2186" t="str">
            <v>NESTLE-9365334/</v>
          </cell>
          <cell r="N2186" t="str">
            <v>NESN.S</v>
          </cell>
          <cell r="O2186" t="str">
            <v>Nestle SA</v>
          </cell>
          <cell r="P2186" t="str">
            <v>SIX Swiss Ex</v>
          </cell>
          <cell r="Q2186" t="str">
            <v>Consumer Staples</v>
          </cell>
          <cell r="R2186" t="str">
            <v>Food Products</v>
          </cell>
          <cell r="S2186" t="str">
            <v>NESN.SW</v>
          </cell>
        </row>
        <row r="2187">
          <cell r="L2187" t="str">
            <v>NOVN SW</v>
          </cell>
          <cell r="M2187" t="str">
            <v>NOVARTIS-9364983/</v>
          </cell>
          <cell r="N2187" t="str">
            <v>NOVN.S</v>
          </cell>
          <cell r="O2187" t="str">
            <v>Novartis AG</v>
          </cell>
          <cell r="P2187" t="str">
            <v>SIX Swiss Ex</v>
          </cell>
          <cell r="Q2187" t="str">
            <v>Health Care</v>
          </cell>
          <cell r="R2187" t="str">
            <v>Pharmaceuticals</v>
          </cell>
          <cell r="S2187" t="str">
            <v>NOVN.SW</v>
          </cell>
        </row>
        <row r="2188">
          <cell r="L2188" t="str">
            <v>UBSG SW</v>
          </cell>
          <cell r="M2188" t="str">
            <v>UBS-GROUP-19156942/</v>
          </cell>
          <cell r="N2188" t="str">
            <v>UBSG.S</v>
          </cell>
          <cell r="O2188" t="str">
            <v>UBS Group AG</v>
          </cell>
          <cell r="P2188" t="str">
            <v>SIX Swiss Ex</v>
          </cell>
          <cell r="Q2188" t="str">
            <v>Financials</v>
          </cell>
          <cell r="R2188" t="str">
            <v>Capital Markets</v>
          </cell>
          <cell r="S2188" t="str">
            <v>UBSG.SW</v>
          </cell>
        </row>
        <row r="2189">
          <cell r="L2189" t="str">
            <v>ROG SW</v>
          </cell>
          <cell r="M2189" t="str">
            <v>ROCHE-HOLDING-LTD-9364975/</v>
          </cell>
          <cell r="O2189" t="str">
            <v>Roche Holding AG</v>
          </cell>
          <cell r="P2189" t="str">
            <v>SIX Swiss Ex</v>
          </cell>
          <cell r="Q2189" t="str">
            <v>Health Care</v>
          </cell>
          <cell r="R2189" t="str">
            <v>Pharmaceuticals</v>
          </cell>
          <cell r="S2189" t="str">
            <v>ROG.SW</v>
          </cell>
        </row>
        <row r="2190">
          <cell r="L2190" t="str">
            <v>ABBN SW</v>
          </cell>
          <cell r="M2190" t="str">
            <v>ABB-LTD-9365000/</v>
          </cell>
          <cell r="N2190" t="str">
            <v>ABBN.S</v>
          </cell>
          <cell r="O2190" t="str">
            <v>ABB Ltd</v>
          </cell>
          <cell r="P2190" t="str">
            <v>SIX Swiss Ex</v>
          </cell>
          <cell r="Q2190" t="str">
            <v>Industrials</v>
          </cell>
          <cell r="R2190" t="str">
            <v>Electrical Equipment</v>
          </cell>
          <cell r="S2190" t="str">
            <v>ABBN.SW</v>
          </cell>
        </row>
        <row r="2191">
          <cell r="L2191" t="str">
            <v>ZURN SW</v>
          </cell>
          <cell r="M2191" t="str">
            <v>ZURICH-INSURANCE-GROUP-2955923/</v>
          </cell>
          <cell r="N2191" t="str">
            <v>ZURN.S</v>
          </cell>
          <cell r="O2191" t="str">
            <v>Zurich Insurance Group AG</v>
          </cell>
          <cell r="P2191" t="str">
            <v>SIX Swiss Ex</v>
          </cell>
          <cell r="Q2191" t="str">
            <v>Financials</v>
          </cell>
          <cell r="R2191" t="str">
            <v>Insurance</v>
          </cell>
          <cell r="S2191" t="str">
            <v>ZURN.SW</v>
          </cell>
        </row>
        <row r="2192">
          <cell r="L2192" t="str">
            <v>CFR SW</v>
          </cell>
          <cell r="M2192" t="str">
            <v>COMPAGNIE-FINANCIERE-RICH-14354614/</v>
          </cell>
          <cell r="N2192" t="str">
            <v>CFR.S</v>
          </cell>
          <cell r="O2192" t="str">
            <v>Compagnie Financiere Richemont SA</v>
          </cell>
          <cell r="P2192" t="str">
            <v>SIX Swiss Ex</v>
          </cell>
          <cell r="Q2192" t="str">
            <v>Consumer Discretionary</v>
          </cell>
          <cell r="R2192" t="str">
            <v>Textiles, Apparel &amp; Luxury Goo</v>
          </cell>
          <cell r="S2192" t="str">
            <v>CFR.SW</v>
          </cell>
        </row>
        <row r="2193">
          <cell r="L2193" t="str">
            <v>CSGN SW</v>
          </cell>
          <cell r="M2193" t="str">
            <v>CREDIT-SUISSE-GROUP-9364979/</v>
          </cell>
          <cell r="N2193" t="str">
            <v>CSGN.S</v>
          </cell>
          <cell r="O2193" t="str">
            <v>Credit Suisse Group AG</v>
          </cell>
          <cell r="P2193" t="str">
            <v>SIX Swiss Ex</v>
          </cell>
          <cell r="Q2193" t="str">
            <v>Financials</v>
          </cell>
          <cell r="R2193" t="str">
            <v>Capital Markets</v>
          </cell>
          <cell r="S2193" t="str">
            <v>CSGN.SW</v>
          </cell>
        </row>
        <row r="2194">
          <cell r="L2194" t="str">
            <v>SREN SW</v>
          </cell>
          <cell r="M2194" t="str">
            <v>SWISS-RE-9365870/</v>
          </cell>
          <cell r="N2194" t="str">
            <v>RUKN.S</v>
          </cell>
          <cell r="O2194" t="str">
            <v>Swiss Re AG</v>
          </cell>
          <cell r="P2194" t="str">
            <v>SIX Swiss Ex</v>
          </cell>
          <cell r="Q2194" t="str">
            <v>Financials</v>
          </cell>
          <cell r="R2194" t="str">
            <v>Insurance</v>
          </cell>
          <cell r="S2194" t="str">
            <v>SREN.SW</v>
          </cell>
        </row>
        <row r="2195">
          <cell r="L2195" t="str">
            <v>LHN SW</v>
          </cell>
          <cell r="M2195" t="str">
            <v>LAFARGEHOLCIM-2956274/</v>
          </cell>
          <cell r="N2195" t="str">
            <v>LHN.PA</v>
          </cell>
          <cell r="O2195" t="str">
            <v>Lafargeholcim Ltd</v>
          </cell>
          <cell r="P2195" t="str">
            <v>SIX Swiss Ex</v>
          </cell>
          <cell r="Q2195" t="str">
            <v>Materials</v>
          </cell>
          <cell r="R2195" t="str">
            <v>Construction Materials</v>
          </cell>
          <cell r="S2195" t="str">
            <v>LHN.SW</v>
          </cell>
        </row>
        <row r="2196">
          <cell r="L2196" t="str">
            <v>LONN SW</v>
          </cell>
          <cell r="M2196" t="str">
            <v>LONZA-GROUP-2956013/</v>
          </cell>
          <cell r="N2196" t="str">
            <v>LONN.S</v>
          </cell>
          <cell r="O2196" t="str">
            <v>Lonza Group AG</v>
          </cell>
          <cell r="P2196" t="str">
            <v>SIX Swiss Ex</v>
          </cell>
          <cell r="Q2196" t="str">
            <v>Health Care</v>
          </cell>
          <cell r="R2196" t="str">
            <v>Life Sciences Tools &amp; Services</v>
          </cell>
          <cell r="S2196" t="str">
            <v>LONN.SW</v>
          </cell>
        </row>
        <row r="2197">
          <cell r="L2197" t="str">
            <v>SCMN SW</v>
          </cell>
          <cell r="M2197" t="str">
            <v>SWISSCOM-2955930/</v>
          </cell>
          <cell r="N2197" t="str">
            <v>SCMN.S</v>
          </cell>
          <cell r="O2197" t="str">
            <v>Swisscom AG</v>
          </cell>
          <cell r="P2197" t="str">
            <v>SIX Swiss Ex</v>
          </cell>
          <cell r="Q2197" t="str">
            <v>Telecommunication Services</v>
          </cell>
          <cell r="R2197" t="str">
            <v>Diversified Telecommunication</v>
          </cell>
          <cell r="S2197" t="str">
            <v>SCMN.SW</v>
          </cell>
        </row>
        <row r="2198">
          <cell r="L2198" t="str">
            <v>PGHN SW</v>
          </cell>
          <cell r="M2198" t="str">
            <v>PARTNERS-GROUP-HOLDING-AG-175123/</v>
          </cell>
          <cell r="N2198" t="str">
            <v>PGHN.S</v>
          </cell>
          <cell r="O2198" t="str">
            <v>Partners Group Holding AG</v>
          </cell>
          <cell r="P2198" t="str">
            <v>SIX Swiss Ex</v>
          </cell>
          <cell r="Q2198" t="str">
            <v>Financials</v>
          </cell>
          <cell r="R2198" t="str">
            <v>Capital Markets</v>
          </cell>
          <cell r="S2198" t="str">
            <v>PGHN.SW</v>
          </cell>
        </row>
        <row r="2199">
          <cell r="L2199" t="str">
            <v>SGSN SW</v>
          </cell>
          <cell r="M2199" t="str">
            <v>SGS-2956065/</v>
          </cell>
          <cell r="N2199" t="str">
            <v>SGSN.S</v>
          </cell>
          <cell r="O2199" t="str">
            <v>SGS SA</v>
          </cell>
          <cell r="P2199" t="str">
            <v>SIX Swiss Ex</v>
          </cell>
          <cell r="Q2199" t="str">
            <v>Industrials</v>
          </cell>
          <cell r="R2199" t="str">
            <v>Professional Services</v>
          </cell>
          <cell r="S2199" t="str">
            <v>SGSN.SW</v>
          </cell>
        </row>
        <row r="2200">
          <cell r="L2200" t="str">
            <v>LISN SW</v>
          </cell>
          <cell r="M2200" t="str">
            <v>LINDT-SPRUENGLI-73888/</v>
          </cell>
          <cell r="N2200" t="str">
            <v>LISP.S</v>
          </cell>
          <cell r="O2200" t="str">
            <v>Chocoladefabriken Lindt &amp; Spruengli AG</v>
          </cell>
          <cell r="P2200" t="str">
            <v>SIX Swiss Ex</v>
          </cell>
          <cell r="Q2200" t="str">
            <v>Consumer Staples</v>
          </cell>
          <cell r="R2200" t="str">
            <v>Food Products</v>
          </cell>
          <cell r="S2200" t="str">
            <v>LISN.SW</v>
          </cell>
        </row>
        <row r="2201">
          <cell r="L2201" t="str">
            <v>GEBN SW</v>
          </cell>
          <cell r="M2201" t="str">
            <v>GEBERIT-9365160/</v>
          </cell>
          <cell r="N2201" t="str">
            <v>GEBN.S</v>
          </cell>
          <cell r="O2201" t="str">
            <v>Geberit AG</v>
          </cell>
          <cell r="P2201" t="str">
            <v>SIX Swiss Ex</v>
          </cell>
          <cell r="Q2201" t="str">
            <v>Industrials</v>
          </cell>
          <cell r="R2201" t="str">
            <v>Building Products</v>
          </cell>
          <cell r="S2201" t="str">
            <v>GEBN.SW</v>
          </cell>
        </row>
        <row r="2202">
          <cell r="L2202" t="str">
            <v>SIKA SW</v>
          </cell>
          <cell r="M2202" t="str">
            <v>SIKA-AG-44231526/</v>
          </cell>
          <cell r="O2202" t="str">
            <v>Sika AG</v>
          </cell>
          <cell r="P2202" t="str">
            <v>SIX Swiss Ex</v>
          </cell>
          <cell r="Q2202" t="str">
            <v>Materials</v>
          </cell>
          <cell r="R2202" t="str">
            <v>Chemicals</v>
          </cell>
          <cell r="S2202" t="str">
            <v>SIKA.SW</v>
          </cell>
        </row>
        <row r="2203">
          <cell r="L2203" t="str">
            <v>UHR SW</v>
          </cell>
          <cell r="M2203" t="str">
            <v>THE-SWATCH-GROUP-9364976/</v>
          </cell>
          <cell r="O2203" t="str">
            <v>The Swatch Group AG</v>
          </cell>
          <cell r="P2203" t="str">
            <v>SIX Swiss Ex</v>
          </cell>
          <cell r="Q2203" t="str">
            <v>Consumer Discretionary</v>
          </cell>
          <cell r="R2203" t="str">
            <v>Textiles, Apparel &amp; Luxury Goo</v>
          </cell>
          <cell r="S2203" t="str">
            <v>UHR.SW</v>
          </cell>
        </row>
        <row r="2204">
          <cell r="L2204" t="str">
            <v>GIVN SW</v>
          </cell>
          <cell r="M2204" t="str">
            <v>GIVAUDAN-2956033/</v>
          </cell>
          <cell r="O2204" t="str">
            <v>Givaudan SA</v>
          </cell>
          <cell r="P2204" t="str">
            <v>SIX Swiss Ex</v>
          </cell>
          <cell r="Q2204" t="str">
            <v>Materials</v>
          </cell>
          <cell r="R2204" t="str">
            <v>Chemicals</v>
          </cell>
          <cell r="S2204" t="str">
            <v>GIVN.SW</v>
          </cell>
        </row>
        <row r="2205">
          <cell r="L2205" t="str">
            <v>KNIN SW</v>
          </cell>
          <cell r="M2205" t="str">
            <v>KUEHNE-UND-NAGEL-INTERNAT-178766/</v>
          </cell>
          <cell r="O2205" t="str">
            <v>Kuehne und Nagel International AG</v>
          </cell>
          <cell r="P2205" t="str">
            <v>SIX Swiss Ex</v>
          </cell>
          <cell r="Q2205" t="str">
            <v>Industrials</v>
          </cell>
          <cell r="R2205" t="str">
            <v>Marine</v>
          </cell>
          <cell r="S2205" t="str">
            <v>KNIN.SW</v>
          </cell>
        </row>
        <row r="2206">
          <cell r="L2206" t="str">
            <v>EMSN SW</v>
          </cell>
          <cell r="M2206" t="str">
            <v>EMS-CHEMIE-HOLDING-6096417/</v>
          </cell>
          <cell r="N2206" t="str">
            <v>EMSN.S</v>
          </cell>
          <cell r="O2206" t="str">
            <v>Ems Chemie Holding AG</v>
          </cell>
          <cell r="P2206" t="str">
            <v>SIX Swiss Ex</v>
          </cell>
          <cell r="Q2206" t="str">
            <v>Materials</v>
          </cell>
          <cell r="R2206" t="str">
            <v>Chemicals</v>
          </cell>
          <cell r="S2206" t="str">
            <v>EMSN.SW</v>
          </cell>
        </row>
        <row r="2207">
          <cell r="L2207" t="str">
            <v>TEMN SW</v>
          </cell>
          <cell r="M2207" t="str">
            <v>TEMENOS-GROUP-35837903/</v>
          </cell>
          <cell r="N2207" t="str">
            <v>TEM.S</v>
          </cell>
          <cell r="O2207" t="str">
            <v>Temenos AG</v>
          </cell>
          <cell r="P2207" t="str">
            <v>SIX Swiss Ex</v>
          </cell>
          <cell r="Q2207" t="str">
            <v>Information Technology</v>
          </cell>
          <cell r="R2207" t="str">
            <v>Software</v>
          </cell>
          <cell r="S2207" t="str">
            <v>TEMN.SW</v>
          </cell>
        </row>
        <row r="2208">
          <cell r="L2208" t="str">
            <v>SOON SW</v>
          </cell>
          <cell r="M2208" t="str">
            <v>SONOVA-HOLDING-70127/</v>
          </cell>
          <cell r="N2208" t="str">
            <v>SOON.S</v>
          </cell>
          <cell r="O2208" t="str">
            <v>Sonova Holding AG</v>
          </cell>
          <cell r="P2208" t="str">
            <v>SIX Swiss Ex</v>
          </cell>
          <cell r="Q2208" t="str">
            <v>Health Care</v>
          </cell>
          <cell r="R2208" t="str">
            <v>Health Care Equipment &amp; Suppli</v>
          </cell>
          <cell r="S2208" t="str">
            <v>SOON.SW</v>
          </cell>
        </row>
        <row r="2209">
          <cell r="L2209" t="str">
            <v>STMN SW</v>
          </cell>
          <cell r="M2209" t="str">
            <v>STRAUMANN-HOLDING-408695/</v>
          </cell>
          <cell r="N2209" t="str">
            <v>STMN.S</v>
          </cell>
          <cell r="O2209" t="str">
            <v>Straumann Holding AG</v>
          </cell>
          <cell r="P2209" t="str">
            <v>SIX Swiss Ex</v>
          </cell>
          <cell r="Q2209" t="str">
            <v>Health Care</v>
          </cell>
          <cell r="R2209" t="str">
            <v>Health Care Equipment &amp; Suppli</v>
          </cell>
          <cell r="S2209" t="str">
            <v>STMN.SW</v>
          </cell>
        </row>
        <row r="2210">
          <cell r="L2210" t="str">
            <v>SLHN SW</v>
          </cell>
          <cell r="M2210" t="str">
            <v>SWISS-LIFE-HOLDING-9365007/</v>
          </cell>
          <cell r="N2210" t="str">
            <v>SLHN.S</v>
          </cell>
          <cell r="O2210" t="str">
            <v>Swiss Life Holding AG</v>
          </cell>
          <cell r="P2210" t="str">
            <v>SIX Swiss Ex</v>
          </cell>
          <cell r="Q2210" t="str">
            <v>Financials</v>
          </cell>
          <cell r="R2210" t="str">
            <v>Insurance</v>
          </cell>
          <cell r="S2210" t="str">
            <v>SLHN.SW</v>
          </cell>
        </row>
        <row r="2211">
          <cell r="L2211" t="str">
            <v>VIFN SW</v>
          </cell>
          <cell r="M2211" t="str">
            <v>VIFOR-PHARMA-35018535/</v>
          </cell>
          <cell r="N2211" t="str">
            <v>VIFN.S</v>
          </cell>
          <cell r="O2211" t="str">
            <v>Vifor Pharma AG</v>
          </cell>
          <cell r="P2211" t="str">
            <v>SIX Swiss Ex</v>
          </cell>
          <cell r="Q2211" t="str">
            <v>Health Care</v>
          </cell>
          <cell r="R2211" t="str">
            <v>Pharmaceuticals</v>
          </cell>
          <cell r="S2211" t="str">
            <v>VIFN.SW</v>
          </cell>
        </row>
        <row r="2212">
          <cell r="L2212" t="str">
            <v>BAER SW</v>
          </cell>
          <cell r="M2212" t="str">
            <v>JULIUS-BAR-GRUPPE-9365396/</v>
          </cell>
          <cell r="N2212" t="str">
            <v>BAER.S</v>
          </cell>
          <cell r="O2212" t="str">
            <v>Julius Baer Gruppe AG</v>
          </cell>
          <cell r="P2212" t="str">
            <v>SIX Swiss Ex</v>
          </cell>
          <cell r="Q2212" t="str">
            <v>Financials</v>
          </cell>
          <cell r="R2212" t="str">
            <v>Capital Markets</v>
          </cell>
          <cell r="S2212" t="str">
            <v>BAER.SW</v>
          </cell>
        </row>
        <row r="2213">
          <cell r="L2213" t="str">
            <v>ADEN SW</v>
          </cell>
          <cell r="M2213" t="str">
            <v>ADECCO-GROUP-9365001/</v>
          </cell>
          <cell r="N2213" t="str">
            <v>ADEN.S</v>
          </cell>
          <cell r="O2213" t="str">
            <v>Adecco Group AG</v>
          </cell>
          <cell r="P2213" t="str">
            <v>SIX Swiss Ex</v>
          </cell>
          <cell r="Q2213" t="str">
            <v>Industrials</v>
          </cell>
          <cell r="R2213" t="str">
            <v>Professional Services</v>
          </cell>
          <cell r="S2213" t="str">
            <v>ADEN.SW</v>
          </cell>
        </row>
        <row r="2214">
          <cell r="L2214" t="str">
            <v>BARN SW</v>
          </cell>
          <cell r="M2214" t="str">
            <v>BARRY-CALLEBAUT-408710/</v>
          </cell>
          <cell r="N2214" t="str">
            <v>BARN.S</v>
          </cell>
          <cell r="O2214" t="str">
            <v>Barry Callebaut AG</v>
          </cell>
          <cell r="P2214" t="str">
            <v>SIX Swiss Ex</v>
          </cell>
          <cell r="Q2214" t="str">
            <v>Consumer Staples</v>
          </cell>
          <cell r="R2214" t="str">
            <v>Food Products</v>
          </cell>
          <cell r="S2214" t="str">
            <v>BARN.SW</v>
          </cell>
        </row>
        <row r="2215">
          <cell r="L2215" t="str">
            <v>LOGN SW</v>
          </cell>
          <cell r="M2215" t="str">
            <v>LOGITECH-INTERNATIONAL-186712/</v>
          </cell>
          <cell r="N2215" t="str">
            <v>LOGN.S</v>
          </cell>
          <cell r="O2215" t="str">
            <v>Logitech International SA</v>
          </cell>
          <cell r="P2215" t="str">
            <v>SIX Swiss Ex</v>
          </cell>
          <cell r="Q2215" t="str">
            <v>Information Technology</v>
          </cell>
          <cell r="R2215" t="str">
            <v>Technology Hardware, Storage &amp;</v>
          </cell>
          <cell r="S2215" t="str">
            <v>LOGN.SW</v>
          </cell>
        </row>
        <row r="2216">
          <cell r="L2216" t="str">
            <v>BALN SW</v>
          </cell>
          <cell r="M2216" t="str">
            <v>BALOISE-HOLDING-9364972/</v>
          </cell>
          <cell r="N2216" t="str">
            <v>BALN.S</v>
          </cell>
          <cell r="O2216" t="str">
            <v>Baloise Holding Ltd</v>
          </cell>
          <cell r="P2216" t="str">
            <v>SIX Swiss Ex</v>
          </cell>
          <cell r="Q2216" t="str">
            <v>Financials</v>
          </cell>
          <cell r="R2216" t="str">
            <v>Insurance</v>
          </cell>
          <cell r="S2216" t="str">
            <v>BALN.SW</v>
          </cell>
        </row>
        <row r="2217">
          <cell r="L2217" t="str">
            <v>DUFN SW</v>
          </cell>
          <cell r="M2217" t="str">
            <v>DUFRY-165654/</v>
          </cell>
          <cell r="N2217" t="str">
            <v>DUFN.S</v>
          </cell>
          <cell r="O2217" t="str">
            <v>Dufry AG</v>
          </cell>
          <cell r="P2217" t="str">
            <v>SIX Swiss Ex</v>
          </cell>
          <cell r="Q2217" t="str">
            <v>Consumer Discretionary</v>
          </cell>
          <cell r="R2217" t="str">
            <v>Specialty Retail</v>
          </cell>
          <cell r="S2217" t="str">
            <v>DUFN.SW</v>
          </cell>
        </row>
        <row r="2218">
          <cell r="L2218" t="str">
            <v>SPSN SW</v>
          </cell>
          <cell r="M2218" t="str">
            <v>SWISS-PRIME-SITE-73862/</v>
          </cell>
          <cell r="N2218" t="str">
            <v>SPSN.S</v>
          </cell>
          <cell r="O2218" t="str">
            <v>Swiss Prime Site AG</v>
          </cell>
          <cell r="P2218" t="str">
            <v>SIX Swiss Ex</v>
          </cell>
          <cell r="Q2218" t="str">
            <v>Real Estate</v>
          </cell>
          <cell r="R2218" t="str">
            <v>Real Estate Management &amp; Devel</v>
          </cell>
          <cell r="S2218" t="str">
            <v>SPSN.SW</v>
          </cell>
        </row>
        <row r="2219">
          <cell r="L2219" t="str">
            <v>PARG SW</v>
          </cell>
          <cell r="M2219" t="str">
            <v>PARGESA-HOLDING-160825/</v>
          </cell>
          <cell r="N2219" t="str">
            <v>PARG.S</v>
          </cell>
          <cell r="O2219" t="str">
            <v>Pargesa Holding SA</v>
          </cell>
          <cell r="P2219" t="str">
            <v>SIX Swiss Ex</v>
          </cell>
          <cell r="Q2219" t="str">
            <v>Financials</v>
          </cell>
          <cell r="R2219" t="str">
            <v>Diversified Financial Services</v>
          </cell>
          <cell r="S2219" t="str">
            <v>PARG.SW</v>
          </cell>
        </row>
        <row r="2220">
          <cell r="L2220" t="str">
            <v>HELN SW</v>
          </cell>
          <cell r="M2220" t="str">
            <v>HELVETIA-HOLDING-73833/</v>
          </cell>
          <cell r="N2220" t="str">
            <v>HELN.S</v>
          </cell>
          <cell r="O2220" t="str">
            <v>Helvetia Holding AG</v>
          </cell>
          <cell r="P2220" t="str">
            <v>SIX Swiss Ex</v>
          </cell>
          <cell r="Q2220" t="str">
            <v>Financials</v>
          </cell>
          <cell r="R2220" t="str">
            <v>Insurance</v>
          </cell>
          <cell r="S2220" t="str">
            <v>HELN.SW</v>
          </cell>
        </row>
        <row r="2221">
          <cell r="L2221" t="str">
            <v>PSPN SW</v>
          </cell>
          <cell r="M2221" t="str">
            <v>PSP-SWISS-PROPERTY-131096/</v>
          </cell>
          <cell r="N2221" t="str">
            <v>PSPN.S</v>
          </cell>
          <cell r="O2221" t="str">
            <v>PSP Swiss Property AG</v>
          </cell>
          <cell r="P2221" t="str">
            <v>SIX Swiss Ex</v>
          </cell>
          <cell r="Q2221" t="str">
            <v>Real Estate</v>
          </cell>
          <cell r="R2221" t="str">
            <v>Real Estate Management &amp; Devel</v>
          </cell>
          <cell r="S2221" t="str">
            <v>PSPN.SW</v>
          </cell>
        </row>
        <row r="2222">
          <cell r="L2222" t="str">
            <v>SRCG SW</v>
          </cell>
          <cell r="M2222" t="str">
            <v>SUNRISE-COMMUNICATIONS-GR-20798649/</v>
          </cell>
          <cell r="N2222" t="str">
            <v>SRCG.S</v>
          </cell>
          <cell r="O2222" t="str">
            <v>Sunrise Communications Group AG</v>
          </cell>
          <cell r="P2222" t="str">
            <v>SIX Swiss Ex</v>
          </cell>
          <cell r="Q2222" t="str">
            <v>Telecommunication Services</v>
          </cell>
          <cell r="R2222" t="str">
            <v>Diversified Telecommunication</v>
          </cell>
          <cell r="S2222" t="str">
            <v>SRCG.SW</v>
          </cell>
        </row>
        <row r="2223">
          <cell r="L2223" t="str">
            <v>DOKA SW</v>
          </cell>
          <cell r="M2223" t="str">
            <v>DORMAKABA-73755/</v>
          </cell>
          <cell r="N2223" t="str">
            <v>DOKA.S</v>
          </cell>
          <cell r="O2223" t="str">
            <v>Dormakaba Holding AG</v>
          </cell>
          <cell r="P2223" t="str">
            <v>SIX Swiss Ex</v>
          </cell>
          <cell r="Q2223" t="str">
            <v>Industrials</v>
          </cell>
          <cell r="R2223" t="str">
            <v>Building Products</v>
          </cell>
          <cell r="S2223" t="str">
            <v>DOKA.SW</v>
          </cell>
        </row>
        <row r="2224">
          <cell r="L2224" t="str">
            <v>ITX SM</v>
          </cell>
          <cell r="M2224" t="str">
            <v>INDITEX-INDUSTRIA-DE-DI-16943135/</v>
          </cell>
          <cell r="N2224" t="str">
            <v>ITX.MC</v>
          </cell>
          <cell r="O2224" t="str">
            <v>Industria de Diseno Textil SA</v>
          </cell>
          <cell r="P2224" t="str">
            <v>Soc.Bol SIBE</v>
          </cell>
          <cell r="Q2224" t="str">
            <v>Consumer Discretionary</v>
          </cell>
          <cell r="R2224" t="str">
            <v>Specialty Retail</v>
          </cell>
          <cell r="S2224" t="str">
            <v>ITX.MC</v>
          </cell>
        </row>
        <row r="2225">
          <cell r="L2225" t="str">
            <v>SAN SM</v>
          </cell>
          <cell r="M2225" t="str">
            <v>BANCO-SANTANDER-69308/</v>
          </cell>
          <cell r="N2225" t="str">
            <v>SAN.MC</v>
          </cell>
          <cell r="O2225" t="str">
            <v>Banco Santander SA</v>
          </cell>
          <cell r="P2225" t="str">
            <v>Soc.Bol SIBE</v>
          </cell>
          <cell r="Q2225" t="str">
            <v>Financials</v>
          </cell>
          <cell r="R2225" t="str">
            <v>Banks</v>
          </cell>
          <cell r="S2225" t="str">
            <v>SAN.MC</v>
          </cell>
        </row>
        <row r="2226">
          <cell r="L2226" t="str">
            <v>IBE SM</v>
          </cell>
          <cell r="M2226" t="str">
            <v>IBERDROLA-355153/</v>
          </cell>
          <cell r="N2226" t="str">
            <v>IBE.MC</v>
          </cell>
          <cell r="O2226" t="str">
            <v>Iberdrola SA</v>
          </cell>
          <cell r="P2226" t="str">
            <v>Soc.Bol SIBE</v>
          </cell>
          <cell r="Q2226" t="str">
            <v>Utilities</v>
          </cell>
          <cell r="R2226" t="str">
            <v>Electric Utilities</v>
          </cell>
          <cell r="S2226" t="str">
            <v>IBE.MC</v>
          </cell>
        </row>
        <row r="2227">
          <cell r="L2227" t="str">
            <v>TEF SM</v>
          </cell>
          <cell r="M2227" t="str">
            <v>TELEFONICA-68962/</v>
          </cell>
          <cell r="N2227" t="str">
            <v>TEF.MC</v>
          </cell>
          <cell r="O2227" t="str">
            <v>Telefonica SA</v>
          </cell>
          <cell r="P2227" t="str">
            <v>Soc.Bol SIBE</v>
          </cell>
          <cell r="Q2227" t="str">
            <v>Telecommunication Services</v>
          </cell>
          <cell r="R2227" t="str">
            <v>Diversified Telecommunication</v>
          </cell>
          <cell r="S2227" t="str">
            <v>TEF.MC</v>
          </cell>
        </row>
        <row r="2228">
          <cell r="L2228" t="str">
            <v>BBVA SM</v>
          </cell>
          <cell r="M2228" t="str">
            <v>BANCO-BILBAO-VIZCAYA-ARGE-69719/</v>
          </cell>
          <cell r="N2228" t="str">
            <v>BBVA.MC</v>
          </cell>
          <cell r="O2228" t="str">
            <v>Banco Bilbao Vizcaya Argentaria S.A.</v>
          </cell>
          <cell r="P2228" t="str">
            <v>Soc.Bol SIBE</v>
          </cell>
          <cell r="Q2228" t="str">
            <v>Financials</v>
          </cell>
          <cell r="R2228" t="str">
            <v>Banks</v>
          </cell>
          <cell r="S2228" t="str">
            <v>BBVA.MC</v>
          </cell>
        </row>
        <row r="2229">
          <cell r="L2229" t="str">
            <v>AMS SM</v>
          </cell>
          <cell r="M2229" t="str">
            <v>AMADEUS-IT-GROUP-4027320/</v>
          </cell>
          <cell r="N2229" t="str">
            <v>AMS.MC</v>
          </cell>
          <cell r="O2229" t="str">
            <v>Amadeus IT Group SA</v>
          </cell>
          <cell r="P2229" t="str">
            <v>Soc.Bol SIBE</v>
          </cell>
          <cell r="Q2229" t="str">
            <v>Information Technology</v>
          </cell>
          <cell r="R2229" t="str">
            <v>IT Services</v>
          </cell>
          <cell r="S2229" t="str">
            <v>AMS.MC</v>
          </cell>
        </row>
        <row r="2230">
          <cell r="L2230" t="str">
            <v>REP SM</v>
          </cell>
          <cell r="M2230" t="str">
            <v>REPSOL-YPF-75044/</v>
          </cell>
          <cell r="N2230" t="str">
            <v>REP.MC</v>
          </cell>
          <cell r="O2230" t="str">
            <v>Repsol SA</v>
          </cell>
          <cell r="P2230" t="str">
            <v>Soc.Bol SIBE</v>
          </cell>
          <cell r="Q2230" t="str">
            <v>Energy</v>
          </cell>
          <cell r="R2230" t="str">
            <v>Oil, Gas &amp; Consumable Fuels</v>
          </cell>
          <cell r="S2230" t="str">
            <v>REP.MC</v>
          </cell>
        </row>
        <row r="2231">
          <cell r="L2231" t="str">
            <v>GAS SM</v>
          </cell>
          <cell r="M2231" t="str">
            <v>NATURGY-ENERGY-GROUP-74206/</v>
          </cell>
          <cell r="N2231" t="str">
            <v>GAS.MC</v>
          </cell>
          <cell r="O2231" t="str">
            <v>Gas Natural SDG SA</v>
          </cell>
          <cell r="P2231" t="str">
            <v>Soc.Bol SIBE</v>
          </cell>
          <cell r="Q2231" t="str">
            <v>Utilities</v>
          </cell>
          <cell r="R2231" t="str">
            <v>Gas Utilities</v>
          </cell>
          <cell r="S2231" t="str">
            <v>GAS.MC</v>
          </cell>
        </row>
        <row r="2232">
          <cell r="L2232" t="str">
            <v>CABK SM</v>
          </cell>
          <cell r="M2232" t="str">
            <v>CAIXABANK-357103/</v>
          </cell>
          <cell r="N2232" t="str">
            <v>CABK.MC</v>
          </cell>
          <cell r="O2232" t="str">
            <v>Caixabank SA</v>
          </cell>
          <cell r="P2232" t="str">
            <v>Soc.Bol SIBE</v>
          </cell>
          <cell r="Q2232" t="str">
            <v>Financials</v>
          </cell>
          <cell r="R2232" t="str">
            <v>Banks</v>
          </cell>
          <cell r="S2232" t="str">
            <v>CABK.MC</v>
          </cell>
        </row>
        <row r="2233">
          <cell r="L2233" t="str">
            <v>AENA SM</v>
          </cell>
          <cell r="M2233" t="str">
            <v>AENA-20798509/</v>
          </cell>
          <cell r="N2233" t="str">
            <v>AENA.MC</v>
          </cell>
          <cell r="O2233" t="str">
            <v>Aena SME SA</v>
          </cell>
          <cell r="P2233" t="str">
            <v>Soc.Bol SIBE</v>
          </cell>
          <cell r="Q2233" t="str">
            <v>Industrials</v>
          </cell>
          <cell r="R2233" t="str">
            <v>Transportation Infrastructure</v>
          </cell>
          <cell r="S2233" t="str">
            <v>AENA.MC</v>
          </cell>
        </row>
        <row r="2234">
          <cell r="L2234" t="str">
            <v>ELE SM</v>
          </cell>
          <cell r="M2234" t="str">
            <v>ENDESA-69599/</v>
          </cell>
          <cell r="N2234" t="str">
            <v>ELE.MC</v>
          </cell>
          <cell r="O2234" t="str">
            <v>Endesa SA</v>
          </cell>
          <cell r="P2234" t="str">
            <v>Soc.Bol SIBE</v>
          </cell>
          <cell r="Q2234" t="str">
            <v>Utilities</v>
          </cell>
          <cell r="R2234" t="str">
            <v>Electric Utilities</v>
          </cell>
          <cell r="S2234" t="str">
            <v>ELE.MC</v>
          </cell>
        </row>
        <row r="2235">
          <cell r="L2235" t="str">
            <v>GRF SM</v>
          </cell>
          <cell r="M2235" t="str">
            <v>GRIFOLS-25530828/</v>
          </cell>
          <cell r="N2235" t="str">
            <v>GRF.MC</v>
          </cell>
          <cell r="O2235" t="str">
            <v>Grifols SA</v>
          </cell>
          <cell r="P2235" t="str">
            <v>Soc.Bol SIBE</v>
          </cell>
          <cell r="Q2235" t="str">
            <v>Health Care</v>
          </cell>
          <cell r="R2235" t="str">
            <v>Biotechnology</v>
          </cell>
          <cell r="S2235" t="str">
            <v>GRF.MC</v>
          </cell>
        </row>
        <row r="2236">
          <cell r="L2236" t="str">
            <v>FER SM</v>
          </cell>
          <cell r="M2236" t="str">
            <v>FERROVIAL-70599/</v>
          </cell>
          <cell r="N2236" t="str">
            <v>FER.MC</v>
          </cell>
          <cell r="O2236" t="str">
            <v>Ferrovial SA</v>
          </cell>
          <cell r="P2236" t="str">
            <v>Soc.Bol SIBE</v>
          </cell>
          <cell r="Q2236" t="str">
            <v>Industrials</v>
          </cell>
          <cell r="R2236" t="str">
            <v>Construction &amp; Engineering</v>
          </cell>
          <cell r="S2236" t="str">
            <v>FER.MC</v>
          </cell>
        </row>
        <row r="2237">
          <cell r="L2237" t="str">
            <v>ACS SM</v>
          </cell>
          <cell r="M2237" t="str">
            <v>ACS-ACTIVIDADES-DE-CONSTR-140640/</v>
          </cell>
          <cell r="N2237" t="str">
            <v>ACS.MC</v>
          </cell>
          <cell r="O2237" t="str">
            <v>ACS Actividades de Construccion y Servicios SA</v>
          </cell>
          <cell r="P2237" t="str">
            <v>Soc.Bol SIBE</v>
          </cell>
          <cell r="Q2237" t="str">
            <v>Industrials</v>
          </cell>
          <cell r="R2237" t="str">
            <v>Construction &amp; Engineering</v>
          </cell>
          <cell r="S2237" t="str">
            <v>ACS.MC</v>
          </cell>
        </row>
        <row r="2238">
          <cell r="L2238" t="str">
            <v>BKIA SM</v>
          </cell>
          <cell r="M2238" t="str">
            <v>BANKIA-35712971/</v>
          </cell>
          <cell r="N2238" t="str">
            <v>BKIA.MC</v>
          </cell>
          <cell r="O2238" t="str">
            <v>Bankia SA</v>
          </cell>
          <cell r="P2238" t="str">
            <v>Soc.Bol SIBE</v>
          </cell>
          <cell r="Q2238" t="str">
            <v>Financials</v>
          </cell>
          <cell r="R2238" t="str">
            <v>Banks</v>
          </cell>
          <cell r="S2238" t="str">
            <v>BKIA.MC</v>
          </cell>
        </row>
        <row r="2239">
          <cell r="L2239" t="str">
            <v>REE SM</v>
          </cell>
          <cell r="M2239" t="str">
            <v>RED-ELECTRICA-DE-ESPA-A-29688106/</v>
          </cell>
          <cell r="N2239" t="str">
            <v>REE.MC</v>
          </cell>
          <cell r="O2239" t="str">
            <v>Red Electrica Corporacion SA</v>
          </cell>
          <cell r="P2239" t="str">
            <v>Soc.Bol SIBE</v>
          </cell>
          <cell r="Q2239" t="str">
            <v>Utilities</v>
          </cell>
          <cell r="R2239" t="str">
            <v>Electric Utilities</v>
          </cell>
          <cell r="S2239" t="str">
            <v>REE.MC</v>
          </cell>
        </row>
        <row r="2240">
          <cell r="L2240" t="str">
            <v>SGRE SM</v>
          </cell>
          <cell r="M2240" t="str">
            <v>SIEMENS-GAMESA-RENEWABLE-140594/</v>
          </cell>
          <cell r="N2240" t="str">
            <v>SGRE.MC</v>
          </cell>
          <cell r="O2240" t="str">
            <v>Siemens Gamesa Renewable Energy SA</v>
          </cell>
          <cell r="P2240" t="str">
            <v>Soc.Bol SIBE</v>
          </cell>
          <cell r="Q2240" t="str">
            <v>Industrials</v>
          </cell>
          <cell r="R2240" t="str">
            <v>Electrical Equipment</v>
          </cell>
          <cell r="S2240" t="str">
            <v>SGRE.MC</v>
          </cell>
        </row>
        <row r="2241">
          <cell r="L2241" t="str">
            <v>MAP SM</v>
          </cell>
          <cell r="M2241" t="str">
            <v>MAPFRE-195228/</v>
          </cell>
          <cell r="N2241" t="str">
            <v>MAP.MC</v>
          </cell>
          <cell r="O2241" t="str">
            <v>Mapfre SA</v>
          </cell>
          <cell r="P2241" t="str">
            <v>Soc.Bol SIBE</v>
          </cell>
          <cell r="Q2241" t="str">
            <v>Financials</v>
          </cell>
          <cell r="R2241" t="str">
            <v>Insurance</v>
          </cell>
          <cell r="S2241" t="str">
            <v>MAP.MC</v>
          </cell>
        </row>
        <row r="2242">
          <cell r="L2242" t="str">
            <v>SAB SM</v>
          </cell>
          <cell r="M2242" t="str">
            <v>BANCO-DE-SABADELL-260497/</v>
          </cell>
          <cell r="N2242" t="str">
            <v>SABE.MC</v>
          </cell>
          <cell r="O2242" t="str">
            <v>Banco de Sabadell SA</v>
          </cell>
          <cell r="P2242" t="str">
            <v>Soc.Bol SIBE</v>
          </cell>
          <cell r="Q2242" t="str">
            <v>Financials</v>
          </cell>
          <cell r="R2242" t="str">
            <v>Banks</v>
          </cell>
          <cell r="S2242" t="str">
            <v>SAB.MC</v>
          </cell>
        </row>
        <row r="2243">
          <cell r="L2243" t="str">
            <v>BKT SM</v>
          </cell>
          <cell r="M2243" t="str">
            <v>BANKINTER-410428/</v>
          </cell>
          <cell r="N2243" t="str">
            <v>BKT.MC</v>
          </cell>
          <cell r="O2243" t="str">
            <v>Bankinter SA</v>
          </cell>
          <cell r="P2243" t="str">
            <v>Soc.Bol SIBE</v>
          </cell>
          <cell r="Q2243" t="str">
            <v>Financials</v>
          </cell>
          <cell r="R2243" t="str">
            <v>Banks</v>
          </cell>
          <cell r="S2243" t="str">
            <v>BKT.MC</v>
          </cell>
        </row>
        <row r="2244">
          <cell r="L2244" t="str">
            <v>ENG SM</v>
          </cell>
          <cell r="M2244" t="str">
            <v>ENAGAS-409361/</v>
          </cell>
          <cell r="N2244" t="str">
            <v>ENG.MC</v>
          </cell>
          <cell r="O2244" t="str">
            <v>Enagas SA</v>
          </cell>
          <cell r="P2244" t="str">
            <v>Soc.Bol SIBE</v>
          </cell>
          <cell r="Q2244" t="str">
            <v>Energy</v>
          </cell>
          <cell r="R2244" t="str">
            <v>Oil, Gas &amp; Consumable Fuels</v>
          </cell>
          <cell r="S2244" t="str">
            <v>ENG.MC</v>
          </cell>
        </row>
        <row r="2245">
          <cell r="L2245" t="str">
            <v>MRL SM</v>
          </cell>
          <cell r="M2245" t="str">
            <v>MERLIN-PROPERTIES-16796079/</v>
          </cell>
          <cell r="N2245" t="str">
            <v>MRL.MC</v>
          </cell>
          <cell r="O2245" t="str">
            <v>Merlin Properties SOCIMI SA</v>
          </cell>
          <cell r="P2245" t="str">
            <v>Soc.Bol SIBE</v>
          </cell>
          <cell r="Q2245" t="str">
            <v>Real Estate</v>
          </cell>
          <cell r="R2245" t="str">
            <v>Equity Real Estate Investment</v>
          </cell>
          <cell r="S2245" t="str">
            <v>MRL.MC</v>
          </cell>
        </row>
        <row r="2246">
          <cell r="L2246" t="str">
            <v>CLNX SM</v>
          </cell>
          <cell r="M2246" t="str">
            <v>CELLNEX-TELECOM-22148947/</v>
          </cell>
          <cell r="N2246" t="str">
            <v>CLNX.MC</v>
          </cell>
          <cell r="O2246" t="str">
            <v>Cellnex Telecom SA</v>
          </cell>
          <cell r="P2246" t="str">
            <v>Soc.Bol SIBE</v>
          </cell>
          <cell r="Q2246" t="str">
            <v>Telecommunication Services</v>
          </cell>
          <cell r="R2246" t="str">
            <v>Diversified Telecommunication</v>
          </cell>
          <cell r="S2246" t="str">
            <v>CLNX.MC</v>
          </cell>
        </row>
        <row r="2247">
          <cell r="L2247" t="str">
            <v>COL SM</v>
          </cell>
          <cell r="M2247" t="str">
            <v>INMOBILIARIA-COLONIAL-30340922/</v>
          </cell>
          <cell r="N2247" t="str">
            <v>COL.MC</v>
          </cell>
          <cell r="O2247" t="str">
            <v>Inmobiliaria Colonial SOCIMI SA</v>
          </cell>
          <cell r="P2247" t="str">
            <v>Soc.Bol SIBE</v>
          </cell>
          <cell r="Q2247" t="str">
            <v>Real Estate</v>
          </cell>
          <cell r="R2247" t="str">
            <v>Equity Real Estate Investment</v>
          </cell>
          <cell r="S2247" t="str">
            <v>COL.MC</v>
          </cell>
        </row>
        <row r="2248">
          <cell r="L2248" t="str">
            <v>VIS SM</v>
          </cell>
          <cell r="M2248" t="str">
            <v>VISCOFAN-75245/</v>
          </cell>
          <cell r="N2248" t="str">
            <v>VIS.MC</v>
          </cell>
          <cell r="O2248" t="str">
            <v>Viscofan SA</v>
          </cell>
          <cell r="P2248" t="str">
            <v>Soc.Bol SIBE</v>
          </cell>
          <cell r="Q2248" t="str">
            <v>Consumer Staples</v>
          </cell>
          <cell r="R2248" t="str">
            <v>Food Products</v>
          </cell>
          <cell r="S2248" t="str">
            <v>VIS.MC</v>
          </cell>
        </row>
        <row r="2249">
          <cell r="L2249" t="str">
            <v>BME SM</v>
          </cell>
          <cell r="M2249" t="str">
            <v>BOLSAS-Y-MERCADOS-ESPA-OL-168601/</v>
          </cell>
          <cell r="N2249" t="str">
            <v>BME.MC</v>
          </cell>
          <cell r="O2249" t="str">
            <v>Bolsas y Mercados Espanoles SHMSF SA</v>
          </cell>
          <cell r="P2249" t="str">
            <v>Soc.Bol SIBE</v>
          </cell>
          <cell r="Q2249" t="str">
            <v>Financials</v>
          </cell>
          <cell r="R2249" t="str">
            <v>Capital Markets</v>
          </cell>
          <cell r="S2249" t="str">
            <v>BME.MC</v>
          </cell>
        </row>
        <row r="2250">
          <cell r="L2250" t="str">
            <v>TELIA SS</v>
          </cell>
          <cell r="M2250" t="str">
            <v>TELIASONERA-6491092/</v>
          </cell>
          <cell r="N2250" t="str">
            <v>TLSN.ST</v>
          </cell>
          <cell r="O2250" t="str">
            <v>Telia Company AB</v>
          </cell>
          <cell r="P2250" t="str">
            <v>Stockholm</v>
          </cell>
          <cell r="Q2250" t="str">
            <v>Telecommunication Services</v>
          </cell>
          <cell r="R2250" t="str">
            <v>Diversified Telecommunication</v>
          </cell>
        </row>
        <row r="2251">
          <cell r="L2251" t="str">
            <v>SAND SS</v>
          </cell>
          <cell r="M2251" t="str">
            <v>SANDVIK-6491091/</v>
          </cell>
          <cell r="O2251" t="str">
            <v>Sandvik AB</v>
          </cell>
          <cell r="P2251" t="str">
            <v>Stockholm</v>
          </cell>
          <cell r="Q2251" t="str">
            <v>Industrials</v>
          </cell>
          <cell r="R2251" t="str">
            <v>Machinery</v>
          </cell>
          <cell r="S2251" t="str">
            <v>SAND.ST</v>
          </cell>
        </row>
        <row r="2252">
          <cell r="L2252" t="str">
            <v>LUPE SS</v>
          </cell>
          <cell r="M2252" t="str">
            <v>LUNDIN-PETROLEUM-6496725/</v>
          </cell>
          <cell r="N2252" t="str">
            <v>LUPE.ST</v>
          </cell>
          <cell r="O2252" t="str">
            <v>Lundin Petroleum AB</v>
          </cell>
          <cell r="P2252" t="str">
            <v>Stockholm</v>
          </cell>
          <cell r="Q2252" t="str">
            <v>Energy</v>
          </cell>
          <cell r="R2252" t="str">
            <v>Oil, Gas &amp; Consumable Fuels</v>
          </cell>
          <cell r="S2252" t="str">
            <v>LUPE.ST</v>
          </cell>
        </row>
        <row r="2253">
          <cell r="L2253" t="str">
            <v>ALFA SS</v>
          </cell>
          <cell r="M2253" t="str">
            <v>ALFA-LAVAL-6494532/</v>
          </cell>
          <cell r="N2253" t="str">
            <v>ALFA.ST</v>
          </cell>
          <cell r="O2253" t="str">
            <v>Alfa Laval AB</v>
          </cell>
          <cell r="P2253" t="str">
            <v>Stockholm</v>
          </cell>
          <cell r="Q2253" t="str">
            <v>Industrials</v>
          </cell>
          <cell r="R2253" t="str">
            <v>Machinery</v>
          </cell>
          <cell r="S2253" t="str">
            <v>ALFA.ST</v>
          </cell>
        </row>
        <row r="2254">
          <cell r="L2254" t="str">
            <v>SWMA SS</v>
          </cell>
          <cell r="M2254" t="str">
            <v>SWEDISH-MATCH-6492173/</v>
          </cell>
          <cell r="N2254" t="str">
            <v>SWMA.ST</v>
          </cell>
          <cell r="O2254" t="str">
            <v>Swedish Match AB</v>
          </cell>
          <cell r="P2254" t="str">
            <v>Stockholm</v>
          </cell>
          <cell r="Q2254" t="str">
            <v>Consumer Staples</v>
          </cell>
          <cell r="R2254" t="str">
            <v>Tobacco</v>
          </cell>
          <cell r="S2254" t="str">
            <v>SWMA.ST</v>
          </cell>
        </row>
        <row r="2255">
          <cell r="L2255" t="str">
            <v>BOL SS</v>
          </cell>
          <cell r="M2255" t="str">
            <v>BOLIDEN-AB-43390922/</v>
          </cell>
          <cell r="O2255" t="str">
            <v>Boliden AB</v>
          </cell>
          <cell r="P2255" t="str">
            <v>Stockholm</v>
          </cell>
          <cell r="Q2255" t="str">
            <v>Materials</v>
          </cell>
          <cell r="R2255" t="str">
            <v>Metals &amp; Mining</v>
          </cell>
          <cell r="S2255" t="str">
            <v>BOL.ST</v>
          </cell>
        </row>
        <row r="2256">
          <cell r="L2256" t="str">
            <v>ICA SS</v>
          </cell>
          <cell r="M2256" t="str">
            <v>ICA-GRUPPEN-6498391/</v>
          </cell>
          <cell r="N2256" t="str">
            <v>ICAA.ST</v>
          </cell>
          <cell r="O2256" t="str">
            <v>ICA Gruppen AB</v>
          </cell>
          <cell r="P2256" t="str">
            <v>Stockholm</v>
          </cell>
          <cell r="Q2256" t="str">
            <v>Consumer Staples</v>
          </cell>
          <cell r="R2256" t="str">
            <v>Food &amp; Staples Retailing</v>
          </cell>
          <cell r="S2256" t="str">
            <v>ICA.ST</v>
          </cell>
        </row>
        <row r="2257">
          <cell r="L2257" t="str">
            <v>CAST SS</v>
          </cell>
          <cell r="M2257" t="str">
            <v>CASTELLUM-6491340/</v>
          </cell>
          <cell r="N2257" t="str">
            <v>CAST.ST</v>
          </cell>
          <cell r="O2257" t="str">
            <v>Castellum AB</v>
          </cell>
          <cell r="P2257" t="str">
            <v>Stockholm</v>
          </cell>
          <cell r="Q2257" t="str">
            <v>Real Estate</v>
          </cell>
          <cell r="R2257" t="str">
            <v>Real Estate Management &amp; Devel</v>
          </cell>
          <cell r="S2257" t="str">
            <v>CAST.ST</v>
          </cell>
        </row>
        <row r="2258">
          <cell r="L2258" t="str">
            <v>BILL SS</v>
          </cell>
          <cell r="M2258" t="str">
            <v>BILLERUDKORSNAS-6494534/</v>
          </cell>
          <cell r="N2258" t="str">
            <v>BILL.ST</v>
          </cell>
          <cell r="O2258" t="str">
            <v>BillerudKorsnas AB (publ)</v>
          </cell>
          <cell r="P2258" t="str">
            <v>Stockholm</v>
          </cell>
          <cell r="Q2258" t="str">
            <v>Materials</v>
          </cell>
          <cell r="R2258" t="str">
            <v>Containers &amp; Packaging</v>
          </cell>
        </row>
        <row r="2259">
          <cell r="L2259" t="str">
            <v>OMV AV</v>
          </cell>
          <cell r="M2259" t="str">
            <v>OMV-AG-6492022/</v>
          </cell>
          <cell r="N2259" t="str">
            <v>OMVV.VI</v>
          </cell>
          <cell r="O2259" t="str">
            <v>OMV AG</v>
          </cell>
          <cell r="P2259" t="str">
            <v>Vienna</v>
          </cell>
          <cell r="Q2259" t="str">
            <v>Energy</v>
          </cell>
          <cell r="R2259" t="str">
            <v>Oil, Gas &amp; Consumable Fuels</v>
          </cell>
        </row>
        <row r="2260">
          <cell r="L2260" t="str">
            <v>EBS AV</v>
          </cell>
          <cell r="M2260" t="str">
            <v>ERSTE-GROUP-BANK-AG-6491110/</v>
          </cell>
          <cell r="N2260" t="str">
            <v>ERST.VI</v>
          </cell>
          <cell r="O2260" t="str">
            <v>Erste Group Bank AG</v>
          </cell>
          <cell r="P2260" t="str">
            <v>Vienna</v>
          </cell>
          <cell r="Q2260" t="str">
            <v>Financials</v>
          </cell>
          <cell r="R2260" t="str">
            <v>Banks</v>
          </cell>
          <cell r="S2260" t="str">
            <v>EBS.VI</v>
          </cell>
        </row>
        <row r="2261">
          <cell r="L2261" t="str">
            <v>RBI AV</v>
          </cell>
          <cell r="M2261" t="str">
            <v>RAIFFEISEN-BANK-INTERNATI-6497717/</v>
          </cell>
          <cell r="N2261" t="str">
            <v>RBIV.VI</v>
          </cell>
          <cell r="O2261" t="str">
            <v>Raiffeisen Bank International AG</v>
          </cell>
          <cell r="P2261" t="str">
            <v>Vienna</v>
          </cell>
          <cell r="Q2261" t="str">
            <v>Financials</v>
          </cell>
          <cell r="R2261" t="str">
            <v>Banks</v>
          </cell>
          <cell r="S2261" t="str">
            <v>RBI.VI</v>
          </cell>
        </row>
        <row r="2262">
          <cell r="L2262" t="str">
            <v>VOE AV</v>
          </cell>
          <cell r="M2262" t="str">
            <v>VOESTALPINE-AG-6491102/</v>
          </cell>
          <cell r="N2262" t="str">
            <v>VOES.VI</v>
          </cell>
          <cell r="O2262" t="str">
            <v>voestalpine AG</v>
          </cell>
          <cell r="P2262" t="str">
            <v>Vienna</v>
          </cell>
          <cell r="Q2262" t="str">
            <v>Materials</v>
          </cell>
          <cell r="R2262" t="str">
            <v>Metals &amp; Mining</v>
          </cell>
        </row>
        <row r="2263">
          <cell r="L2263" t="str">
            <v>ANDR AV</v>
          </cell>
          <cell r="M2263" t="str">
            <v>ANDRITZ-AG-6491279/</v>
          </cell>
          <cell r="N2263" t="str">
            <v>ANDR.VI</v>
          </cell>
          <cell r="O2263" t="str">
            <v>Andritz AG</v>
          </cell>
          <cell r="P2263" t="str">
            <v>Vienna</v>
          </cell>
          <cell r="Q2263" t="str">
            <v>Industrials</v>
          </cell>
          <cell r="R2263" t="str">
            <v>Machinery</v>
          </cell>
        </row>
        <row r="2264">
          <cell r="L2264" t="str">
            <v>WIE AV</v>
          </cell>
          <cell r="M2264" t="str">
            <v>WIENERBERGER-AG-6492024/</v>
          </cell>
          <cell r="N2264" t="str">
            <v>WBSV.VI</v>
          </cell>
          <cell r="O2264" t="str">
            <v>Wienerberger AG</v>
          </cell>
          <cell r="P2264" t="str">
            <v>Vienna</v>
          </cell>
          <cell r="Q2264" t="str">
            <v>Materials</v>
          </cell>
          <cell r="R2264" t="str">
            <v>Construction Materials</v>
          </cell>
        </row>
        <row r="2265">
          <cell r="L2265" t="str">
            <v>SAP GY</v>
          </cell>
          <cell r="M2265" t="str">
            <v>SAP-436555/</v>
          </cell>
          <cell r="N2265" t="str">
            <v>SAPG.DE</v>
          </cell>
          <cell r="O2265" t="str">
            <v>SAP SE</v>
          </cell>
          <cell r="P2265" t="str">
            <v>Xetra</v>
          </cell>
          <cell r="Q2265" t="str">
            <v>Information Technology</v>
          </cell>
          <cell r="R2265" t="str">
            <v>Software</v>
          </cell>
          <cell r="S2265" t="str">
            <v>SAP.DE</v>
          </cell>
        </row>
        <row r="2266">
          <cell r="L2266" t="str">
            <v>SIE GY</v>
          </cell>
          <cell r="M2266" t="str">
            <v>SIEMENS-56358595/</v>
          </cell>
          <cell r="N2266" t="str">
            <v>SIEGn.DE</v>
          </cell>
          <cell r="O2266" t="str">
            <v>Siemens AG</v>
          </cell>
          <cell r="P2266" t="str">
            <v>Xetra</v>
          </cell>
          <cell r="Q2266" t="str">
            <v>Industrials</v>
          </cell>
          <cell r="R2266" t="str">
            <v>Industrial Conglomerates</v>
          </cell>
          <cell r="S2266" t="str">
            <v>SIE.DE</v>
          </cell>
        </row>
        <row r="2267">
          <cell r="L2267" t="str">
            <v>ALV GY</v>
          </cell>
          <cell r="M2267" t="str">
            <v>ALLIANZ-436843/</v>
          </cell>
          <cell r="N2267" t="str">
            <v>ALV.DE</v>
          </cell>
          <cell r="O2267" t="str">
            <v>Allianz SE</v>
          </cell>
          <cell r="P2267" t="str">
            <v>Xetra</v>
          </cell>
          <cell r="Q2267" t="str">
            <v>Financials</v>
          </cell>
          <cell r="R2267" t="str">
            <v>Insurance</v>
          </cell>
          <cell r="S2267" t="str">
            <v>ALV.DE</v>
          </cell>
        </row>
        <row r="2268">
          <cell r="L2268" t="str">
            <v>BAYN GY</v>
          </cell>
          <cell r="M2268" t="str">
            <v>BAYER-436063/</v>
          </cell>
          <cell r="N2268" t="str">
            <v>BAYG.DE</v>
          </cell>
          <cell r="O2268" t="str">
            <v>Bayer AG</v>
          </cell>
          <cell r="P2268" t="str">
            <v>Xetra</v>
          </cell>
          <cell r="Q2268" t="str">
            <v>Health Care</v>
          </cell>
          <cell r="R2268" t="str">
            <v>Pharmaceuticals</v>
          </cell>
          <cell r="S2268" t="str">
            <v>BAYN.DE</v>
          </cell>
        </row>
        <row r="2269">
          <cell r="L2269" t="str">
            <v>BAS GY</v>
          </cell>
          <cell r="M2269" t="str">
            <v>BASF-6443227/</v>
          </cell>
          <cell r="N2269" t="str">
            <v>BASFn.DE</v>
          </cell>
          <cell r="O2269" t="str">
            <v>BASF SE</v>
          </cell>
          <cell r="P2269" t="str">
            <v>Xetra</v>
          </cell>
          <cell r="Q2269" t="str">
            <v>Materials</v>
          </cell>
          <cell r="R2269" t="str">
            <v>Chemicals</v>
          </cell>
          <cell r="S2269" t="str">
            <v>BAS.DE</v>
          </cell>
        </row>
        <row r="2270">
          <cell r="L2270" t="str">
            <v>VOW3 GY</v>
          </cell>
          <cell r="M2270" t="str">
            <v>VOLKSWAGEN-436737/</v>
          </cell>
          <cell r="N2270" t="str">
            <v>VOWG_p.DE</v>
          </cell>
          <cell r="O2270" t="str">
            <v>Volkswagen AG</v>
          </cell>
          <cell r="P2270" t="str">
            <v>Xetra</v>
          </cell>
          <cell r="Q2270" t="str">
            <v>Consumer Discretionary</v>
          </cell>
          <cell r="R2270" t="str">
            <v>Automobiles</v>
          </cell>
          <cell r="S2270" t="str">
            <v>VOW3.DE</v>
          </cell>
        </row>
        <row r="2271">
          <cell r="L2271" t="str">
            <v>DTE GY</v>
          </cell>
          <cell r="M2271" t="str">
            <v>DEUTSCHE-TELEKOM-444661/</v>
          </cell>
          <cell r="N2271" t="str">
            <v>DTEGn.DE</v>
          </cell>
          <cell r="O2271" t="str">
            <v>Deutsche Telekom AG</v>
          </cell>
          <cell r="P2271" t="str">
            <v>Xetra</v>
          </cell>
          <cell r="Q2271" t="str">
            <v>Telecommunication Services</v>
          </cell>
          <cell r="R2271" t="str">
            <v>Diversified Telecommunication</v>
          </cell>
          <cell r="S2271" t="str">
            <v>DTE.DE</v>
          </cell>
        </row>
        <row r="2272">
          <cell r="L2272" t="str">
            <v>DAI GY</v>
          </cell>
          <cell r="M2272" t="str">
            <v>DAIMLER-436541/</v>
          </cell>
          <cell r="N2272" t="str">
            <v>DAI.DE</v>
          </cell>
          <cell r="O2272" t="str">
            <v>Daimler AG</v>
          </cell>
          <cell r="P2272" t="str">
            <v>Xetra</v>
          </cell>
          <cell r="Q2272" t="str">
            <v>Consumer Discretionary</v>
          </cell>
          <cell r="R2272" t="str">
            <v>Automobiles</v>
          </cell>
          <cell r="S2272" t="str">
            <v>DAI.DE</v>
          </cell>
        </row>
        <row r="2273">
          <cell r="L2273" t="str">
            <v>BMW GY</v>
          </cell>
          <cell r="M2273" t="str">
            <v>BAYERISCHE-MOTOREN-WERKE-56358353/</v>
          </cell>
          <cell r="N2273" t="str">
            <v>BMW.DE</v>
          </cell>
          <cell r="O2273" t="str">
            <v>Bayerische Motoren Werke AG</v>
          </cell>
          <cell r="P2273" t="str">
            <v>Xetra</v>
          </cell>
          <cell r="Q2273" t="str">
            <v>Consumer Discretionary</v>
          </cell>
          <cell r="R2273" t="str">
            <v>Automobiles</v>
          </cell>
          <cell r="S2273" t="str">
            <v>BMW.DE</v>
          </cell>
        </row>
        <row r="2274">
          <cell r="L2274" t="str">
            <v>ADS GY</v>
          </cell>
          <cell r="M2274" t="str">
            <v>ADIDAS-6714534/</v>
          </cell>
          <cell r="N2274" t="str">
            <v>ADS.DE</v>
          </cell>
          <cell r="O2274" t="str">
            <v>Adidas AG</v>
          </cell>
          <cell r="P2274" t="str">
            <v>Xetra</v>
          </cell>
          <cell r="Q2274" t="str">
            <v>Consumer Discretionary</v>
          </cell>
          <cell r="R2274" t="str">
            <v>Textiles, Apparel &amp; Luxury Goo</v>
          </cell>
          <cell r="S2274" t="str">
            <v>ADS.DE</v>
          </cell>
        </row>
        <row r="2275">
          <cell r="L2275" t="str">
            <v>HEN3 GY</v>
          </cell>
          <cell r="M2275" t="str">
            <v>HENKEL-436185/</v>
          </cell>
          <cell r="N2275" t="str">
            <v>HEN.DE</v>
          </cell>
          <cell r="O2275" t="str">
            <v>Henkel AG &amp; Co KgaA</v>
          </cell>
          <cell r="P2275" t="str">
            <v>Xetra</v>
          </cell>
          <cell r="Q2275" t="str">
            <v>Consumer Staples</v>
          </cell>
          <cell r="R2275" t="str">
            <v>Household Products</v>
          </cell>
          <cell r="S2275" t="str">
            <v>HEN3.DE</v>
          </cell>
        </row>
        <row r="2276">
          <cell r="L2276" t="str">
            <v>DPW GY</v>
          </cell>
          <cell r="M2276" t="str">
            <v>DEUTSCHE-POST-435996/</v>
          </cell>
          <cell r="N2276" t="str">
            <v>DPWGn.DE</v>
          </cell>
          <cell r="O2276" t="str">
            <v>Deutsche Post AG</v>
          </cell>
          <cell r="P2276" t="str">
            <v>Xetra</v>
          </cell>
          <cell r="Q2276" t="str">
            <v>Industrials</v>
          </cell>
          <cell r="R2276" t="str">
            <v>Air Freight &amp; Logistics</v>
          </cell>
          <cell r="S2276" t="str">
            <v>DPW.DE</v>
          </cell>
        </row>
        <row r="2277">
          <cell r="L2277" t="str">
            <v>FRE GY</v>
          </cell>
          <cell r="M2277" t="str">
            <v>FRESENIUS-436083/</v>
          </cell>
          <cell r="N2277" t="str">
            <v>FREG.DE</v>
          </cell>
          <cell r="O2277" t="str">
            <v>Fresenius SE &amp; Co KGaA</v>
          </cell>
          <cell r="P2277" t="str">
            <v>Xetra</v>
          </cell>
          <cell r="Q2277" t="str">
            <v>Health Care</v>
          </cell>
          <cell r="R2277" t="str">
            <v>Health Care Providers &amp; Servic</v>
          </cell>
          <cell r="S2277" t="str">
            <v>FRE.DE</v>
          </cell>
        </row>
        <row r="2278">
          <cell r="L2278" t="str">
            <v>CON GY</v>
          </cell>
          <cell r="M2278" t="str">
            <v>CONTINENTAL-AG-56358305/</v>
          </cell>
          <cell r="N2278" t="str">
            <v>CONG.DE</v>
          </cell>
          <cell r="O2278" t="str">
            <v>Continental AG</v>
          </cell>
          <cell r="P2278" t="str">
            <v>Xetra</v>
          </cell>
          <cell r="Q2278" t="str">
            <v>Consumer Discretionary</v>
          </cell>
          <cell r="R2278" t="str">
            <v>Auto Components</v>
          </cell>
          <cell r="S2278" t="str">
            <v>CON.DE</v>
          </cell>
        </row>
        <row r="2279">
          <cell r="L2279" t="str">
            <v>MUV2 GY</v>
          </cell>
          <cell r="M2279" t="str">
            <v>MUENCHENER-RUECKVERSICHER-436858/</v>
          </cell>
          <cell r="N2279" t="str">
            <v>MUVGn.DE</v>
          </cell>
          <cell r="O2279" t="str">
            <v>Muenchener Rueckversicherungs Gesellschaft AG in Muenchen</v>
          </cell>
          <cell r="P2279" t="str">
            <v>Xetra</v>
          </cell>
          <cell r="Q2279" t="str">
            <v>Financials</v>
          </cell>
          <cell r="R2279" t="str">
            <v>Insurance</v>
          </cell>
          <cell r="S2279" t="str">
            <v>MUV2.DE</v>
          </cell>
        </row>
        <row r="2280">
          <cell r="L2280" t="str">
            <v>FME GY</v>
          </cell>
          <cell r="M2280" t="str">
            <v>FRESENIUS-MEDICAL-CARE-436087/</v>
          </cell>
          <cell r="N2280" t="str">
            <v>FMEG.F</v>
          </cell>
          <cell r="O2280" t="str">
            <v>Fresenius Medical Care AG &amp; Co KGaA</v>
          </cell>
          <cell r="P2280" t="str">
            <v>Xetra</v>
          </cell>
          <cell r="Q2280" t="str">
            <v>Health Care</v>
          </cell>
          <cell r="R2280" t="str">
            <v>Health Care Providers &amp; Servic</v>
          </cell>
          <cell r="S2280" t="str">
            <v>FME.DE</v>
          </cell>
        </row>
        <row r="2281">
          <cell r="L2281" t="str">
            <v>SHL GY</v>
          </cell>
          <cell r="M2281" t="str">
            <v>SIEMENS-HEALTHINEERS-AG-42379342/</v>
          </cell>
          <cell r="O2281" t="str">
            <v>Siemens Healthineers AG</v>
          </cell>
          <cell r="P2281" t="str">
            <v>Xetra</v>
          </cell>
          <cell r="Q2281" t="str">
            <v>Health Care</v>
          </cell>
          <cell r="R2281" t="str">
            <v>Health Care Equipment &amp; Suppli</v>
          </cell>
          <cell r="S2281" t="str">
            <v>SHL.DE</v>
          </cell>
        </row>
        <row r="2282">
          <cell r="L2282" t="str">
            <v>BEI GY</v>
          </cell>
          <cell r="M2282" t="str">
            <v>BEIERSDORF-435740/</v>
          </cell>
          <cell r="N2282" t="str">
            <v>BEIG.DE</v>
          </cell>
          <cell r="O2282" t="str">
            <v>Beiersdorf AG</v>
          </cell>
          <cell r="P2282" t="str">
            <v>Xetra</v>
          </cell>
          <cell r="Q2282" t="str">
            <v>Consumer Staples</v>
          </cell>
          <cell r="R2282" t="str">
            <v>Personal Products</v>
          </cell>
          <cell r="S2282" t="str">
            <v>BEI.DE</v>
          </cell>
        </row>
        <row r="2283">
          <cell r="L2283" t="str">
            <v>IFX GY</v>
          </cell>
          <cell r="M2283" t="str">
            <v>INFINEON-TECHNOLOGIES-436299/</v>
          </cell>
          <cell r="N2283" t="str">
            <v>IFXGn.DE</v>
          </cell>
          <cell r="O2283" t="str">
            <v>Infineon Technologies AG</v>
          </cell>
          <cell r="P2283" t="str">
            <v>Xetra</v>
          </cell>
          <cell r="Q2283" t="str">
            <v>Information Technology</v>
          </cell>
          <cell r="R2283" t="str">
            <v>Semiconductors &amp; Semiconductor</v>
          </cell>
          <cell r="S2283" t="str">
            <v>IFX.DE</v>
          </cell>
        </row>
        <row r="2284">
          <cell r="L2284" t="str">
            <v>WDI GY</v>
          </cell>
          <cell r="M2284" t="str">
            <v>WIRECARD-454356/</v>
          </cell>
          <cell r="N2284" t="str">
            <v>WDIG.DE</v>
          </cell>
          <cell r="O2284" t="str">
            <v>Wirecard AG</v>
          </cell>
          <cell r="P2284" t="str">
            <v>Xetra</v>
          </cell>
          <cell r="Q2284" t="str">
            <v>Information Technology</v>
          </cell>
          <cell r="R2284" t="str">
            <v>IT Services</v>
          </cell>
          <cell r="S2284" t="str">
            <v>WDI.DE</v>
          </cell>
        </row>
        <row r="2285">
          <cell r="L2285" t="str">
            <v>DB1 GY</v>
          </cell>
          <cell r="M2285" t="str">
            <v>DEUTSCHE-BOERSE-449617/</v>
          </cell>
          <cell r="N2285" t="str">
            <v>DB1Gn.DE</v>
          </cell>
          <cell r="O2285" t="str">
            <v>Deutsche Boerse AG</v>
          </cell>
          <cell r="P2285" t="str">
            <v>Xetra</v>
          </cell>
          <cell r="Q2285" t="str">
            <v>Financials</v>
          </cell>
          <cell r="R2285" t="str">
            <v>Capital Markets</v>
          </cell>
          <cell r="S2285" t="str">
            <v>DB1.DE</v>
          </cell>
        </row>
        <row r="2286">
          <cell r="L2286" t="str">
            <v>VNA GY</v>
          </cell>
          <cell r="M2286" t="str">
            <v>VONOVIA-13519421/</v>
          </cell>
          <cell r="N2286" t="str">
            <v>VNA.DE</v>
          </cell>
          <cell r="O2286" t="str">
            <v>Vonovia SE</v>
          </cell>
          <cell r="P2286" t="str">
            <v>Xetra</v>
          </cell>
          <cell r="Q2286" t="str">
            <v>Real Estate</v>
          </cell>
          <cell r="R2286" t="str">
            <v>Real Estate Management &amp; Devel</v>
          </cell>
          <cell r="S2286" t="str">
            <v>VNA.DE</v>
          </cell>
        </row>
        <row r="2287">
          <cell r="L2287" t="str">
            <v>IGY GY</v>
          </cell>
          <cell r="M2287" t="str">
            <v>INNOGY-SE-31571319/</v>
          </cell>
          <cell r="N2287" t="str">
            <v>IGY.DE</v>
          </cell>
          <cell r="O2287" t="str">
            <v>Innogy SE</v>
          </cell>
          <cell r="P2287" t="str">
            <v>Xetra</v>
          </cell>
          <cell r="Q2287" t="str">
            <v>Utilities</v>
          </cell>
          <cell r="R2287" t="str">
            <v>Multi-Utilities</v>
          </cell>
          <cell r="S2287" t="str">
            <v>IGY.DE</v>
          </cell>
        </row>
        <row r="2288">
          <cell r="L2288" t="str">
            <v>EOAN GY</v>
          </cell>
          <cell r="M2288" t="str">
            <v>E-ON-3818998/</v>
          </cell>
          <cell r="N2288" t="str">
            <v>EONGn.DE</v>
          </cell>
          <cell r="O2288" t="str">
            <v>E.ON SE</v>
          </cell>
          <cell r="P2288" t="str">
            <v>Xetra</v>
          </cell>
          <cell r="Q2288" t="str">
            <v>Utilities</v>
          </cell>
          <cell r="R2288" t="str">
            <v>Multi-Utilities</v>
          </cell>
          <cell r="S2288" t="str">
            <v>EOAN.DE</v>
          </cell>
        </row>
        <row r="2289">
          <cell r="L2289" t="str">
            <v>DBK GY</v>
          </cell>
          <cell r="M2289" t="str">
            <v>DEUTSCHE-BANK-AG-56358396/</v>
          </cell>
          <cell r="N2289" t="str">
            <v>DBKGn.DE</v>
          </cell>
          <cell r="O2289" t="str">
            <v>Deutsche Bank AG</v>
          </cell>
          <cell r="P2289" t="str">
            <v>Xetra</v>
          </cell>
          <cell r="Q2289" t="str">
            <v>Financials</v>
          </cell>
          <cell r="R2289" t="str">
            <v>Capital Markets</v>
          </cell>
          <cell r="S2289" t="str">
            <v>DBK.DE</v>
          </cell>
        </row>
        <row r="2290">
          <cell r="L2290" t="str">
            <v>DWNI GY</v>
          </cell>
          <cell r="M2290" t="str">
            <v>DEUTSCHE-WOHNEN-487040/</v>
          </cell>
          <cell r="N2290" t="str">
            <v>DWNI.DE</v>
          </cell>
          <cell r="O2290" t="str">
            <v>Deutsche Wohnen SE</v>
          </cell>
          <cell r="P2290" t="str">
            <v>Xetra</v>
          </cell>
          <cell r="Q2290" t="str">
            <v>Real Estate</v>
          </cell>
          <cell r="R2290" t="str">
            <v>Real Estate Management &amp; Devel</v>
          </cell>
          <cell r="S2290" t="str">
            <v>DWNI.DE</v>
          </cell>
        </row>
        <row r="2291">
          <cell r="L2291" t="str">
            <v>EVK GY</v>
          </cell>
          <cell r="M2291" t="str">
            <v>EVONIK-INDUSTRIES-13066670/</v>
          </cell>
          <cell r="N2291" t="str">
            <v>EVKn.DE</v>
          </cell>
          <cell r="O2291" t="str">
            <v>Evonik Industries AG</v>
          </cell>
          <cell r="P2291" t="str">
            <v>Xetra</v>
          </cell>
          <cell r="Q2291" t="str">
            <v>Materials</v>
          </cell>
          <cell r="R2291" t="str">
            <v>Chemicals</v>
          </cell>
          <cell r="S2291" t="str">
            <v>EVK.DE</v>
          </cell>
        </row>
        <row r="2292">
          <cell r="L2292" t="str">
            <v>1COV GY</v>
          </cell>
          <cell r="M2292" t="str">
            <v>COVESTRO-24239914/</v>
          </cell>
          <cell r="N2292" t="str">
            <v>1COV.DE</v>
          </cell>
          <cell r="O2292" t="str">
            <v>Covestro AG</v>
          </cell>
          <cell r="P2292" t="str">
            <v>Xetra</v>
          </cell>
          <cell r="Q2292" t="str">
            <v>Materials</v>
          </cell>
          <cell r="R2292" t="str">
            <v>Chemicals</v>
          </cell>
          <cell r="S2292" t="str">
            <v>1COV.DE</v>
          </cell>
        </row>
        <row r="2293">
          <cell r="L2293" t="str">
            <v>HNR1 GY</v>
          </cell>
          <cell r="M2293" t="str">
            <v>HANNOVER-RUCKVERSICHERUNG-444737/</v>
          </cell>
          <cell r="N2293" t="str">
            <v>HNRGn.DE</v>
          </cell>
          <cell r="O2293" t="str">
            <v>Hannover Rueck SE</v>
          </cell>
          <cell r="P2293" t="str">
            <v>Xetra</v>
          </cell>
          <cell r="Q2293" t="str">
            <v>Financials</v>
          </cell>
          <cell r="R2293" t="str">
            <v>Insurance</v>
          </cell>
          <cell r="S2293" t="str">
            <v>HNR1.DE</v>
          </cell>
        </row>
        <row r="2294">
          <cell r="L2294" t="str">
            <v>MAN GY</v>
          </cell>
          <cell r="M2294" t="str">
            <v>MAN-436151/</v>
          </cell>
          <cell r="N2294" t="str">
            <v>MANG.BE</v>
          </cell>
          <cell r="O2294" t="str">
            <v>Man SE</v>
          </cell>
          <cell r="P2294" t="str">
            <v>Xetra</v>
          </cell>
          <cell r="Q2294" t="str">
            <v>Industrials</v>
          </cell>
          <cell r="R2294" t="str">
            <v>Machinery</v>
          </cell>
          <cell r="S2294" t="str">
            <v>MAN.DE</v>
          </cell>
        </row>
        <row r="2295">
          <cell r="L2295" t="str">
            <v>HEI GY</v>
          </cell>
          <cell r="M2295" t="str">
            <v>HEIDELBERGCEMENT-436181/</v>
          </cell>
          <cell r="N2295" t="str">
            <v>HEIG.DE</v>
          </cell>
          <cell r="O2295" t="str">
            <v>HeidelbergCement AG</v>
          </cell>
          <cell r="P2295" t="str">
            <v>Xetra</v>
          </cell>
          <cell r="Q2295" t="str">
            <v>Materials</v>
          </cell>
          <cell r="R2295" t="str">
            <v>Construction Materials</v>
          </cell>
          <cell r="S2295" t="str">
            <v>HEI.DE</v>
          </cell>
        </row>
        <row r="2296">
          <cell r="L2296" t="str">
            <v>RWE GY</v>
          </cell>
          <cell r="M2296" t="str">
            <v>RWE-436529/</v>
          </cell>
          <cell r="N2296" t="str">
            <v>RWEG.DE</v>
          </cell>
          <cell r="O2296" t="str">
            <v>RWE AG</v>
          </cell>
          <cell r="P2296" t="str">
            <v>Xetra</v>
          </cell>
          <cell r="Q2296" t="str">
            <v>Utilities</v>
          </cell>
          <cell r="R2296" t="str">
            <v>Multi-Utilities</v>
          </cell>
          <cell r="S2296" t="str">
            <v>RWE.DE</v>
          </cell>
        </row>
        <row r="2297">
          <cell r="L2297" t="str">
            <v>TKA GY</v>
          </cell>
          <cell r="M2297" t="str">
            <v>THYSSENKRUPP-436698/</v>
          </cell>
          <cell r="N2297" t="str">
            <v>TKAG.DE</v>
          </cell>
          <cell r="O2297" t="str">
            <v>Thyssenkrupp AG</v>
          </cell>
          <cell r="P2297" t="str">
            <v>Xetra</v>
          </cell>
          <cell r="Q2297" t="str">
            <v>Materials</v>
          </cell>
          <cell r="R2297" t="str">
            <v>Metals &amp; Mining</v>
          </cell>
          <cell r="S2297" t="str">
            <v>TKA.DE</v>
          </cell>
        </row>
        <row r="2298">
          <cell r="L2298" t="str">
            <v>MRK GY</v>
          </cell>
          <cell r="M2298" t="str">
            <v>MERCK-KGAA-436395/</v>
          </cell>
          <cell r="N2298" t="str">
            <v>MRCG.DE</v>
          </cell>
          <cell r="O2298" t="str">
            <v>Merck KGaA</v>
          </cell>
          <cell r="P2298" t="str">
            <v>Xetra</v>
          </cell>
          <cell r="Q2298" t="str">
            <v>Health Care</v>
          </cell>
          <cell r="R2298" t="str">
            <v>Pharmaceuticals</v>
          </cell>
          <cell r="S2298" t="str">
            <v>MRK.DE</v>
          </cell>
        </row>
        <row r="2299">
          <cell r="L2299" t="str">
            <v>ZAL GY</v>
          </cell>
          <cell r="M2299" t="str">
            <v>ZALANDO-18100088/</v>
          </cell>
          <cell r="N2299" t="str">
            <v>ZAL.DE</v>
          </cell>
          <cell r="O2299" t="str">
            <v>Zalando SE</v>
          </cell>
          <cell r="P2299" t="str">
            <v>Xetra</v>
          </cell>
          <cell r="Q2299" t="str">
            <v>Consumer Discretionary</v>
          </cell>
          <cell r="R2299" t="str">
            <v>Internet &amp; Direct Marketing Re</v>
          </cell>
          <cell r="S2299" t="str">
            <v>ZAL.DE</v>
          </cell>
        </row>
        <row r="2300">
          <cell r="L2300" t="str">
            <v>LHA GY</v>
          </cell>
          <cell r="M2300" t="str">
            <v>LUFTHANSA-GROUP-436827/</v>
          </cell>
          <cell r="N2300" t="str">
            <v>LHAG.DE</v>
          </cell>
          <cell r="O2300" t="str">
            <v>Deutsche Lufthansa AG</v>
          </cell>
          <cell r="P2300" t="str">
            <v>Xetra</v>
          </cell>
          <cell r="Q2300" t="str">
            <v>Industrials</v>
          </cell>
          <cell r="R2300" t="str">
            <v>Airlines</v>
          </cell>
          <cell r="S2300" t="str">
            <v>LHA.DE</v>
          </cell>
        </row>
        <row r="2301">
          <cell r="L2301" t="str">
            <v>O2D GY</v>
          </cell>
          <cell r="M2301" t="str">
            <v>TELEFONICA-DEUTSCHLAND-HO-11814173/</v>
          </cell>
          <cell r="N2301" t="str">
            <v>O2Dn.DE</v>
          </cell>
          <cell r="O2301" t="str">
            <v>Telefonica Deutschland Holding AG</v>
          </cell>
          <cell r="P2301" t="str">
            <v>Xetra</v>
          </cell>
          <cell r="Q2301" t="str">
            <v>Telecommunication Services</v>
          </cell>
          <cell r="R2301" t="str">
            <v>Diversified Telecommunication</v>
          </cell>
          <cell r="S2301" t="str">
            <v>O2D.DE</v>
          </cell>
        </row>
        <row r="2302">
          <cell r="L2302" t="str">
            <v>SY1 GY</v>
          </cell>
          <cell r="M2302" t="str">
            <v>SYMRISE-534094/</v>
          </cell>
          <cell r="N2302" t="str">
            <v>SY1G.DE</v>
          </cell>
          <cell r="O2302" t="str">
            <v>Symrise AG</v>
          </cell>
          <cell r="P2302" t="str">
            <v>Xetra</v>
          </cell>
          <cell r="Q2302" t="str">
            <v>Materials</v>
          </cell>
          <cell r="R2302" t="str">
            <v>Chemicals</v>
          </cell>
          <cell r="S2302" t="str">
            <v>SY1.DE</v>
          </cell>
        </row>
        <row r="2303">
          <cell r="L2303" t="str">
            <v>CBK GY</v>
          </cell>
          <cell r="M2303" t="str">
            <v>COMMERZBANK-13057331/</v>
          </cell>
          <cell r="N2303" t="str">
            <v>CBKG.DE</v>
          </cell>
          <cell r="O2303" t="str">
            <v>Commerzbank AG</v>
          </cell>
          <cell r="P2303" t="str">
            <v>Xetra</v>
          </cell>
          <cell r="Q2303" t="str">
            <v>Financials</v>
          </cell>
          <cell r="R2303" t="str">
            <v>Banks</v>
          </cell>
          <cell r="S2303" t="str">
            <v>CBK.DE</v>
          </cell>
        </row>
        <row r="2304">
          <cell r="L2304" t="str">
            <v>MTX GY</v>
          </cell>
          <cell r="M2304" t="str">
            <v>MTU-AERO-ENGINES-470192/</v>
          </cell>
          <cell r="N2304" t="str">
            <v>MTXGn.DE</v>
          </cell>
          <cell r="O2304" t="str">
            <v>MTU Aero Engines AG</v>
          </cell>
          <cell r="P2304" t="str">
            <v>Xetra</v>
          </cell>
          <cell r="Q2304" t="str">
            <v>Industrials</v>
          </cell>
          <cell r="R2304" t="str">
            <v>Aerospace &amp; Defense</v>
          </cell>
          <cell r="S2304" t="str">
            <v>MTX.DE</v>
          </cell>
        </row>
        <row r="2305">
          <cell r="L2305" t="str">
            <v>UTDI GY</v>
          </cell>
          <cell r="M2305" t="str">
            <v>UNITED-INTERNET-435653/</v>
          </cell>
          <cell r="N2305" t="str">
            <v>UTDI.DE</v>
          </cell>
          <cell r="O2305" t="str">
            <v>United Internet AG</v>
          </cell>
          <cell r="P2305" t="str">
            <v>Xetra</v>
          </cell>
          <cell r="Q2305" t="str">
            <v>Information Technology</v>
          </cell>
          <cell r="R2305" t="str">
            <v>Internet Software &amp; Services</v>
          </cell>
          <cell r="S2305" t="str">
            <v>UTDI.DE</v>
          </cell>
        </row>
        <row r="2306">
          <cell r="L2306" t="str">
            <v>TUI1 GY</v>
          </cell>
          <cell r="M2306" t="str">
            <v>TUI-19343921/</v>
          </cell>
          <cell r="N2306" t="str">
            <v>TUI.L</v>
          </cell>
          <cell r="O2306" t="str">
            <v>Tui AG</v>
          </cell>
          <cell r="P2306" t="str">
            <v>Xetra</v>
          </cell>
          <cell r="Q2306" t="str">
            <v>Consumer Discretionary</v>
          </cell>
          <cell r="R2306" t="str">
            <v>Hotels, Restaurants &amp; Leisure</v>
          </cell>
          <cell r="S2306" t="str">
            <v>TUI1.DE</v>
          </cell>
        </row>
        <row r="2307">
          <cell r="L2307" t="str">
            <v>HOT GY</v>
          </cell>
          <cell r="M2307" t="str">
            <v>HOCHTIEF-436197/</v>
          </cell>
          <cell r="N2307" t="str">
            <v>HOTG.DE</v>
          </cell>
          <cell r="O2307" t="str">
            <v>Hochtief AG</v>
          </cell>
          <cell r="P2307" t="str">
            <v>Xetra</v>
          </cell>
          <cell r="Q2307" t="str">
            <v>Industrials</v>
          </cell>
          <cell r="R2307" t="str">
            <v>Construction &amp; Engineering</v>
          </cell>
          <cell r="S2307" t="str">
            <v>HOT.DE</v>
          </cell>
        </row>
        <row r="2308">
          <cell r="L2308" t="str">
            <v>DHER GY</v>
          </cell>
          <cell r="M2308" t="str">
            <v>DELIVERY-HERO-36718506/</v>
          </cell>
          <cell r="N2308" t="str">
            <v>DHER.DE</v>
          </cell>
          <cell r="O2308" t="str">
            <v>Delivery Hero AG</v>
          </cell>
          <cell r="P2308" t="str">
            <v>Xetra</v>
          </cell>
          <cell r="Q2308" t="str">
            <v>Information Technology</v>
          </cell>
          <cell r="R2308" t="str">
            <v>Internet Software &amp; Services</v>
          </cell>
          <cell r="S2308" t="str">
            <v>DHER.DE</v>
          </cell>
        </row>
        <row r="2309">
          <cell r="L2309" t="str">
            <v>PAH3 GY</v>
          </cell>
          <cell r="M2309" t="str">
            <v>PORSCHE-3938612/</v>
          </cell>
          <cell r="N2309" t="str">
            <v>PSHG_p.DE</v>
          </cell>
          <cell r="O2309" t="str">
            <v>Porsche Automobil Holding SE</v>
          </cell>
          <cell r="P2309" t="str">
            <v>Xetra</v>
          </cell>
          <cell r="Q2309" t="str">
            <v>Consumer Discretionary</v>
          </cell>
          <cell r="R2309" t="str">
            <v>Automobiles</v>
          </cell>
          <cell r="S2309" t="str">
            <v>PAH3.DE</v>
          </cell>
        </row>
        <row r="2310">
          <cell r="L2310" t="str">
            <v>BNR GY</v>
          </cell>
          <cell r="M2310" t="str">
            <v>BRENNTAG-6064375/</v>
          </cell>
          <cell r="N2310" t="str">
            <v>BNRGn.DE</v>
          </cell>
          <cell r="O2310" t="str">
            <v>Brenntag AG</v>
          </cell>
          <cell r="P2310" t="str">
            <v>Xetra</v>
          </cell>
          <cell r="Q2310" t="str">
            <v>Industrials</v>
          </cell>
          <cell r="R2310" t="str">
            <v>Trading Companies &amp; Distributo</v>
          </cell>
          <cell r="S2310" t="str">
            <v>BNR.DE</v>
          </cell>
        </row>
        <row r="2311">
          <cell r="L2311" t="str">
            <v>DRI GY</v>
          </cell>
          <cell r="M2311" t="str">
            <v>1-1-DRILLISCH-435990/</v>
          </cell>
          <cell r="O2311" t="str">
            <v>1&amp;1 Drillisch AG</v>
          </cell>
          <cell r="P2311" t="str">
            <v>Xetra</v>
          </cell>
          <cell r="Q2311" t="str">
            <v>Telecommunication Services</v>
          </cell>
          <cell r="R2311" t="str">
            <v>Wireless Telecommunication Ser</v>
          </cell>
          <cell r="S2311" t="str">
            <v>DRI.DE</v>
          </cell>
        </row>
        <row r="2312">
          <cell r="L2312" t="str">
            <v>FRA GY</v>
          </cell>
          <cell r="M2312" t="str">
            <v>FRAPORT-450725/</v>
          </cell>
          <cell r="N2312" t="str">
            <v>FRAG.DE</v>
          </cell>
          <cell r="O2312" t="str">
            <v>Fraport AG Frankfurt Airport Services Worldwide</v>
          </cell>
          <cell r="P2312" t="str">
            <v>Xetra</v>
          </cell>
          <cell r="Q2312" t="str">
            <v>Industrials</v>
          </cell>
          <cell r="R2312" t="str">
            <v>Transportation Infrastructure</v>
          </cell>
          <cell r="S2312" t="str">
            <v>FRA.DE</v>
          </cell>
        </row>
        <row r="2313">
          <cell r="L2313" t="str">
            <v>LEG GY</v>
          </cell>
          <cell r="M2313" t="str">
            <v>LEG-IMMOBILIEN-12467148/</v>
          </cell>
          <cell r="O2313" t="str">
            <v>LEG Immobilien AG</v>
          </cell>
          <cell r="P2313" t="str">
            <v>Xetra</v>
          </cell>
          <cell r="Q2313" t="str">
            <v>Real Estate</v>
          </cell>
          <cell r="R2313" t="str">
            <v>Real Estate Management &amp; Devel</v>
          </cell>
          <cell r="S2313" t="str">
            <v>LEG.DE</v>
          </cell>
        </row>
        <row r="2314">
          <cell r="L2314" t="str">
            <v>LXS GY</v>
          </cell>
          <cell r="M2314" t="str">
            <v>LANXESS-452975/</v>
          </cell>
          <cell r="N2314" t="str">
            <v>LXSG.DE</v>
          </cell>
          <cell r="O2314" t="str">
            <v>LANXESS AG</v>
          </cell>
          <cell r="P2314" t="str">
            <v>Xetra</v>
          </cell>
          <cell r="Q2314" t="str">
            <v>Materials</v>
          </cell>
          <cell r="R2314" t="str">
            <v>Chemicals</v>
          </cell>
          <cell r="S2314" t="str">
            <v>LXS.DE</v>
          </cell>
        </row>
        <row r="2315">
          <cell r="L2315" t="str">
            <v>G1A GY</v>
          </cell>
          <cell r="M2315" t="str">
            <v>GEA-GROUP-436397/</v>
          </cell>
          <cell r="N2315" t="str">
            <v>G1AG.DE</v>
          </cell>
          <cell r="O2315" t="str">
            <v>GEA Group AG</v>
          </cell>
          <cell r="P2315" t="str">
            <v>Xetra</v>
          </cell>
          <cell r="Q2315" t="str">
            <v>Industrials</v>
          </cell>
          <cell r="R2315" t="str">
            <v>Machinery</v>
          </cell>
          <cell r="S2315" t="str">
            <v>G1A.DE</v>
          </cell>
        </row>
        <row r="2316">
          <cell r="L2316" t="str">
            <v>FPE3 GY</v>
          </cell>
          <cell r="M2316" t="str">
            <v>FUCHS-PETROLUB-SE-436097/</v>
          </cell>
          <cell r="O2316" t="str">
            <v>Fuchs Petrolub SE</v>
          </cell>
          <cell r="P2316" t="str">
            <v>Xetra</v>
          </cell>
          <cell r="Q2316" t="str">
            <v>Materials</v>
          </cell>
          <cell r="R2316" t="str">
            <v>Chemicals</v>
          </cell>
          <cell r="S2316" t="str">
            <v>FPE3.DE</v>
          </cell>
        </row>
        <row r="2317">
          <cell r="L2317" t="str">
            <v>SPR GY</v>
          </cell>
          <cell r="M2317" t="str">
            <v>AXEL-SPRINGER-SE-447459/</v>
          </cell>
          <cell r="O2317" t="str">
            <v>Axel Springer SE</v>
          </cell>
          <cell r="P2317" t="str">
            <v>Xetra</v>
          </cell>
          <cell r="Q2317" t="str">
            <v>Consumer Discretionary</v>
          </cell>
          <cell r="R2317" t="str">
            <v>Media</v>
          </cell>
          <cell r="S2317" t="str">
            <v>SPR.DE</v>
          </cell>
        </row>
        <row r="2318">
          <cell r="L2318" t="str">
            <v>WCH GY</v>
          </cell>
          <cell r="M2318" t="str">
            <v>WACKER-CHEMIE-AG-488289/</v>
          </cell>
          <cell r="O2318" t="str">
            <v>Wacker Chemie AG</v>
          </cell>
          <cell r="P2318" t="str">
            <v>Xetra</v>
          </cell>
          <cell r="Q2318" t="str">
            <v>Materials</v>
          </cell>
          <cell r="R2318" t="str">
            <v>Chemicals</v>
          </cell>
          <cell r="S2318" t="str">
            <v>WCH.DE</v>
          </cell>
        </row>
        <row r="2319">
          <cell r="L2319" t="str">
            <v>HLE GY</v>
          </cell>
          <cell r="M2319" t="str">
            <v>HELLA-KGAA-HUECK-CO-18474990/</v>
          </cell>
          <cell r="N2319" t="str">
            <v>HLE.DE</v>
          </cell>
          <cell r="O2319" t="str">
            <v>HELLA GmbH &amp; Co KgaA</v>
          </cell>
          <cell r="P2319" t="str">
            <v>Xetra</v>
          </cell>
          <cell r="Q2319" t="str">
            <v>Consumer Discretionary</v>
          </cell>
          <cell r="R2319" t="str">
            <v>Auto Components</v>
          </cell>
          <cell r="S2319" t="str">
            <v>HLE.DE</v>
          </cell>
        </row>
        <row r="2320">
          <cell r="L2320" t="str">
            <v>B4B GY</v>
          </cell>
          <cell r="M2320" t="str">
            <v>METRO-36818765/</v>
          </cell>
          <cell r="N2320" t="str">
            <v>B4B.DE</v>
          </cell>
          <cell r="O2320" t="str">
            <v>Metro AG</v>
          </cell>
          <cell r="P2320" t="str">
            <v>Xetra</v>
          </cell>
          <cell r="Q2320" t="str">
            <v>Consumer Staples</v>
          </cell>
          <cell r="R2320" t="str">
            <v>Food &amp; Staples Retailing</v>
          </cell>
          <cell r="S2320" t="str">
            <v>B4B.DE</v>
          </cell>
        </row>
        <row r="2321">
          <cell r="L2321" t="str">
            <v>BOSS GY</v>
          </cell>
          <cell r="M2321" t="str">
            <v>HUGO-BOSS-10800354/</v>
          </cell>
          <cell r="N2321" t="str">
            <v>BOSS.DE</v>
          </cell>
          <cell r="O2321" t="str">
            <v>Hugo Boss AG</v>
          </cell>
          <cell r="P2321" t="str">
            <v>Xetra</v>
          </cell>
          <cell r="Q2321" t="str">
            <v>Consumer Discretionary</v>
          </cell>
          <cell r="R2321" t="str">
            <v>Textiles, Apparel &amp; Luxury Goo</v>
          </cell>
          <cell r="S2321" t="str">
            <v>BOSS.DE</v>
          </cell>
        </row>
        <row r="2322">
          <cell r="L2322" t="str">
            <v>RHM GY</v>
          </cell>
          <cell r="M2322" t="str">
            <v>RHEINMETALL-436527/</v>
          </cell>
          <cell r="N2322" t="str">
            <v>RHMG.DE</v>
          </cell>
          <cell r="O2322" t="str">
            <v>Rheinmetall AG</v>
          </cell>
          <cell r="P2322" t="str">
            <v>Xetra</v>
          </cell>
          <cell r="Q2322" t="str">
            <v>Industrials</v>
          </cell>
          <cell r="R2322" t="str">
            <v>Industrial Conglomerates</v>
          </cell>
          <cell r="S2322" t="str">
            <v>RHM.DE</v>
          </cell>
        </row>
        <row r="2323">
          <cell r="L2323" t="str">
            <v>OSR GY</v>
          </cell>
          <cell r="M2323" t="str">
            <v>OSRAM-LICHT-13556130/</v>
          </cell>
          <cell r="N2323" t="str">
            <v>OSR.DE</v>
          </cell>
          <cell r="O2323" t="str">
            <v>Osram Licht AG</v>
          </cell>
          <cell r="P2323" t="str">
            <v>Xetra</v>
          </cell>
          <cell r="Q2323" t="str">
            <v>Industrials</v>
          </cell>
          <cell r="R2323" t="str">
            <v>Electrical Equipment</v>
          </cell>
          <cell r="S2323" t="str">
            <v>OSR.DE</v>
          </cell>
        </row>
        <row r="2324">
          <cell r="L2324" t="str">
            <v>SDF GY</v>
          </cell>
          <cell r="M2324" t="str">
            <v>K-S-8586280/</v>
          </cell>
          <cell r="N2324" t="str">
            <v>SDFG.DE</v>
          </cell>
          <cell r="O2324" t="str">
            <v>K&amp;S AG</v>
          </cell>
          <cell r="P2324" t="str">
            <v>Xetra</v>
          </cell>
          <cell r="Q2324" t="str">
            <v>Materials</v>
          </cell>
          <cell r="R2324" t="str">
            <v>Chemicals</v>
          </cell>
          <cell r="S2324" t="str">
            <v>SDF.DE</v>
          </cell>
        </row>
        <row r="2325">
          <cell r="L2325" t="str">
            <v>WAF GY</v>
          </cell>
          <cell r="M2325" t="str">
            <v>SILTRONIC-22412985/</v>
          </cell>
          <cell r="N2325" t="str">
            <v>WAF.DE</v>
          </cell>
          <cell r="O2325" t="str">
            <v>Siltronic AG</v>
          </cell>
          <cell r="P2325" t="str">
            <v>Xetra</v>
          </cell>
          <cell r="Q2325" t="str">
            <v>Information Technology</v>
          </cell>
          <cell r="R2325" t="str">
            <v>Semiconductors &amp; Semiconductor</v>
          </cell>
          <cell r="S2325" t="str">
            <v>WAF.DE</v>
          </cell>
        </row>
        <row r="2326">
          <cell r="L2326" t="str">
            <v>DUE GY</v>
          </cell>
          <cell r="M2326" t="str">
            <v>DURR-436002/</v>
          </cell>
          <cell r="O2326" t="str">
            <v>Duerr AG</v>
          </cell>
          <cell r="P2326" t="str">
            <v>Xetra</v>
          </cell>
          <cell r="Q2326" t="str">
            <v>Industrials</v>
          </cell>
          <cell r="R2326" t="str">
            <v>Machinery</v>
          </cell>
          <cell r="S2326" t="str">
            <v>DUE.DE</v>
          </cell>
        </row>
        <row r="2327">
          <cell r="L2327" t="str">
            <v>SHA GY</v>
          </cell>
          <cell r="M2327" t="str">
            <v>SCHAEFFLER-24301176/</v>
          </cell>
          <cell r="N2327" t="str">
            <v>SHA.DE</v>
          </cell>
          <cell r="O2327" t="str">
            <v>Schaeffler AG</v>
          </cell>
          <cell r="P2327" t="str">
            <v>Xetra</v>
          </cell>
          <cell r="Q2327" t="str">
            <v>Consumer Discretionary</v>
          </cell>
          <cell r="R2327" t="str">
            <v>Auto Components</v>
          </cell>
          <cell r="S2327" t="str">
            <v>SHA.DE</v>
          </cell>
        </row>
        <row r="2328">
          <cell r="L2328" t="str">
            <v>SOVIB SS</v>
          </cell>
          <cell r="M2328" t="str">
            <v>SWEDISH-ORPHAN-BIOVITRUM-6499130/</v>
          </cell>
          <cell r="N2328" t="str">
            <v>SOBIV.ST</v>
          </cell>
          <cell r="O2328" t="e">
            <v>#N/A</v>
          </cell>
          <cell r="P2328" t="e">
            <v>#N/A</v>
          </cell>
          <cell r="Q2328" t="e">
            <v>#N/A</v>
          </cell>
          <cell r="R2328" t="e">
            <v>#N/A</v>
          </cell>
        </row>
        <row r="2329">
          <cell r="L2329" t="str">
            <v>SKFB SS</v>
          </cell>
          <cell r="M2329" t="str">
            <v>SKF-6493347/</v>
          </cell>
          <cell r="N2329" t="str">
            <v>SKFb.ST</v>
          </cell>
          <cell r="O2329" t="e">
            <v>#N/A</v>
          </cell>
          <cell r="P2329" t="e">
            <v>#N/A</v>
          </cell>
          <cell r="Q2329" t="e">
            <v>#N/A</v>
          </cell>
          <cell r="R2329" t="e">
            <v>#N/A</v>
          </cell>
        </row>
        <row r="2330">
          <cell r="L2330" t="str">
            <v>KSP ID</v>
          </cell>
          <cell r="M2330" t="str">
            <v>KINGSPAN-GROUP-PLC-1412393/</v>
          </cell>
          <cell r="N2330" t="str">
            <v>KSP.I</v>
          </cell>
          <cell r="O2330" t="e">
            <v>#N/A</v>
          </cell>
          <cell r="P2330" t="e">
            <v>#N/A</v>
          </cell>
          <cell r="Q2330" t="e">
            <v>#N/A</v>
          </cell>
          <cell r="R2330" t="e">
            <v>#N/A</v>
          </cell>
        </row>
        <row r="2331">
          <cell r="L2331" t="str">
            <v>FI/N SW</v>
          </cell>
          <cell r="M2331" t="str">
            <v>GEORG-FISCHER-68977/</v>
          </cell>
          <cell r="N2331" t="str">
            <v>FIN.S</v>
          </cell>
          <cell r="O2331" t="e">
            <v>#N/A</v>
          </cell>
          <cell r="P2331" t="e">
            <v>#N/A</v>
          </cell>
          <cell r="Q2331" t="e">
            <v>#N/A</v>
          </cell>
          <cell r="R2331" t="e">
            <v>#N/A</v>
          </cell>
        </row>
        <row r="2332">
          <cell r="L2332" t="str">
            <v>BMEB LN</v>
          </cell>
          <cell r="M2332" t="str">
            <v>B-M-EUROPEAN-VALUE-RETAIL-16686539/</v>
          </cell>
          <cell r="N2332" t="str">
            <v>BMEB.L</v>
          </cell>
          <cell r="O2332" t="e">
            <v>#N/A</v>
          </cell>
          <cell r="P2332" t="e">
            <v>#N/A</v>
          </cell>
          <cell r="Q2332" t="e">
            <v>#N/A</v>
          </cell>
          <cell r="R2332" t="e">
            <v>#N/A</v>
          </cell>
        </row>
        <row r="2333">
          <cell r="L2333" t="str">
            <v>PHNX LN</v>
          </cell>
          <cell r="M2333" t="str">
            <v>PHOENIX-GROUP-HOLDINGS-6057512/</v>
          </cell>
          <cell r="N2333" t="str">
            <v>PHNX.L</v>
          </cell>
          <cell r="O2333" t="e">
            <v>#N/A</v>
          </cell>
          <cell r="P2333" t="e">
            <v>#N/A</v>
          </cell>
          <cell r="Q2333" t="e">
            <v>#N/A</v>
          </cell>
          <cell r="R2333" t="e">
            <v>#N/A</v>
          </cell>
        </row>
        <row r="2334">
          <cell r="L2334" t="str">
            <v>MEO1V FH</v>
          </cell>
          <cell r="M2334" t="str">
            <v>METSO-OYJ-1412488/</v>
          </cell>
          <cell r="N2334" t="str">
            <v>MEO1V.HE</v>
          </cell>
          <cell r="O2334" t="e">
            <v>#N/A</v>
          </cell>
          <cell r="P2334" t="e">
            <v>#N/A</v>
          </cell>
          <cell r="Q2334" t="e">
            <v>#N/A</v>
          </cell>
          <cell r="R2334" t="e">
            <v>#N/A</v>
          </cell>
        </row>
        <row r="2335">
          <cell r="L2335" t="str">
            <v>GTO FP</v>
          </cell>
          <cell r="M2335" t="str">
            <v>GEMALTO-13124163/</v>
          </cell>
          <cell r="N2335" t="str">
            <v>GTO.PA</v>
          </cell>
          <cell r="O2335" t="e">
            <v>#N/A</v>
          </cell>
          <cell r="P2335" t="e">
            <v>#N/A</v>
          </cell>
          <cell r="Q2335" t="e">
            <v>#N/A</v>
          </cell>
          <cell r="R2335" t="e">
            <v>#N/A</v>
          </cell>
        </row>
        <row r="2336">
          <cell r="L2336" t="str">
            <v>GETIB SS</v>
          </cell>
          <cell r="M2336" t="str">
            <v>GETINGE-6491355/</v>
          </cell>
          <cell r="N2336" t="str">
            <v>GETIb.ST</v>
          </cell>
          <cell r="O2336" t="e">
            <v>#N/A</v>
          </cell>
          <cell r="P2336" t="e">
            <v>#N/A</v>
          </cell>
          <cell r="Q2336" t="e">
            <v>#N/A</v>
          </cell>
          <cell r="R2336" t="e">
            <v>#N/A</v>
          </cell>
        </row>
        <row r="2337">
          <cell r="M2337" t="str">
            <v>COFINIMMO-5977/</v>
          </cell>
          <cell r="N2337" t="str">
            <v>COFB.BR</v>
          </cell>
          <cell r="O2337" t="e">
            <v>#N/A</v>
          </cell>
          <cell r="P2337" t="e">
            <v>#N/A</v>
          </cell>
          <cell r="Q2337" t="e">
            <v>#N/A</v>
          </cell>
          <cell r="R2337" t="e">
            <v>#N/A</v>
          </cell>
          <cell r="S2337" t="str">
            <v>COFB.BR</v>
          </cell>
        </row>
        <row r="2338">
          <cell r="L2338" t="str">
            <v>FRE IM</v>
          </cell>
          <cell r="M2338" t="str">
            <v>FRESNILLO-4008409/</v>
          </cell>
          <cell r="O2338" t="e">
            <v>#N/A</v>
          </cell>
          <cell r="P2338" t="e">
            <v>#N/A</v>
          </cell>
          <cell r="Q2338" t="e">
            <v>#N/A</v>
          </cell>
          <cell r="R2338" t="e">
            <v>#N/A</v>
          </cell>
        </row>
        <row r="2339">
          <cell r="L2339" t="str">
            <v>OCADO LN</v>
          </cell>
          <cell r="M2339" t="str">
            <v>OCADO-GROUP-PLC-6413974/</v>
          </cell>
          <cell r="O2339" t="e">
            <v>#N/A</v>
          </cell>
          <cell r="P2339" t="e">
            <v>#N/A</v>
          </cell>
          <cell r="Q2339" t="e">
            <v>#N/A</v>
          </cell>
          <cell r="R2339" t="e">
            <v>#N/A</v>
          </cell>
        </row>
        <row r="2340">
          <cell r="L2340" t="str">
            <v>BKIR ID</v>
          </cell>
          <cell r="M2340" t="str">
            <v>BANK-OF-IRELAND-GROUP-PLC-1412362/</v>
          </cell>
          <cell r="O2340" t="e">
            <v>#N/A</v>
          </cell>
          <cell r="P2340" t="e">
            <v>#N/A</v>
          </cell>
          <cell r="Q2340" t="e">
            <v>#N/A</v>
          </cell>
          <cell r="R2340" t="e">
            <v>#N/A</v>
          </cell>
        </row>
        <row r="2341">
          <cell r="L2341" t="str">
            <v>ROCKB DC</v>
          </cell>
          <cell r="M2341" t="str">
            <v>ROCKWOOL-INTERNATIONAL-A-1413002/</v>
          </cell>
          <cell r="O2341" t="e">
            <v>#N/A</v>
          </cell>
          <cell r="P2341" t="e">
            <v>#N/A</v>
          </cell>
          <cell r="Q2341" t="e">
            <v>#N/A</v>
          </cell>
          <cell r="R2341" t="e">
            <v>#N/A</v>
          </cell>
        </row>
        <row r="2342">
          <cell r="L2342" t="str">
            <v>DC LN</v>
          </cell>
          <cell r="M2342" t="str">
            <v>DIXONS-CARPHONE-4002371/</v>
          </cell>
          <cell r="N2342" t="str">
            <v>DC.L</v>
          </cell>
          <cell r="O2342" t="e">
            <v>#N/A</v>
          </cell>
          <cell r="P2342" t="e">
            <v>#N/A</v>
          </cell>
          <cell r="Q2342" t="e">
            <v>#N/A</v>
          </cell>
          <cell r="R2342" t="e">
            <v>#N/A</v>
          </cell>
        </row>
        <row r="2343">
          <cell r="L2343" t="str">
            <v>ARL  GY</v>
          </cell>
          <cell r="M2343" t="str">
            <v>AAREAL-BANK-453108/</v>
          </cell>
          <cell r="N2343" t="str">
            <v>ARLG.DE</v>
          </cell>
          <cell r="O2343" t="e">
            <v>#N/A</v>
          </cell>
          <cell r="P2343" t="e">
            <v>#N/A</v>
          </cell>
          <cell r="Q2343" t="e">
            <v>#N/A</v>
          </cell>
          <cell r="R2343" t="e">
            <v>#N/A</v>
          </cell>
        </row>
        <row r="2344">
          <cell r="L2344" t="str">
            <v>KCR1V FH</v>
          </cell>
          <cell r="M2344" t="str">
            <v>KONECRANES-OYJ-ABP-1412474/</v>
          </cell>
          <cell r="N2344" t="str">
            <v>KCR1V.HE</v>
          </cell>
          <cell r="O2344" t="e">
            <v>#N/A</v>
          </cell>
          <cell r="P2344" t="e">
            <v>#N/A</v>
          </cell>
          <cell r="Q2344" t="e">
            <v>#N/A</v>
          </cell>
          <cell r="R2344" t="e">
            <v>#N/A</v>
          </cell>
        </row>
        <row r="2345">
          <cell r="L2345" t="str">
            <v>FNTG3 GY</v>
          </cell>
          <cell r="M2345" t="str">
            <v>FREENET-GROUP-5587638/</v>
          </cell>
          <cell r="N2345" t="str">
            <v>FNTGn.DE</v>
          </cell>
          <cell r="O2345" t="e">
            <v>#N/A</v>
          </cell>
          <cell r="P2345" t="e">
            <v>#N/A</v>
          </cell>
          <cell r="Q2345" t="e">
            <v>#N/A</v>
          </cell>
          <cell r="R2345" t="e">
            <v>#N/A</v>
          </cell>
        </row>
        <row r="2346">
          <cell r="L2346" t="str">
            <v>BUCN SS</v>
          </cell>
          <cell r="M2346" t="str">
            <v>BUCHER-INDUSTRIES-159124/</v>
          </cell>
          <cell r="N2346" t="str">
            <v>BUCN.S</v>
          </cell>
          <cell r="O2346" t="e">
            <v>#N/A</v>
          </cell>
          <cell r="P2346" t="e">
            <v>#N/A</v>
          </cell>
          <cell r="Q2346" t="e">
            <v>#N/A</v>
          </cell>
          <cell r="R2346" t="e">
            <v>#N/A</v>
          </cell>
        </row>
        <row r="2347">
          <cell r="L2347" t="str">
            <v>HVL1V FH</v>
          </cell>
          <cell r="M2347" t="str">
            <v>HUHTAMAKI-OYJ-1412465/</v>
          </cell>
          <cell r="N2347" t="str">
            <v>HUH1V.HE</v>
          </cell>
          <cell r="O2347" t="e">
            <v>#N/A</v>
          </cell>
          <cell r="P2347" t="e">
            <v>#N/A</v>
          </cell>
          <cell r="Q2347" t="e">
            <v>#N/A</v>
          </cell>
          <cell r="R2347" t="e">
            <v>#N/A</v>
          </cell>
        </row>
        <row r="2348">
          <cell r="L2348" t="str">
            <v>VACN SS</v>
          </cell>
          <cell r="M2348" t="str">
            <v>VAT-GROUP-27114104/</v>
          </cell>
          <cell r="N2348" t="str">
            <v>VACN.S</v>
          </cell>
          <cell r="O2348" t="e">
            <v>#N/A</v>
          </cell>
          <cell r="P2348" t="e">
            <v>#N/A</v>
          </cell>
          <cell r="Q2348" t="e">
            <v>#N/A</v>
          </cell>
          <cell r="R2348" t="e">
            <v>#N/A</v>
          </cell>
        </row>
        <row r="2349">
          <cell r="M2349" t="str">
            <v>SIGNIFY-27862555/</v>
          </cell>
          <cell r="N2349" t="str">
            <v>LIGHT.AS</v>
          </cell>
          <cell r="O2349" t="e">
            <v>#N/A</v>
          </cell>
          <cell r="P2349" t="e">
            <v>#N/A</v>
          </cell>
          <cell r="Q2349" t="e">
            <v>#N/A</v>
          </cell>
          <cell r="R2349" t="e">
            <v>#N/A</v>
          </cell>
        </row>
        <row r="2350">
          <cell r="L2350" t="str">
            <v>CLN VX</v>
          </cell>
          <cell r="M2350" t="str">
            <v>CLARIANT-9364981/</v>
          </cell>
          <cell r="N2350" t="str">
            <v>CLN.S</v>
          </cell>
          <cell r="O2350" t="e">
            <v>#N/A</v>
          </cell>
          <cell r="P2350" t="e">
            <v>#N/A</v>
          </cell>
          <cell r="Q2350" t="e">
            <v>#N/A</v>
          </cell>
          <cell r="R2350" t="e">
            <v>#N/A</v>
          </cell>
          <cell r="S2350" t="str">
            <v>CLN.SW</v>
          </cell>
        </row>
        <row r="2351">
          <cell r="L2351" t="str">
            <v>GVC LN</v>
          </cell>
          <cell r="M2351" t="str">
            <v>GVC-HOLDINGS-4005005/</v>
          </cell>
          <cell r="N2351" t="str">
            <v>GVC.L</v>
          </cell>
          <cell r="O2351" t="e">
            <v>#N/A</v>
          </cell>
          <cell r="P2351" t="e">
            <v>#N/A</v>
          </cell>
          <cell r="Q2351" t="e">
            <v>#N/A</v>
          </cell>
          <cell r="R2351" t="e">
            <v>#N/A</v>
          </cell>
        </row>
        <row r="2352">
          <cell r="L2352" t="str">
            <v>SUBC NO</v>
          </cell>
          <cell r="M2352" t="str">
            <v>SUBSEA-7-1413067/</v>
          </cell>
          <cell r="N2352" t="str">
            <v>SUBC.OL</v>
          </cell>
          <cell r="O2352" t="e">
            <v>#N/A</v>
          </cell>
          <cell r="P2352" t="e">
            <v>#N/A</v>
          </cell>
          <cell r="Q2352" t="e">
            <v>#N/A</v>
          </cell>
          <cell r="R2352" t="e">
            <v>#N/A</v>
          </cell>
        </row>
        <row r="2353">
          <cell r="L2353" t="str">
            <v>ELUXB SS</v>
          </cell>
          <cell r="M2353" t="str">
            <v>ELECTROLUX-6491088/</v>
          </cell>
          <cell r="N2353" t="str">
            <v>ELUXb.ST</v>
          </cell>
          <cell r="O2353" t="e">
            <v>#N/A</v>
          </cell>
          <cell r="P2353" t="e">
            <v>#N/A</v>
          </cell>
          <cell r="Q2353" t="e">
            <v>#N/A</v>
          </cell>
          <cell r="R2353" t="e">
            <v>#N/A</v>
          </cell>
        </row>
        <row r="2354">
          <cell r="L2354" t="str">
            <v>UDG LN</v>
          </cell>
          <cell r="M2354" t="str">
            <v>UDG-HEALTHCARE-9676971/</v>
          </cell>
          <cell r="N2354" t="str">
            <v>UDG.L</v>
          </cell>
          <cell r="O2354" t="e">
            <v>#N/A</v>
          </cell>
          <cell r="P2354" t="e">
            <v>#N/A</v>
          </cell>
          <cell r="Q2354" t="e">
            <v>#N/A</v>
          </cell>
          <cell r="R2354" t="e">
            <v>#N/A</v>
          </cell>
        </row>
        <row r="2355">
          <cell r="L2355" t="str">
            <v>SCAB SS</v>
          </cell>
          <cell r="M2355" t="str">
            <v>SVENSKA-CELLULOSA-6491109/</v>
          </cell>
          <cell r="N2355" t="str">
            <v>SCAb.ST</v>
          </cell>
          <cell r="O2355" t="e">
            <v>#N/A</v>
          </cell>
          <cell r="P2355" t="e">
            <v>#N/A</v>
          </cell>
          <cell r="Q2355" t="e">
            <v>#N/A</v>
          </cell>
          <cell r="R2355" t="e">
            <v>#N/A</v>
          </cell>
        </row>
        <row r="2356">
          <cell r="L2356" t="str">
            <v>SECUB SS</v>
          </cell>
          <cell r="M2356" t="str">
            <v>SECURITAS-6491106/</v>
          </cell>
          <cell r="N2356" t="str">
            <v>SECUb.ST</v>
          </cell>
          <cell r="O2356" t="e">
            <v>#N/A</v>
          </cell>
          <cell r="P2356" t="e">
            <v>#N/A</v>
          </cell>
          <cell r="Q2356" t="e">
            <v>#N/A</v>
          </cell>
          <cell r="R2356" t="e">
            <v>#N/A</v>
          </cell>
        </row>
        <row r="2357">
          <cell r="L2357" t="str">
            <v>PSM  GY</v>
          </cell>
          <cell r="M2357" t="str">
            <v>PROSIEBENSAT-1-MEDIA-13966934/</v>
          </cell>
          <cell r="N2357" t="str">
            <v>PSM.DE</v>
          </cell>
          <cell r="O2357" t="e">
            <v>#N/A</v>
          </cell>
          <cell r="P2357" t="e">
            <v>#N/A</v>
          </cell>
          <cell r="Q2357" t="e">
            <v>#N/A</v>
          </cell>
          <cell r="R2357" t="e">
            <v>#N/A</v>
          </cell>
        </row>
        <row r="2358">
          <cell r="L2358" t="str">
            <v>HUSQB SS</v>
          </cell>
          <cell r="M2358" t="str">
            <v>HUSQVARNA-6498674/</v>
          </cell>
          <cell r="N2358" t="str">
            <v>HUSQb.ST</v>
          </cell>
          <cell r="O2358" t="e">
            <v>#N/A</v>
          </cell>
          <cell r="P2358" t="e">
            <v>#N/A</v>
          </cell>
          <cell r="Q2358" t="e">
            <v>#N/A</v>
          </cell>
          <cell r="R2358" t="e">
            <v>#N/A</v>
          </cell>
        </row>
        <row r="2359">
          <cell r="L2359" t="str">
            <v>ENX FP</v>
          </cell>
          <cell r="M2359" t="str">
            <v>EURONEXT-N-V-16725768/</v>
          </cell>
          <cell r="N2359" t="str">
            <v>ENX.PA</v>
          </cell>
          <cell r="O2359" t="e">
            <v>#N/A</v>
          </cell>
          <cell r="P2359" t="e">
            <v>#N/A</v>
          </cell>
          <cell r="Q2359" t="e">
            <v>#N/A</v>
          </cell>
          <cell r="R2359" t="e">
            <v>#N/A</v>
          </cell>
        </row>
        <row r="2360">
          <cell r="L2360" t="str">
            <v>DKSH SS</v>
          </cell>
          <cell r="M2360" t="str">
            <v>DKSH-HOLDING-10203219/</v>
          </cell>
          <cell r="N2360" t="str">
            <v>DKSH.S</v>
          </cell>
          <cell r="O2360" t="e">
            <v>#N/A</v>
          </cell>
          <cell r="P2360" t="e">
            <v>#N/A</v>
          </cell>
          <cell r="Q2360" t="e">
            <v>#N/A</v>
          </cell>
          <cell r="R2360" t="e">
            <v>#N/A</v>
          </cell>
        </row>
        <row r="2361">
          <cell r="L2361" t="str">
            <v>TRELB SS</v>
          </cell>
          <cell r="M2361" t="str">
            <v>TRELLEBORG-6491387/</v>
          </cell>
          <cell r="N2361" t="str">
            <v>TRELb.ST</v>
          </cell>
          <cell r="O2361" t="e">
            <v>#N/A</v>
          </cell>
          <cell r="P2361" t="e">
            <v>#N/A</v>
          </cell>
          <cell r="Q2361" t="e">
            <v>#N/A</v>
          </cell>
          <cell r="R2361" t="e">
            <v>#N/A</v>
          </cell>
        </row>
        <row r="2362">
          <cell r="L2362" t="str">
            <v>BALDB SS</v>
          </cell>
          <cell r="M2362" t="str">
            <v>FASTIGHETS-AB-BALDER-6492486/</v>
          </cell>
          <cell r="N2362" t="str">
            <v>BALDb.ST</v>
          </cell>
          <cell r="O2362" t="e">
            <v>#N/A</v>
          </cell>
          <cell r="P2362" t="e">
            <v>#N/A</v>
          </cell>
          <cell r="Q2362" t="e">
            <v>#N/A</v>
          </cell>
          <cell r="R2362" t="e">
            <v>#N/A</v>
          </cell>
        </row>
        <row r="2363">
          <cell r="L2363" t="str">
            <v>FLUG AV</v>
          </cell>
          <cell r="M2363" t="str">
            <v>FLUGHAFEN-ZUERICH-AG-27471610/</v>
          </cell>
          <cell r="O2363" t="e">
            <v>#N/A</v>
          </cell>
          <cell r="P2363" t="e">
            <v>#N/A</v>
          </cell>
          <cell r="Q2363" t="e">
            <v>#N/A</v>
          </cell>
          <cell r="R2363" t="e">
            <v>#N/A</v>
          </cell>
        </row>
        <row r="2364">
          <cell r="L2364" t="str">
            <v>TEL2B SS</v>
          </cell>
          <cell r="M2364" t="str">
            <v>TELE2-AB-13247047/</v>
          </cell>
          <cell r="O2364" t="e">
            <v>#N/A</v>
          </cell>
          <cell r="P2364" t="e">
            <v>#N/A</v>
          </cell>
          <cell r="Q2364" t="e">
            <v>#N/A</v>
          </cell>
          <cell r="R2364" t="e">
            <v>#N/A</v>
          </cell>
        </row>
        <row r="2365">
          <cell r="L2365" t="str">
            <v>GLB ID</v>
          </cell>
          <cell r="M2365" t="str">
            <v>GLANBIA-PLC-1412376/</v>
          </cell>
          <cell r="N2365" t="str">
            <v>GL9.I</v>
          </cell>
          <cell r="O2365" t="e">
            <v>#N/A</v>
          </cell>
          <cell r="P2365" t="e">
            <v>#N/A</v>
          </cell>
          <cell r="Q2365" t="e">
            <v>#N/A</v>
          </cell>
          <cell r="R2365" t="e">
            <v>#N/A</v>
          </cell>
        </row>
        <row r="2366">
          <cell r="L2366" t="str">
            <v>SAABB SS</v>
          </cell>
          <cell r="M2366" t="str">
            <v>SAAB-AB-6491624/</v>
          </cell>
          <cell r="N2366" t="str">
            <v>SAABb.ST</v>
          </cell>
          <cell r="O2366" t="e">
            <v>#N/A</v>
          </cell>
          <cell r="P2366" t="e">
            <v>#N/A</v>
          </cell>
          <cell r="Q2366" t="e">
            <v>#N/A</v>
          </cell>
          <cell r="R2366" t="e">
            <v>#N/A</v>
          </cell>
        </row>
        <row r="2367">
          <cell r="L2367" t="str">
            <v>OERL SS</v>
          </cell>
          <cell r="M2367" t="str">
            <v>OC-OERLIKON-CORPORATION-2955731/</v>
          </cell>
          <cell r="N2367" t="str">
            <v>OERL.S</v>
          </cell>
          <cell r="O2367" t="e">
            <v>#N/A</v>
          </cell>
          <cell r="P2367" t="e">
            <v>#N/A</v>
          </cell>
          <cell r="Q2367" t="e">
            <v>#N/A</v>
          </cell>
          <cell r="R2367" t="e">
            <v>#N/A</v>
          </cell>
        </row>
        <row r="2368">
          <cell r="L2368" t="str">
            <v>EKTAB SS</v>
          </cell>
          <cell r="M2368" t="str">
            <v>ELEKTA-6491415/</v>
          </cell>
          <cell r="N2368" t="str">
            <v>EKTAb.ST</v>
          </cell>
          <cell r="O2368" t="e">
            <v>#N/A</v>
          </cell>
          <cell r="P2368" t="e">
            <v>#N/A</v>
          </cell>
          <cell r="Q2368" t="e">
            <v>#N/A</v>
          </cell>
          <cell r="R2368" t="e">
            <v>#N/A</v>
          </cell>
        </row>
        <row r="2369">
          <cell r="L2369" t="str">
            <v>SCH NO</v>
          </cell>
          <cell r="M2369" t="str">
            <v>SCHIBSTED-1413269/</v>
          </cell>
          <cell r="N2369" t="str">
            <v>SBST.OL</v>
          </cell>
          <cell r="O2369" t="e">
            <v>#N/A</v>
          </cell>
          <cell r="P2369" t="e">
            <v>#N/A</v>
          </cell>
          <cell r="Q2369" t="e">
            <v>#N/A</v>
          </cell>
          <cell r="R2369" t="e">
            <v>#N/A</v>
          </cell>
        </row>
        <row r="2370">
          <cell r="L2370" t="str">
            <v>DCC ID</v>
          </cell>
          <cell r="M2370" t="str">
            <v>DCC-PLC-9676704/</v>
          </cell>
          <cell r="N2370" t="str">
            <v>DCC.I</v>
          </cell>
          <cell r="O2370" t="e">
            <v>#N/A</v>
          </cell>
          <cell r="P2370" t="e">
            <v>#N/A</v>
          </cell>
          <cell r="Q2370" t="e">
            <v>#N/A</v>
          </cell>
          <cell r="R2370" t="e">
            <v>#N/A</v>
          </cell>
        </row>
        <row r="2371">
          <cell r="M2371" t="str">
            <v>KION-GROUP-13495387/</v>
          </cell>
          <cell r="O2371" t="e">
            <v>#N/A</v>
          </cell>
          <cell r="P2371" t="e">
            <v>#N/A</v>
          </cell>
          <cell r="Q2371" t="e">
            <v>#N/A</v>
          </cell>
          <cell r="R2371" t="e">
            <v>#N/A</v>
          </cell>
        </row>
        <row r="2372">
          <cell r="L2372" t="str">
            <v>GARS FP</v>
          </cell>
          <cell r="M2372" t="str">
            <v>COVIVIO-5748/</v>
          </cell>
          <cell r="N2372" t="str">
            <v>FDR.PA</v>
          </cell>
          <cell r="O2372" t="e">
            <v>#N/A</v>
          </cell>
          <cell r="P2372" t="e">
            <v>#N/A</v>
          </cell>
          <cell r="Q2372" t="e">
            <v>#N/A</v>
          </cell>
          <cell r="R2372" t="e">
            <v>#N/A</v>
          </cell>
        </row>
        <row r="2373">
          <cell r="L2373" t="str">
            <v>BKL LN</v>
          </cell>
          <cell r="M2373" t="str">
            <v>BERKELEY-4004901/</v>
          </cell>
          <cell r="N2373" t="str">
            <v>BKG_u.L</v>
          </cell>
          <cell r="O2373" t="e">
            <v>#N/A</v>
          </cell>
          <cell r="P2373" t="e">
            <v>#N/A</v>
          </cell>
          <cell r="Q2373" t="e">
            <v>#N/A</v>
          </cell>
          <cell r="R2373" t="e">
            <v>#N/A</v>
          </cell>
          <cell r="S2373" t="str">
            <v>BKG.L</v>
          </cell>
        </row>
        <row r="2374">
          <cell r="L2374" t="str">
            <v>TELN DC</v>
          </cell>
          <cell r="M2374" t="str">
            <v>GN-STORE-NORD-1412917/</v>
          </cell>
          <cell r="N2374" t="str">
            <v>GNTC.CO</v>
          </cell>
          <cell r="O2374" t="e">
            <v>#N/A</v>
          </cell>
          <cell r="P2374" t="e">
            <v>#N/A</v>
          </cell>
          <cell r="Q2374" t="e">
            <v>#N/A</v>
          </cell>
          <cell r="R2374" t="e">
            <v>#N/A</v>
          </cell>
        </row>
        <row r="2375">
          <cell r="L2375" t="str">
            <v>SECUB SS</v>
          </cell>
          <cell r="M2375" t="str">
            <v>SECURITAS-6491106/</v>
          </cell>
          <cell r="N2375" t="str">
            <v>SECUb.ST</v>
          </cell>
          <cell r="O2375" t="e">
            <v>#N/A</v>
          </cell>
          <cell r="P2375" t="e">
            <v>#N/A</v>
          </cell>
          <cell r="Q2375" t="e">
            <v>#N/A</v>
          </cell>
          <cell r="R2375" t="e">
            <v>#N/A</v>
          </cell>
        </row>
        <row r="2376">
          <cell r="L2376" t="str">
            <v>PSM  GY</v>
          </cell>
          <cell r="M2376" t="str">
            <v>PROSIEBENSAT-1-MEDIA-13966934/</v>
          </cell>
          <cell r="N2376" t="str">
            <v>PSM.DE</v>
          </cell>
          <cell r="O2376" t="e">
            <v>#N/A</v>
          </cell>
          <cell r="P2376" t="e">
            <v>#N/A</v>
          </cell>
          <cell r="Q2376" t="e">
            <v>#N/A</v>
          </cell>
          <cell r="R2376" t="e">
            <v>#N/A</v>
          </cell>
        </row>
        <row r="2377">
          <cell r="L2377" t="str">
            <v>PADDY LN</v>
          </cell>
          <cell r="M2377" t="str">
            <v>PADDY-POWER-BETFAIR-PLC-1412403/</v>
          </cell>
          <cell r="N2377" t="str">
            <v>PPB.L</v>
          </cell>
          <cell r="O2377" t="e">
            <v>#N/A</v>
          </cell>
          <cell r="P2377" t="e">
            <v>#N/A</v>
          </cell>
          <cell r="Q2377" t="e">
            <v>#N/A</v>
          </cell>
          <cell r="R2377" t="e">
            <v>#N/A</v>
          </cell>
        </row>
        <row r="2378">
          <cell r="L2378" t="str">
            <v>SKAB SS</v>
          </cell>
          <cell r="M2378" t="str">
            <v>SKANSKA-6491108/</v>
          </cell>
          <cell r="N2378" t="str">
            <v>SKAb.ST</v>
          </cell>
          <cell r="O2378" t="e">
            <v>#N/A</v>
          </cell>
          <cell r="P2378" t="e">
            <v>#N/A</v>
          </cell>
          <cell r="Q2378" t="e">
            <v>#N/A</v>
          </cell>
          <cell r="R2378" t="e">
            <v>#N/A</v>
          </cell>
        </row>
        <row r="2379">
          <cell r="L2379" t="str">
            <v>RRS LN</v>
          </cell>
          <cell r="M2379" t="str">
            <v>RANDGOLD-RESOURCES-9590182/</v>
          </cell>
          <cell r="N2379" t="str">
            <v>RRS.L</v>
          </cell>
          <cell r="O2379" t="e">
            <v>#N/A</v>
          </cell>
          <cell r="P2379" t="e">
            <v>#N/A</v>
          </cell>
          <cell r="Q2379" t="e">
            <v>#N/A</v>
          </cell>
          <cell r="R2379" t="e">
            <v>#N/A</v>
          </cell>
        </row>
        <row r="2380">
          <cell r="L2380" t="str">
            <v>MICRO LN</v>
          </cell>
          <cell r="M2380" t="str">
            <v>MICRO-FOCUS-INTERNATIONAL-37624259/</v>
          </cell>
          <cell r="O2380" t="e">
            <v>#N/A</v>
          </cell>
          <cell r="P2380" t="e">
            <v>#N/A</v>
          </cell>
          <cell r="Q2380" t="e">
            <v>#N/A</v>
          </cell>
          <cell r="R2380" t="e">
            <v>#N/A</v>
          </cell>
        </row>
        <row r="2381">
          <cell r="L2381" t="str">
            <v>TRYG SS</v>
          </cell>
          <cell r="M2381" t="str">
            <v>TRYG-A-S-1413048/</v>
          </cell>
          <cell r="O2381" t="e">
            <v>#N/A</v>
          </cell>
          <cell r="P2381" t="e">
            <v>#N/A</v>
          </cell>
          <cell r="Q2381" t="e">
            <v>#N/A</v>
          </cell>
          <cell r="R2381" t="e">
            <v>#N/A</v>
          </cell>
          <cell r="S2381" t="str">
            <v>TRYG.CO</v>
          </cell>
        </row>
        <row r="2382">
          <cell r="L2382" t="str">
            <v>EAT LN</v>
          </cell>
          <cell r="M2382" t="str">
            <v>JUST-EAT-16253064/</v>
          </cell>
          <cell r="N2382" t="str">
            <v>JE.L</v>
          </cell>
          <cell r="O2382" t="e">
            <v>#N/A</v>
          </cell>
          <cell r="P2382" t="e">
            <v>#N/A</v>
          </cell>
          <cell r="Q2382" t="e">
            <v>#N/A</v>
          </cell>
          <cell r="R2382" t="e">
            <v>#N/A</v>
          </cell>
        </row>
        <row r="2383">
          <cell r="L2383" t="str">
            <v>ASR NA</v>
          </cell>
          <cell r="M2383" t="str">
            <v>ASR-NEDERLAND-28377340/</v>
          </cell>
          <cell r="N2383" t="str">
            <v>ASRNL.AS</v>
          </cell>
          <cell r="O2383" t="e">
            <v>#N/A</v>
          </cell>
          <cell r="P2383" t="e">
            <v>#N/A</v>
          </cell>
          <cell r="Q2383" t="e">
            <v>#N/A</v>
          </cell>
          <cell r="R2383" t="e">
            <v>#N/A</v>
          </cell>
        </row>
        <row r="2384">
          <cell r="L2384" t="str">
            <v>AMS SW</v>
          </cell>
          <cell r="M2384" t="str">
            <v>AMS-17053455/</v>
          </cell>
          <cell r="N2384" t="str">
            <v>AMS.S</v>
          </cell>
          <cell r="O2384" t="e">
            <v>#N/A</v>
          </cell>
          <cell r="P2384" t="e">
            <v>#N/A</v>
          </cell>
          <cell r="Q2384" t="e">
            <v>#N/A</v>
          </cell>
          <cell r="R2384" t="e">
            <v>#N/A</v>
          </cell>
        </row>
        <row r="2385">
          <cell r="L2385" t="e">
            <v>#N/A</v>
          </cell>
          <cell r="M2385" t="str">
            <v>THE-KRAFT-HEINZ-COMPANY-22816979/</v>
          </cell>
          <cell r="N2385" t="e">
            <v>#N/A</v>
          </cell>
          <cell r="O2385" t="e">
            <v>#N/A</v>
          </cell>
          <cell r="P2385" t="e">
            <v>#N/A</v>
          </cell>
          <cell r="Q2385" t="e">
            <v>#N/A</v>
          </cell>
          <cell r="R2385" t="e">
            <v>#N/A</v>
          </cell>
          <cell r="S2385" t="e">
            <v>#N/A</v>
          </cell>
        </row>
        <row r="2386">
          <cell r="L2386" t="e">
            <v>#N/A</v>
          </cell>
          <cell r="M2386" t="str">
            <v>EBAY-4869/</v>
          </cell>
          <cell r="N2386" t="e">
            <v>#N/A</v>
          </cell>
          <cell r="O2386" t="e">
            <v>#N/A</v>
          </cell>
          <cell r="P2386" t="e">
            <v>#N/A</v>
          </cell>
          <cell r="Q2386" t="e">
            <v>#N/A</v>
          </cell>
          <cell r="R2386" t="e">
            <v>#N/A</v>
          </cell>
          <cell r="S2386" t="e">
            <v>#N/A</v>
          </cell>
        </row>
        <row r="2387">
          <cell r="L2387" t="e">
            <v>#N/A</v>
          </cell>
          <cell r="M2387" t="str">
            <v>T-ROWE-PRICE-GROUP-40311214/</v>
          </cell>
          <cell r="N2387" t="e">
            <v>#N/A</v>
          </cell>
          <cell r="O2387" t="e">
            <v>#N/A</v>
          </cell>
          <cell r="P2387" t="e">
            <v>#N/A</v>
          </cell>
          <cell r="Q2387" t="e">
            <v>#N/A</v>
          </cell>
          <cell r="R2387" t="e">
            <v>#N/A</v>
          </cell>
          <cell r="S2387" t="e">
            <v>#N/A</v>
          </cell>
        </row>
        <row r="2388">
          <cell r="L2388" t="e">
            <v>#N/A</v>
          </cell>
          <cell r="M2388" t="str">
            <v>PINDUODUO-INC-45049866/</v>
          </cell>
          <cell r="N2388" t="e">
            <v>#N/A</v>
          </cell>
          <cell r="O2388" t="e">
            <v>#N/A</v>
          </cell>
          <cell r="P2388" t="e">
            <v>#N/A</v>
          </cell>
          <cell r="Q2388" t="e">
            <v>#N/A</v>
          </cell>
          <cell r="R2388" t="e">
            <v>#N/A</v>
          </cell>
          <cell r="S2388" t="e">
            <v>#N/A</v>
          </cell>
        </row>
        <row r="2389">
          <cell r="L2389" t="e">
            <v>#N/A</v>
          </cell>
          <cell r="M2389" t="str">
            <v>CA-TECHNOLOGIES-2993431/</v>
          </cell>
          <cell r="N2389" t="e">
            <v>#N/A</v>
          </cell>
          <cell r="O2389" t="e">
            <v>#N/A</v>
          </cell>
          <cell r="P2389" t="e">
            <v>#N/A</v>
          </cell>
          <cell r="Q2389" t="e">
            <v>#N/A</v>
          </cell>
          <cell r="R2389" t="e">
            <v>#N/A</v>
          </cell>
          <cell r="S2389" t="e">
            <v>#N/A</v>
          </cell>
        </row>
        <row r="2390">
          <cell r="L2390" t="e">
            <v>#N/A</v>
          </cell>
          <cell r="M2390" t="str">
            <v>JB-HUNT-TRANSPORT-SERVICE-9769/</v>
          </cell>
          <cell r="N2390" t="e">
            <v>#N/A</v>
          </cell>
          <cell r="O2390" t="e">
            <v>#N/A</v>
          </cell>
          <cell r="P2390" t="e">
            <v>#N/A</v>
          </cell>
          <cell r="Q2390" t="e">
            <v>#N/A</v>
          </cell>
          <cell r="R2390" t="e">
            <v>#N/A</v>
          </cell>
          <cell r="S2390" t="e">
            <v>#N/A</v>
          </cell>
        </row>
        <row r="2391">
          <cell r="L2391" t="e">
            <v>#N/A</v>
          </cell>
          <cell r="M2391" t="str">
            <v>HUAZHU-GROUP-LTD-ADR-44292438/</v>
          </cell>
          <cell r="N2391" t="e">
            <v>#N/A</v>
          </cell>
          <cell r="O2391" t="e">
            <v>#N/A</v>
          </cell>
          <cell r="P2391" t="e">
            <v>#N/A</v>
          </cell>
          <cell r="Q2391" t="e">
            <v>#N/A</v>
          </cell>
          <cell r="R2391" t="e">
            <v>#N/A</v>
          </cell>
          <cell r="S2391" t="e">
            <v>#N/A</v>
          </cell>
        </row>
        <row r="2392">
          <cell r="L2392" t="e">
            <v>#N/A</v>
          </cell>
          <cell r="M2392" t="str">
            <v>THE-ULTIMATE-SOFTWARE-GRO-11233/</v>
          </cell>
          <cell r="N2392" t="e">
            <v>#N/A</v>
          </cell>
          <cell r="O2392" t="e">
            <v>#N/A</v>
          </cell>
          <cell r="P2392" t="e">
            <v>#N/A</v>
          </cell>
          <cell r="Q2392" t="e">
            <v>#N/A</v>
          </cell>
          <cell r="R2392" t="e">
            <v>#N/A</v>
          </cell>
          <cell r="S2392" t="e">
            <v>#N/A</v>
          </cell>
        </row>
        <row r="2393">
          <cell r="L2393" t="e">
            <v>#N/A</v>
          </cell>
          <cell r="M2393" t="str">
            <v>THE-CARLYLE-GROUP-LP-10531255/</v>
          </cell>
          <cell r="N2393" t="e">
            <v>#N/A</v>
          </cell>
          <cell r="O2393" t="e">
            <v>#N/A</v>
          </cell>
          <cell r="P2393" t="e">
            <v>#N/A</v>
          </cell>
          <cell r="Q2393" t="e">
            <v>#N/A</v>
          </cell>
          <cell r="R2393" t="e">
            <v>#N/A</v>
          </cell>
          <cell r="S2393" t="e">
            <v>#N/A</v>
          </cell>
        </row>
        <row r="2394">
          <cell r="L2394" t="e">
            <v>#N/A</v>
          </cell>
          <cell r="M2394" t="str">
            <v>TILRAY-INC-44995241/</v>
          </cell>
          <cell r="N2394" t="e">
            <v>#N/A</v>
          </cell>
          <cell r="O2394" t="e">
            <v>#N/A</v>
          </cell>
          <cell r="P2394" t="e">
            <v>#N/A</v>
          </cell>
          <cell r="Q2394" t="e">
            <v>#N/A</v>
          </cell>
          <cell r="R2394" t="e">
            <v>#N/A</v>
          </cell>
          <cell r="S2394" t="e">
            <v>#N/A</v>
          </cell>
        </row>
        <row r="2395">
          <cell r="L2395" t="e">
            <v>#N/A</v>
          </cell>
          <cell r="M2395" t="str">
            <v>CREE-INC-8892/</v>
          </cell>
          <cell r="N2395" t="e">
            <v>#N/A</v>
          </cell>
          <cell r="O2395" t="e">
            <v>#N/A</v>
          </cell>
          <cell r="P2395" t="e">
            <v>#N/A</v>
          </cell>
          <cell r="Q2395" t="e">
            <v>#N/A</v>
          </cell>
          <cell r="R2395" t="e">
            <v>#N/A</v>
          </cell>
          <cell r="S2395" t="e">
            <v>#N/A</v>
          </cell>
        </row>
        <row r="2396">
          <cell r="L2396" t="e">
            <v>#N/A</v>
          </cell>
          <cell r="M2396" t="str">
            <v>TENABLE-HOLDINGS-INC-45049864/</v>
          </cell>
          <cell r="N2396" t="e">
            <v>#N/A</v>
          </cell>
          <cell r="O2396" t="e">
            <v>#N/A</v>
          </cell>
          <cell r="P2396" t="e">
            <v>#N/A</v>
          </cell>
          <cell r="Q2396" t="e">
            <v>#N/A</v>
          </cell>
          <cell r="R2396" t="e">
            <v>#N/A</v>
          </cell>
          <cell r="S2396" t="e">
            <v>#N/A</v>
          </cell>
        </row>
        <row r="2397">
          <cell r="L2397" t="e">
            <v>#N/A</v>
          </cell>
          <cell r="M2397" t="str">
            <v>THE-MEDICINES-COMPANY-9984/</v>
          </cell>
          <cell r="N2397" t="e">
            <v>#N/A</v>
          </cell>
          <cell r="O2397" t="e">
            <v>#N/A</v>
          </cell>
          <cell r="P2397" t="e">
            <v>#N/A</v>
          </cell>
          <cell r="Q2397" t="e">
            <v>#N/A</v>
          </cell>
          <cell r="R2397" t="e">
            <v>#N/A</v>
          </cell>
          <cell r="S2397" t="e">
            <v>#N/A</v>
          </cell>
        </row>
        <row r="2398">
          <cell r="L2398" t="e">
            <v>#N/A</v>
          </cell>
          <cell r="M2398" t="str">
            <v>FOCUS-FINANCIAL-PARTNERS-45049872/</v>
          </cell>
          <cell r="N2398" t="e">
            <v>#N/A</v>
          </cell>
          <cell r="O2398" t="e">
            <v>#N/A</v>
          </cell>
          <cell r="P2398" t="e">
            <v>#N/A</v>
          </cell>
          <cell r="Q2398" t="e">
            <v>#N/A</v>
          </cell>
          <cell r="R2398" t="e">
            <v>#N/A</v>
          </cell>
          <cell r="S2398" t="e">
            <v>#N/A</v>
          </cell>
        </row>
        <row r="2399">
          <cell r="L2399" t="e">
            <v>#N/A</v>
          </cell>
          <cell r="M2399" t="str">
            <v>G-III-APPAREL-GROUP-LTD-9432/</v>
          </cell>
          <cell r="N2399" t="e">
            <v>#N/A</v>
          </cell>
          <cell r="O2399" t="e">
            <v>#N/A</v>
          </cell>
          <cell r="P2399" t="e">
            <v>#N/A</v>
          </cell>
          <cell r="Q2399" t="e">
            <v>#N/A</v>
          </cell>
          <cell r="R2399" t="e">
            <v>#N/A</v>
          </cell>
          <cell r="S2399" t="e">
            <v>#N/A</v>
          </cell>
        </row>
        <row r="2400">
          <cell r="L2400" t="e">
            <v>#N/A</v>
          </cell>
          <cell r="M2400" t="str">
            <v>AAON-INC-8199/</v>
          </cell>
          <cell r="N2400" t="e">
            <v>#N/A</v>
          </cell>
          <cell r="O2400" t="e">
            <v>#N/A</v>
          </cell>
          <cell r="P2400" t="e">
            <v>#N/A</v>
          </cell>
          <cell r="Q2400" t="e">
            <v>#N/A</v>
          </cell>
          <cell r="R2400" t="e">
            <v>#N/A</v>
          </cell>
          <cell r="S2400" t="e">
            <v>#N/A</v>
          </cell>
        </row>
        <row r="2401">
          <cell r="L2401" t="e">
            <v>#N/A</v>
          </cell>
          <cell r="M2401" t="str">
            <v>THE-ENSIGN-GROUP-INC-66756/</v>
          </cell>
          <cell r="N2401" t="e">
            <v>#N/A</v>
          </cell>
          <cell r="O2401" t="e">
            <v>#N/A</v>
          </cell>
          <cell r="P2401" t="e">
            <v>#N/A</v>
          </cell>
          <cell r="Q2401" t="e">
            <v>#N/A</v>
          </cell>
          <cell r="R2401" t="e">
            <v>#N/A</v>
          </cell>
          <cell r="S2401" t="e">
            <v>#N/A</v>
          </cell>
        </row>
        <row r="2402">
          <cell r="L2402" t="e">
            <v>#N/A</v>
          </cell>
          <cell r="M2402" t="str">
            <v>SONOS-INC-45130317/</v>
          </cell>
          <cell r="N2402" t="e">
            <v>#N/A</v>
          </cell>
          <cell r="O2402" t="e">
            <v>#N/A</v>
          </cell>
          <cell r="P2402" t="e">
            <v>#N/A</v>
          </cell>
          <cell r="Q2402" t="e">
            <v>#N/A</v>
          </cell>
          <cell r="R2402" t="e">
            <v>#N/A</v>
          </cell>
          <cell r="S2402" t="e">
            <v>#N/A</v>
          </cell>
        </row>
        <row r="2403">
          <cell r="L2403" t="e">
            <v>#N/A</v>
          </cell>
          <cell r="M2403" t="str">
            <v>UXIN-LTD-ADR-44403618/</v>
          </cell>
          <cell r="N2403" t="e">
            <v>#N/A</v>
          </cell>
          <cell r="O2403" t="e">
            <v>#N/A</v>
          </cell>
          <cell r="P2403" t="e">
            <v>#N/A</v>
          </cell>
          <cell r="Q2403" t="e">
            <v>#N/A</v>
          </cell>
          <cell r="R2403" t="e">
            <v>#N/A</v>
          </cell>
          <cell r="S2403" t="e">
            <v>#N/A</v>
          </cell>
        </row>
        <row r="2404">
          <cell r="L2404" t="e">
            <v>#N/A</v>
          </cell>
          <cell r="M2404" t="str">
            <v>WMIH-CORP-23894372/</v>
          </cell>
          <cell r="N2404" t="e">
            <v>#N/A</v>
          </cell>
          <cell r="O2404" t="e">
            <v>#N/A</v>
          </cell>
          <cell r="P2404" t="e">
            <v>#N/A</v>
          </cell>
          <cell r="Q2404" t="e">
            <v>#N/A</v>
          </cell>
          <cell r="R2404" t="e">
            <v>#N/A</v>
          </cell>
          <cell r="S2404" t="e">
            <v>#N/A</v>
          </cell>
        </row>
        <row r="2405">
          <cell r="L2405" t="e">
            <v>#N/A</v>
          </cell>
          <cell r="M2405" t="str">
            <v>ALLAKOS-INC-44979204/</v>
          </cell>
          <cell r="N2405" t="e">
            <v>#N/A</v>
          </cell>
          <cell r="O2405" t="e">
            <v>#N/A</v>
          </cell>
          <cell r="P2405" t="e">
            <v>#N/A</v>
          </cell>
          <cell r="Q2405" t="e">
            <v>#N/A</v>
          </cell>
          <cell r="R2405" t="e">
            <v>#N/A</v>
          </cell>
          <cell r="S2405" t="e">
            <v>#N/A</v>
          </cell>
        </row>
        <row r="2406">
          <cell r="L2406" t="e">
            <v>#N/A</v>
          </cell>
          <cell r="M2406" t="str">
            <v>E-W-SCRIPPS-CO-44136878/</v>
          </cell>
          <cell r="N2406" t="e">
            <v>#N/A</v>
          </cell>
          <cell r="O2406" t="e">
            <v>#N/A</v>
          </cell>
          <cell r="P2406" t="e">
            <v>#N/A</v>
          </cell>
          <cell r="Q2406" t="e">
            <v>#N/A</v>
          </cell>
          <cell r="R2406" t="e">
            <v>#N/A</v>
          </cell>
          <cell r="S2406" t="e">
            <v>#N/A</v>
          </cell>
        </row>
        <row r="2407">
          <cell r="L2407" t="e">
            <v>#N/A</v>
          </cell>
          <cell r="M2407" t="str">
            <v>AUTOLUS-THERAPEUTICS-LTD-44336207/</v>
          </cell>
          <cell r="N2407" t="e">
            <v>#N/A</v>
          </cell>
          <cell r="O2407" t="e">
            <v>#N/A</v>
          </cell>
          <cell r="P2407" t="e">
            <v>#N/A</v>
          </cell>
          <cell r="Q2407" t="e">
            <v>#N/A</v>
          </cell>
          <cell r="R2407" t="e">
            <v>#N/A</v>
          </cell>
          <cell r="S2407" t="e">
            <v>#N/A</v>
          </cell>
        </row>
        <row r="2408">
          <cell r="L2408" t="e">
            <v>#N/A</v>
          </cell>
          <cell r="M2408" t="str">
            <v>THE-PROVIDENCE-SERVICE-CO-10541/</v>
          </cell>
          <cell r="N2408" t="e">
            <v>#N/A</v>
          </cell>
          <cell r="O2408" t="e">
            <v>#N/A</v>
          </cell>
          <cell r="P2408" t="e">
            <v>#N/A</v>
          </cell>
          <cell r="Q2408" t="e">
            <v>#N/A</v>
          </cell>
          <cell r="R2408" t="e">
            <v>#N/A</v>
          </cell>
          <cell r="S2408" t="e">
            <v>#N/A</v>
          </cell>
        </row>
        <row r="2409">
          <cell r="L2409" t="e">
            <v>#N/A</v>
          </cell>
          <cell r="M2409" t="str">
            <v>AVROBIO-INC-44315915/</v>
          </cell>
          <cell r="N2409" t="e">
            <v>#N/A</v>
          </cell>
          <cell r="O2409" t="e">
            <v>#N/A</v>
          </cell>
          <cell r="P2409" t="e">
            <v>#N/A</v>
          </cell>
          <cell r="Q2409" t="e">
            <v>#N/A</v>
          </cell>
          <cell r="R2409" t="e">
            <v>#N/A</v>
          </cell>
          <cell r="S2409" t="e">
            <v>#N/A</v>
          </cell>
        </row>
        <row r="2410">
          <cell r="L2410" t="e">
            <v>#N/A</v>
          </cell>
          <cell r="M2410" t="str">
            <v>APTINYX-INC-44315913/</v>
          </cell>
          <cell r="N2410" t="e">
            <v>#N/A</v>
          </cell>
          <cell r="O2410" t="e">
            <v>#N/A</v>
          </cell>
          <cell r="P2410" t="e">
            <v>#N/A</v>
          </cell>
          <cell r="Q2410" t="e">
            <v>#N/A</v>
          </cell>
          <cell r="R2410" t="e">
            <v>#N/A</v>
          </cell>
          <cell r="S2410" t="e">
            <v>#N/A</v>
          </cell>
        </row>
        <row r="2411">
          <cell r="L2411" t="e">
            <v>#N/A</v>
          </cell>
          <cell r="M2411" t="str">
            <v>COHU-INC-8856/</v>
          </cell>
          <cell r="N2411" t="e">
            <v>#N/A</v>
          </cell>
          <cell r="O2411" t="e">
            <v>#N/A</v>
          </cell>
          <cell r="P2411" t="e">
            <v>#N/A</v>
          </cell>
          <cell r="Q2411" t="e">
            <v>#N/A</v>
          </cell>
          <cell r="R2411" t="e">
            <v>#N/A</v>
          </cell>
          <cell r="S2411" t="e">
            <v>#N/A</v>
          </cell>
        </row>
        <row r="2412">
          <cell r="L2412" t="e">
            <v>#N/A</v>
          </cell>
          <cell r="M2412" t="str">
            <v>CEVA-INC-104680/</v>
          </cell>
          <cell r="N2412" t="e">
            <v>#N/A</v>
          </cell>
          <cell r="O2412" t="e">
            <v>#N/A</v>
          </cell>
          <cell r="P2412" t="e">
            <v>#N/A</v>
          </cell>
          <cell r="Q2412" t="e">
            <v>#N/A</v>
          </cell>
          <cell r="R2412" t="e">
            <v>#N/A</v>
          </cell>
          <cell r="S2412" t="e">
            <v>#N/A</v>
          </cell>
        </row>
        <row r="2413">
          <cell r="L2413" t="e">
            <v>#N/A</v>
          </cell>
          <cell r="M2413" t="str">
            <v>CRINETICS-PHARMACEUTICALS-44965100/</v>
          </cell>
          <cell r="N2413" t="e">
            <v>#N/A</v>
          </cell>
          <cell r="O2413" t="e">
            <v>#N/A</v>
          </cell>
          <cell r="P2413" t="e">
            <v>#N/A</v>
          </cell>
          <cell r="Q2413" t="e">
            <v>#N/A</v>
          </cell>
          <cell r="R2413" t="e">
            <v>#N/A</v>
          </cell>
          <cell r="S2413" t="e">
            <v>#N/A</v>
          </cell>
        </row>
        <row r="2414">
          <cell r="L2414" t="e">
            <v>#N/A</v>
          </cell>
          <cell r="M2414" t="str">
            <v>INTRICON-CORPORATION-783497/</v>
          </cell>
          <cell r="N2414" t="e">
            <v>#N/A</v>
          </cell>
          <cell r="O2414" t="e">
            <v>#N/A</v>
          </cell>
          <cell r="P2414" t="e">
            <v>#N/A</v>
          </cell>
          <cell r="Q2414" t="e">
            <v>#N/A</v>
          </cell>
          <cell r="R2414" t="e">
            <v>#N/A</v>
          </cell>
          <cell r="S2414" t="e">
            <v>#N/A</v>
          </cell>
        </row>
        <row r="2415">
          <cell r="L2415" t="e">
            <v>#N/A</v>
          </cell>
          <cell r="M2415" t="str">
            <v>THE-HACKETT-GROUP-INC-8387/</v>
          </cell>
          <cell r="N2415" t="e">
            <v>#N/A</v>
          </cell>
          <cell r="O2415" t="e">
            <v>#N/A</v>
          </cell>
          <cell r="P2415" t="e">
            <v>#N/A</v>
          </cell>
          <cell r="Q2415" t="e">
            <v>#N/A</v>
          </cell>
          <cell r="R2415" t="e">
            <v>#N/A</v>
          </cell>
          <cell r="S2415" t="e">
            <v>#N/A</v>
          </cell>
        </row>
        <row r="2416">
          <cell r="L2416" t="e">
            <v>#N/A</v>
          </cell>
          <cell r="M2416" t="str">
            <v>DOMO-INC-44420354/</v>
          </cell>
          <cell r="N2416" t="e">
            <v>#N/A</v>
          </cell>
          <cell r="O2416" t="e">
            <v>#N/A</v>
          </cell>
          <cell r="P2416" t="e">
            <v>#N/A</v>
          </cell>
          <cell r="Q2416" t="e">
            <v>#N/A</v>
          </cell>
          <cell r="R2416" t="e">
            <v>#N/A</v>
          </cell>
          <cell r="S2416" t="e">
            <v>#N/A</v>
          </cell>
        </row>
        <row r="2417">
          <cell r="L2417" t="e">
            <v>#N/A</v>
          </cell>
          <cell r="M2417" t="str">
            <v>ESTABLISHMENT-LABS-HOLDIN-44979202/</v>
          </cell>
          <cell r="N2417" t="e">
            <v>#N/A</v>
          </cell>
          <cell r="O2417" t="e">
            <v>#N/A</v>
          </cell>
          <cell r="P2417" t="e">
            <v>#N/A</v>
          </cell>
          <cell r="Q2417" t="e">
            <v>#N/A</v>
          </cell>
          <cell r="R2417" t="e">
            <v>#N/A</v>
          </cell>
          <cell r="S2417" t="e">
            <v>#N/A</v>
          </cell>
        </row>
        <row r="2418">
          <cell r="L2418" t="e">
            <v>#N/A</v>
          </cell>
          <cell r="M2418" t="str">
            <v>NII-HOLDINGS-INC-22852229/</v>
          </cell>
          <cell r="N2418" t="e">
            <v>#N/A</v>
          </cell>
          <cell r="O2418" t="e">
            <v>#N/A</v>
          </cell>
          <cell r="P2418" t="e">
            <v>#N/A</v>
          </cell>
          <cell r="Q2418" t="e">
            <v>#N/A</v>
          </cell>
          <cell r="R2418" t="e">
            <v>#N/A</v>
          </cell>
          <cell r="S2418" t="e">
            <v>#N/A</v>
          </cell>
        </row>
        <row r="2419">
          <cell r="L2419" t="e">
            <v>#N/A</v>
          </cell>
          <cell r="M2419" t="str">
            <v>GTX-INC-32379370/</v>
          </cell>
          <cell r="N2419" t="e">
            <v>#N/A</v>
          </cell>
          <cell r="O2419" t="e">
            <v>#N/A</v>
          </cell>
          <cell r="P2419" t="e">
            <v>#N/A</v>
          </cell>
          <cell r="Q2419" t="e">
            <v>#N/A</v>
          </cell>
          <cell r="R2419" t="e">
            <v>#N/A</v>
          </cell>
          <cell r="S2419" t="e">
            <v>#N/A</v>
          </cell>
        </row>
        <row r="2420">
          <cell r="L2420" t="e">
            <v>#N/A</v>
          </cell>
          <cell r="M2420" t="str">
            <v>NN-INC-10218/</v>
          </cell>
          <cell r="N2420" t="e">
            <v>#N/A</v>
          </cell>
          <cell r="O2420" t="e">
            <v>#N/A</v>
          </cell>
          <cell r="P2420" t="e">
            <v>#N/A</v>
          </cell>
          <cell r="Q2420" t="e">
            <v>#N/A</v>
          </cell>
          <cell r="R2420" t="e">
            <v>#N/A</v>
          </cell>
          <cell r="S2420" t="e">
            <v>#N/A</v>
          </cell>
        </row>
        <row r="2421">
          <cell r="L2421" t="e">
            <v>#N/A</v>
          </cell>
          <cell r="M2421" t="str">
            <v>PARK-OHIO-HOLDINGS-CORP-10475/</v>
          </cell>
          <cell r="N2421" t="e">
            <v>#N/A</v>
          </cell>
          <cell r="O2421" t="e">
            <v>#N/A</v>
          </cell>
          <cell r="P2421" t="e">
            <v>#N/A</v>
          </cell>
          <cell r="Q2421" t="e">
            <v>#N/A</v>
          </cell>
          <cell r="R2421" t="e">
            <v>#N/A</v>
          </cell>
          <cell r="S2421" t="e">
            <v>#N/A</v>
          </cell>
        </row>
        <row r="2422">
          <cell r="L2422" t="e">
            <v>#N/A</v>
          </cell>
          <cell r="M2422" t="str">
            <v>VERACYTE-INC-14742766/</v>
          </cell>
          <cell r="N2422" t="e">
            <v>#N/A</v>
          </cell>
          <cell r="O2422" t="e">
            <v>#N/A</v>
          </cell>
          <cell r="P2422" t="e">
            <v>#N/A</v>
          </cell>
          <cell r="Q2422" t="e">
            <v>#N/A</v>
          </cell>
          <cell r="R2422" t="e">
            <v>#N/A</v>
          </cell>
          <cell r="S2422" t="e">
            <v>#N/A</v>
          </cell>
        </row>
        <row r="2423">
          <cell r="L2423" t="e">
            <v>#N/A</v>
          </cell>
          <cell r="M2423" t="str">
            <v>FORTY-SEVEN-INC-44388517/</v>
          </cell>
          <cell r="N2423" t="e">
            <v>#N/A</v>
          </cell>
          <cell r="O2423" t="e">
            <v>#N/A</v>
          </cell>
          <cell r="P2423" t="e">
            <v>#N/A</v>
          </cell>
          <cell r="Q2423" t="e">
            <v>#N/A</v>
          </cell>
          <cell r="R2423" t="e">
            <v>#N/A</v>
          </cell>
          <cell r="S2423" t="e">
            <v>#N/A</v>
          </cell>
        </row>
        <row r="2424">
          <cell r="L2424" t="e">
            <v>#N/A</v>
          </cell>
          <cell r="M2424" t="str">
            <v>EIDOS-THERAPEUTICS-INC-44315891/</v>
          </cell>
          <cell r="N2424" t="e">
            <v>#N/A</v>
          </cell>
          <cell r="O2424" t="e">
            <v>#N/A</v>
          </cell>
          <cell r="P2424" t="e">
            <v>#N/A</v>
          </cell>
          <cell r="Q2424" t="e">
            <v>#N/A</v>
          </cell>
          <cell r="R2424" t="e">
            <v>#N/A</v>
          </cell>
          <cell r="S2424" t="e">
            <v>#N/A</v>
          </cell>
        </row>
        <row r="2425">
          <cell r="L2425" t="e">
            <v>#N/A</v>
          </cell>
          <cell r="M2425" t="str">
            <v>AMYRIS-INC-35742389/</v>
          </cell>
          <cell r="N2425" t="e">
            <v>#N/A</v>
          </cell>
          <cell r="O2425" t="e">
            <v>#N/A</v>
          </cell>
          <cell r="P2425" t="e">
            <v>#N/A</v>
          </cell>
          <cell r="Q2425" t="e">
            <v>#N/A</v>
          </cell>
          <cell r="R2425" t="e">
            <v>#N/A</v>
          </cell>
          <cell r="S2425" t="e">
            <v>#N/A</v>
          </cell>
        </row>
        <row r="2426">
          <cell r="L2426" t="e">
            <v>#N/A</v>
          </cell>
          <cell r="M2426" t="str">
            <v>HABIT-RESTAURANTS-INC-18575936/</v>
          </cell>
          <cell r="N2426" t="e">
            <v>#N/A</v>
          </cell>
          <cell r="O2426" t="e">
            <v>#N/A</v>
          </cell>
          <cell r="P2426" t="e">
            <v>#N/A</v>
          </cell>
          <cell r="Q2426" t="e">
            <v>#N/A</v>
          </cell>
          <cell r="R2426" t="e">
            <v>#N/A</v>
          </cell>
          <cell r="S2426" t="e">
            <v>#N/A</v>
          </cell>
        </row>
        <row r="2427">
          <cell r="L2427" t="e">
            <v>#N/A</v>
          </cell>
          <cell r="M2427" t="str">
            <v>AQUESTIVE-THERAPEUTICS-IN-45049850/</v>
          </cell>
          <cell r="N2427" t="e">
            <v>#N/A</v>
          </cell>
          <cell r="O2427" t="e">
            <v>#N/A</v>
          </cell>
          <cell r="P2427" t="e">
            <v>#N/A</v>
          </cell>
          <cell r="Q2427" t="e">
            <v>#N/A</v>
          </cell>
          <cell r="R2427" t="e">
            <v>#N/A</v>
          </cell>
          <cell r="S2427" t="e">
            <v>#N/A</v>
          </cell>
        </row>
        <row r="2428">
          <cell r="L2428" t="e">
            <v>#N/A</v>
          </cell>
          <cell r="M2428" t="str">
            <v>BIOLIFE-SOLUTIONS-INC-16113710/</v>
          </cell>
          <cell r="N2428" t="e">
            <v>#N/A</v>
          </cell>
          <cell r="O2428" t="e">
            <v>#N/A</v>
          </cell>
          <cell r="P2428" t="e">
            <v>#N/A</v>
          </cell>
          <cell r="Q2428" t="e">
            <v>#N/A</v>
          </cell>
          <cell r="R2428" t="e">
            <v>#N/A</v>
          </cell>
          <cell r="S2428" t="e">
            <v>#N/A</v>
          </cell>
        </row>
        <row r="2429">
          <cell r="L2429" t="e">
            <v>#N/A</v>
          </cell>
          <cell r="M2429" t="str">
            <v>AVID-BIOSERVICES-INC-40082377/</v>
          </cell>
          <cell r="N2429" t="e">
            <v>#N/A</v>
          </cell>
          <cell r="O2429" t="e">
            <v>#N/A</v>
          </cell>
          <cell r="P2429" t="e">
            <v>#N/A</v>
          </cell>
          <cell r="Q2429" t="e">
            <v>#N/A</v>
          </cell>
          <cell r="R2429" t="e">
            <v>#N/A</v>
          </cell>
          <cell r="S2429" t="e">
            <v>#N/A</v>
          </cell>
        </row>
        <row r="2430">
          <cell r="L2430" t="e">
            <v>#N/A</v>
          </cell>
          <cell r="M2430" t="str">
            <v>ASSERTIO-THERAPEUTICS-INC-45324683/</v>
          </cell>
          <cell r="N2430" t="e">
            <v>#N/A</v>
          </cell>
          <cell r="O2430" t="e">
            <v>#N/A</v>
          </cell>
          <cell r="P2430" t="e">
            <v>#N/A</v>
          </cell>
          <cell r="Q2430" t="e">
            <v>#N/A</v>
          </cell>
          <cell r="R2430" t="e">
            <v>#N/A</v>
          </cell>
          <cell r="S2430" t="e">
            <v>#N/A</v>
          </cell>
        </row>
        <row r="2431">
          <cell r="L2431" t="e">
            <v>#N/A</v>
          </cell>
          <cell r="M2431" t="str">
            <v>RA-PHARMACEUTICALS-INC-31728980/</v>
          </cell>
          <cell r="N2431" t="e">
            <v>#N/A</v>
          </cell>
          <cell r="O2431" t="e">
            <v>#N/A</v>
          </cell>
          <cell r="P2431" t="e">
            <v>#N/A</v>
          </cell>
          <cell r="Q2431" t="e">
            <v>#N/A</v>
          </cell>
          <cell r="R2431" t="e">
            <v>#N/A</v>
          </cell>
          <cell r="S2431" t="e">
            <v>#N/A</v>
          </cell>
        </row>
        <row r="2432">
          <cell r="L2432" t="e">
            <v>#N/A</v>
          </cell>
          <cell r="M2432" t="str">
            <v>ATTUNITY-LTD-8489/</v>
          </cell>
          <cell r="N2432" t="e">
            <v>#N/A</v>
          </cell>
          <cell r="O2432" t="e">
            <v>#N/A</v>
          </cell>
          <cell r="P2432" t="e">
            <v>#N/A</v>
          </cell>
          <cell r="Q2432" t="e">
            <v>#N/A</v>
          </cell>
          <cell r="R2432" t="e">
            <v>#N/A</v>
          </cell>
          <cell r="S2432" t="e">
            <v>#N/A</v>
          </cell>
        </row>
        <row r="2433">
          <cell r="L2433" t="e">
            <v>#N/A</v>
          </cell>
          <cell r="M2433" t="str">
            <v>MEET-GROUP-INC-34555311/</v>
          </cell>
          <cell r="N2433" t="e">
            <v>#N/A</v>
          </cell>
          <cell r="O2433" t="e">
            <v>#N/A</v>
          </cell>
          <cell r="P2433" t="e">
            <v>#N/A</v>
          </cell>
          <cell r="Q2433" t="e">
            <v>#N/A</v>
          </cell>
          <cell r="R2433" t="e">
            <v>#N/A</v>
          </cell>
          <cell r="S2433" t="e">
            <v>#N/A</v>
          </cell>
        </row>
        <row r="2434">
          <cell r="L2434" t="e">
            <v>#N/A</v>
          </cell>
          <cell r="M2434" t="str">
            <v>AVEO-PHARMACEUTICALS-INC-6030038/</v>
          </cell>
          <cell r="N2434" t="e">
            <v>#N/A</v>
          </cell>
          <cell r="O2434" t="e">
            <v>#N/A</v>
          </cell>
          <cell r="P2434" t="e">
            <v>#N/A</v>
          </cell>
          <cell r="Q2434" t="e">
            <v>#N/A</v>
          </cell>
          <cell r="R2434" t="e">
            <v>#N/A</v>
          </cell>
          <cell r="S2434" t="e">
            <v>#N/A</v>
          </cell>
        </row>
        <row r="2435">
          <cell r="L2435" t="str">
            <v>EBR</v>
          </cell>
          <cell r="M2435" t="str">
            <v>CENTRAIS-ELETRICAS-BRASIL-4205478/</v>
          </cell>
          <cell r="N2435" t="str">
            <v>EBR</v>
          </cell>
          <cell r="O2435" t="e">
            <v>#N/A</v>
          </cell>
          <cell r="P2435" t="e">
            <v>#N/A</v>
          </cell>
          <cell r="Q2435" t="e">
            <v>#N/A</v>
          </cell>
          <cell r="R2435" t="e">
            <v>#N/A</v>
          </cell>
          <cell r="S2435" t="str">
            <v>EBR</v>
          </cell>
        </row>
        <row r="2436">
          <cell r="L2436" t="str">
            <v>AAN</v>
          </cell>
          <cell r="M2436" t="str">
            <v>AARON-S-INC-14272/</v>
          </cell>
          <cell r="N2436" t="str">
            <v>AAN</v>
          </cell>
          <cell r="O2436" t="str">
            <v>AARON'S INC</v>
          </cell>
          <cell r="P2436" t="str">
            <v>New York</v>
          </cell>
          <cell r="Q2436" t="str">
            <v>Consumer Discretionary</v>
          </cell>
          <cell r="R2436" t="str">
            <v>Specialty Retail</v>
          </cell>
          <cell r="S2436" t="str">
            <v>AAN</v>
          </cell>
        </row>
        <row r="2437">
          <cell r="L2437" t="str">
            <v>AYI</v>
          </cell>
          <cell r="M2437" t="str">
            <v>ACUITY-BRANDS-11742/</v>
          </cell>
          <cell r="N2437" t="str">
            <v>AYI</v>
          </cell>
          <cell r="O2437" t="str">
            <v>ACUITY BRANDS</v>
          </cell>
          <cell r="P2437" t="str">
            <v>New York</v>
          </cell>
          <cell r="Q2437" t="str">
            <v>Industrials</v>
          </cell>
          <cell r="R2437" t="str">
            <v>Electrical Equipment</v>
          </cell>
          <cell r="S2437" t="str">
            <v>AYI</v>
          </cell>
        </row>
        <row r="2438">
          <cell r="L2438" t="str">
            <v>ADNT</v>
          </cell>
          <cell r="M2438" t="str">
            <v>ADIENT-PLC-31763210/</v>
          </cell>
          <cell r="N2438" t="str">
            <v>ADNT</v>
          </cell>
          <cell r="O2438" t="str">
            <v>ADIENT PLC</v>
          </cell>
          <cell r="P2438" t="str">
            <v>New York</v>
          </cell>
          <cell r="Q2438" t="str">
            <v>Consumer Discretionary</v>
          </cell>
          <cell r="R2438" t="str">
            <v>Auto Components</v>
          </cell>
          <cell r="S2438" t="str">
            <v>ADNT</v>
          </cell>
        </row>
        <row r="2439">
          <cell r="L2439" t="str">
            <v>ADT</v>
          </cell>
          <cell r="M2439" t="str">
            <v>ADT-INC-40225152/</v>
          </cell>
          <cell r="N2439" t="str">
            <v>ADT</v>
          </cell>
          <cell r="O2439" t="str">
            <v>ADT INC</v>
          </cell>
          <cell r="P2439" t="str">
            <v>New York</v>
          </cell>
          <cell r="Q2439" t="str">
            <v>Industrials</v>
          </cell>
          <cell r="R2439" t="str">
            <v>Commercial Services &amp; Supplies</v>
          </cell>
          <cell r="S2439" t="str">
            <v>ADT</v>
          </cell>
        </row>
        <row r="2440">
          <cell r="L2440" t="str">
            <v>AMD</v>
          </cell>
          <cell r="M2440" t="str">
            <v>ADVANCED-MICRO-DEVICES-19475876/</v>
          </cell>
          <cell r="N2440" t="str">
            <v>AMD</v>
          </cell>
          <cell r="O2440" t="str">
            <v>ADV MICRO DEVICE</v>
          </cell>
          <cell r="P2440" t="str">
            <v>NASDAQ CM</v>
          </cell>
          <cell r="Q2440" t="str">
            <v>Information Technology</v>
          </cell>
          <cell r="R2440" t="str">
            <v>Semiconductors &amp; Semiconductor</v>
          </cell>
          <cell r="S2440" t="str">
            <v>AMD</v>
          </cell>
        </row>
        <row r="2441">
          <cell r="L2441" t="str">
            <v>ACM</v>
          </cell>
          <cell r="M2441" t="str">
            <v>AECOM-50181/</v>
          </cell>
          <cell r="N2441" t="str">
            <v>ACM</v>
          </cell>
          <cell r="O2441" t="str">
            <v>AECOM</v>
          </cell>
          <cell r="P2441" t="str">
            <v>New York</v>
          </cell>
          <cell r="Q2441" t="str">
            <v>Industrials</v>
          </cell>
          <cell r="R2441" t="str">
            <v>Construction &amp; Engineering</v>
          </cell>
          <cell r="S2441" t="str">
            <v>ACM</v>
          </cell>
        </row>
        <row r="2442">
          <cell r="L2442" t="str">
            <v>AGCO</v>
          </cell>
          <cell r="M2442" t="str">
            <v>AGCO-CORPORATION-11558/</v>
          </cell>
          <cell r="N2442" t="str">
            <v>AGCO</v>
          </cell>
          <cell r="O2442" t="str">
            <v>AGCO CORP</v>
          </cell>
          <cell r="P2442" t="str">
            <v>New York</v>
          </cell>
          <cell r="Q2442" t="str">
            <v>Industrials</v>
          </cell>
          <cell r="R2442" t="str">
            <v>Machinery</v>
          </cell>
          <cell r="S2442" t="str">
            <v>AGCO</v>
          </cell>
        </row>
        <row r="2443">
          <cell r="L2443" t="str">
            <v>AL</v>
          </cell>
          <cell r="M2443" t="str">
            <v>AIR-LEASE-CORP-7815021/</v>
          </cell>
          <cell r="N2443" t="str">
            <v>AL</v>
          </cell>
          <cell r="O2443" t="str">
            <v>AIR LEASE C</v>
          </cell>
          <cell r="P2443" t="str">
            <v>New York</v>
          </cell>
          <cell r="Q2443" t="str">
            <v>Industrials</v>
          </cell>
          <cell r="R2443" t="str">
            <v>Trading Companies &amp; Distributo</v>
          </cell>
          <cell r="S2443" t="str">
            <v>AL</v>
          </cell>
        </row>
        <row r="2444">
          <cell r="L2444" t="str">
            <v>AA</v>
          </cell>
          <cell r="M2444" t="str">
            <v>ALCOA-CORPORATION-31776160/</v>
          </cell>
          <cell r="N2444" t="str">
            <v>AA</v>
          </cell>
          <cell r="O2444" t="str">
            <v>ALCOA CORP</v>
          </cell>
          <cell r="P2444" t="str">
            <v>New York</v>
          </cell>
          <cell r="Q2444" t="str">
            <v>Materials</v>
          </cell>
          <cell r="R2444" t="str">
            <v>Metals &amp; Mining</v>
          </cell>
          <cell r="S2444" t="str">
            <v>AA</v>
          </cell>
        </row>
        <row r="2445">
          <cell r="L2445" t="str">
            <v>ATI</v>
          </cell>
          <cell r="M2445" t="str">
            <v>ALLEGHENY-TECHNOLOGIES-IN-11627/</v>
          </cell>
          <cell r="N2445" t="str">
            <v>ATI</v>
          </cell>
          <cell r="O2445" t="str">
            <v>ALLEGHENY TECH</v>
          </cell>
          <cell r="P2445" t="str">
            <v>New York</v>
          </cell>
          <cell r="Q2445" t="str">
            <v>Materials</v>
          </cell>
          <cell r="R2445" t="str">
            <v>Metals &amp; Mining</v>
          </cell>
          <cell r="S2445" t="str">
            <v>ATI</v>
          </cell>
        </row>
        <row r="2446">
          <cell r="L2446" t="str">
            <v>ALLE</v>
          </cell>
          <cell r="M2446" t="str">
            <v>ALLEGION-14946780/</v>
          </cell>
          <cell r="N2446" t="str">
            <v>ALLE</v>
          </cell>
          <cell r="O2446" t="str">
            <v>ALLEGION PLC</v>
          </cell>
          <cell r="P2446" t="str">
            <v>New York</v>
          </cell>
          <cell r="Q2446" t="str">
            <v>Industrials</v>
          </cell>
          <cell r="R2446" t="str">
            <v>Building Products</v>
          </cell>
          <cell r="S2446" t="str">
            <v>ALLE</v>
          </cell>
        </row>
        <row r="2447">
          <cell r="L2447" t="str">
            <v>ALE</v>
          </cell>
          <cell r="M2447" t="str">
            <v>ALLETE-INC-11615/</v>
          </cell>
          <cell r="N2447" t="str">
            <v>ALE</v>
          </cell>
          <cell r="O2447" t="str">
            <v>ALLETE INC</v>
          </cell>
          <cell r="P2447" t="str">
            <v>New York</v>
          </cell>
          <cell r="Q2447" t="str">
            <v>Utilities</v>
          </cell>
          <cell r="R2447" t="str">
            <v>Electric Utilities</v>
          </cell>
          <cell r="S2447" t="str">
            <v>ALE</v>
          </cell>
        </row>
        <row r="2448">
          <cell r="L2448" t="str">
            <v>LNT</v>
          </cell>
          <cell r="M2448" t="str">
            <v>ALLIANT-ENERGY-13413/</v>
          </cell>
          <cell r="N2448" t="str">
            <v>LNT</v>
          </cell>
          <cell r="O2448" t="str">
            <v>ALLIANT ENERGY</v>
          </cell>
          <cell r="P2448" t="str">
            <v>New York</v>
          </cell>
          <cell r="Q2448" t="str">
            <v>Utilities</v>
          </cell>
          <cell r="R2448" t="str">
            <v>Electric Utilities</v>
          </cell>
          <cell r="S2448" t="str">
            <v>LNT</v>
          </cell>
        </row>
        <row r="2449">
          <cell r="L2449" t="str">
            <v>ALSN</v>
          </cell>
          <cell r="M2449" t="str">
            <v>ALLISON-TRANSMISSION-HOLD-10179852/</v>
          </cell>
          <cell r="N2449" t="str">
            <v>ALSN</v>
          </cell>
          <cell r="O2449" t="str">
            <v>ALLISON TRANSMIS</v>
          </cell>
          <cell r="P2449" t="str">
            <v>New York</v>
          </cell>
          <cell r="Q2449" t="str">
            <v>Industrials</v>
          </cell>
          <cell r="R2449" t="str">
            <v>Machinery</v>
          </cell>
          <cell r="S2449" t="str">
            <v>ALSN</v>
          </cell>
        </row>
        <row r="2450">
          <cell r="L2450" t="str">
            <v>ALLY</v>
          </cell>
          <cell r="M2450" t="str">
            <v>ALLY-FINANCIAL-INC-16252989/</v>
          </cell>
          <cell r="N2450" t="str">
            <v>ALLY</v>
          </cell>
          <cell r="O2450" t="str">
            <v>ALLY FINANCIAL I</v>
          </cell>
          <cell r="P2450" t="str">
            <v>New York</v>
          </cell>
          <cell r="Q2450" t="str">
            <v>Financials</v>
          </cell>
          <cell r="R2450" t="str">
            <v>Consumer Finance</v>
          </cell>
          <cell r="S2450" t="str">
            <v>ALLY</v>
          </cell>
        </row>
        <row r="2451">
          <cell r="L2451" t="str">
            <v>AYX</v>
          </cell>
          <cell r="M2451" t="str">
            <v>ALTERYX-INC-34336524/</v>
          </cell>
          <cell r="N2451" t="str">
            <v>AYX</v>
          </cell>
          <cell r="O2451" t="str">
            <v>ALTERYX INC -A</v>
          </cell>
          <cell r="P2451" t="str">
            <v>New York</v>
          </cell>
          <cell r="Q2451" t="str">
            <v>Information Technology</v>
          </cell>
          <cell r="R2451" t="str">
            <v>Internet Software &amp; Services</v>
          </cell>
          <cell r="S2451" t="str">
            <v>AYX</v>
          </cell>
        </row>
        <row r="2452">
          <cell r="L2452" t="str">
            <v>AEO</v>
          </cell>
          <cell r="M2452" t="str">
            <v>AMERICAN-EAGLE-OUTFITTERS-44624/</v>
          </cell>
          <cell r="N2452" t="str">
            <v>AEO</v>
          </cell>
          <cell r="O2452" t="str">
            <v>AMER EAGLE OUTF</v>
          </cell>
          <cell r="P2452" t="str">
            <v>New York</v>
          </cell>
          <cell r="Q2452" t="str">
            <v>Consumer Discretionary</v>
          </cell>
          <cell r="R2452" t="str">
            <v>Specialty Retail</v>
          </cell>
          <cell r="S2452" t="str">
            <v>AEO</v>
          </cell>
        </row>
        <row r="2453">
          <cell r="L2453" t="str">
            <v>AEL</v>
          </cell>
          <cell r="M2453" t="str">
            <v>AMERICAN-EQUITY-INVESTMEN-11544/</v>
          </cell>
          <cell r="N2453" t="str">
            <v>AEL</v>
          </cell>
          <cell r="O2453" t="str">
            <v>AMER EQUITY INVT</v>
          </cell>
          <cell r="P2453" t="str">
            <v>New York</v>
          </cell>
          <cell r="Q2453" t="str">
            <v>Financials</v>
          </cell>
          <cell r="R2453" t="str">
            <v>Insurance</v>
          </cell>
          <cell r="S2453" t="str">
            <v>AEL</v>
          </cell>
        </row>
        <row r="2454">
          <cell r="L2454" t="str">
            <v>AFG</v>
          </cell>
          <cell r="M2454" t="str">
            <v>AMERICAN-FINANCIAL-GROUP-11554/</v>
          </cell>
          <cell r="N2454" t="str">
            <v>AFG</v>
          </cell>
          <cell r="O2454" t="str">
            <v>AMER FINL GROUP</v>
          </cell>
          <cell r="P2454" t="str">
            <v>New York</v>
          </cell>
          <cell r="Q2454" t="str">
            <v>Financials</v>
          </cell>
          <cell r="R2454" t="str">
            <v>Insurance</v>
          </cell>
          <cell r="S2454" t="str">
            <v>AFG</v>
          </cell>
        </row>
        <row r="2455">
          <cell r="L2455" t="str">
            <v>AAL</v>
          </cell>
          <cell r="M2455" t="str">
            <v>AMERICAN-AIRLINES-GROUP-15171667/</v>
          </cell>
          <cell r="N2455" t="str">
            <v>AAL</v>
          </cell>
          <cell r="O2455" t="str">
            <v>AMERICAN AIRLINE</v>
          </cell>
          <cell r="P2455" t="str">
            <v>NASDAQ GS</v>
          </cell>
          <cell r="Q2455" t="str">
            <v>Industrials</v>
          </cell>
          <cell r="R2455" t="str">
            <v>Airlines</v>
          </cell>
          <cell r="S2455" t="str">
            <v>AAL</v>
          </cell>
        </row>
        <row r="2456">
          <cell r="L2456" t="str">
            <v>ACC</v>
          </cell>
          <cell r="M2456" t="str">
            <v>AMERICAN-CAMPUS-COMMUNITI-11512/</v>
          </cell>
          <cell r="N2456" t="str">
            <v>ACC</v>
          </cell>
          <cell r="O2456" t="str">
            <v>AMERICAN CAMPUS</v>
          </cell>
          <cell r="P2456" t="str">
            <v>New York</v>
          </cell>
          <cell r="Q2456" t="str">
            <v>Real Estate</v>
          </cell>
          <cell r="R2456" t="str">
            <v>Equity Real Estate Investment</v>
          </cell>
          <cell r="S2456" t="str">
            <v>ACC</v>
          </cell>
        </row>
        <row r="2457">
          <cell r="L2457" t="str">
            <v>AEP</v>
          </cell>
          <cell r="M2457" t="str">
            <v>AMERICAN-ELECTRIC-POWER-11546/</v>
          </cell>
          <cell r="N2457" t="str">
            <v>AEP</v>
          </cell>
          <cell r="O2457" t="str">
            <v>AMERICAN ELECTRI</v>
          </cell>
          <cell r="P2457" t="str">
            <v>New York</v>
          </cell>
          <cell r="Q2457" t="str">
            <v>Utilities</v>
          </cell>
          <cell r="R2457" t="str">
            <v>Electric Utilities</v>
          </cell>
          <cell r="S2457" t="str">
            <v>AEP</v>
          </cell>
        </row>
        <row r="2458">
          <cell r="L2458" t="str">
            <v>AMH</v>
          </cell>
          <cell r="M2458" t="str">
            <v>AMERICAN-HOMES-4-RENT-13775334/</v>
          </cell>
          <cell r="N2458" t="str">
            <v>AMH</v>
          </cell>
          <cell r="O2458" t="str">
            <v>AMERICAN HOMES-A</v>
          </cell>
          <cell r="P2458" t="str">
            <v>New York</v>
          </cell>
          <cell r="Q2458" t="str">
            <v>Real Estate</v>
          </cell>
          <cell r="R2458" t="str">
            <v>Equity Real Estate Investment</v>
          </cell>
          <cell r="S2458" t="str">
            <v>AMH</v>
          </cell>
        </row>
        <row r="2459">
          <cell r="L2459" t="str">
            <v>AIG</v>
          </cell>
          <cell r="M2459" t="str">
            <v>AMERICAN-INTERNATIONAL-GR-4815/</v>
          </cell>
          <cell r="N2459" t="str">
            <v>AIG</v>
          </cell>
          <cell r="O2459" t="str">
            <v>AMERICAN INTERNA</v>
          </cell>
          <cell r="P2459" t="str">
            <v>New York</v>
          </cell>
          <cell r="Q2459" t="str">
            <v>Financials</v>
          </cell>
          <cell r="R2459" t="str">
            <v>Insurance</v>
          </cell>
          <cell r="S2459" t="str">
            <v>AIG</v>
          </cell>
        </row>
        <row r="2460">
          <cell r="L2460" t="str">
            <v>AMT</v>
          </cell>
          <cell r="M2460" t="str">
            <v>AMERICAN-TOWER-CORP-9789139/</v>
          </cell>
          <cell r="N2460" t="str">
            <v>AMT</v>
          </cell>
          <cell r="O2460" t="str">
            <v>AMERICAN TOWER C</v>
          </cell>
          <cell r="P2460" t="str">
            <v>New York</v>
          </cell>
          <cell r="Q2460" t="str">
            <v>Real Estate</v>
          </cell>
          <cell r="R2460" t="str">
            <v>Equity Real Estate Investment</v>
          </cell>
          <cell r="S2460" t="str">
            <v>AMT</v>
          </cell>
        </row>
        <row r="2461">
          <cell r="L2461" t="str">
            <v>AWK</v>
          </cell>
          <cell r="M2461" t="str">
            <v>AMERICAN-WATER-WORKS-COMP-2989352/</v>
          </cell>
          <cell r="N2461" t="str">
            <v>AWK</v>
          </cell>
          <cell r="O2461" t="str">
            <v>AMERICAN WATER W</v>
          </cell>
          <cell r="P2461" t="str">
            <v>New York</v>
          </cell>
          <cell r="Q2461" t="str">
            <v>Utilities</v>
          </cell>
          <cell r="R2461" t="str">
            <v>Water Utilities</v>
          </cell>
          <cell r="S2461" t="str">
            <v>AWK</v>
          </cell>
        </row>
        <row r="2462">
          <cell r="L2462" t="str">
            <v>COLD</v>
          </cell>
          <cell r="M2462" t="str">
            <v>AMERICOLD-REALTY-TRUST-6174457/</v>
          </cell>
          <cell r="N2462" t="str">
            <v>COLD</v>
          </cell>
          <cell r="O2462" t="str">
            <v>AMERICOLD REALTY</v>
          </cell>
          <cell r="P2462" t="str">
            <v>New York</v>
          </cell>
          <cell r="Q2462" t="str">
            <v>Real Estate</v>
          </cell>
          <cell r="R2462" t="str">
            <v>Equity Real Estate Investment</v>
          </cell>
          <cell r="S2462" t="str">
            <v>COLD</v>
          </cell>
        </row>
        <row r="2463">
          <cell r="L2463" t="str">
            <v>AMP</v>
          </cell>
          <cell r="M2463" t="str">
            <v>AMERIPRISE-FINANCIAL-11642/</v>
          </cell>
          <cell r="N2463" t="str">
            <v>AMP</v>
          </cell>
          <cell r="O2463" t="str">
            <v>AMERIPRISE FINAN</v>
          </cell>
          <cell r="P2463" t="str">
            <v>New York</v>
          </cell>
          <cell r="Q2463" t="str">
            <v>Financials</v>
          </cell>
          <cell r="R2463" t="str">
            <v>Capital Markets</v>
          </cell>
          <cell r="S2463" t="str">
            <v>AMP</v>
          </cell>
        </row>
        <row r="2464">
          <cell r="L2464" t="str">
            <v>ABC</v>
          </cell>
          <cell r="M2464" t="str">
            <v>AMERISOURCEBERGEN-9428091/</v>
          </cell>
          <cell r="N2464" t="str">
            <v>ABC</v>
          </cell>
          <cell r="O2464" t="str">
            <v>AMERISOURCEBERGE</v>
          </cell>
          <cell r="P2464" t="str">
            <v>New York</v>
          </cell>
          <cell r="Q2464" t="str">
            <v>Health Care</v>
          </cell>
          <cell r="R2464" t="str">
            <v>Health Care Providers &amp; Servic</v>
          </cell>
          <cell r="S2464" t="str">
            <v>ABC</v>
          </cell>
        </row>
        <row r="2465">
          <cell r="L2465" t="str">
            <v>AMRX</v>
          </cell>
          <cell r="M2465" t="str">
            <v>AMNEAL-PHARMACEUTICALS-IN-43306881/</v>
          </cell>
          <cell r="N2465" t="str">
            <v>AMRX</v>
          </cell>
          <cell r="O2465" t="str">
            <v>AMNEAL PHARMACEU</v>
          </cell>
          <cell r="P2465" t="str">
            <v>New York</v>
          </cell>
          <cell r="Q2465" t="str">
            <v>Health Care</v>
          </cell>
          <cell r="R2465" t="str">
            <v>Pharmaceuticals</v>
          </cell>
          <cell r="S2465" t="str">
            <v>AMRX</v>
          </cell>
        </row>
        <row r="2466">
          <cell r="L2466" t="str">
            <v>NLY</v>
          </cell>
          <cell r="M2466" t="str">
            <v>ANNALY-CAPITAL-MANAGEMENT-13744/</v>
          </cell>
          <cell r="N2466" t="str">
            <v>NLY</v>
          </cell>
          <cell r="O2466" t="str">
            <v>ANNALY CAPITAL M</v>
          </cell>
          <cell r="P2466" t="str">
            <v>New York</v>
          </cell>
          <cell r="Q2466" t="str">
            <v>Financials</v>
          </cell>
          <cell r="R2466" t="str">
            <v>Mortgage Real Estate Investmen</v>
          </cell>
          <cell r="S2466" t="str">
            <v>NLY</v>
          </cell>
        </row>
        <row r="2467">
          <cell r="L2467" t="str">
            <v>AR</v>
          </cell>
          <cell r="M2467" t="str">
            <v>ANTERO-RESOURCES-CORP-14491401/</v>
          </cell>
          <cell r="N2467" t="str">
            <v>AR</v>
          </cell>
          <cell r="O2467" t="str">
            <v>ANTERO RESOURCES</v>
          </cell>
          <cell r="P2467" t="str">
            <v>New York</v>
          </cell>
          <cell r="Q2467" t="str">
            <v>Energy</v>
          </cell>
          <cell r="R2467" t="str">
            <v>Oil, Gas &amp; Consumable Fuels</v>
          </cell>
          <cell r="S2467" t="str">
            <v>AR</v>
          </cell>
        </row>
        <row r="2468">
          <cell r="L2468" t="str">
            <v>APLE</v>
          </cell>
          <cell r="M2468" t="str">
            <v>APPLE-HOSPITALITY-REIT-IN-22270296/</v>
          </cell>
          <cell r="N2468" t="str">
            <v>APLE</v>
          </cell>
          <cell r="O2468" t="str">
            <v>APPLE HOSPITALIT</v>
          </cell>
          <cell r="P2468" t="str">
            <v>New York</v>
          </cell>
          <cell r="Q2468" t="str">
            <v>Real Estate</v>
          </cell>
          <cell r="R2468" t="str">
            <v>Equity Real Estate Investment</v>
          </cell>
          <cell r="S2468" t="str">
            <v>APLE</v>
          </cell>
        </row>
        <row r="2469">
          <cell r="L2469" t="str">
            <v>ATR</v>
          </cell>
          <cell r="M2469" t="str">
            <v>APTARGROUP-INC-11708/</v>
          </cell>
          <cell r="N2469" t="str">
            <v>ATR</v>
          </cell>
          <cell r="O2469" t="str">
            <v>APTARGROUP INC</v>
          </cell>
          <cell r="P2469" t="str">
            <v>New York</v>
          </cell>
          <cell r="Q2469" t="str">
            <v>Materials</v>
          </cell>
          <cell r="R2469" t="str">
            <v>Containers &amp; Packaging</v>
          </cell>
          <cell r="S2469" t="str">
            <v>ATR</v>
          </cell>
        </row>
        <row r="2470">
          <cell r="L2470" t="str">
            <v>WTR</v>
          </cell>
          <cell r="M2470" t="str">
            <v>AQUA-AMERICA-INC-14921/</v>
          </cell>
          <cell r="N2470" t="str">
            <v>WTR</v>
          </cell>
          <cell r="O2470" t="str">
            <v>AQUA AMERICA INC</v>
          </cell>
          <cell r="P2470" t="str">
            <v>New York</v>
          </cell>
          <cell r="Q2470" t="str">
            <v>Utilities</v>
          </cell>
          <cell r="R2470" t="str">
            <v>Water Utilities</v>
          </cell>
          <cell r="S2470" t="str">
            <v>WTR</v>
          </cell>
        </row>
        <row r="2471">
          <cell r="L2471" t="str">
            <v>ARMK</v>
          </cell>
          <cell r="M2471" t="str">
            <v>ARAMARK-15183522/</v>
          </cell>
          <cell r="N2471" t="str">
            <v>ARMK</v>
          </cell>
          <cell r="O2471" t="str">
            <v>ARAMARK</v>
          </cell>
          <cell r="P2471" t="str">
            <v>New York</v>
          </cell>
          <cell r="Q2471" t="str">
            <v>Consumer Discretionary</v>
          </cell>
          <cell r="R2471" t="str">
            <v>Hotels, Restaurants &amp; Leisure</v>
          </cell>
          <cell r="S2471" t="str">
            <v>ARMK</v>
          </cell>
        </row>
        <row r="2472">
          <cell r="L2472" t="str">
            <v>ANET</v>
          </cell>
          <cell r="M2472" t="str">
            <v>ARISTA-NETWORKS-INC-16617752/</v>
          </cell>
          <cell r="N2472" t="str">
            <v>ANET</v>
          </cell>
          <cell r="O2472" t="str">
            <v>ARISTA NETWORKS</v>
          </cell>
          <cell r="P2472" t="str">
            <v>New York</v>
          </cell>
          <cell r="Q2472" t="str">
            <v>Information Technology</v>
          </cell>
          <cell r="R2472" t="str">
            <v>Communications Equipment</v>
          </cell>
          <cell r="S2472" t="str">
            <v>ANET</v>
          </cell>
        </row>
        <row r="2473">
          <cell r="L2473" t="str">
            <v>AWI</v>
          </cell>
          <cell r="M2473" t="str">
            <v>ARMSTRONG-WORLD-INDUSTRIE-34370/</v>
          </cell>
          <cell r="N2473" t="str">
            <v>AWI</v>
          </cell>
          <cell r="O2473" t="str">
            <v>ARMSTRONG WORLD</v>
          </cell>
          <cell r="P2473" t="str">
            <v>New York</v>
          </cell>
          <cell r="Q2473" t="str">
            <v>Industrials</v>
          </cell>
          <cell r="R2473" t="str">
            <v>Building Products</v>
          </cell>
          <cell r="S2473" t="str">
            <v>AWI</v>
          </cell>
        </row>
        <row r="2474">
          <cell r="L2474" t="str">
            <v>ASGN</v>
          </cell>
          <cell r="M2474" t="str">
            <v>ASGN-INC-42593425/</v>
          </cell>
          <cell r="N2474" t="str">
            <v>ASGN</v>
          </cell>
          <cell r="O2474" t="str">
            <v>ASGN INC</v>
          </cell>
          <cell r="P2474" t="str">
            <v>New York</v>
          </cell>
          <cell r="Q2474" t="str">
            <v>Industrials</v>
          </cell>
          <cell r="R2474" t="str">
            <v>Professional Services</v>
          </cell>
          <cell r="S2474" t="str">
            <v>ASGN</v>
          </cell>
        </row>
        <row r="2475">
          <cell r="L2475" t="str">
            <v>ASH</v>
          </cell>
          <cell r="M2475" t="str">
            <v>ASHLAND-GLOBAL-HOLDINGS-I-34973331/</v>
          </cell>
          <cell r="N2475" t="str">
            <v>ASH</v>
          </cell>
          <cell r="O2475" t="str">
            <v>ASHLAND GLOBAL H</v>
          </cell>
          <cell r="P2475" t="str">
            <v>New York</v>
          </cell>
          <cell r="Q2475" t="str">
            <v>Materials</v>
          </cell>
          <cell r="R2475" t="str">
            <v>Chemicals</v>
          </cell>
          <cell r="S2475" t="str">
            <v>ASH</v>
          </cell>
        </row>
        <row r="2476">
          <cell r="L2476" t="str">
            <v>ASB</v>
          </cell>
          <cell r="M2476" t="str">
            <v>ASSOCIATED-BANC-CORP-19343801/</v>
          </cell>
          <cell r="N2476" t="str">
            <v>ASB</v>
          </cell>
          <cell r="O2476" t="str">
            <v>ASSOC BANC-CORP</v>
          </cell>
          <cell r="P2476" t="str">
            <v>New York</v>
          </cell>
          <cell r="Q2476" t="str">
            <v>Financials</v>
          </cell>
          <cell r="R2476" t="str">
            <v>Banks</v>
          </cell>
          <cell r="S2476" t="str">
            <v>ASB</v>
          </cell>
        </row>
        <row r="2477">
          <cell r="L2477" t="str">
            <v>ATHN</v>
          </cell>
          <cell r="M2477" t="str">
            <v>ATHENAHEALTH-INC-61776/</v>
          </cell>
          <cell r="N2477" t="str">
            <v>ATHN</v>
          </cell>
          <cell r="O2477" t="str">
            <v>ATHENAHEALTH INC</v>
          </cell>
          <cell r="P2477" t="str">
            <v>NASDAQ GS</v>
          </cell>
          <cell r="Q2477" t="str">
            <v>Health Care</v>
          </cell>
          <cell r="R2477" t="str">
            <v>Health Care Technology</v>
          </cell>
          <cell r="S2477" t="str">
            <v>ATHN</v>
          </cell>
        </row>
        <row r="2478">
          <cell r="L2478" t="str">
            <v>AN</v>
          </cell>
          <cell r="M2478" t="str">
            <v>AUTONATION-INC-14247/</v>
          </cell>
          <cell r="N2478" t="str">
            <v>AN</v>
          </cell>
          <cell r="O2478" t="str">
            <v>AUTONATION INC</v>
          </cell>
          <cell r="P2478" t="str">
            <v>New York</v>
          </cell>
          <cell r="Q2478" t="str">
            <v>Consumer Discretionary</v>
          </cell>
          <cell r="R2478" t="str">
            <v>Specialty Retail</v>
          </cell>
          <cell r="S2478" t="str">
            <v>AN</v>
          </cell>
        </row>
        <row r="2479">
          <cell r="L2479" t="str">
            <v>AGR</v>
          </cell>
          <cell r="M2479" t="str">
            <v>AVANGRID-INC-25531436/</v>
          </cell>
          <cell r="N2479" t="str">
            <v>AGR</v>
          </cell>
          <cell r="O2479" t="str">
            <v>AVANGRID INC</v>
          </cell>
          <cell r="P2479" t="str">
            <v>New York</v>
          </cell>
          <cell r="Q2479" t="str">
            <v>Utilities</v>
          </cell>
          <cell r="R2479" t="str">
            <v>Electric Utilities</v>
          </cell>
          <cell r="S2479" t="str">
            <v>AGR</v>
          </cell>
        </row>
        <row r="2480">
          <cell r="L2480" t="str">
            <v>AVA</v>
          </cell>
          <cell r="M2480" t="str">
            <v>AVISTA-CORP-11716/</v>
          </cell>
          <cell r="N2480" t="str">
            <v>AVA</v>
          </cell>
          <cell r="O2480" t="str">
            <v>AVISTA CORP</v>
          </cell>
          <cell r="P2480" t="str">
            <v>New York</v>
          </cell>
          <cell r="Q2480" t="str">
            <v>Utilities</v>
          </cell>
          <cell r="R2480" t="str">
            <v>Multi-Utilities</v>
          </cell>
          <cell r="S2480" t="str">
            <v>AVA</v>
          </cell>
        </row>
        <row r="2481">
          <cell r="L2481" t="str">
            <v>AVX</v>
          </cell>
          <cell r="M2481" t="str">
            <v>AVX-CORPORATION-11726/</v>
          </cell>
          <cell r="N2481" t="str">
            <v>AVX</v>
          </cell>
          <cell r="O2481" t="str">
            <v>AVX CORP</v>
          </cell>
          <cell r="P2481" t="str">
            <v>New York</v>
          </cell>
          <cell r="Q2481" t="str">
            <v>Information Technology</v>
          </cell>
          <cell r="R2481" t="str">
            <v>Electronic Equipment, Instrume</v>
          </cell>
          <cell r="S2481" t="str">
            <v>AVX</v>
          </cell>
        </row>
        <row r="2482">
          <cell r="L2482" t="str">
            <v>AXTA</v>
          </cell>
          <cell r="M2482" t="str">
            <v>AXALTA-COATING-SYSTEMS-LT-18470253/</v>
          </cell>
          <cell r="N2482" t="str">
            <v>AXTA</v>
          </cell>
          <cell r="O2482" t="str">
            <v>AXALTA COATING S</v>
          </cell>
          <cell r="P2482" t="str">
            <v>New York</v>
          </cell>
          <cell r="Q2482" t="str">
            <v>Materials</v>
          </cell>
          <cell r="R2482" t="str">
            <v>Chemicals</v>
          </cell>
          <cell r="S2482" t="str">
            <v>AXTA</v>
          </cell>
        </row>
        <row r="2483">
          <cell r="L2483" t="str">
            <v>AXS</v>
          </cell>
          <cell r="M2483" t="str">
            <v>AXIS-CAPITAL-HOLDINGS-LIM-11739/</v>
          </cell>
          <cell r="N2483" t="str">
            <v>AXS</v>
          </cell>
          <cell r="O2483" t="str">
            <v>AXIS CAPITAL</v>
          </cell>
          <cell r="P2483" t="str">
            <v>New York</v>
          </cell>
          <cell r="Q2483" t="str">
            <v>Financials</v>
          </cell>
          <cell r="R2483" t="str">
            <v>Insurance</v>
          </cell>
          <cell r="S2483" t="str">
            <v>AXS</v>
          </cell>
        </row>
        <row r="2484">
          <cell r="L2484" t="str">
            <v>BK</v>
          </cell>
          <cell r="M2484" t="str">
            <v>BANK-OF-NEW-YORK-MELLON--11848/</v>
          </cell>
          <cell r="N2484" t="str">
            <v>BK</v>
          </cell>
          <cell r="O2484" t="str">
            <v>BANK NY MELLON</v>
          </cell>
          <cell r="P2484" t="str">
            <v>New York</v>
          </cell>
          <cell r="Q2484" t="str">
            <v>Financials</v>
          </cell>
          <cell r="R2484" t="str">
            <v>Capital Markets</v>
          </cell>
          <cell r="S2484" t="str">
            <v>BK</v>
          </cell>
        </row>
        <row r="2485">
          <cell r="L2485" t="str">
            <v>BOH</v>
          </cell>
          <cell r="M2485" t="str">
            <v>BANK-OF-HAWAII-CORPORATIO-11892/</v>
          </cell>
          <cell r="N2485" t="str">
            <v>BOH</v>
          </cell>
          <cell r="O2485" t="str">
            <v>BANK OF HAWAII</v>
          </cell>
          <cell r="P2485" t="str">
            <v>New York</v>
          </cell>
          <cell r="Q2485" t="str">
            <v>Financials</v>
          </cell>
          <cell r="R2485" t="str">
            <v>Banks</v>
          </cell>
          <cell r="S2485" t="str">
            <v>BOH</v>
          </cell>
        </row>
        <row r="2486">
          <cell r="L2486" t="str">
            <v>BKU</v>
          </cell>
          <cell r="M2486" t="str">
            <v>BANKUNITED-7279270/</v>
          </cell>
          <cell r="N2486" t="str">
            <v>BKU</v>
          </cell>
          <cell r="O2486" t="str">
            <v>BANKUNITED INC</v>
          </cell>
          <cell r="P2486" t="str">
            <v>New York</v>
          </cell>
          <cell r="Q2486" t="str">
            <v>Financials</v>
          </cell>
          <cell r="R2486" t="str">
            <v>Banks</v>
          </cell>
          <cell r="S2486" t="str">
            <v>BKU</v>
          </cell>
        </row>
        <row r="2487">
          <cell r="L2487" t="str">
            <v>B</v>
          </cell>
          <cell r="M2487" t="str">
            <v>BARNES-GROUP-INC-11749/</v>
          </cell>
          <cell r="N2487" t="str">
            <v>B</v>
          </cell>
          <cell r="O2487" t="str">
            <v>BARNES GROUP INC</v>
          </cell>
          <cell r="P2487" t="str">
            <v>New York</v>
          </cell>
          <cell r="Q2487" t="str">
            <v>Industrials</v>
          </cell>
          <cell r="R2487" t="str">
            <v>Machinery</v>
          </cell>
          <cell r="S2487" t="str">
            <v>B</v>
          </cell>
        </row>
        <row r="2488">
          <cell r="L2488" t="str">
            <v>BMS</v>
          </cell>
          <cell r="M2488" t="str">
            <v>BEMIS-COMPANY-INC-11875/</v>
          </cell>
          <cell r="N2488" t="str">
            <v>BMS</v>
          </cell>
          <cell r="O2488" t="str">
            <v>BEMIS CO</v>
          </cell>
          <cell r="P2488" t="str">
            <v>New York</v>
          </cell>
          <cell r="Q2488" t="str">
            <v>Materials</v>
          </cell>
          <cell r="R2488" t="str">
            <v>Containers &amp; Packaging</v>
          </cell>
          <cell r="S2488" t="str">
            <v>BMS</v>
          </cell>
        </row>
        <row r="2489">
          <cell r="L2489" t="str">
            <v>BIO</v>
          </cell>
          <cell r="M2489" t="str">
            <v>BIO-RAD-LABORATORIES-INC-4174247/</v>
          </cell>
          <cell r="N2489" t="str">
            <v>BIO</v>
          </cell>
          <cell r="O2489" t="str">
            <v>BIO-RAD LABS-A</v>
          </cell>
          <cell r="P2489" t="str">
            <v>New York</v>
          </cell>
          <cell r="Q2489" t="str">
            <v>Health Care</v>
          </cell>
          <cell r="R2489" t="str">
            <v>Life Sciences Tools &amp; Services</v>
          </cell>
          <cell r="S2489" t="str">
            <v>BIO</v>
          </cell>
        </row>
        <row r="2490">
          <cell r="L2490" t="str">
            <v>BKH</v>
          </cell>
          <cell r="M2490" t="str">
            <v>BLACK-HILLS-CORP-11854/</v>
          </cell>
          <cell r="N2490" t="str">
            <v>BKH</v>
          </cell>
          <cell r="O2490" t="str">
            <v>BLACK HILLS CORP</v>
          </cell>
          <cell r="P2490" t="str">
            <v>New York</v>
          </cell>
          <cell r="Q2490" t="str">
            <v>Utilities</v>
          </cell>
          <cell r="R2490" t="str">
            <v>Multi-Utilities</v>
          </cell>
          <cell r="S2490" t="str">
            <v>BKH</v>
          </cell>
        </row>
        <row r="2491">
          <cell r="L2491" t="str">
            <v>BKI</v>
          </cell>
          <cell r="M2491" t="str">
            <v>BLACK-KNIGHT-INC-37958698/</v>
          </cell>
          <cell r="N2491" t="str">
            <v>BKI</v>
          </cell>
          <cell r="O2491" t="str">
            <v>BLACK KNIGHT</v>
          </cell>
          <cell r="P2491" t="str">
            <v>New York</v>
          </cell>
          <cell r="Q2491" t="str">
            <v>Information Technology</v>
          </cell>
          <cell r="R2491" t="str">
            <v>IT Services</v>
          </cell>
          <cell r="S2491" t="str">
            <v>BKI</v>
          </cell>
        </row>
        <row r="2492">
          <cell r="L2492" t="str">
            <v>BLKB</v>
          </cell>
          <cell r="M2492" t="str">
            <v>BLACKBAUD-INC-8581/</v>
          </cell>
          <cell r="N2492" t="str">
            <v>BLKB</v>
          </cell>
          <cell r="O2492" t="str">
            <v>BLACKBAUD INC</v>
          </cell>
          <cell r="P2492" t="str">
            <v>NASDAQ GS</v>
          </cell>
          <cell r="Q2492" t="str">
            <v>Information Technology</v>
          </cell>
          <cell r="R2492" t="str">
            <v>Software</v>
          </cell>
          <cell r="S2492" t="str">
            <v>BLKB</v>
          </cell>
        </row>
        <row r="2493">
          <cell r="L2493" t="str">
            <v>BAH</v>
          </cell>
          <cell r="M2493" t="str">
            <v>BOOZ-ALLEN-HAMILTON-HOLDI-6873099/</v>
          </cell>
          <cell r="N2493" t="str">
            <v>BAH</v>
          </cell>
          <cell r="O2493" t="str">
            <v>BOOZ ALLEN HAMIL</v>
          </cell>
          <cell r="P2493" t="str">
            <v>New York</v>
          </cell>
          <cell r="Q2493" t="str">
            <v>Information Technology</v>
          </cell>
          <cell r="R2493" t="str">
            <v>IT Services</v>
          </cell>
          <cell r="S2493" t="str">
            <v>BAH</v>
          </cell>
        </row>
        <row r="2494">
          <cell r="L2494" t="str">
            <v>SAM</v>
          </cell>
          <cell r="M2494" t="str">
            <v>BOSTON-BEER-COMPANY-INC-14318/</v>
          </cell>
          <cell r="N2494" t="str">
            <v>SAM</v>
          </cell>
          <cell r="O2494" t="str">
            <v>BOSTON BEER-A</v>
          </cell>
          <cell r="P2494" t="str">
            <v>New York</v>
          </cell>
          <cell r="Q2494" t="str">
            <v>Consumer Staples</v>
          </cell>
          <cell r="R2494" t="str">
            <v>Beverages</v>
          </cell>
          <cell r="S2494" t="str">
            <v>SAM</v>
          </cell>
        </row>
        <row r="2495">
          <cell r="L2495" t="str">
            <v>BXP</v>
          </cell>
          <cell r="M2495" t="str">
            <v>BOSTON-PROPERTIES-11957/</v>
          </cell>
          <cell r="N2495" t="str">
            <v>BXP</v>
          </cell>
          <cell r="O2495" t="str">
            <v>BOSTON PROPERTIE</v>
          </cell>
          <cell r="P2495" t="str">
            <v>New York</v>
          </cell>
          <cell r="Q2495" t="str">
            <v>Real Estate</v>
          </cell>
          <cell r="R2495" t="str">
            <v>Equity Real Estate Investment</v>
          </cell>
          <cell r="S2495" t="str">
            <v>BXP</v>
          </cell>
        </row>
        <row r="2496">
          <cell r="L2496" t="str">
            <v>BOX</v>
          </cell>
          <cell r="M2496" t="str">
            <v>BOX-INC-20568888/</v>
          </cell>
          <cell r="N2496" t="str">
            <v>BOX</v>
          </cell>
          <cell r="O2496" t="str">
            <v>BOX INC- CLASS A</v>
          </cell>
          <cell r="P2496" t="str">
            <v>New York</v>
          </cell>
          <cell r="Q2496" t="str">
            <v>Information Technology</v>
          </cell>
          <cell r="R2496" t="str">
            <v>Internet Software &amp; Services</v>
          </cell>
          <cell r="S2496" t="str">
            <v>BOX</v>
          </cell>
        </row>
        <row r="2497">
          <cell r="L2497" t="str">
            <v>BYD</v>
          </cell>
          <cell r="M2497" t="str">
            <v>BOYD-GAMING-CORPORATION-11960/</v>
          </cell>
          <cell r="N2497" t="str">
            <v>BYD</v>
          </cell>
          <cell r="O2497" t="str">
            <v>BOYD GAMING CORP</v>
          </cell>
          <cell r="P2497" t="str">
            <v>New York</v>
          </cell>
          <cell r="Q2497" t="str">
            <v>Consumer Discretionary</v>
          </cell>
          <cell r="R2497" t="str">
            <v>Hotels, Restaurants &amp; Leisure</v>
          </cell>
          <cell r="S2497" t="str">
            <v>BYD</v>
          </cell>
        </row>
        <row r="2498">
          <cell r="L2498" t="str">
            <v>BHF</v>
          </cell>
          <cell r="M2498" t="str">
            <v>BRIGHTHOUSE-FINANCIAL-40311483/</v>
          </cell>
          <cell r="N2498" t="str">
            <v>BHF</v>
          </cell>
          <cell r="O2498" t="str">
            <v>BRIGHTHOUSE FINA</v>
          </cell>
          <cell r="P2498" t="str">
            <v>NASDAQ GS</v>
          </cell>
          <cell r="Q2498" t="str">
            <v>Financials</v>
          </cell>
          <cell r="R2498" t="str">
            <v>Insurance</v>
          </cell>
          <cell r="S2498" t="str">
            <v>BHF</v>
          </cell>
        </row>
        <row r="2499">
          <cell r="L2499" t="str">
            <v>BCO</v>
          </cell>
          <cell r="M2499" t="str">
            <v>BRINK-S-COMPANY-14179/</v>
          </cell>
          <cell r="N2499" t="str">
            <v>BCO</v>
          </cell>
          <cell r="O2499" t="str">
            <v>BRINK'S CO/THE</v>
          </cell>
          <cell r="P2499" t="str">
            <v>New York</v>
          </cell>
          <cell r="Q2499" t="str">
            <v>Industrials</v>
          </cell>
          <cell r="R2499" t="str">
            <v>Commercial Services &amp; Supplies</v>
          </cell>
          <cell r="S2499" t="str">
            <v>BCO</v>
          </cell>
        </row>
        <row r="2500">
          <cell r="L2500" t="str">
            <v>BR</v>
          </cell>
          <cell r="M2500" t="str">
            <v>BROADRIDGE-FINANCIAL-SOLU-11906/</v>
          </cell>
          <cell r="N2500" t="str">
            <v>BR</v>
          </cell>
          <cell r="O2500" t="str">
            <v>BROADRIDGE FINL</v>
          </cell>
          <cell r="P2500" t="str">
            <v>New York</v>
          </cell>
          <cell r="Q2500" t="str">
            <v>Information Technology</v>
          </cell>
          <cell r="R2500" t="str">
            <v>IT Services</v>
          </cell>
          <cell r="S2500" t="str">
            <v>BR</v>
          </cell>
        </row>
        <row r="2501">
          <cell r="L2501" t="str">
            <v>BRO</v>
          </cell>
          <cell r="M2501" t="str">
            <v>BROWN-BROWN-INC-11919/</v>
          </cell>
          <cell r="N2501" t="str">
            <v>BRO</v>
          </cell>
          <cell r="O2501" t="str">
            <v>BROWN &amp; BROWN</v>
          </cell>
          <cell r="P2501" t="str">
            <v>New York</v>
          </cell>
          <cell r="Q2501" t="str">
            <v>Financials</v>
          </cell>
          <cell r="R2501" t="str">
            <v>Insurance</v>
          </cell>
          <cell r="S2501" t="str">
            <v>BRO</v>
          </cell>
        </row>
        <row r="2502">
          <cell r="L2502" t="str">
            <v>BC</v>
          </cell>
          <cell r="M2502" t="str">
            <v>BRUNSWICK-CORPORATION-11779/</v>
          </cell>
          <cell r="N2502" t="str">
            <v>BC</v>
          </cell>
          <cell r="O2502" t="str">
            <v>BRUNSWICK CORP</v>
          </cell>
          <cell r="P2502" t="str">
            <v>New York</v>
          </cell>
          <cell r="Q2502" t="str">
            <v>Consumer Discretionary</v>
          </cell>
          <cell r="R2502" t="str">
            <v>Leisure Products</v>
          </cell>
          <cell r="S2502" t="str">
            <v>BC</v>
          </cell>
        </row>
        <row r="2503">
          <cell r="L2503" t="str">
            <v>BWXT</v>
          </cell>
          <cell r="M2503" t="str">
            <v>BWX-TECHNOLOGIES-INC-22837338/</v>
          </cell>
          <cell r="N2503" t="str">
            <v>BWXT</v>
          </cell>
          <cell r="O2503" t="str">
            <v>BWX TECHNOLOGIES</v>
          </cell>
          <cell r="P2503" t="str">
            <v>New York</v>
          </cell>
          <cell r="Q2503" t="str">
            <v>Industrials</v>
          </cell>
          <cell r="R2503" t="str">
            <v>Aerospace &amp; Defense</v>
          </cell>
          <cell r="S2503" t="str">
            <v>BWXT</v>
          </cell>
        </row>
        <row r="2504">
          <cell r="L2504" t="str">
            <v>CA</v>
          </cell>
          <cell r="M2504" t="str">
            <v>CA-TECHNOLOGIES-2993431/</v>
          </cell>
          <cell r="N2504" t="str">
            <v>CA</v>
          </cell>
          <cell r="O2504" t="str">
            <v>CA INC</v>
          </cell>
          <cell r="P2504" t="str">
            <v>NASDAQ GS</v>
          </cell>
          <cell r="Q2504" t="str">
            <v>Information Technology</v>
          </cell>
          <cell r="R2504" t="str">
            <v>Software</v>
          </cell>
          <cell r="S2504" t="str">
            <v>CA</v>
          </cell>
        </row>
        <row r="2505">
          <cell r="L2505" t="str">
            <v>CABO</v>
          </cell>
          <cell r="M2505" t="str">
            <v>CABLE-ONE-INC-22795883/</v>
          </cell>
          <cell r="N2505" t="str">
            <v>CABO</v>
          </cell>
          <cell r="O2505" t="str">
            <v>CABLE ONE INC</v>
          </cell>
          <cell r="P2505" t="str">
            <v>New York</v>
          </cell>
          <cell r="Q2505" t="str">
            <v>Consumer Discretionary</v>
          </cell>
          <cell r="R2505" t="str">
            <v>Media</v>
          </cell>
          <cell r="S2505" t="str">
            <v>CABO</v>
          </cell>
        </row>
        <row r="2506">
          <cell r="L2506" t="str">
            <v>CBT</v>
          </cell>
          <cell r="M2506" t="str">
            <v>CABOT-CORP-11994/</v>
          </cell>
          <cell r="N2506" t="str">
            <v>CBT</v>
          </cell>
          <cell r="O2506" t="str">
            <v>CABOT CORP</v>
          </cell>
          <cell r="P2506" t="str">
            <v>New York</v>
          </cell>
          <cell r="Q2506" t="str">
            <v>Materials</v>
          </cell>
          <cell r="R2506" t="str">
            <v>Chemicals</v>
          </cell>
          <cell r="S2506" t="str">
            <v>CBT</v>
          </cell>
        </row>
        <row r="2507">
          <cell r="L2507" t="str">
            <v>CACI</v>
          </cell>
          <cell r="M2507" t="str">
            <v>CACI-INTERNATIONAL-INC-5273082/</v>
          </cell>
          <cell r="N2507" t="str">
            <v>CACI</v>
          </cell>
          <cell r="O2507" t="str">
            <v>CACI INTL-A</v>
          </cell>
          <cell r="P2507" t="str">
            <v>New York</v>
          </cell>
          <cell r="Q2507" t="str">
            <v>Information Technology</v>
          </cell>
          <cell r="R2507" t="str">
            <v>IT Services</v>
          </cell>
          <cell r="S2507" t="str">
            <v>CACI</v>
          </cell>
        </row>
        <row r="2508">
          <cell r="L2508" t="str">
            <v>CMD</v>
          </cell>
          <cell r="M2508" t="str">
            <v>CANTEL-MEDICAL-CORP-12112/</v>
          </cell>
          <cell r="N2508" t="str">
            <v>CMD</v>
          </cell>
          <cell r="O2508" t="str">
            <v>CANTEL MEDICAL</v>
          </cell>
          <cell r="P2508" t="str">
            <v>New York</v>
          </cell>
          <cell r="Q2508" t="str">
            <v>Health Care</v>
          </cell>
          <cell r="R2508" t="str">
            <v>Health Care Equipment &amp; Suppli</v>
          </cell>
          <cell r="S2508" t="str">
            <v>CMD</v>
          </cell>
        </row>
        <row r="2509">
          <cell r="L2509" t="str">
            <v>CSL</v>
          </cell>
          <cell r="M2509" t="str">
            <v>CARLISLE-COMPANIES-INC-12194/</v>
          </cell>
          <cell r="N2509" t="str">
            <v>CSL</v>
          </cell>
          <cell r="O2509" t="str">
            <v>CARLISLE COS INC</v>
          </cell>
          <cell r="P2509" t="str">
            <v>New York</v>
          </cell>
          <cell r="Q2509" t="str">
            <v>Industrials</v>
          </cell>
          <cell r="R2509" t="str">
            <v>Industrial Conglomerates</v>
          </cell>
          <cell r="S2509" t="str">
            <v>CSL</v>
          </cell>
        </row>
        <row r="2510">
          <cell r="L2510" t="str">
            <v>CVNA</v>
          </cell>
          <cell r="M2510" t="str">
            <v>CARVANA-CO-34658201/</v>
          </cell>
          <cell r="N2510" t="str">
            <v>CVNA</v>
          </cell>
          <cell r="O2510" t="str">
            <v>CARVANA CO</v>
          </cell>
          <cell r="P2510" t="str">
            <v>New York</v>
          </cell>
          <cell r="Q2510" t="str">
            <v>Consumer Discretionary</v>
          </cell>
          <cell r="R2510" t="str">
            <v>Specialty Retail</v>
          </cell>
          <cell r="S2510" t="str">
            <v>CVNA</v>
          </cell>
        </row>
        <row r="2511">
          <cell r="L2511" t="str">
            <v>CE</v>
          </cell>
          <cell r="M2511" t="str">
            <v>CELANESE-CORPORATION-12017/</v>
          </cell>
          <cell r="N2511" t="str">
            <v>CE</v>
          </cell>
          <cell r="O2511" t="str">
            <v>CELANESE CORP-A</v>
          </cell>
          <cell r="P2511" t="str">
            <v>New York</v>
          </cell>
          <cell r="Q2511" t="str">
            <v>Materials</v>
          </cell>
          <cell r="R2511" t="str">
            <v>Chemicals</v>
          </cell>
          <cell r="S2511" t="str">
            <v>CE</v>
          </cell>
        </row>
        <row r="2512">
          <cell r="L2512" t="str">
            <v>CDEV</v>
          </cell>
          <cell r="M2512" t="str">
            <v>CENTENNIAL-RESOURCE-DEVEL-31877736/</v>
          </cell>
          <cell r="N2512" t="str">
            <v>CDEV</v>
          </cell>
          <cell r="O2512" t="str">
            <v>CENTENNIAL RES-A</v>
          </cell>
          <cell r="P2512" t="str">
            <v>NASDAQ CM</v>
          </cell>
          <cell r="Q2512" t="str">
            <v>Energy</v>
          </cell>
          <cell r="R2512" t="str">
            <v>Oil, Gas &amp; Consumable Fuels</v>
          </cell>
          <cell r="S2512" t="str">
            <v>CDEV</v>
          </cell>
        </row>
        <row r="2513">
          <cell r="L2513" t="str">
            <v>CNP</v>
          </cell>
          <cell r="M2513" t="str">
            <v>CENTERPOINT-ENERGY-12964/</v>
          </cell>
          <cell r="N2513" t="str">
            <v>CNP</v>
          </cell>
          <cell r="O2513" t="str">
            <v>CENTERPOINT ENER</v>
          </cell>
          <cell r="P2513" t="str">
            <v>New York</v>
          </cell>
          <cell r="Q2513" t="str">
            <v>Utilities</v>
          </cell>
          <cell r="R2513" t="str">
            <v>Multi-Utilities</v>
          </cell>
          <cell r="S2513" t="str">
            <v>CNP</v>
          </cell>
        </row>
        <row r="2514">
          <cell r="L2514" t="str">
            <v>CHGG</v>
          </cell>
          <cell r="M2514" t="str">
            <v>CHEGG-INC-14850704/</v>
          </cell>
          <cell r="N2514" t="str">
            <v>CHGG</v>
          </cell>
          <cell r="O2514" t="str">
            <v>CHEGG INC</v>
          </cell>
          <cell r="P2514" t="str">
            <v>New York</v>
          </cell>
          <cell r="Q2514" t="str">
            <v>Consumer Discretionary</v>
          </cell>
          <cell r="R2514" t="str">
            <v>Diversified Consumer Services</v>
          </cell>
          <cell r="S2514" t="str">
            <v>CHGG</v>
          </cell>
        </row>
        <row r="2515">
          <cell r="L2515" t="str">
            <v>CHE</v>
          </cell>
          <cell r="M2515" t="str">
            <v>CHEMED-CORPORATION-14291/</v>
          </cell>
          <cell r="N2515" t="str">
            <v>CHE</v>
          </cell>
          <cell r="O2515" t="str">
            <v>CHEMED CORP</v>
          </cell>
          <cell r="P2515" t="str">
            <v>New York</v>
          </cell>
          <cell r="Q2515" t="str">
            <v>Health Care</v>
          </cell>
          <cell r="R2515" t="str">
            <v>Health Care Providers &amp; Servic</v>
          </cell>
          <cell r="S2515" t="str">
            <v>CHE</v>
          </cell>
        </row>
        <row r="2516">
          <cell r="L2516" t="str">
            <v>LNG</v>
          </cell>
          <cell r="M2516" t="str">
            <v>CHENIERE-ENERGY-INC-40449478/</v>
          </cell>
          <cell r="N2516" t="str">
            <v>LNG</v>
          </cell>
          <cell r="O2516" t="str">
            <v>CHENIERE ENERGY</v>
          </cell>
          <cell r="P2516" t="str">
            <v>NYSEAmerican</v>
          </cell>
          <cell r="Q2516" t="str">
            <v>Energy</v>
          </cell>
          <cell r="R2516" t="str">
            <v>Oil, Gas &amp; Consumable Fuels</v>
          </cell>
          <cell r="S2516" t="str">
            <v>LNG</v>
          </cell>
        </row>
        <row r="2517">
          <cell r="L2517" t="str">
            <v>CHK</v>
          </cell>
          <cell r="M2517" t="str">
            <v>CHESAPEAKE-ENERGY-CORPORA-12055/</v>
          </cell>
          <cell r="N2517" t="str">
            <v>CHK</v>
          </cell>
          <cell r="O2517" t="str">
            <v>CHESAPEAKE ENERG</v>
          </cell>
          <cell r="P2517" t="str">
            <v>New York</v>
          </cell>
          <cell r="Q2517" t="str">
            <v>Energy</v>
          </cell>
          <cell r="R2517" t="str">
            <v>Oil, Gas &amp; Consumable Fuels</v>
          </cell>
          <cell r="S2517" t="str">
            <v>CHK</v>
          </cell>
        </row>
        <row r="2518">
          <cell r="L2518" t="str">
            <v>CIM</v>
          </cell>
          <cell r="M2518" t="str">
            <v>CHIMERA-INVESTMENT-CORPOR-21494236/</v>
          </cell>
          <cell r="N2518" t="str">
            <v>CIM</v>
          </cell>
          <cell r="O2518" t="str">
            <v>CHIMERA INV CORP</v>
          </cell>
          <cell r="P2518" t="str">
            <v>New York</v>
          </cell>
          <cell r="Q2518" t="str">
            <v>Financials</v>
          </cell>
          <cell r="R2518" t="str">
            <v>Mortgage Real Estate Investmen</v>
          </cell>
          <cell r="S2518" t="str">
            <v>CIM</v>
          </cell>
        </row>
        <row r="2519">
          <cell r="L2519" t="str">
            <v>CHH</v>
          </cell>
          <cell r="M2519" t="str">
            <v>CHOICE-HOTELS-INTERNATION-12053/</v>
          </cell>
          <cell r="N2519" t="str">
            <v>CHH</v>
          </cell>
          <cell r="O2519" t="str">
            <v>CHOICE HOTELS</v>
          </cell>
          <cell r="P2519" t="str">
            <v>New York</v>
          </cell>
          <cell r="Q2519" t="str">
            <v>Consumer Discretionary</v>
          </cell>
          <cell r="R2519" t="str">
            <v>Hotels, Restaurants &amp; Leisure</v>
          </cell>
          <cell r="S2519" t="str">
            <v>CHH</v>
          </cell>
        </row>
        <row r="2520">
          <cell r="L2520" t="str">
            <v>CHDN</v>
          </cell>
          <cell r="M2520" t="str">
            <v>CHURCHILL-DOWNS-INC-8765/</v>
          </cell>
          <cell r="N2520" t="str">
            <v>CHDN</v>
          </cell>
          <cell r="O2520" t="str">
            <v>CHURCHILL DOWNS</v>
          </cell>
          <cell r="P2520" t="str">
            <v>NASDAQ GS</v>
          </cell>
          <cell r="Q2520" t="str">
            <v>Consumer Discretionary</v>
          </cell>
          <cell r="R2520" t="str">
            <v>Hotels, Restaurants &amp; Leisure</v>
          </cell>
          <cell r="S2520" t="str">
            <v>CHDN</v>
          </cell>
        </row>
        <row r="2521">
          <cell r="L2521" t="str">
            <v>CIEN</v>
          </cell>
          <cell r="M2521" t="str">
            <v>CIENA-CORPORATION-15311276/</v>
          </cell>
          <cell r="N2521" t="str">
            <v>CIEN</v>
          </cell>
          <cell r="O2521" t="str">
            <v>CIENA CORP</v>
          </cell>
          <cell r="P2521" t="str">
            <v>New York</v>
          </cell>
          <cell r="Q2521" t="str">
            <v>Information Technology</v>
          </cell>
          <cell r="R2521" t="str">
            <v>Communications Equipment</v>
          </cell>
          <cell r="S2521" t="str">
            <v>CIEN</v>
          </cell>
        </row>
        <row r="2522">
          <cell r="L2522" t="str">
            <v>CIT</v>
          </cell>
          <cell r="M2522" t="str">
            <v>CIT-GROUP-INC-12081/</v>
          </cell>
          <cell r="N2522" t="str">
            <v>CIT</v>
          </cell>
          <cell r="O2522" t="str">
            <v>CIT GROUP INC</v>
          </cell>
          <cell r="P2522" t="str">
            <v>New York</v>
          </cell>
          <cell r="Q2522" t="str">
            <v>Financials</v>
          </cell>
          <cell r="R2522" t="str">
            <v>Banks</v>
          </cell>
          <cell r="S2522" t="str">
            <v>CIT</v>
          </cell>
        </row>
        <row r="2523">
          <cell r="L2523" t="str">
            <v>CLF</v>
          </cell>
          <cell r="M2523" t="str">
            <v>CLEVELAND-CLIFFS-INC-37488524/</v>
          </cell>
          <cell r="N2523" t="str">
            <v>CLF</v>
          </cell>
          <cell r="O2523" t="str">
            <v>CLEVELAND-CLIFFS</v>
          </cell>
          <cell r="P2523" t="str">
            <v>New York</v>
          </cell>
          <cell r="Q2523" t="str">
            <v>Materials</v>
          </cell>
          <cell r="R2523" t="str">
            <v>Metals &amp; Mining</v>
          </cell>
          <cell r="S2523" t="str">
            <v>CLF</v>
          </cell>
        </row>
        <row r="2524">
          <cell r="L2524" t="str">
            <v>CNA</v>
          </cell>
          <cell r="M2524" t="str">
            <v>CNA-FINANCIAL-CORP-12125/</v>
          </cell>
          <cell r="N2524" t="str">
            <v>CNA</v>
          </cell>
          <cell r="O2524" t="str">
            <v>CNA FINL CORP</v>
          </cell>
          <cell r="P2524" t="str">
            <v>New York</v>
          </cell>
          <cell r="Q2524" t="str">
            <v>Financials</v>
          </cell>
          <cell r="R2524" t="str">
            <v>Insurance</v>
          </cell>
          <cell r="S2524" t="str">
            <v>CNA</v>
          </cell>
        </row>
        <row r="2525">
          <cell r="L2525" t="str">
            <v>CNO</v>
          </cell>
          <cell r="M2525" t="str">
            <v>CNO-FINANCIAL-GROUP-INC-12136/</v>
          </cell>
          <cell r="N2525" t="str">
            <v>CNO</v>
          </cell>
          <cell r="O2525" t="str">
            <v>CNO FINANCIAL GR</v>
          </cell>
          <cell r="P2525" t="str">
            <v>New York</v>
          </cell>
          <cell r="Q2525" t="str">
            <v>Financials</v>
          </cell>
          <cell r="R2525" t="str">
            <v>Insurance</v>
          </cell>
          <cell r="S2525" t="str">
            <v>CNO</v>
          </cell>
        </row>
        <row r="2526">
          <cell r="L2526" t="str">
            <v>CNX</v>
          </cell>
          <cell r="M2526" t="str">
            <v>CNX-RESOURCES-CORP-38879238/</v>
          </cell>
          <cell r="N2526" t="str">
            <v>CNX</v>
          </cell>
          <cell r="O2526" t="str">
            <v>CNX RESOURCES CO</v>
          </cell>
          <cell r="P2526" t="str">
            <v>New York</v>
          </cell>
          <cell r="Q2526" t="str">
            <v>Energy</v>
          </cell>
          <cell r="R2526" t="str">
            <v>Oil, Gas &amp; Consumable Fuels</v>
          </cell>
          <cell r="S2526" t="str">
            <v>CNX</v>
          </cell>
        </row>
        <row r="2527">
          <cell r="L2527" t="str">
            <v>CFX</v>
          </cell>
          <cell r="M2527" t="str">
            <v>COLFAX-CORP-3018404/</v>
          </cell>
          <cell r="N2527" t="str">
            <v>CFX</v>
          </cell>
          <cell r="O2527" t="str">
            <v>COLFAX CORP</v>
          </cell>
          <cell r="P2527" t="str">
            <v>New York</v>
          </cell>
          <cell r="Q2527" t="str">
            <v>Industrials</v>
          </cell>
          <cell r="R2527" t="str">
            <v>Machinery</v>
          </cell>
          <cell r="S2527" t="str">
            <v>CFX</v>
          </cell>
        </row>
        <row r="2528">
          <cell r="L2528" t="str">
            <v>COLB</v>
          </cell>
          <cell r="M2528" t="str">
            <v>COLUMBIA-BANKING-SYSTEM-I-8858/</v>
          </cell>
          <cell r="N2528" t="str">
            <v>COLB</v>
          </cell>
          <cell r="O2528" t="str">
            <v>COLUMBIA BANKING</v>
          </cell>
          <cell r="P2528" t="str">
            <v>NASDAQ GS</v>
          </cell>
          <cell r="Q2528" t="str">
            <v>Financials</v>
          </cell>
          <cell r="R2528" t="str">
            <v>Banks</v>
          </cell>
          <cell r="S2528" t="str">
            <v>COLB</v>
          </cell>
        </row>
        <row r="2529">
          <cell r="L2529" t="str">
            <v>CNDT</v>
          </cell>
          <cell r="M2529" t="str">
            <v>CONDUENT-INC-32683206/</v>
          </cell>
          <cell r="N2529" t="str">
            <v>CNDT</v>
          </cell>
          <cell r="O2529" t="str">
            <v>CONDUENT INC</v>
          </cell>
          <cell r="P2529" t="str">
            <v>New York</v>
          </cell>
          <cell r="Q2529" t="str">
            <v>Information Technology</v>
          </cell>
          <cell r="R2529" t="str">
            <v>IT Services</v>
          </cell>
          <cell r="S2529" t="str">
            <v>CNDT</v>
          </cell>
        </row>
        <row r="2530">
          <cell r="L2530" t="str">
            <v>ED</v>
          </cell>
          <cell r="M2530" t="str">
            <v>CONEDISON-12403/</v>
          </cell>
          <cell r="N2530" t="str">
            <v>ED</v>
          </cell>
          <cell r="O2530" t="str">
            <v>CONS EDISON INC</v>
          </cell>
          <cell r="P2530" t="str">
            <v>New York</v>
          </cell>
          <cell r="Q2530" t="str">
            <v>Utilities</v>
          </cell>
          <cell r="R2530" t="str">
            <v>Multi-Utilities</v>
          </cell>
          <cell r="S2530" t="str">
            <v>ED</v>
          </cell>
        </row>
        <row r="2531">
          <cell r="L2531" t="str">
            <v>CLR</v>
          </cell>
          <cell r="M2531" t="str">
            <v>CONTINENTAL-RESOURCES-IN-50470/</v>
          </cell>
          <cell r="N2531" t="str">
            <v>CLR</v>
          </cell>
          <cell r="O2531" t="str">
            <v>CONTL RES INC/OK</v>
          </cell>
          <cell r="P2531" t="str">
            <v>New York</v>
          </cell>
          <cell r="Q2531" t="str">
            <v>Energy</v>
          </cell>
          <cell r="R2531" t="str">
            <v>Oil, Gas &amp; Consumable Fuels</v>
          </cell>
          <cell r="S2531" t="str">
            <v>CLR</v>
          </cell>
        </row>
        <row r="2532">
          <cell r="L2532" t="str">
            <v>CPA</v>
          </cell>
          <cell r="M2532" t="str">
            <v>COPA-HOLDINGS-S-A-12153/</v>
          </cell>
          <cell r="N2532" t="str">
            <v>CPA</v>
          </cell>
          <cell r="O2532" t="str">
            <v>COPA HOLDIN-CL A</v>
          </cell>
          <cell r="P2532" t="str">
            <v>New York</v>
          </cell>
          <cell r="Q2532" t="str">
            <v>Industrials</v>
          </cell>
          <cell r="R2532" t="str">
            <v>Airlines</v>
          </cell>
          <cell r="S2532" t="str">
            <v>CPA</v>
          </cell>
        </row>
        <row r="2533">
          <cell r="L2533" t="str">
            <v>CLB</v>
          </cell>
          <cell r="M2533" t="str">
            <v>CORE-LABORATORIES-12090/</v>
          </cell>
          <cell r="N2533" t="str">
            <v>CLB</v>
          </cell>
          <cell r="O2533" t="str">
            <v>CORE LABS NV</v>
          </cell>
          <cell r="P2533" t="str">
            <v>New York</v>
          </cell>
          <cell r="Q2533" t="str">
            <v>Energy</v>
          </cell>
          <cell r="R2533" t="str">
            <v>Energy Equipment &amp; Services</v>
          </cell>
          <cell r="S2533" t="str">
            <v>CLB</v>
          </cell>
        </row>
        <row r="2534">
          <cell r="L2534" t="str">
            <v>CXW</v>
          </cell>
          <cell r="M2534" t="str">
            <v>CORECIVIC-INC-31837419/</v>
          </cell>
          <cell r="N2534" t="str">
            <v>CXW</v>
          </cell>
          <cell r="O2534" t="str">
            <v>CORECIVIC INC</v>
          </cell>
          <cell r="P2534" t="str">
            <v>New York</v>
          </cell>
          <cell r="Q2534" t="str">
            <v>Real Estate</v>
          </cell>
          <cell r="R2534" t="str">
            <v>Equity Real Estate Investment</v>
          </cell>
          <cell r="S2534" t="str">
            <v>CXW</v>
          </cell>
        </row>
        <row r="2535">
          <cell r="L2535" t="str">
            <v>CLGX</v>
          </cell>
          <cell r="M2535" t="str">
            <v>CORELOGIC-INC-6275906/</v>
          </cell>
          <cell r="N2535" t="str">
            <v>CLGX</v>
          </cell>
          <cell r="O2535" t="str">
            <v>CORELOGIC INC</v>
          </cell>
          <cell r="P2535" t="str">
            <v>New York</v>
          </cell>
          <cell r="Q2535" t="str">
            <v>Information Technology</v>
          </cell>
          <cell r="R2535" t="str">
            <v>IT Services</v>
          </cell>
          <cell r="S2535" t="str">
            <v>CLGX</v>
          </cell>
        </row>
        <row r="2536">
          <cell r="L2536" t="str">
            <v>COR</v>
          </cell>
          <cell r="M2536" t="str">
            <v>CORESITE-REALTY-CORP-6645638/</v>
          </cell>
          <cell r="N2536" t="str">
            <v>COR</v>
          </cell>
          <cell r="O2536" t="str">
            <v>CORESITE REALTY</v>
          </cell>
          <cell r="P2536" t="str">
            <v>New York</v>
          </cell>
          <cell r="Q2536" t="str">
            <v>Real Estate</v>
          </cell>
          <cell r="R2536" t="str">
            <v>Equity Real Estate Investment</v>
          </cell>
          <cell r="S2536" t="str">
            <v>COR</v>
          </cell>
        </row>
        <row r="2537">
          <cell r="L2537" t="str">
            <v>OFC</v>
          </cell>
          <cell r="M2537" t="str">
            <v>CORPORATE-OFFICE-PROPERTI-13881/</v>
          </cell>
          <cell r="N2537" t="str">
            <v>OFC</v>
          </cell>
          <cell r="O2537" t="str">
            <v>CORP OFFICE PROP</v>
          </cell>
          <cell r="P2537" t="str">
            <v>New York</v>
          </cell>
          <cell r="Q2537" t="str">
            <v>Real Estate</v>
          </cell>
          <cell r="R2537" t="str">
            <v>Equity Real Estate Investment</v>
          </cell>
          <cell r="S2537" t="str">
            <v>OFC</v>
          </cell>
        </row>
        <row r="2538">
          <cell r="L2538" t="str">
            <v>CR</v>
          </cell>
          <cell r="M2538" t="str">
            <v>CRANE-CO-12169/</v>
          </cell>
          <cell r="N2538" t="str">
            <v>CR</v>
          </cell>
          <cell r="O2538" t="str">
            <v>CRANE CO</v>
          </cell>
          <cell r="P2538" t="str">
            <v>New York</v>
          </cell>
          <cell r="Q2538" t="str">
            <v>Industrials</v>
          </cell>
          <cell r="R2538" t="str">
            <v>Machinery</v>
          </cell>
          <cell r="S2538" t="str">
            <v>CR</v>
          </cell>
        </row>
        <row r="2539">
          <cell r="L2539" t="str">
            <v>CREE</v>
          </cell>
          <cell r="M2539" t="str">
            <v>CREE-INC-8892/</v>
          </cell>
          <cell r="N2539" t="str">
            <v>CREE</v>
          </cell>
          <cell r="O2539" t="str">
            <v>CREE INC</v>
          </cell>
          <cell r="P2539" t="str">
            <v>NASDAQ GS</v>
          </cell>
          <cell r="Q2539" t="str">
            <v>Information Technology</v>
          </cell>
          <cell r="R2539" t="str">
            <v>Semiconductors &amp; Semiconductor</v>
          </cell>
          <cell r="S2539" t="str">
            <v>CREE</v>
          </cell>
        </row>
        <row r="2540">
          <cell r="L2540" t="str">
            <v>CCK</v>
          </cell>
          <cell r="M2540" t="str">
            <v>CROWN-HOLDINGS-INC-12002/</v>
          </cell>
          <cell r="N2540" t="str">
            <v>CCK</v>
          </cell>
          <cell r="O2540" t="str">
            <v>CROWN HOLDINGS I</v>
          </cell>
          <cell r="P2540" t="str">
            <v>New York</v>
          </cell>
          <cell r="Q2540" t="str">
            <v>Materials</v>
          </cell>
          <cell r="R2540" t="str">
            <v>Containers &amp; Packaging</v>
          </cell>
          <cell r="S2540" t="str">
            <v>CCK</v>
          </cell>
        </row>
        <row r="2541">
          <cell r="L2541" t="str">
            <v>CUBE</v>
          </cell>
          <cell r="M2541" t="str">
            <v>CUBESMART-9069822/</v>
          </cell>
          <cell r="N2541" t="str">
            <v>CUBE</v>
          </cell>
          <cell r="O2541" t="str">
            <v>CUBESMART</v>
          </cell>
          <cell r="P2541" t="str">
            <v>New York</v>
          </cell>
          <cell r="Q2541" t="str">
            <v>Real Estate</v>
          </cell>
          <cell r="R2541" t="str">
            <v>Equity Real Estate Investment</v>
          </cell>
          <cell r="S2541" t="str">
            <v>CUBE</v>
          </cell>
        </row>
        <row r="2542">
          <cell r="L2542" t="str">
            <v>CFR</v>
          </cell>
          <cell r="M2542" t="str">
            <v>CULLEN-FROST-BANKERS-INC-12035/</v>
          </cell>
          <cell r="N2542" t="str">
            <v>CFR</v>
          </cell>
          <cell r="O2542" t="str">
            <v>CULLEN/FROST</v>
          </cell>
          <cell r="P2542" t="str">
            <v>New York</v>
          </cell>
          <cell r="Q2542" t="str">
            <v>Financials</v>
          </cell>
          <cell r="R2542" t="str">
            <v>Banks</v>
          </cell>
          <cell r="S2542" t="str">
            <v>CFR</v>
          </cell>
        </row>
        <row r="2543">
          <cell r="L2543" t="str">
            <v>CW</v>
          </cell>
          <cell r="M2543" t="str">
            <v>CURTISS-WRIGHT-CORP-12232/</v>
          </cell>
          <cell r="N2543" t="str">
            <v>CW</v>
          </cell>
          <cell r="O2543" t="str">
            <v>CURTISS-WRIGHT</v>
          </cell>
          <cell r="P2543" t="str">
            <v>New York</v>
          </cell>
          <cell r="Q2543" t="str">
            <v>Industrials</v>
          </cell>
          <cell r="R2543" t="str">
            <v>Aerospace &amp; Defense</v>
          </cell>
          <cell r="S2543" t="str">
            <v>CW</v>
          </cell>
        </row>
        <row r="2544">
          <cell r="L2544" t="str">
            <v>DAR</v>
          </cell>
          <cell r="M2544" t="str">
            <v>DARLING-INGREDIENTS-INC-64712/</v>
          </cell>
          <cell r="N2544" t="str">
            <v>DAR</v>
          </cell>
          <cell r="O2544" t="str">
            <v>DARLING INGREDIE</v>
          </cell>
          <cell r="P2544" t="str">
            <v>New York</v>
          </cell>
          <cell r="Q2544" t="str">
            <v>Consumer Staples</v>
          </cell>
          <cell r="R2544" t="str">
            <v>Food Products</v>
          </cell>
          <cell r="S2544" t="str">
            <v>DAR</v>
          </cell>
        </row>
        <row r="2545">
          <cell r="L2545" t="str">
            <v>DECK</v>
          </cell>
          <cell r="M2545" t="str">
            <v>DECKERS-OUTDOOR-CORP-16402770/</v>
          </cell>
          <cell r="N2545" t="str">
            <v>DECK</v>
          </cell>
          <cell r="O2545" t="str">
            <v>DECKERS OUTDOOR</v>
          </cell>
          <cell r="P2545" t="str">
            <v>New York</v>
          </cell>
          <cell r="Q2545" t="str">
            <v>Consumer Discretionary</v>
          </cell>
          <cell r="R2545" t="str">
            <v>Textiles, Apparel &amp; Luxury Goo</v>
          </cell>
          <cell r="S2545" t="str">
            <v>DECK</v>
          </cell>
        </row>
        <row r="2546">
          <cell r="L2546" t="str">
            <v>DK</v>
          </cell>
          <cell r="M2546" t="str">
            <v>DELEK-US-HOLDINGS-INC-36738049/</v>
          </cell>
          <cell r="N2546" t="str">
            <v>DK</v>
          </cell>
          <cell r="O2546" t="str">
            <v>DELEK US HOLDING</v>
          </cell>
          <cell r="P2546" t="str">
            <v>New York</v>
          </cell>
          <cell r="Q2546" t="str">
            <v>Energy</v>
          </cell>
          <cell r="R2546" t="str">
            <v>Oil, Gas &amp; Consumable Fuels</v>
          </cell>
          <cell r="S2546" t="str">
            <v>DK</v>
          </cell>
        </row>
        <row r="2547">
          <cell r="L2547" t="str">
            <v>DLPH</v>
          </cell>
          <cell r="M2547" t="str">
            <v>DELPHI-TECHNOLOGIES-PLC-38934416/</v>
          </cell>
          <cell r="N2547" t="str">
            <v>DLPH</v>
          </cell>
          <cell r="O2547" t="str">
            <v>DELPHI TECHNOLOG</v>
          </cell>
          <cell r="P2547" t="str">
            <v>New York</v>
          </cell>
          <cell r="Q2547" t="str">
            <v>Consumer Discretionary</v>
          </cell>
          <cell r="R2547" t="str">
            <v>Auto Components</v>
          </cell>
          <cell r="S2547" t="str">
            <v>DLPH</v>
          </cell>
        </row>
        <row r="2548">
          <cell r="L2548" t="str">
            <v>DKS</v>
          </cell>
          <cell r="M2548" t="str">
            <v>DICKS-SPORTING-GOODS-INC-12310/</v>
          </cell>
          <cell r="N2548" t="str">
            <v>DKS</v>
          </cell>
          <cell r="O2548" t="str">
            <v>DICK'S SPORTING</v>
          </cell>
          <cell r="P2548" t="str">
            <v>New York</v>
          </cell>
          <cell r="Q2548" t="str">
            <v>Consumer Discretionary</v>
          </cell>
          <cell r="R2548" t="str">
            <v>Specialty Retail</v>
          </cell>
          <cell r="S2548" t="str">
            <v>DKS</v>
          </cell>
        </row>
        <row r="2549">
          <cell r="L2549" t="str">
            <v>DISCA</v>
          </cell>
          <cell r="M2549" t="str">
            <v>DISCOVERY-INC-9015/</v>
          </cell>
          <cell r="N2549" t="str">
            <v>DISCA</v>
          </cell>
          <cell r="O2549" t="str">
            <v>DISCOVERY INC -</v>
          </cell>
          <cell r="P2549" t="str">
            <v>NASDAQ GS</v>
          </cell>
          <cell r="Q2549" t="str">
            <v>Consumer Discretionary</v>
          </cell>
          <cell r="R2549" t="str">
            <v>Media</v>
          </cell>
          <cell r="S2549" t="str">
            <v>DISCA</v>
          </cell>
        </row>
        <row r="2550">
          <cell r="L2550" t="str">
            <v>DLB</v>
          </cell>
          <cell r="M2550" t="str">
            <v>DOLBY-LABORATORIES-INC-12317/</v>
          </cell>
          <cell r="N2550" t="str">
            <v>DLB</v>
          </cell>
          <cell r="O2550" t="str">
            <v>DOLBY LABORATO-A</v>
          </cell>
          <cell r="P2550" t="str">
            <v>New York</v>
          </cell>
          <cell r="Q2550" t="str">
            <v>Information Technology</v>
          </cell>
          <cell r="R2550" t="str">
            <v>Electronic Equipment, Instrume</v>
          </cell>
          <cell r="S2550" t="str">
            <v>DLB</v>
          </cell>
        </row>
        <row r="2551">
          <cell r="L2551" t="str">
            <v>DLTR</v>
          </cell>
          <cell r="M2551" t="str">
            <v>DOLLAR-TREE-4868/</v>
          </cell>
          <cell r="N2551" t="str">
            <v>DLTR</v>
          </cell>
          <cell r="O2551" t="str">
            <v>DOLLAR TREE INC</v>
          </cell>
          <cell r="P2551" t="str">
            <v>NASDAQ GS</v>
          </cell>
          <cell r="Q2551" t="str">
            <v>Consumer Discretionary</v>
          </cell>
          <cell r="R2551" t="str">
            <v>Multiline Retail</v>
          </cell>
          <cell r="S2551" t="str">
            <v>DLTR</v>
          </cell>
        </row>
        <row r="2552">
          <cell r="L2552" t="str">
            <v>DPZ</v>
          </cell>
          <cell r="M2552" t="str">
            <v>DOMINO-S-PIZZA-INC-12338/</v>
          </cell>
          <cell r="N2552" t="str">
            <v>DPZ</v>
          </cell>
          <cell r="O2552" t="str">
            <v>DOMINO'S PIZZA</v>
          </cell>
          <cell r="P2552" t="str">
            <v>New York</v>
          </cell>
          <cell r="Q2552" t="str">
            <v>Consumer Discretionary</v>
          </cell>
          <cell r="R2552" t="str">
            <v>Hotels, Restaurants &amp; Leisure</v>
          </cell>
          <cell r="S2552" t="str">
            <v>DPZ</v>
          </cell>
        </row>
        <row r="2553">
          <cell r="L2553" t="str">
            <v>UFS</v>
          </cell>
          <cell r="M2553" t="str">
            <v>DOMTAR-CORP-USA-12367/</v>
          </cell>
          <cell r="N2553" t="str">
            <v>UFS</v>
          </cell>
          <cell r="O2553" t="str">
            <v>DOMTAR CORP</v>
          </cell>
          <cell r="P2553" t="str">
            <v>New York</v>
          </cell>
          <cell r="Q2553" t="str">
            <v>Materials</v>
          </cell>
          <cell r="R2553" t="str">
            <v>Paper &amp; Forest Products</v>
          </cell>
          <cell r="S2553" t="str">
            <v>UFS</v>
          </cell>
        </row>
        <row r="2554">
          <cell r="L2554" t="str">
            <v>DCI</v>
          </cell>
          <cell r="M2554" t="str">
            <v>DONALDSON-COMPANY-INC-12262/</v>
          </cell>
          <cell r="N2554" t="str">
            <v>DCI</v>
          </cell>
          <cell r="O2554" t="str">
            <v>DONALDSON CO INC</v>
          </cell>
          <cell r="P2554" t="str">
            <v>New York</v>
          </cell>
          <cell r="Q2554" t="str">
            <v>Industrials</v>
          </cell>
          <cell r="R2554" t="str">
            <v>Machinery</v>
          </cell>
          <cell r="S2554" t="str">
            <v>DCI</v>
          </cell>
        </row>
        <row r="2555">
          <cell r="L2555" t="str">
            <v>DEI</v>
          </cell>
          <cell r="M2555" t="str">
            <v>DOUGLAS-EMMETT-INC-35352/</v>
          </cell>
          <cell r="N2555" t="str">
            <v>DEI</v>
          </cell>
          <cell r="O2555" t="str">
            <v>DOUGLAS EMMETT</v>
          </cell>
          <cell r="P2555" t="str">
            <v>New York</v>
          </cell>
          <cell r="Q2555" t="str">
            <v>Real Estate</v>
          </cell>
          <cell r="R2555" t="str">
            <v>Equity Real Estate Investment</v>
          </cell>
          <cell r="S2555" t="str">
            <v>DEI</v>
          </cell>
        </row>
        <row r="2556">
          <cell r="L2556" t="str">
            <v>DRE</v>
          </cell>
          <cell r="M2556" t="str">
            <v>DUKE-REALTY-CORPORATION-40311149/</v>
          </cell>
          <cell r="N2556" t="str">
            <v>DRE</v>
          </cell>
          <cell r="O2556" t="str">
            <v>DUKE REALTY CORP</v>
          </cell>
          <cell r="P2556" t="str">
            <v>New York</v>
          </cell>
          <cell r="Q2556" t="str">
            <v>Real Estate</v>
          </cell>
          <cell r="R2556" t="str">
            <v>Equity Real Estate Investment</v>
          </cell>
          <cell r="S2556" t="str">
            <v>DRE</v>
          </cell>
        </row>
        <row r="2557">
          <cell r="L2557" t="str">
            <v>DNB</v>
          </cell>
          <cell r="M2557" t="str">
            <v>DUN-BRADSTREET-CORP-12260/</v>
          </cell>
          <cell r="N2557" t="str">
            <v>DNB</v>
          </cell>
          <cell r="O2557" t="str">
            <v>DUN &amp; BRADSTREET</v>
          </cell>
          <cell r="P2557" t="str">
            <v>New York</v>
          </cell>
          <cell r="Q2557" t="str">
            <v>Industrials</v>
          </cell>
          <cell r="R2557" t="str">
            <v>Professional Services</v>
          </cell>
          <cell r="S2557" t="str">
            <v>DNB</v>
          </cell>
        </row>
        <row r="2558">
          <cell r="L2558" t="str">
            <v>EGP</v>
          </cell>
          <cell r="M2558" t="str">
            <v>EASTGROUP-PROPERTIES-INC-12428/</v>
          </cell>
          <cell r="N2558" t="str">
            <v>EGP</v>
          </cell>
          <cell r="O2558" t="str">
            <v>EASTGROUP PROP</v>
          </cell>
          <cell r="P2558" t="str">
            <v>New York</v>
          </cell>
          <cell r="Q2558" t="str">
            <v>Real Estate</v>
          </cell>
          <cell r="R2558" t="str">
            <v>Equity Real Estate Investment</v>
          </cell>
          <cell r="S2558" t="str">
            <v>EGP</v>
          </cell>
        </row>
        <row r="2559">
          <cell r="L2559" t="str">
            <v>EV</v>
          </cell>
          <cell r="M2559" t="str">
            <v>EATON-VANCE-CORP-12515/</v>
          </cell>
          <cell r="N2559" t="str">
            <v>EV</v>
          </cell>
          <cell r="O2559" t="str">
            <v>EATON VANCE CORP</v>
          </cell>
          <cell r="P2559" t="str">
            <v>New York</v>
          </cell>
          <cell r="Q2559" t="str">
            <v>Financials</v>
          </cell>
          <cell r="R2559" t="str">
            <v>Capital Markets</v>
          </cell>
          <cell r="S2559" t="str">
            <v>EV</v>
          </cell>
        </row>
        <row r="2560">
          <cell r="L2560" t="str">
            <v>EDR</v>
          </cell>
          <cell r="M2560" t="str">
            <v>EDUCATION-REALTY-TRUST-I-18727032/</v>
          </cell>
          <cell r="N2560" t="str">
            <v>EDR</v>
          </cell>
          <cell r="O2560" t="str">
            <v>EDUCATION REALTY</v>
          </cell>
          <cell r="P2560" t="str">
            <v>New York</v>
          </cell>
          <cell r="Q2560" t="str">
            <v>Real Estate</v>
          </cell>
          <cell r="R2560" t="str">
            <v>Equity Real Estate Investment</v>
          </cell>
          <cell r="S2560" t="str">
            <v>EDR</v>
          </cell>
        </row>
        <row r="2561">
          <cell r="L2561" t="str">
            <v>ELLI</v>
          </cell>
          <cell r="M2561" t="str">
            <v>ELLIE-MAE-INC-7769670/</v>
          </cell>
          <cell r="N2561" t="str">
            <v>ELLI</v>
          </cell>
          <cell r="O2561" t="str">
            <v>ELLIE MAE INC</v>
          </cell>
          <cell r="P2561" t="str">
            <v>New York</v>
          </cell>
          <cell r="Q2561" t="str">
            <v>Information Technology</v>
          </cell>
          <cell r="R2561" t="str">
            <v>Software</v>
          </cell>
          <cell r="S2561" t="str">
            <v>ELLI</v>
          </cell>
        </row>
        <row r="2562">
          <cell r="L2562" t="str">
            <v>EME</v>
          </cell>
          <cell r="M2562" t="str">
            <v>EMCOR-GROUP-INC-12447/</v>
          </cell>
          <cell r="N2562" t="str">
            <v>EME</v>
          </cell>
          <cell r="O2562" t="str">
            <v>EMCOR GROUP INC</v>
          </cell>
          <cell r="P2562" t="str">
            <v>New York</v>
          </cell>
          <cell r="Q2562" t="str">
            <v>Industrials</v>
          </cell>
          <cell r="R2562" t="str">
            <v>Construction &amp; Engineering</v>
          </cell>
          <cell r="S2562" t="str">
            <v>EME</v>
          </cell>
        </row>
        <row r="2563">
          <cell r="L2563" t="str">
            <v>EHC</v>
          </cell>
          <cell r="M2563" t="str">
            <v>ENCOMPASS-HEALTH-CORP-39742680/</v>
          </cell>
          <cell r="N2563" t="str">
            <v>EHC</v>
          </cell>
          <cell r="O2563" t="str">
            <v>ENCOMPASS HEALTH</v>
          </cell>
          <cell r="P2563" t="str">
            <v>New York</v>
          </cell>
          <cell r="Q2563" t="str">
            <v>Health Care</v>
          </cell>
          <cell r="R2563" t="str">
            <v>Health Care Providers &amp; Servic</v>
          </cell>
          <cell r="S2563" t="str">
            <v>EHC</v>
          </cell>
        </row>
        <row r="2564">
          <cell r="L2564" t="str">
            <v>ENR</v>
          </cell>
          <cell r="M2564" t="str">
            <v>ENERGIZER-HOLDINGS-INC-22881466/</v>
          </cell>
          <cell r="N2564" t="str">
            <v>ENR</v>
          </cell>
          <cell r="O2564" t="str">
            <v>ENERGIZER HOLDIN</v>
          </cell>
          <cell r="P2564" t="str">
            <v>New York</v>
          </cell>
          <cell r="Q2564" t="str">
            <v>Consumer Staples</v>
          </cell>
          <cell r="R2564" t="str">
            <v>Household Products</v>
          </cell>
          <cell r="S2564" t="str">
            <v>ENR</v>
          </cell>
        </row>
        <row r="2565">
          <cell r="L2565" t="str">
            <v>ENS</v>
          </cell>
          <cell r="M2565" t="str">
            <v>ENERSYS-12464/</v>
          </cell>
          <cell r="N2565" t="str">
            <v>ENS</v>
          </cell>
          <cell r="O2565" t="str">
            <v>ENERSYS</v>
          </cell>
          <cell r="P2565" t="str">
            <v>New York</v>
          </cell>
          <cell r="Q2565" t="str">
            <v>Industrials</v>
          </cell>
          <cell r="R2565" t="str">
            <v>Electrical Equipment</v>
          </cell>
          <cell r="S2565" t="str">
            <v>ENS</v>
          </cell>
        </row>
        <row r="2566">
          <cell r="L2566" t="str">
            <v>EPAM</v>
          </cell>
          <cell r="M2566" t="str">
            <v>EPAM-SYSTEMS-INC-9943549/</v>
          </cell>
          <cell r="N2566" t="str">
            <v>EPAM</v>
          </cell>
          <cell r="O2566" t="str">
            <v>EPAM SYSTEMS INC</v>
          </cell>
          <cell r="P2566" t="str">
            <v>New York</v>
          </cell>
          <cell r="Q2566" t="str">
            <v>Information Technology</v>
          </cell>
          <cell r="R2566" t="str">
            <v>IT Services</v>
          </cell>
          <cell r="S2566" t="str">
            <v>EPAM</v>
          </cell>
        </row>
        <row r="2567">
          <cell r="L2567" t="str">
            <v>EPR</v>
          </cell>
          <cell r="M2567" t="str">
            <v>EPR-PROPERTIES-11908370/</v>
          </cell>
          <cell r="N2567" t="str">
            <v>EPR</v>
          </cell>
          <cell r="O2567" t="str">
            <v>EPR PROPERTIES</v>
          </cell>
          <cell r="P2567" t="str">
            <v>New York</v>
          </cell>
          <cell r="Q2567" t="str">
            <v>Real Estate</v>
          </cell>
          <cell r="R2567" t="str">
            <v>Equity Real Estate Investment</v>
          </cell>
          <cell r="S2567" t="str">
            <v>EPR</v>
          </cell>
        </row>
        <row r="2568">
          <cell r="L2568" t="str">
            <v>EQC</v>
          </cell>
          <cell r="M2568" t="str">
            <v>EQUITY-COMMONWEALTH-17093677/</v>
          </cell>
          <cell r="N2568" t="str">
            <v>EQC</v>
          </cell>
          <cell r="O2568" t="str">
            <v>EQUITY COMMONWEA</v>
          </cell>
          <cell r="P2568" t="str">
            <v>New York</v>
          </cell>
          <cell r="Q2568" t="str">
            <v>Real Estate</v>
          </cell>
          <cell r="R2568" t="str">
            <v>Equity Real Estate Investment</v>
          </cell>
          <cell r="S2568" t="str">
            <v>EQC</v>
          </cell>
        </row>
        <row r="2569">
          <cell r="L2569" t="str">
            <v>ELS</v>
          </cell>
          <cell r="M2569" t="str">
            <v>EQUITY-LIFESTYLE-PROPERTI-12442/</v>
          </cell>
          <cell r="N2569" t="str">
            <v>ELS</v>
          </cell>
          <cell r="O2569" t="str">
            <v>EQUITY LIFESTYLE</v>
          </cell>
          <cell r="P2569" t="str">
            <v>New York</v>
          </cell>
          <cell r="Q2569" t="str">
            <v>Real Estate</v>
          </cell>
          <cell r="R2569" t="str">
            <v>Equity Real Estate Investment</v>
          </cell>
          <cell r="S2569" t="str">
            <v>ELS</v>
          </cell>
        </row>
        <row r="2570">
          <cell r="L2570" t="str">
            <v>ERIC</v>
          </cell>
          <cell r="M2570" t="str">
            <v>TELEFONAKTIEBOLAGET-LM-ER-4938/</v>
          </cell>
          <cell r="N2570" t="str">
            <v>ERIC</v>
          </cell>
          <cell r="O2570" t="str">
            <v>ERICSSON LM-ADR</v>
          </cell>
          <cell r="P2570" t="str">
            <v>NASDAQ GS</v>
          </cell>
          <cell r="Q2570" t="str">
            <v>Information Technology</v>
          </cell>
          <cell r="R2570" t="str">
            <v>Communications Equipment</v>
          </cell>
          <cell r="S2570" t="str">
            <v>ERIC</v>
          </cell>
        </row>
        <row r="2571">
          <cell r="L2571" t="str">
            <v>EVR</v>
          </cell>
          <cell r="M2571" t="str">
            <v>EVERCORE-INC-30993/</v>
          </cell>
          <cell r="N2571" t="str">
            <v>EVR</v>
          </cell>
          <cell r="O2571" t="str">
            <v>EVERCORE INC</v>
          </cell>
          <cell r="P2571" t="str">
            <v>New York</v>
          </cell>
          <cell r="Q2571" t="str">
            <v>Financials</v>
          </cell>
          <cell r="R2571" t="str">
            <v>Capital Markets</v>
          </cell>
          <cell r="S2571" t="str">
            <v>EVR</v>
          </cell>
        </row>
        <row r="2572">
          <cell r="L2572" t="str">
            <v>EXPD</v>
          </cell>
          <cell r="M2572" t="str">
            <v>EXPEDITORS-INTERNATIONAL-4900/</v>
          </cell>
          <cell r="N2572" t="str">
            <v>EXPD</v>
          </cell>
          <cell r="O2572" t="str">
            <v>EXPEDITORS INTL</v>
          </cell>
          <cell r="P2572" t="str">
            <v>NASDAQ GS</v>
          </cell>
          <cell r="Q2572" t="str">
            <v>Industrials</v>
          </cell>
          <cell r="R2572" t="str">
            <v>Air Freight &amp; Logistics</v>
          </cell>
          <cell r="S2572" t="str">
            <v>EXPD</v>
          </cell>
        </row>
        <row r="2573">
          <cell r="L2573" t="str">
            <v>FDS</v>
          </cell>
          <cell r="M2573" t="str">
            <v>FACTSET-RESEARCH-SYSTEMS-12584/</v>
          </cell>
          <cell r="N2573" t="str">
            <v>FDS</v>
          </cell>
          <cell r="O2573" t="str">
            <v>FACTSET RESEARCH</v>
          </cell>
          <cell r="P2573" t="str">
            <v>New York</v>
          </cell>
          <cell r="Q2573" t="str">
            <v>Financials</v>
          </cell>
          <cell r="R2573" t="str">
            <v>Capital Markets</v>
          </cell>
          <cell r="S2573" t="str">
            <v>FDS</v>
          </cell>
        </row>
        <row r="2574">
          <cell r="L2574" t="str">
            <v>FICO</v>
          </cell>
          <cell r="M2574" t="str">
            <v>FAIR-ISAAC-CORPORATION-5523345/</v>
          </cell>
          <cell r="N2574" t="str">
            <v>FICO</v>
          </cell>
          <cell r="O2574" t="str">
            <v>FAIR ISAAC CORP</v>
          </cell>
          <cell r="P2574" t="str">
            <v>New York</v>
          </cell>
          <cell r="Q2574" t="str">
            <v>Information Technology</v>
          </cell>
          <cell r="R2574" t="str">
            <v>Software</v>
          </cell>
          <cell r="S2574" t="str">
            <v>FICO</v>
          </cell>
        </row>
        <row r="2575">
          <cell r="L2575" t="str">
            <v>FRT</v>
          </cell>
          <cell r="M2575" t="str">
            <v>FEDERAL-REALTY-INVESTMENT-12673/</v>
          </cell>
          <cell r="N2575" t="str">
            <v>FRT</v>
          </cell>
          <cell r="O2575" t="str">
            <v>FED REALTY INVS</v>
          </cell>
          <cell r="P2575" t="str">
            <v>New York</v>
          </cell>
          <cell r="Q2575" t="str">
            <v>Real Estate</v>
          </cell>
          <cell r="R2575" t="str">
            <v>Equity Real Estate Investment</v>
          </cell>
          <cell r="S2575" t="str">
            <v>FRT</v>
          </cell>
        </row>
        <row r="2576">
          <cell r="L2576" t="str">
            <v>FAF</v>
          </cell>
          <cell r="M2576" t="str">
            <v>FIRST-AMERICAN-FINANCIAL-12546/</v>
          </cell>
          <cell r="N2576" t="str">
            <v>FAF</v>
          </cell>
          <cell r="O2576" t="str">
            <v>FIRST AMERICAN F</v>
          </cell>
          <cell r="P2576" t="str">
            <v>New York</v>
          </cell>
          <cell r="Q2576" t="str">
            <v>Financials</v>
          </cell>
          <cell r="R2576" t="str">
            <v>Insurance</v>
          </cell>
          <cell r="S2576" t="str">
            <v>FAF</v>
          </cell>
        </row>
        <row r="2577">
          <cell r="L2577" t="str">
            <v>FFBC</v>
          </cell>
          <cell r="M2577" t="str">
            <v>FIRST-FINANCIAL-BANCORP-9282/</v>
          </cell>
          <cell r="N2577" t="str">
            <v>FFBC</v>
          </cell>
          <cell r="O2577" t="str">
            <v>FIRST FIN BANCRP</v>
          </cell>
          <cell r="P2577" t="str">
            <v>NASDAQ GS</v>
          </cell>
          <cell r="Q2577" t="str">
            <v>Financials</v>
          </cell>
          <cell r="R2577" t="str">
            <v>Banks</v>
          </cell>
          <cell r="S2577" t="str">
            <v>FFBC</v>
          </cell>
        </row>
        <row r="2578">
          <cell r="L2578" t="str">
            <v>FFIN</v>
          </cell>
          <cell r="M2578" t="str">
            <v>FIRST-FINANCIAL-BANKSHARE-9294/</v>
          </cell>
          <cell r="N2578" t="str">
            <v>FFIN</v>
          </cell>
          <cell r="O2578" t="str">
            <v>FIRST FIN BANKSH</v>
          </cell>
          <cell r="P2578" t="str">
            <v>NASDAQ GS</v>
          </cell>
          <cell r="Q2578" t="str">
            <v>Financials</v>
          </cell>
          <cell r="R2578" t="str">
            <v>Banks</v>
          </cell>
          <cell r="S2578" t="str">
            <v>FFIN</v>
          </cell>
        </row>
        <row r="2579">
          <cell r="L2579" t="str">
            <v>FHB</v>
          </cell>
          <cell r="M2579" t="str">
            <v>FIRST-HAWAIIAN-INC-30432305/</v>
          </cell>
          <cell r="N2579" t="str">
            <v>FHB</v>
          </cell>
          <cell r="O2579" t="str">
            <v>FIRST HAWAIIA</v>
          </cell>
          <cell r="P2579" t="str">
            <v>NASDAQ GS</v>
          </cell>
          <cell r="Q2579" t="str">
            <v>Financials</v>
          </cell>
          <cell r="R2579" t="str">
            <v>Banks</v>
          </cell>
          <cell r="S2579" t="str">
            <v>FHB</v>
          </cell>
        </row>
        <row r="2580">
          <cell r="L2580" t="str">
            <v>FHN</v>
          </cell>
          <cell r="M2580" t="str">
            <v>FIRST-HORIZON-NATIONAL-CO-12693/</v>
          </cell>
          <cell r="N2580" t="str">
            <v>FHN</v>
          </cell>
          <cell r="O2580" t="str">
            <v>FIRST HORIZON NA</v>
          </cell>
          <cell r="P2580" t="str">
            <v>New York</v>
          </cell>
          <cell r="Q2580" t="str">
            <v>Financials</v>
          </cell>
          <cell r="R2580" t="str">
            <v>Banks</v>
          </cell>
          <cell r="S2580" t="str">
            <v>FHN</v>
          </cell>
        </row>
        <row r="2581">
          <cell r="L2581" t="str">
            <v>FR</v>
          </cell>
          <cell r="M2581" t="str">
            <v>FIRST-INDUSTRIAL-REALTY-T-12677/</v>
          </cell>
          <cell r="N2581" t="str">
            <v>FR</v>
          </cell>
          <cell r="O2581" t="str">
            <v>FIRST IND REALTY</v>
          </cell>
          <cell r="P2581" t="str">
            <v>New York</v>
          </cell>
          <cell r="Q2581" t="str">
            <v>Real Estate</v>
          </cell>
          <cell r="R2581" t="str">
            <v>Equity Real Estate Investment</v>
          </cell>
          <cell r="S2581" t="str">
            <v>FR</v>
          </cell>
        </row>
        <row r="2582">
          <cell r="L2582" t="str">
            <v>FRC</v>
          </cell>
          <cell r="M2582" t="str">
            <v>FIRST-REPUBLIC-BANK-6971337/</v>
          </cell>
          <cell r="N2582" t="str">
            <v>FRC</v>
          </cell>
          <cell r="O2582" t="str">
            <v>FIRST REPUBLIC B</v>
          </cell>
          <cell r="P2582" t="str">
            <v>New York</v>
          </cell>
          <cell r="Q2582" t="str">
            <v>Financials</v>
          </cell>
          <cell r="R2582" t="str">
            <v>Banks</v>
          </cell>
          <cell r="S2582" t="str">
            <v>FRC</v>
          </cell>
        </row>
        <row r="2583">
          <cell r="L2583" t="str">
            <v>FSLR</v>
          </cell>
          <cell r="M2583" t="str">
            <v>FIRST-SOLAR-INC-37008/</v>
          </cell>
          <cell r="N2583" t="str">
            <v>FSLR</v>
          </cell>
          <cell r="O2583" t="str">
            <v>FIRST SOLAR INC</v>
          </cell>
          <cell r="P2583" t="str">
            <v>NASDAQ GS</v>
          </cell>
          <cell r="Q2583" t="str">
            <v>Information Technology</v>
          </cell>
          <cell r="R2583" t="str">
            <v>Semiconductors &amp; Semiconductor</v>
          </cell>
          <cell r="S2583" t="str">
            <v>FSLR</v>
          </cell>
        </row>
        <row r="2584">
          <cell r="L2584" t="str">
            <v>FCFS</v>
          </cell>
          <cell r="M2584" t="str">
            <v>FIRSTCASH-INC-31206694/</v>
          </cell>
          <cell r="N2584" t="str">
            <v>FCFS</v>
          </cell>
          <cell r="O2584" t="str">
            <v>FIRSTCASH INC</v>
          </cell>
          <cell r="P2584" t="str">
            <v>New York</v>
          </cell>
          <cell r="Q2584" t="str">
            <v>Financials</v>
          </cell>
          <cell r="R2584" t="str">
            <v>Consumer Finance</v>
          </cell>
          <cell r="S2584" t="str">
            <v>FCFS</v>
          </cell>
        </row>
        <row r="2585">
          <cell r="L2585" t="str">
            <v>FE</v>
          </cell>
          <cell r="M2585" t="str">
            <v>FIRSTENERGY-CORPORATION-12586/</v>
          </cell>
          <cell r="N2585" t="str">
            <v>FE</v>
          </cell>
          <cell r="O2585" t="str">
            <v>FIRSTENERGY CORP</v>
          </cell>
          <cell r="P2585" t="str">
            <v>New York</v>
          </cell>
          <cell r="Q2585" t="str">
            <v>Utilities</v>
          </cell>
          <cell r="R2585" t="str">
            <v>Electric Utilities</v>
          </cell>
          <cell r="S2585" t="str">
            <v>FE</v>
          </cell>
        </row>
        <row r="2586">
          <cell r="L2586" t="str">
            <v>FSV</v>
          </cell>
          <cell r="M2586" t="str">
            <v>FIRSTSERVICE-CORP-22337013/</v>
          </cell>
          <cell r="N2586" t="str">
            <v>FSV</v>
          </cell>
          <cell r="O2586" t="str">
            <v>FIRSTSERVICE-WI</v>
          </cell>
          <cell r="P2586" t="str">
            <v>NASDAQ GS</v>
          </cell>
          <cell r="Q2586" t="str">
            <v>Real Estate</v>
          </cell>
          <cell r="R2586" t="str">
            <v>Real Estate Management &amp; Devel</v>
          </cell>
          <cell r="S2586" t="str">
            <v>FSV</v>
          </cell>
        </row>
        <row r="2587">
          <cell r="L2587" t="str">
            <v>FND</v>
          </cell>
          <cell r="M2587" t="str">
            <v>FLOOR-DECOR-HOLDINGS-IN-34676171/</v>
          </cell>
          <cell r="N2587" t="str">
            <v>FND</v>
          </cell>
          <cell r="O2587" t="str">
            <v>FLOOR &amp; DECOR-A</v>
          </cell>
          <cell r="P2587" t="str">
            <v>New York</v>
          </cell>
          <cell r="Q2587" t="str">
            <v>Consumer Discretionary</v>
          </cell>
          <cell r="R2587" t="str">
            <v>Specialty Retail</v>
          </cell>
          <cell r="S2587" t="str">
            <v>FND</v>
          </cell>
        </row>
        <row r="2588">
          <cell r="L2588" t="str">
            <v>FNB</v>
          </cell>
          <cell r="M2588" t="str">
            <v>F-N-B-CORP-12627/</v>
          </cell>
          <cell r="N2588" t="str">
            <v>FNB</v>
          </cell>
          <cell r="O2588" t="str">
            <v>FNB CORP</v>
          </cell>
          <cell r="P2588" t="str">
            <v>New York</v>
          </cell>
          <cell r="Q2588" t="str">
            <v>Financials</v>
          </cell>
          <cell r="R2588" t="str">
            <v>Banks</v>
          </cell>
          <cell r="S2588" t="str">
            <v>FNB</v>
          </cell>
        </row>
        <row r="2589">
          <cell r="L2589" t="str">
            <v>FNF</v>
          </cell>
          <cell r="M2589" t="str">
            <v>FIDELITY-NATIONAL-FINANCI-16751516/</v>
          </cell>
          <cell r="N2589" t="str">
            <v>FNF</v>
          </cell>
          <cell r="O2589" t="str">
            <v>FNF GROUP</v>
          </cell>
          <cell r="P2589" t="str">
            <v>New York</v>
          </cell>
          <cell r="Q2589" t="str">
            <v>Financials</v>
          </cell>
          <cell r="R2589" t="str">
            <v>Insurance</v>
          </cell>
          <cell r="S2589" t="str">
            <v>FNF</v>
          </cell>
        </row>
        <row r="2590">
          <cell r="L2590" t="str">
            <v>FTNT</v>
          </cell>
          <cell r="M2590" t="str">
            <v>FORTINET-INC-5716262/</v>
          </cell>
          <cell r="N2590" t="str">
            <v>FTNT</v>
          </cell>
          <cell r="O2590" t="str">
            <v>FORTINET INC</v>
          </cell>
          <cell r="P2590" t="str">
            <v>NASDAQ GS</v>
          </cell>
          <cell r="Q2590" t="str">
            <v>Information Technology</v>
          </cell>
          <cell r="R2590" t="str">
            <v>Software</v>
          </cell>
          <cell r="S2590" t="str">
            <v>FTNT</v>
          </cell>
        </row>
        <row r="2591">
          <cell r="L2591" t="str">
            <v>GDI</v>
          </cell>
          <cell r="M2591" t="str">
            <v>GARDNER-DENVER-HOLDINGS-I-34837589/</v>
          </cell>
          <cell r="N2591" t="str">
            <v>GDI</v>
          </cell>
          <cell r="O2591" t="str">
            <v>GARDNER DENVER H</v>
          </cell>
          <cell r="P2591" t="str">
            <v>New York</v>
          </cell>
          <cell r="Q2591" t="str">
            <v>Industrials</v>
          </cell>
          <cell r="R2591" t="str">
            <v>Machinery</v>
          </cell>
          <cell r="S2591" t="str">
            <v>GDI</v>
          </cell>
        </row>
        <row r="2592">
          <cell r="L2592" t="str">
            <v>GTES</v>
          </cell>
          <cell r="M2592" t="str">
            <v>GATES-INDUSTRIAL-CORP-PLC-40311490/</v>
          </cell>
          <cell r="N2592" t="str">
            <v>GTES</v>
          </cell>
          <cell r="O2592" t="str">
            <v>GATES INDUSTRIAL</v>
          </cell>
          <cell r="P2592" t="str">
            <v>New York</v>
          </cell>
          <cell r="Q2592" t="str">
            <v>Industrials</v>
          </cell>
          <cell r="R2592" t="str">
            <v>Machinery</v>
          </cell>
          <cell r="S2592" t="str">
            <v>GTES</v>
          </cell>
        </row>
        <row r="2593">
          <cell r="L2593" t="str">
            <v>GATX</v>
          </cell>
          <cell r="M2593" t="str">
            <v>GATX-CORPORATION-12796/</v>
          </cell>
          <cell r="N2593" t="str">
            <v>GATX</v>
          </cell>
          <cell r="O2593" t="str">
            <v>GATX CORP</v>
          </cell>
          <cell r="P2593" t="str">
            <v>New York</v>
          </cell>
          <cell r="Q2593" t="str">
            <v>Industrials</v>
          </cell>
          <cell r="R2593" t="str">
            <v>Trading Companies &amp; Distributo</v>
          </cell>
          <cell r="S2593" t="str">
            <v>GATX</v>
          </cell>
        </row>
        <row r="2594">
          <cell r="L2594" t="str">
            <v>GNRC</v>
          </cell>
          <cell r="M2594" t="str">
            <v>GENERAC-HOLDINGS-INC-5948156/</v>
          </cell>
          <cell r="N2594" t="str">
            <v>GNRC</v>
          </cell>
          <cell r="O2594" t="str">
            <v>GENERAC HOLDINGS</v>
          </cell>
          <cell r="P2594" t="str">
            <v>New York</v>
          </cell>
          <cell r="Q2594" t="str">
            <v>Industrials</v>
          </cell>
          <cell r="R2594" t="str">
            <v>Electrical Equipment</v>
          </cell>
          <cell r="S2594" t="str">
            <v>GNRC</v>
          </cell>
        </row>
        <row r="2595">
          <cell r="L2595" t="str">
            <v>GD</v>
          </cell>
          <cell r="M2595" t="str">
            <v>GENERAL-DYNAMICS-12723/</v>
          </cell>
          <cell r="N2595" t="str">
            <v>GD</v>
          </cell>
          <cell r="O2595" t="str">
            <v>GENERAL DYNAMICS</v>
          </cell>
          <cell r="P2595" t="str">
            <v>New York</v>
          </cell>
          <cell r="Q2595" t="str">
            <v>Industrials</v>
          </cell>
          <cell r="R2595" t="str">
            <v>Aerospace &amp; Defense</v>
          </cell>
          <cell r="S2595" t="str">
            <v>GD</v>
          </cell>
        </row>
        <row r="2596">
          <cell r="L2596" t="str">
            <v>GWR</v>
          </cell>
          <cell r="M2596" t="str">
            <v>GENESEE-WYOMING-INC-12857/</v>
          </cell>
          <cell r="N2596" t="str">
            <v>GWR</v>
          </cell>
          <cell r="O2596" t="str">
            <v>GENESEE &amp; WYOMIN</v>
          </cell>
          <cell r="P2596" t="str">
            <v>New York</v>
          </cell>
          <cell r="Q2596" t="str">
            <v>Industrials</v>
          </cell>
          <cell r="R2596" t="str">
            <v>Road &amp; Rail</v>
          </cell>
          <cell r="S2596" t="str">
            <v>GWR</v>
          </cell>
        </row>
        <row r="2597">
          <cell r="L2597" t="str">
            <v>G</v>
          </cell>
          <cell r="M2597" t="str">
            <v>GENPACT-LIMITED-57248/</v>
          </cell>
          <cell r="N2597" t="str">
            <v>G</v>
          </cell>
          <cell r="O2597" t="str">
            <v>GENPACT LTD</v>
          </cell>
          <cell r="P2597" t="str">
            <v>New York</v>
          </cell>
          <cell r="Q2597" t="str">
            <v>Information Technology</v>
          </cell>
          <cell r="R2597" t="str">
            <v>IT Services</v>
          </cell>
          <cell r="S2597" t="str">
            <v>G</v>
          </cell>
        </row>
        <row r="2598">
          <cell r="L2598" t="str">
            <v>GEO</v>
          </cell>
          <cell r="M2598" t="str">
            <v>THE-GEO-GROUP-INC-16970422/</v>
          </cell>
          <cell r="N2598" t="str">
            <v>GEO</v>
          </cell>
          <cell r="O2598" t="str">
            <v>GEO GROUP INC/TH</v>
          </cell>
          <cell r="P2598" t="str">
            <v>New York</v>
          </cell>
          <cell r="Q2598" t="str">
            <v>Real Estate</v>
          </cell>
          <cell r="R2598" t="str">
            <v>Equity Real Estate Investment</v>
          </cell>
          <cell r="S2598" t="str">
            <v>GEO</v>
          </cell>
        </row>
        <row r="2599">
          <cell r="L2599" t="str">
            <v>GMED</v>
          </cell>
          <cell r="M2599" t="str">
            <v>GLOBUS-MEDICAL-INC-11196209/</v>
          </cell>
          <cell r="N2599" t="str">
            <v>GMED</v>
          </cell>
          <cell r="O2599" t="str">
            <v>GLOBUS MEDICAL I</v>
          </cell>
          <cell r="P2599" t="str">
            <v>New York</v>
          </cell>
          <cell r="Q2599" t="str">
            <v>Health Care</v>
          </cell>
          <cell r="R2599" t="str">
            <v>Health Care Equipment &amp; Suppli</v>
          </cell>
          <cell r="S2599" t="str">
            <v>GMED</v>
          </cell>
        </row>
        <row r="2600">
          <cell r="L2600" t="str">
            <v>GDDY</v>
          </cell>
          <cell r="M2600" t="str">
            <v>GODADDY-INC-21452893/</v>
          </cell>
          <cell r="N2600" t="str">
            <v>GDDY</v>
          </cell>
          <cell r="O2600" t="str">
            <v>GODADDY INC-A</v>
          </cell>
          <cell r="P2600" t="str">
            <v>New York</v>
          </cell>
          <cell r="Q2600" t="str">
            <v>Information Technology</v>
          </cell>
          <cell r="R2600" t="str">
            <v>Internet Software &amp; Services</v>
          </cell>
          <cell r="S2600" t="str">
            <v>GDDY</v>
          </cell>
        </row>
        <row r="2601">
          <cell r="L2601" t="str">
            <v>GGG</v>
          </cell>
          <cell r="M2601" t="str">
            <v>GRACO-INC-12752/</v>
          </cell>
          <cell r="N2601" t="str">
            <v>GGG</v>
          </cell>
          <cell r="O2601" t="str">
            <v>GRACO INC</v>
          </cell>
          <cell r="P2601" t="str">
            <v>New York</v>
          </cell>
          <cell r="Q2601" t="str">
            <v>Industrials</v>
          </cell>
          <cell r="R2601" t="str">
            <v>Machinery</v>
          </cell>
          <cell r="S2601" t="str">
            <v>GGG</v>
          </cell>
        </row>
        <row r="2602">
          <cell r="L2602" t="str">
            <v>GDOT</v>
          </cell>
          <cell r="M2602" t="str">
            <v>GREEN-DOT-CORPORATION-6424125/</v>
          </cell>
          <cell r="N2602" t="str">
            <v>GDOT</v>
          </cell>
          <cell r="O2602" t="str">
            <v>GREEN DOT CORP-A</v>
          </cell>
          <cell r="P2602" t="str">
            <v>New York</v>
          </cell>
          <cell r="Q2602" t="str">
            <v>Financials</v>
          </cell>
          <cell r="R2602" t="str">
            <v>Consumer Finance</v>
          </cell>
          <cell r="S2602" t="str">
            <v>GDOT</v>
          </cell>
        </row>
        <row r="2603">
          <cell r="L2603" t="str">
            <v>GRUB</v>
          </cell>
          <cell r="M2603" t="str">
            <v>GRUBHUB-INC-16166418/</v>
          </cell>
          <cell r="N2603" t="str">
            <v>GRUB</v>
          </cell>
          <cell r="O2603" t="str">
            <v>GRUBHUB INC</v>
          </cell>
          <cell r="P2603" t="str">
            <v>New York</v>
          </cell>
          <cell r="Q2603" t="str">
            <v>Information Technology</v>
          </cell>
          <cell r="R2603" t="str">
            <v>Internet Software &amp; Services</v>
          </cell>
          <cell r="S2603" t="str">
            <v>GRUB</v>
          </cell>
        </row>
        <row r="2604">
          <cell r="L2604" t="str">
            <v>GWRE</v>
          </cell>
          <cell r="M2604" t="str">
            <v>GUIDEWIRE-SOFTWARE-INC-9828944/</v>
          </cell>
          <cell r="N2604" t="str">
            <v>GWRE</v>
          </cell>
          <cell r="O2604" t="str">
            <v>GUIDEWIRE SOFTWA</v>
          </cell>
          <cell r="P2604" t="str">
            <v>New York</v>
          </cell>
          <cell r="Q2604" t="str">
            <v>Information Technology</v>
          </cell>
          <cell r="R2604" t="str">
            <v>Software</v>
          </cell>
          <cell r="S2604" t="str">
            <v>GWRE</v>
          </cell>
        </row>
        <row r="2605">
          <cell r="L2605" t="str">
            <v>HAE</v>
          </cell>
          <cell r="M2605" t="str">
            <v>HAEMONETICS-CORPORATION-12870/</v>
          </cell>
          <cell r="N2605" t="str">
            <v>HAE</v>
          </cell>
          <cell r="O2605" t="str">
            <v>HAEMONETICS CORP</v>
          </cell>
          <cell r="P2605" t="str">
            <v>New York</v>
          </cell>
          <cell r="Q2605" t="str">
            <v>Health Care</v>
          </cell>
          <cell r="R2605" t="str">
            <v>Health Care Equipment &amp; Suppli</v>
          </cell>
          <cell r="S2605" t="str">
            <v>HAE</v>
          </cell>
        </row>
        <row r="2606">
          <cell r="L2606" t="str">
            <v>THG</v>
          </cell>
          <cell r="M2606" t="str">
            <v>HANOVER-INSURANCE-GROUP-I-11552/</v>
          </cell>
          <cell r="N2606" t="str">
            <v>THG</v>
          </cell>
          <cell r="O2606" t="str">
            <v>HANOVER INSURANC</v>
          </cell>
          <cell r="P2606" t="str">
            <v>New York</v>
          </cell>
          <cell r="Q2606" t="str">
            <v>Financials</v>
          </cell>
          <cell r="R2606" t="str">
            <v>Insurance</v>
          </cell>
          <cell r="S2606" t="str">
            <v>THG</v>
          </cell>
        </row>
        <row r="2607">
          <cell r="L2607" t="str">
            <v>HR</v>
          </cell>
          <cell r="M2607" t="str">
            <v>HEALTHCARE-REALTY-TRUST-I-12974/</v>
          </cell>
          <cell r="N2607" t="str">
            <v>HR</v>
          </cell>
          <cell r="O2607" t="str">
            <v>HEALTHCARE RLTY</v>
          </cell>
          <cell r="P2607" t="str">
            <v>New York</v>
          </cell>
          <cell r="Q2607" t="str">
            <v>Real Estate</v>
          </cell>
          <cell r="R2607" t="str">
            <v>Equity Real Estate Investment</v>
          </cell>
          <cell r="S2607" t="str">
            <v>HR</v>
          </cell>
        </row>
        <row r="2608">
          <cell r="L2608" t="str">
            <v>HCSG</v>
          </cell>
          <cell r="M2608" t="str">
            <v>HEALTHCARE-SERVICES-GROUP-9526/</v>
          </cell>
          <cell r="N2608" t="str">
            <v>HCSG</v>
          </cell>
          <cell r="O2608" t="str">
            <v>HEALTHCARE SERVS</v>
          </cell>
          <cell r="P2608" t="str">
            <v>NASDAQ GS</v>
          </cell>
          <cell r="Q2608" t="str">
            <v>Industrials</v>
          </cell>
          <cell r="R2608" t="str">
            <v>Commercial Services &amp; Supplies</v>
          </cell>
          <cell r="S2608" t="str">
            <v>HCSG</v>
          </cell>
        </row>
        <row r="2609">
          <cell r="L2609" t="str">
            <v>HQY</v>
          </cell>
          <cell r="M2609" t="str">
            <v>HEALTHEQUITY-INC-17039506/</v>
          </cell>
          <cell r="N2609" t="str">
            <v>HQY</v>
          </cell>
          <cell r="O2609" t="str">
            <v>HEALTHEQUITY INC</v>
          </cell>
          <cell r="P2609" t="str">
            <v>NASDAQ GS</v>
          </cell>
          <cell r="Q2609" t="str">
            <v>Health Care</v>
          </cell>
          <cell r="R2609" t="str">
            <v>Health Care Providers &amp; Servic</v>
          </cell>
          <cell r="S2609" t="str">
            <v>HQY</v>
          </cell>
        </row>
        <row r="2610">
          <cell r="L2610" t="str">
            <v>HEI</v>
          </cell>
          <cell r="M2610" t="str">
            <v>HEICO-CORP-12898/</v>
          </cell>
          <cell r="N2610" t="str">
            <v>HEI</v>
          </cell>
          <cell r="O2610" t="str">
            <v>HEICO CORP</v>
          </cell>
          <cell r="P2610" t="str">
            <v>New York</v>
          </cell>
          <cell r="Q2610" t="str">
            <v>Industrials</v>
          </cell>
          <cell r="R2610" t="str">
            <v>Aerospace &amp; Defense</v>
          </cell>
          <cell r="S2610" t="str">
            <v>HEI</v>
          </cell>
        </row>
        <row r="2611">
          <cell r="L2611" t="str">
            <v>HLF</v>
          </cell>
          <cell r="M2611" t="str">
            <v>HERBALIFE-NUTRITION-LTD-12938/</v>
          </cell>
          <cell r="N2611" t="str">
            <v>HLF</v>
          </cell>
          <cell r="O2611" t="str">
            <v>HERBALIFE NUTRIT</v>
          </cell>
          <cell r="P2611" t="str">
            <v>New York</v>
          </cell>
          <cell r="Q2611" t="str">
            <v>Consumer Staples</v>
          </cell>
          <cell r="R2611" t="str">
            <v>Personal Products</v>
          </cell>
          <cell r="S2611" t="str">
            <v>HLF</v>
          </cell>
        </row>
        <row r="2612">
          <cell r="L2612" t="str">
            <v>HXL</v>
          </cell>
          <cell r="M2612" t="str">
            <v>HEXCEL-CORPORATION-13006/</v>
          </cell>
          <cell r="N2612" t="str">
            <v>HXL</v>
          </cell>
          <cell r="O2612" t="str">
            <v>HEXCEL CORP</v>
          </cell>
          <cell r="P2612" t="str">
            <v>New York</v>
          </cell>
          <cell r="Q2612" t="str">
            <v>Industrials</v>
          </cell>
          <cell r="R2612" t="str">
            <v>Aerospace &amp; Defense</v>
          </cell>
          <cell r="S2612" t="str">
            <v>HXL</v>
          </cell>
        </row>
        <row r="2613">
          <cell r="L2613" t="str">
            <v>HIW</v>
          </cell>
          <cell r="M2613" t="str">
            <v>HIGHWOODS-PROPERTIES-INC-12919/</v>
          </cell>
          <cell r="N2613" t="str">
            <v>HIW</v>
          </cell>
          <cell r="O2613" t="str">
            <v>HIGHWOODS PROP</v>
          </cell>
          <cell r="P2613" t="str">
            <v>New York</v>
          </cell>
          <cell r="Q2613" t="str">
            <v>Real Estate</v>
          </cell>
          <cell r="R2613" t="str">
            <v>Equity Real Estate Investment</v>
          </cell>
          <cell r="S2613" t="str">
            <v>HIW</v>
          </cell>
        </row>
        <row r="2614">
          <cell r="L2614" t="str">
            <v>HI</v>
          </cell>
          <cell r="M2614" t="str">
            <v>HILLENBRAND-INC-2307040/</v>
          </cell>
          <cell r="N2614" t="str">
            <v>HI</v>
          </cell>
          <cell r="O2614" t="str">
            <v>HILLENBRAND INC</v>
          </cell>
          <cell r="P2614" t="str">
            <v>New York</v>
          </cell>
          <cell r="Q2614" t="str">
            <v>Industrials</v>
          </cell>
          <cell r="R2614" t="str">
            <v>Machinery</v>
          </cell>
          <cell r="S2614" t="str">
            <v>HI</v>
          </cell>
        </row>
        <row r="2615">
          <cell r="L2615" t="str">
            <v>HRC</v>
          </cell>
          <cell r="M2615" t="str">
            <v>HILL-ROM-HOLDINGS-INC-2935091/</v>
          </cell>
          <cell r="N2615" t="str">
            <v>HRC</v>
          </cell>
          <cell r="O2615" t="str">
            <v>HILL-ROM HOLDING</v>
          </cell>
          <cell r="P2615" t="str">
            <v>New York</v>
          </cell>
          <cell r="Q2615" t="str">
            <v>Health Care</v>
          </cell>
          <cell r="R2615" t="str">
            <v>Health Care Equipment &amp; Suppli</v>
          </cell>
          <cell r="S2615" t="str">
            <v>HRC</v>
          </cell>
        </row>
        <row r="2616">
          <cell r="L2616" t="str">
            <v>HGV</v>
          </cell>
          <cell r="M2616" t="str">
            <v>HILTON-WORLDWIDE-HOLDINGS-33339322/</v>
          </cell>
          <cell r="N2616" t="str">
            <v>HGV</v>
          </cell>
          <cell r="O2616" t="str">
            <v>HILTON GRAND VAC</v>
          </cell>
          <cell r="P2616" t="str">
            <v>New York</v>
          </cell>
          <cell r="Q2616" t="str">
            <v>Consumer Discretionary</v>
          </cell>
          <cell r="R2616" t="str">
            <v>Hotels, Restaurants &amp; Leisure</v>
          </cell>
          <cell r="S2616" t="str">
            <v>HGV</v>
          </cell>
        </row>
        <row r="2617">
          <cell r="L2617" t="str">
            <v>HOMB</v>
          </cell>
          <cell r="M2617" t="str">
            <v>HOME-BANCSHARES-INC-17522/</v>
          </cell>
          <cell r="N2617" t="str">
            <v>HOMB</v>
          </cell>
          <cell r="O2617" t="str">
            <v>HOME BANCSHARES</v>
          </cell>
          <cell r="P2617" t="str">
            <v>NASDAQ GS</v>
          </cell>
          <cell r="Q2617" t="str">
            <v>Financials</v>
          </cell>
          <cell r="R2617" t="str">
            <v>Banks</v>
          </cell>
          <cell r="S2617" t="str">
            <v>HOMB</v>
          </cell>
        </row>
        <row r="2618">
          <cell r="L2618" t="str">
            <v>HLI</v>
          </cell>
          <cell r="M2618" t="str">
            <v>HOULIHAN-LOKEY-INC-23332226/</v>
          </cell>
          <cell r="N2618" t="str">
            <v>HLI</v>
          </cell>
          <cell r="O2618" t="str">
            <v>HOULIHAN LOKEY I</v>
          </cell>
          <cell r="P2618" t="str">
            <v>New York</v>
          </cell>
          <cell r="Q2618" t="str">
            <v>Financials</v>
          </cell>
          <cell r="R2618" t="str">
            <v>Capital Markets</v>
          </cell>
          <cell r="S2618" t="str">
            <v>HLI</v>
          </cell>
        </row>
        <row r="2619">
          <cell r="L2619" t="str">
            <v>HHC</v>
          </cell>
          <cell r="M2619" t="str">
            <v>HOWARD-HUGHES-CORP-6860634/</v>
          </cell>
          <cell r="N2619" t="str">
            <v>HHC</v>
          </cell>
          <cell r="O2619" t="str">
            <v>HOWARD HUGHE</v>
          </cell>
          <cell r="P2619" t="str">
            <v>New York</v>
          </cell>
          <cell r="Q2619" t="str">
            <v>Real Estate</v>
          </cell>
          <cell r="R2619" t="str">
            <v>Real Estate Management &amp; Devel</v>
          </cell>
          <cell r="S2619" t="str">
            <v>HHC</v>
          </cell>
        </row>
        <row r="2620">
          <cell r="L2620" t="str">
            <v>HUBB</v>
          </cell>
          <cell r="M2620" t="str">
            <v>HUBBELL-INCORPORATED-25531608/</v>
          </cell>
          <cell r="N2620" t="str">
            <v>HUBB</v>
          </cell>
          <cell r="O2620" t="str">
            <v>HUBBELL INC</v>
          </cell>
          <cell r="P2620" t="str">
            <v>New York</v>
          </cell>
          <cell r="Q2620" t="str">
            <v>Industrials</v>
          </cell>
          <cell r="R2620" t="str">
            <v>Electrical Equipment</v>
          </cell>
          <cell r="S2620" t="str">
            <v>HUBB</v>
          </cell>
        </row>
        <row r="2621">
          <cell r="L2621" t="str">
            <v>HUBS</v>
          </cell>
          <cell r="M2621" t="str">
            <v>HUBSPOT-INC-45166580/</v>
          </cell>
          <cell r="N2621" t="str">
            <v>HUBS</v>
          </cell>
          <cell r="O2621" t="str">
            <v>HUBSPOT INC</v>
          </cell>
          <cell r="P2621" t="str">
            <v>New York</v>
          </cell>
          <cell r="Q2621" t="str">
            <v>Information Technology</v>
          </cell>
          <cell r="R2621" t="str">
            <v>Software</v>
          </cell>
          <cell r="S2621" t="str">
            <v>HUBS</v>
          </cell>
        </row>
        <row r="2622">
          <cell r="L2622" t="str">
            <v>HPP</v>
          </cell>
          <cell r="M2622" t="str">
            <v>HUDSON-PACIFIC-PROPERTIES-6337610/</v>
          </cell>
          <cell r="N2622" t="str">
            <v>HPP</v>
          </cell>
          <cell r="O2622" t="str">
            <v>HUDSON PACIFIC P</v>
          </cell>
          <cell r="P2622" t="str">
            <v>New York</v>
          </cell>
          <cell r="Q2622" t="str">
            <v>Real Estate</v>
          </cell>
          <cell r="R2622" t="str">
            <v>Equity Real Estate Investment</v>
          </cell>
          <cell r="S2622" t="str">
            <v>HPP</v>
          </cell>
        </row>
        <row r="2623">
          <cell r="L2623" t="str">
            <v>HII</v>
          </cell>
          <cell r="M2623" t="str">
            <v>HUNTINGTON-INGALLS-INDUST-7642101/</v>
          </cell>
          <cell r="N2623" t="str">
            <v>HII</v>
          </cell>
          <cell r="O2623" t="str">
            <v>HUNTINGTON INGAL</v>
          </cell>
          <cell r="P2623" t="str">
            <v>New York</v>
          </cell>
          <cell r="Q2623" t="str">
            <v>Industrials</v>
          </cell>
          <cell r="R2623" t="str">
            <v>Aerospace &amp; Defense</v>
          </cell>
          <cell r="S2623" t="str">
            <v>HII</v>
          </cell>
        </row>
        <row r="2624">
          <cell r="L2624" t="str">
            <v>HUN</v>
          </cell>
          <cell r="M2624" t="str">
            <v>HUNTSMAN-CORPORATION-13001/</v>
          </cell>
          <cell r="N2624" t="str">
            <v>HUN</v>
          </cell>
          <cell r="O2624" t="str">
            <v>HUNTSMAN CORP</v>
          </cell>
          <cell r="P2624" t="str">
            <v>New York</v>
          </cell>
          <cell r="Q2624" t="str">
            <v>Materials</v>
          </cell>
          <cell r="R2624" t="str">
            <v>Chemicals</v>
          </cell>
          <cell r="S2624" t="str">
            <v>HUN</v>
          </cell>
        </row>
        <row r="2625">
          <cell r="L2625" t="str">
            <v>HCM</v>
          </cell>
          <cell r="M2625" t="str">
            <v>HUTCHISON-CHINA-MEDITECH-26786463/</v>
          </cell>
          <cell r="N2625" t="str">
            <v>HCM</v>
          </cell>
          <cell r="O2625" t="str">
            <v>HUTCHISON CH-ADR</v>
          </cell>
          <cell r="P2625" t="str">
            <v>NASDAQ GS</v>
          </cell>
          <cell r="Q2625" t="str">
            <v>Health Care</v>
          </cell>
          <cell r="R2625" t="str">
            <v>Pharmaceuticals</v>
          </cell>
          <cell r="S2625" t="str">
            <v>HCM</v>
          </cell>
        </row>
        <row r="2626">
          <cell r="L2626" t="str">
            <v>H</v>
          </cell>
          <cell r="M2626" t="str">
            <v>HYATT-HOTELS-CORPORATION-5685450/</v>
          </cell>
          <cell r="N2626" t="str">
            <v>H</v>
          </cell>
          <cell r="O2626" t="str">
            <v>HYATT HOTELS-A</v>
          </cell>
          <cell r="P2626" t="str">
            <v>New York</v>
          </cell>
          <cell r="Q2626" t="str">
            <v>Consumer Discretionary</v>
          </cell>
          <cell r="R2626" t="str">
            <v>Hotels, Restaurants &amp; Leisure</v>
          </cell>
          <cell r="S2626" t="str">
            <v>H</v>
          </cell>
        </row>
        <row r="2627">
          <cell r="L2627" t="str">
            <v>IDA</v>
          </cell>
          <cell r="M2627" t="str">
            <v>IDACORP-INC-13036/</v>
          </cell>
          <cell r="N2627" t="str">
            <v>IDA</v>
          </cell>
          <cell r="O2627" t="str">
            <v>IDACORP INC</v>
          </cell>
          <cell r="P2627" t="str">
            <v>New York</v>
          </cell>
          <cell r="Q2627" t="str">
            <v>Utilities</v>
          </cell>
          <cell r="R2627" t="str">
            <v>Electric Utilities</v>
          </cell>
          <cell r="S2627" t="str">
            <v>IDA</v>
          </cell>
        </row>
        <row r="2628">
          <cell r="L2628" t="str">
            <v>IEX</v>
          </cell>
          <cell r="M2628" t="str">
            <v>IDEX-CORPORATION-13044/</v>
          </cell>
          <cell r="N2628" t="str">
            <v>IEX</v>
          </cell>
          <cell r="O2628" t="str">
            <v>IDEX CORP</v>
          </cell>
          <cell r="P2628" t="str">
            <v>New York</v>
          </cell>
          <cell r="Q2628" t="str">
            <v>Industrials</v>
          </cell>
          <cell r="R2628" t="str">
            <v>Machinery</v>
          </cell>
          <cell r="S2628" t="str">
            <v>IEX</v>
          </cell>
        </row>
        <row r="2629">
          <cell r="L2629" t="str">
            <v>NGVT</v>
          </cell>
          <cell r="M2629" t="str">
            <v>INGEVITY-CORP-27724049/</v>
          </cell>
          <cell r="N2629" t="str">
            <v>NGVT</v>
          </cell>
          <cell r="O2629" t="str">
            <v>INGEVITY CORP</v>
          </cell>
          <cell r="P2629" t="str">
            <v>New York</v>
          </cell>
          <cell r="Q2629" t="str">
            <v>Materials</v>
          </cell>
          <cell r="R2629" t="str">
            <v>Chemicals</v>
          </cell>
          <cell r="S2629" t="str">
            <v>NGVT</v>
          </cell>
        </row>
        <row r="2630">
          <cell r="L2630" t="str">
            <v>NSP</v>
          </cell>
          <cell r="M2630" t="str">
            <v>INSPERITY-INC-7549422/</v>
          </cell>
          <cell r="N2630" t="str">
            <v>NSP</v>
          </cell>
          <cell r="O2630" t="str">
            <v>INSPERITY INC</v>
          </cell>
          <cell r="P2630" t="str">
            <v>New York</v>
          </cell>
          <cell r="Q2630" t="str">
            <v>Industrials</v>
          </cell>
          <cell r="R2630" t="str">
            <v>Professional Services</v>
          </cell>
          <cell r="S2630" t="str">
            <v>NSP</v>
          </cell>
        </row>
        <row r="2631">
          <cell r="L2631" t="str">
            <v>IDTI</v>
          </cell>
          <cell r="M2631" t="str">
            <v>INTEGRATED-DEVICE-TECHNOL-9639/</v>
          </cell>
          <cell r="N2631" t="str">
            <v>IDTI</v>
          </cell>
          <cell r="O2631" t="str">
            <v>INTEGRAT DEVICE</v>
          </cell>
          <cell r="P2631" t="str">
            <v>NASDAQ GS</v>
          </cell>
          <cell r="Q2631" t="str">
            <v>Information Technology</v>
          </cell>
          <cell r="R2631" t="str">
            <v>Semiconductors &amp; Semiconductor</v>
          </cell>
          <cell r="S2631" t="str">
            <v>IDTI</v>
          </cell>
        </row>
        <row r="2632">
          <cell r="L2632" t="str">
            <v>IBKR</v>
          </cell>
          <cell r="M2632" t="str">
            <v>INTERACTIVE-BROKERS-GROUP-50014/</v>
          </cell>
          <cell r="N2632" t="str">
            <v>IBKR</v>
          </cell>
          <cell r="O2632" t="str">
            <v>INTERACTIVE BROK</v>
          </cell>
          <cell r="P2632" t="str">
            <v>NASDAQ GS</v>
          </cell>
          <cell r="Q2632" t="str">
            <v>Financials</v>
          </cell>
          <cell r="R2632" t="str">
            <v>Capital Markets</v>
          </cell>
          <cell r="S2632" t="str">
            <v>IBKR</v>
          </cell>
        </row>
        <row r="2633">
          <cell r="L2633" t="str">
            <v>ICPT</v>
          </cell>
          <cell r="M2633" t="str">
            <v>INTERCEPT-PHARMACEUTICALS-11718561/</v>
          </cell>
          <cell r="N2633" t="str">
            <v>ICPT</v>
          </cell>
          <cell r="O2633" t="str">
            <v>INTERCEPT PHARMA</v>
          </cell>
          <cell r="P2633" t="str">
            <v>NASDAQ GS</v>
          </cell>
          <cell r="Q2633" t="str">
            <v>Health Care</v>
          </cell>
          <cell r="R2633" t="str">
            <v>Biotechnology</v>
          </cell>
          <cell r="S2633" t="str">
            <v>ICPT</v>
          </cell>
        </row>
        <row r="2634">
          <cell r="L2634" t="str">
            <v>IGT</v>
          </cell>
          <cell r="M2634" t="str">
            <v>INTERNATIONAL-GAME-TECHNO-21479542/</v>
          </cell>
          <cell r="N2634" t="str">
            <v>IGT</v>
          </cell>
          <cell r="O2634" t="str">
            <v>INTERNATIONAL GA</v>
          </cell>
          <cell r="P2634" t="str">
            <v>New York</v>
          </cell>
          <cell r="Q2634" t="str">
            <v>Consumer Discretionary</v>
          </cell>
          <cell r="R2634" t="str">
            <v>Hotels, Restaurants &amp; Leisure</v>
          </cell>
          <cell r="S2634" t="str">
            <v>IGT</v>
          </cell>
        </row>
        <row r="2635">
          <cell r="L2635" t="str">
            <v>IPG</v>
          </cell>
          <cell r="M2635" t="str">
            <v>INTERPUBLIC-GROUP-13096/</v>
          </cell>
          <cell r="N2635" t="str">
            <v>IPG</v>
          </cell>
          <cell r="O2635" t="str">
            <v>INTERPUBLIC GRP</v>
          </cell>
          <cell r="P2635" t="str">
            <v>New York</v>
          </cell>
          <cell r="Q2635" t="str">
            <v>Consumer Discretionary</v>
          </cell>
          <cell r="R2635" t="str">
            <v>Media</v>
          </cell>
          <cell r="S2635" t="str">
            <v>IPG</v>
          </cell>
        </row>
        <row r="2636">
          <cell r="L2636" t="str">
            <v>IFF</v>
          </cell>
          <cell r="M2636" t="str">
            <v>INTERNATIONAL-FLAVORS-F-13047/</v>
          </cell>
          <cell r="N2636" t="str">
            <v>IFF</v>
          </cell>
          <cell r="O2636" t="str">
            <v>INTL FLVR &amp; FRAG</v>
          </cell>
          <cell r="P2636" t="str">
            <v>New York</v>
          </cell>
          <cell r="Q2636" t="str">
            <v>Materials</v>
          </cell>
          <cell r="R2636" t="str">
            <v>Chemicals</v>
          </cell>
          <cell r="S2636" t="str">
            <v>IFF</v>
          </cell>
        </row>
        <row r="2637">
          <cell r="L2637" t="str">
            <v>INTU</v>
          </cell>
          <cell r="M2637" t="str">
            <v>INTUIT-23277275/</v>
          </cell>
          <cell r="N2637" t="str">
            <v>INTU</v>
          </cell>
          <cell r="O2637" t="str">
            <v>INTUIT INC</v>
          </cell>
          <cell r="P2637" t="str">
            <v>NASDAQ GS</v>
          </cell>
          <cell r="Q2637" t="str">
            <v>Information Technology</v>
          </cell>
          <cell r="R2637" t="str">
            <v>Software</v>
          </cell>
          <cell r="S2637" t="str">
            <v>INTU</v>
          </cell>
        </row>
        <row r="2638">
          <cell r="L2638" t="str">
            <v>ISBC</v>
          </cell>
          <cell r="M2638" t="str">
            <v>INVESTORS-BANCORP-INC-16441286/</v>
          </cell>
          <cell r="N2638" t="str">
            <v>ISBC</v>
          </cell>
          <cell r="O2638" t="str">
            <v>INVESTORS BANCOR</v>
          </cell>
          <cell r="P2638" t="str">
            <v>NASDAQ GS</v>
          </cell>
          <cell r="Q2638" t="str">
            <v>Financials</v>
          </cell>
          <cell r="R2638" t="str">
            <v>Banks</v>
          </cell>
          <cell r="S2638" t="str">
            <v>ISBC</v>
          </cell>
        </row>
        <row r="2639">
          <cell r="L2639" t="str">
            <v>INVH</v>
          </cell>
          <cell r="M2639" t="str">
            <v>INVITATION-HOMES-INC-33666530/</v>
          </cell>
          <cell r="N2639" t="str">
            <v>INVH</v>
          </cell>
          <cell r="O2639" t="str">
            <v>INVITATION HOMES</v>
          </cell>
          <cell r="P2639" t="str">
            <v>New York</v>
          </cell>
          <cell r="Q2639" t="str">
            <v>Real Estate</v>
          </cell>
          <cell r="R2639" t="str">
            <v>Equity Real Estate Investment</v>
          </cell>
          <cell r="S2639" t="str">
            <v>INVH</v>
          </cell>
        </row>
        <row r="2640">
          <cell r="L2640" t="str">
            <v>ITT</v>
          </cell>
          <cell r="M2640" t="str">
            <v>ITT-INC-27723998/</v>
          </cell>
          <cell r="N2640" t="str">
            <v>ITT</v>
          </cell>
          <cell r="O2640" t="str">
            <v>ITT INC</v>
          </cell>
          <cell r="P2640" t="str">
            <v>New York</v>
          </cell>
          <cell r="Q2640" t="str">
            <v>Industrials</v>
          </cell>
          <cell r="R2640" t="str">
            <v>Machinery</v>
          </cell>
          <cell r="S2640" t="str">
            <v>ITT</v>
          </cell>
        </row>
        <row r="2641">
          <cell r="L2641" t="str">
            <v>JBL</v>
          </cell>
          <cell r="M2641" t="str">
            <v>JABIL-INC-13153/</v>
          </cell>
          <cell r="N2641" t="str">
            <v>JBL</v>
          </cell>
          <cell r="O2641" t="str">
            <v>JABIL INC</v>
          </cell>
          <cell r="P2641" t="str">
            <v>New York</v>
          </cell>
          <cell r="Q2641" t="str">
            <v>Information Technology</v>
          </cell>
          <cell r="R2641" t="str">
            <v>Electronic Equipment, Instrume</v>
          </cell>
          <cell r="S2641" t="str">
            <v>JBL</v>
          </cell>
        </row>
        <row r="2642">
          <cell r="L2642" t="str">
            <v>JHG</v>
          </cell>
          <cell r="M2642" t="str">
            <v>JANUS-HENDERSON-GROUP-PLC-35098610/</v>
          </cell>
          <cell r="N2642" t="str">
            <v>JHG</v>
          </cell>
          <cell r="O2642" t="str">
            <v>JANUS HENDERSON</v>
          </cell>
          <cell r="P2642" t="str">
            <v>New York</v>
          </cell>
          <cell r="Q2642" t="str">
            <v>Financials</v>
          </cell>
          <cell r="R2642" t="str">
            <v>Capital Markets</v>
          </cell>
          <cell r="S2642" t="str">
            <v>JHG</v>
          </cell>
        </row>
        <row r="2643">
          <cell r="L2643" t="str">
            <v>JCI</v>
          </cell>
          <cell r="M2643" t="str">
            <v>JOHNSON-CONTROLS-INTERNAT-31222816/</v>
          </cell>
          <cell r="N2643" t="str">
            <v>JCI</v>
          </cell>
          <cell r="O2643" t="str">
            <v>JOHNSON CONTROLS</v>
          </cell>
          <cell r="P2643" t="str">
            <v>New York</v>
          </cell>
          <cell r="Q2643" t="str">
            <v>Industrials</v>
          </cell>
          <cell r="R2643" t="str">
            <v>Building Products</v>
          </cell>
          <cell r="S2643" t="str">
            <v>JCI</v>
          </cell>
        </row>
        <row r="2644">
          <cell r="L2644" t="str">
            <v>JLL</v>
          </cell>
          <cell r="M2644" t="str">
            <v>JONES-LANG-LASALLE-INC-13180/</v>
          </cell>
          <cell r="N2644" t="str">
            <v>JLL</v>
          </cell>
          <cell r="O2644" t="str">
            <v>JONES LANG LASAL</v>
          </cell>
          <cell r="P2644" t="str">
            <v>New York</v>
          </cell>
          <cell r="Q2644" t="str">
            <v>Real Estate</v>
          </cell>
          <cell r="R2644" t="str">
            <v>Real Estate Management &amp; Devel</v>
          </cell>
          <cell r="S2644" t="str">
            <v>JLL</v>
          </cell>
        </row>
        <row r="2645">
          <cell r="L2645" t="str">
            <v>KS</v>
          </cell>
          <cell r="M2645" t="str">
            <v>KAPSTONE-PAPER-AND-PACKAG-5855367/</v>
          </cell>
          <cell r="N2645" t="str">
            <v>KS</v>
          </cell>
          <cell r="O2645" t="str">
            <v>KAPSTONE PAPER A</v>
          </cell>
          <cell r="P2645" t="str">
            <v>New York</v>
          </cell>
          <cell r="Q2645" t="str">
            <v>Materials</v>
          </cell>
          <cell r="R2645" t="str">
            <v>Paper &amp; Forest Products</v>
          </cell>
          <cell r="S2645" t="str">
            <v>KS</v>
          </cell>
        </row>
        <row r="2646">
          <cell r="L2646" t="str">
            <v>KAR</v>
          </cell>
          <cell r="M2646" t="str">
            <v>KAR-AUCTION-SERVICES-INC-5789096/</v>
          </cell>
          <cell r="N2646" t="str">
            <v>KAR</v>
          </cell>
          <cell r="O2646" t="str">
            <v>KAR AUCTION SERV</v>
          </cell>
          <cell r="P2646" t="str">
            <v>New York</v>
          </cell>
          <cell r="Q2646" t="str">
            <v>Industrials</v>
          </cell>
          <cell r="R2646" t="str">
            <v>Commercial Services &amp; Supplies</v>
          </cell>
          <cell r="S2646" t="str">
            <v>KAR</v>
          </cell>
        </row>
        <row r="2647">
          <cell r="L2647" t="str">
            <v>KMPR</v>
          </cell>
          <cell r="M2647" t="str">
            <v>KEMPER-CORP-8830135/</v>
          </cell>
          <cell r="N2647" t="str">
            <v>KMPR</v>
          </cell>
          <cell r="O2647" t="str">
            <v>KEMPER CORP</v>
          </cell>
          <cell r="P2647" t="str">
            <v>New York</v>
          </cell>
          <cell r="Q2647" t="str">
            <v>Financials</v>
          </cell>
          <cell r="R2647" t="str">
            <v>Insurance</v>
          </cell>
          <cell r="S2647" t="str">
            <v>KMPR</v>
          </cell>
        </row>
        <row r="2648">
          <cell r="L2648" t="str">
            <v>KMT</v>
          </cell>
          <cell r="M2648" t="str">
            <v>KENNAMETAL-INC-13272/</v>
          </cell>
          <cell r="N2648" t="str">
            <v>KMT</v>
          </cell>
          <cell r="O2648" t="str">
            <v>KENNAMETAL INC</v>
          </cell>
          <cell r="P2648" t="str">
            <v>New York</v>
          </cell>
          <cell r="Q2648" t="str">
            <v>Industrials</v>
          </cell>
          <cell r="R2648" t="str">
            <v>Machinery</v>
          </cell>
          <cell r="S2648" t="str">
            <v>KMT</v>
          </cell>
        </row>
        <row r="2649">
          <cell r="L2649" t="str">
            <v>KEYS</v>
          </cell>
          <cell r="M2649" t="str">
            <v>KEYSIGHT-TECHNOLOGIES-INC-18426374/</v>
          </cell>
          <cell r="N2649" t="str">
            <v>KEYS</v>
          </cell>
          <cell r="O2649" t="str">
            <v>KEYSIGHT TEC</v>
          </cell>
          <cell r="P2649" t="str">
            <v>New York</v>
          </cell>
          <cell r="Q2649" t="str">
            <v>Information Technology</v>
          </cell>
          <cell r="R2649" t="str">
            <v>Electronic Equipment, Instrume</v>
          </cell>
          <cell r="S2649" t="str">
            <v>KEYS</v>
          </cell>
        </row>
        <row r="2650">
          <cell r="L2650" t="str">
            <v>KRC</v>
          </cell>
          <cell r="M2650" t="str">
            <v>KILROY-REALTY-CORP-13297/</v>
          </cell>
          <cell r="N2650" t="str">
            <v>KRC</v>
          </cell>
          <cell r="O2650" t="str">
            <v>KILROY REALTY</v>
          </cell>
          <cell r="P2650" t="str">
            <v>New York</v>
          </cell>
          <cell r="Q2650" t="str">
            <v>Real Estate</v>
          </cell>
          <cell r="R2650" t="str">
            <v>Equity Real Estate Investment</v>
          </cell>
          <cell r="S2650" t="str">
            <v>KRC</v>
          </cell>
        </row>
        <row r="2651">
          <cell r="L2651" t="str">
            <v>KEX</v>
          </cell>
          <cell r="M2651" t="str">
            <v>KIRBY-CORPORATION-13249/</v>
          </cell>
          <cell r="N2651" t="str">
            <v>KEX</v>
          </cell>
          <cell r="O2651" t="str">
            <v>KIRBY CORP</v>
          </cell>
          <cell r="P2651" t="str">
            <v>New York</v>
          </cell>
          <cell r="Q2651" t="str">
            <v>Industrials</v>
          </cell>
          <cell r="R2651" t="str">
            <v>Marine</v>
          </cell>
          <cell r="S2651" t="str">
            <v>KEX</v>
          </cell>
        </row>
        <row r="2652">
          <cell r="L2652" t="str">
            <v>KNX</v>
          </cell>
          <cell r="M2652" t="str">
            <v>KNIGHT-SWIFT-TRANSPORTATI-37730767/</v>
          </cell>
          <cell r="N2652" t="str">
            <v>KNX</v>
          </cell>
          <cell r="O2652" t="str">
            <v>KNIGHT-SWIFT TRA</v>
          </cell>
          <cell r="P2652" t="str">
            <v>New York</v>
          </cell>
          <cell r="Q2652" t="str">
            <v>Industrials</v>
          </cell>
          <cell r="R2652" t="str">
            <v>Road &amp; Rail</v>
          </cell>
          <cell r="S2652" t="str">
            <v>KNX</v>
          </cell>
        </row>
        <row r="2653">
          <cell r="L2653" t="str">
            <v>KFY</v>
          </cell>
          <cell r="M2653" t="str">
            <v>KORN-FERRY-INTERNATIONAL-13257/</v>
          </cell>
          <cell r="N2653" t="str">
            <v>KFY</v>
          </cell>
          <cell r="O2653" t="str">
            <v>KORN/FERRY INTL</v>
          </cell>
          <cell r="P2653" t="str">
            <v>New York</v>
          </cell>
          <cell r="Q2653" t="str">
            <v>Industrials</v>
          </cell>
          <cell r="R2653" t="str">
            <v>Professional Services</v>
          </cell>
          <cell r="S2653" t="str">
            <v>KFY</v>
          </cell>
        </row>
        <row r="2654">
          <cell r="L2654" t="str">
            <v>KOS</v>
          </cell>
          <cell r="M2654" t="str">
            <v>KOSMOS-ENERGY-LTD-9276848/</v>
          </cell>
          <cell r="N2654" t="str">
            <v>KOS</v>
          </cell>
          <cell r="O2654" t="str">
            <v>KOSMOS ENERGY LT</v>
          </cell>
          <cell r="P2654" t="str">
            <v>New York</v>
          </cell>
          <cell r="Q2654" t="str">
            <v>Energy</v>
          </cell>
          <cell r="R2654" t="str">
            <v>Oil, Gas &amp; Consumable Fuels</v>
          </cell>
          <cell r="S2654" t="str">
            <v>KOS</v>
          </cell>
        </row>
        <row r="2655">
          <cell r="L2655" t="str">
            <v>LW</v>
          </cell>
          <cell r="M2655" t="str">
            <v>LAMB-WESTON-HOLDINGS-INC-31862637/</v>
          </cell>
          <cell r="N2655" t="str">
            <v>LW</v>
          </cell>
          <cell r="O2655" t="str">
            <v>LAMB WESTON</v>
          </cell>
          <cell r="P2655" t="str">
            <v>New York</v>
          </cell>
          <cell r="Q2655" t="str">
            <v>Consumer Staples</v>
          </cell>
          <cell r="R2655" t="str">
            <v>Food Products</v>
          </cell>
          <cell r="S2655" t="str">
            <v>LW</v>
          </cell>
        </row>
        <row r="2656">
          <cell r="L2656" t="str">
            <v>LVS</v>
          </cell>
          <cell r="M2656" t="str">
            <v>LAS-VEGAS-SANDS-CORP-13442/</v>
          </cell>
          <cell r="N2656" t="str">
            <v>LVS</v>
          </cell>
          <cell r="O2656" t="str">
            <v>LAS VEGAS SANDS</v>
          </cell>
          <cell r="P2656" t="str">
            <v>New York</v>
          </cell>
          <cell r="Q2656" t="str">
            <v>Consumer Discretionary</v>
          </cell>
          <cell r="R2656" t="str">
            <v>Hotels, Restaurants &amp; Leisure</v>
          </cell>
          <cell r="S2656" t="str">
            <v>LVS</v>
          </cell>
        </row>
        <row r="2657">
          <cell r="L2657" t="str">
            <v>LHO</v>
          </cell>
          <cell r="M2657" t="str">
            <v>LASALLE-HOTEL-PROPERTIES-13393/</v>
          </cell>
          <cell r="N2657" t="str">
            <v>LHO</v>
          </cell>
          <cell r="O2657" t="str">
            <v>LASALLE HOTEL PR</v>
          </cell>
          <cell r="P2657" t="str">
            <v>New York</v>
          </cell>
          <cell r="Q2657" t="str">
            <v>Real Estate</v>
          </cell>
          <cell r="R2657" t="str">
            <v>Equity Real Estate Investment</v>
          </cell>
          <cell r="S2657" t="str">
            <v>LHO</v>
          </cell>
        </row>
        <row r="2658">
          <cell r="L2658" t="str">
            <v>LAZ</v>
          </cell>
          <cell r="M2658" t="str">
            <v>LAZARD-LTD-13358/</v>
          </cell>
          <cell r="N2658" t="str">
            <v>LAZ</v>
          </cell>
          <cell r="O2658" t="str">
            <v>LAZARD LTD-CL A</v>
          </cell>
          <cell r="P2658" t="str">
            <v>New York</v>
          </cell>
          <cell r="Q2658" t="str">
            <v>Financials</v>
          </cell>
          <cell r="R2658" t="str">
            <v>Capital Markets</v>
          </cell>
          <cell r="S2658" t="str">
            <v>LAZ</v>
          </cell>
        </row>
        <row r="2659">
          <cell r="L2659" t="str">
            <v>LEA</v>
          </cell>
          <cell r="M2659" t="str">
            <v>LEAR-CORPORATION-13367/</v>
          </cell>
          <cell r="N2659" t="str">
            <v>LEA</v>
          </cell>
          <cell r="O2659" t="str">
            <v>LEAR CORP</v>
          </cell>
          <cell r="P2659" t="str">
            <v>New York</v>
          </cell>
          <cell r="Q2659" t="str">
            <v>Consumer Discretionary</v>
          </cell>
          <cell r="R2659" t="str">
            <v>Auto Components</v>
          </cell>
          <cell r="S2659" t="str">
            <v>LEA</v>
          </cell>
        </row>
        <row r="2660">
          <cell r="L2660" t="str">
            <v>LDOS</v>
          </cell>
          <cell r="M2660" t="str">
            <v>LEIDOS-HOLDINGS-INC-14308164/</v>
          </cell>
          <cell r="N2660" t="str">
            <v>LDOS</v>
          </cell>
          <cell r="O2660" t="str">
            <v>LEIDOS HOLDINGS</v>
          </cell>
          <cell r="P2660" t="str">
            <v>New York</v>
          </cell>
          <cell r="Q2660" t="str">
            <v>Information Technology</v>
          </cell>
          <cell r="R2660" t="str">
            <v>IT Services</v>
          </cell>
          <cell r="S2660" t="str">
            <v>LDOS</v>
          </cell>
        </row>
        <row r="2661">
          <cell r="L2661" t="str">
            <v>LII</v>
          </cell>
          <cell r="M2661" t="str">
            <v>LENNOX-INTERNATIONAL-INC-13398/</v>
          </cell>
          <cell r="N2661" t="str">
            <v>LII</v>
          </cell>
          <cell r="O2661" t="str">
            <v>LENNOX INTL INC</v>
          </cell>
          <cell r="P2661" t="str">
            <v>New York</v>
          </cell>
          <cell r="Q2661" t="str">
            <v>Industrials</v>
          </cell>
          <cell r="R2661" t="str">
            <v>Building Products</v>
          </cell>
          <cell r="S2661" t="str">
            <v>LII</v>
          </cell>
        </row>
        <row r="2662">
          <cell r="L2662" t="str">
            <v>LBRDA</v>
          </cell>
          <cell r="M2662" t="str">
            <v>LIBERTY-BROADBAND-CORP-18445410/</v>
          </cell>
          <cell r="N2662" t="str">
            <v>LBRDA</v>
          </cell>
          <cell r="O2662" t="str">
            <v>LIBERTY BR-A</v>
          </cell>
          <cell r="P2662" t="str">
            <v>NASDAQ GS</v>
          </cell>
          <cell r="Q2662" t="str">
            <v>Consumer Discretionary</v>
          </cell>
          <cell r="R2662" t="str">
            <v>Media</v>
          </cell>
          <cell r="S2662" t="str">
            <v>LBRDA</v>
          </cell>
        </row>
        <row r="2663">
          <cell r="L2663" t="str">
            <v>LBTYA</v>
          </cell>
          <cell r="M2663" t="str">
            <v>LIBERTY-GLOBAL-PLC-13450308/</v>
          </cell>
          <cell r="N2663" t="str">
            <v>LBTYA</v>
          </cell>
          <cell r="O2663" t="str">
            <v>LIBERTY GLOBAL-A</v>
          </cell>
          <cell r="P2663" t="str">
            <v>NASDAQ GS</v>
          </cell>
          <cell r="Q2663" t="str">
            <v>Consumer Discretionary</v>
          </cell>
          <cell r="R2663" t="str">
            <v>Media</v>
          </cell>
          <cell r="S2663" t="str">
            <v>LBTYA</v>
          </cell>
        </row>
        <row r="2664">
          <cell r="L2664" t="str">
            <v>LILA</v>
          </cell>
          <cell r="M2664" t="str">
            <v>LIBERTY-LATIN-AMERICA-39151789/</v>
          </cell>
          <cell r="N2664" t="str">
            <v>LILA</v>
          </cell>
          <cell r="O2664" t="str">
            <v>LIBERTY LATI-A</v>
          </cell>
          <cell r="P2664" t="str">
            <v>NASDAQ GS</v>
          </cell>
          <cell r="Q2664" t="str">
            <v>Consumer Discretionary</v>
          </cell>
          <cell r="R2664" t="str">
            <v>Media</v>
          </cell>
          <cell r="S2664" t="str">
            <v>LILA</v>
          </cell>
        </row>
        <row r="2665">
          <cell r="L2665" t="str">
            <v>LSXMA</v>
          </cell>
          <cell r="M2665" t="str">
            <v>LIBERTY-SIRIUS-XM-GROUP-27316603/</v>
          </cell>
          <cell r="N2665" t="str">
            <v>LSXMA</v>
          </cell>
          <cell r="O2665" t="str">
            <v>LIBERTY MEDIA- A</v>
          </cell>
          <cell r="P2665" t="str">
            <v>NASDAQ GS</v>
          </cell>
          <cell r="Q2665" t="str">
            <v>Consumer Discretionary</v>
          </cell>
          <cell r="R2665" t="str">
            <v>Media</v>
          </cell>
          <cell r="S2665" t="str">
            <v>LSXMA</v>
          </cell>
        </row>
        <row r="2666">
          <cell r="L2666" t="str">
            <v>FWONA</v>
          </cell>
          <cell r="M2666" t="str">
            <v>LIBERTY-MEDIA-FORMULA-ONE-27316636/</v>
          </cell>
          <cell r="N2666" t="str">
            <v>FWONA</v>
          </cell>
          <cell r="O2666" t="str">
            <v>LIBERTY MEDIA-A</v>
          </cell>
          <cell r="P2666" t="str">
            <v>NASDAQ GS</v>
          </cell>
          <cell r="Q2666" t="str">
            <v>Consumer Discretionary</v>
          </cell>
          <cell r="R2666" t="str">
            <v>Media</v>
          </cell>
          <cell r="S2666" t="str">
            <v>FWONA</v>
          </cell>
        </row>
        <row r="2667">
          <cell r="L2667" t="str">
            <v>LPT</v>
          </cell>
          <cell r="M2667" t="str">
            <v>LIBERTY-PROPERTY-TRUST-13424/</v>
          </cell>
          <cell r="N2667" t="str">
            <v>LPT</v>
          </cell>
          <cell r="O2667" t="str">
            <v>LIBERTY PROP</v>
          </cell>
          <cell r="P2667" t="str">
            <v>New York</v>
          </cell>
          <cell r="Q2667" t="str">
            <v>Real Estate</v>
          </cell>
          <cell r="R2667" t="str">
            <v>Equity Real Estate Investment</v>
          </cell>
          <cell r="S2667" t="str">
            <v>LPT</v>
          </cell>
        </row>
        <row r="2668">
          <cell r="L2668" t="str">
            <v>LSI</v>
          </cell>
          <cell r="M2668" t="str">
            <v>LIFE-STORAGE-INC-30581025/</v>
          </cell>
          <cell r="N2668" t="str">
            <v>LSI</v>
          </cell>
          <cell r="O2668" t="str">
            <v>LIFE STORAGE INC</v>
          </cell>
          <cell r="P2668" t="str">
            <v>New York</v>
          </cell>
          <cell r="Q2668" t="str">
            <v>Real Estate</v>
          </cell>
          <cell r="R2668" t="str">
            <v>Equity Real Estate Investment</v>
          </cell>
          <cell r="S2668" t="str">
            <v>LSI</v>
          </cell>
        </row>
        <row r="2669">
          <cell r="L2669" t="str">
            <v>LECO</v>
          </cell>
          <cell r="M2669" t="str">
            <v>LINCOLN-ELECTRIC-HOLDINGS-9863/</v>
          </cell>
          <cell r="N2669" t="str">
            <v>LECO</v>
          </cell>
          <cell r="O2669" t="str">
            <v>LINCOLN ELECTRIC</v>
          </cell>
          <cell r="P2669" t="str">
            <v>NASDAQ GS</v>
          </cell>
          <cell r="Q2669" t="str">
            <v>Industrials</v>
          </cell>
          <cell r="R2669" t="str">
            <v>Machinery</v>
          </cell>
          <cell r="S2669" t="str">
            <v>LECO</v>
          </cell>
        </row>
        <row r="2670">
          <cell r="L2670" t="str">
            <v>LYV</v>
          </cell>
          <cell r="M2670" t="str">
            <v>LIVE-NATION-ENTERTAINMENT-13449/</v>
          </cell>
          <cell r="N2670" t="str">
            <v>LYV</v>
          </cell>
          <cell r="O2670" t="str">
            <v>LIVE NATION ENTE</v>
          </cell>
          <cell r="P2670" t="str">
            <v>New York</v>
          </cell>
          <cell r="Q2670" t="str">
            <v>Consumer Discretionary</v>
          </cell>
          <cell r="R2670" t="str">
            <v>Media</v>
          </cell>
          <cell r="S2670" t="str">
            <v>LYV</v>
          </cell>
        </row>
        <row r="2671">
          <cell r="L2671" t="str">
            <v>LPX</v>
          </cell>
          <cell r="M2671" t="str">
            <v>LOUISIANA-PACIFIC-CORPORA-13418/</v>
          </cell>
          <cell r="N2671" t="str">
            <v>LPX</v>
          </cell>
          <cell r="O2671" t="str">
            <v>LOUISIANA-PACIFI</v>
          </cell>
          <cell r="P2671" t="str">
            <v>New York</v>
          </cell>
          <cell r="Q2671" t="str">
            <v>Materials</v>
          </cell>
          <cell r="R2671" t="str">
            <v>Paper &amp; Forest Products</v>
          </cell>
          <cell r="S2671" t="str">
            <v>LPX</v>
          </cell>
        </row>
        <row r="2672">
          <cell r="L2672" t="str">
            <v>MIC</v>
          </cell>
          <cell r="M2672" t="str">
            <v>MACQUARIE-INFRASTRUCTURE-13531/</v>
          </cell>
          <cell r="N2672" t="str">
            <v>MIC</v>
          </cell>
          <cell r="O2672" t="str">
            <v>MACQUARIE INFRAS</v>
          </cell>
          <cell r="P2672" t="str">
            <v>New York</v>
          </cell>
          <cell r="Q2672" t="str">
            <v>Industrials</v>
          </cell>
          <cell r="R2672" t="str">
            <v>Transportation Infrastructure</v>
          </cell>
          <cell r="S2672" t="str">
            <v>MIC</v>
          </cell>
        </row>
        <row r="2673">
          <cell r="L2673" t="str">
            <v>MSG</v>
          </cell>
          <cell r="M2673" t="str">
            <v>MADISON-SQUARE-GARDEN-CO-24203399/</v>
          </cell>
          <cell r="N2673" t="str">
            <v>MSG</v>
          </cell>
          <cell r="O2673" t="str">
            <v>MADISON SQUARE-A</v>
          </cell>
          <cell r="P2673" t="str">
            <v>New York</v>
          </cell>
          <cell r="Q2673" t="str">
            <v>Consumer Discretionary</v>
          </cell>
          <cell r="R2673" t="str">
            <v>Media</v>
          </cell>
          <cell r="S2673" t="str">
            <v>MSG</v>
          </cell>
        </row>
        <row r="2674">
          <cell r="L2674" t="str">
            <v>MAN</v>
          </cell>
          <cell r="M2674" t="str">
            <v>MANPOWERGROUP-INC-13459/</v>
          </cell>
          <cell r="N2674" t="str">
            <v>MAN</v>
          </cell>
          <cell r="O2674" t="str">
            <v>MANPOWERGROUP IN</v>
          </cell>
          <cell r="P2674" t="str">
            <v>New York</v>
          </cell>
          <cell r="Q2674" t="str">
            <v>Industrials</v>
          </cell>
          <cell r="R2674" t="str">
            <v>Professional Services</v>
          </cell>
          <cell r="S2674" t="str">
            <v>MAN</v>
          </cell>
        </row>
        <row r="2675">
          <cell r="L2675" t="str">
            <v>MRO</v>
          </cell>
          <cell r="M2675" t="str">
            <v>MARATHON-OIL-CORPORATION-40311089/</v>
          </cell>
          <cell r="N2675" t="str">
            <v>MRO</v>
          </cell>
          <cell r="O2675" t="str">
            <v>MARATHON OIL</v>
          </cell>
          <cell r="P2675" t="str">
            <v>New York</v>
          </cell>
          <cell r="Q2675" t="str">
            <v>Energy</v>
          </cell>
          <cell r="R2675" t="str">
            <v>Oil, Gas &amp; Consumable Fuels</v>
          </cell>
          <cell r="S2675" t="str">
            <v>MRO</v>
          </cell>
        </row>
        <row r="2676">
          <cell r="L2676" t="str">
            <v>MKTX</v>
          </cell>
          <cell r="M2676" t="str">
            <v>MARKETAXESS-HOLDINGS-INC-10039/</v>
          </cell>
          <cell r="N2676" t="str">
            <v>MKTX</v>
          </cell>
          <cell r="O2676" t="str">
            <v>MARKETAXESS</v>
          </cell>
          <cell r="P2676" t="str">
            <v>NASDAQ GS</v>
          </cell>
          <cell r="Q2676" t="str">
            <v>Financials</v>
          </cell>
          <cell r="R2676" t="str">
            <v>Capital Markets</v>
          </cell>
          <cell r="S2676" t="str">
            <v>MKTX</v>
          </cell>
        </row>
        <row r="2677">
          <cell r="L2677" t="str">
            <v>VAC</v>
          </cell>
          <cell r="M2677" t="str">
            <v>MARRIOTT-VACATIONS-WORLDW-9394828/</v>
          </cell>
          <cell r="N2677" t="str">
            <v>VAC</v>
          </cell>
          <cell r="O2677" t="str">
            <v>MARRIOTT VACATIO</v>
          </cell>
          <cell r="P2677" t="str">
            <v>New York</v>
          </cell>
          <cell r="Q2677" t="str">
            <v>Consumer Discretionary</v>
          </cell>
          <cell r="R2677" t="str">
            <v>Hotels, Restaurants &amp; Leisure</v>
          </cell>
          <cell r="S2677" t="str">
            <v>VAC</v>
          </cell>
        </row>
        <row r="2678">
          <cell r="L2678" t="str">
            <v>MTZ</v>
          </cell>
          <cell r="M2678" t="str">
            <v>MASTEC-INC-13638/</v>
          </cell>
          <cell r="N2678" t="str">
            <v>MTZ</v>
          </cell>
          <cell r="O2678" t="str">
            <v>MASTEC INC</v>
          </cell>
          <cell r="P2678" t="str">
            <v>New York</v>
          </cell>
          <cell r="Q2678" t="str">
            <v>Industrials</v>
          </cell>
          <cell r="R2678" t="str">
            <v>Construction &amp; Engineering</v>
          </cell>
          <cell r="S2678" t="str">
            <v>MTZ</v>
          </cell>
        </row>
        <row r="2679">
          <cell r="L2679" t="str">
            <v>MTDR</v>
          </cell>
          <cell r="M2679" t="str">
            <v>MATADOR-RESOURCES-CO-9931249/</v>
          </cell>
          <cell r="N2679" t="str">
            <v>MTDR</v>
          </cell>
          <cell r="O2679" t="str">
            <v>MATADOR RESOURCE</v>
          </cell>
          <cell r="P2679" t="str">
            <v>New York</v>
          </cell>
          <cell r="Q2679" t="str">
            <v>Energy</v>
          </cell>
          <cell r="R2679" t="str">
            <v>Oil, Gas &amp; Consumable Fuels</v>
          </cell>
          <cell r="S2679" t="str">
            <v>MTDR</v>
          </cell>
        </row>
        <row r="2680">
          <cell r="L2680" t="str">
            <v>MMS</v>
          </cell>
          <cell r="M2680" t="str">
            <v>MAXIMUS-INC-13577/</v>
          </cell>
          <cell r="N2680" t="str">
            <v>MMS</v>
          </cell>
          <cell r="O2680" t="str">
            <v>MAXIMUS INC</v>
          </cell>
          <cell r="P2680" t="str">
            <v>New York</v>
          </cell>
          <cell r="Q2680" t="str">
            <v>Information Technology</v>
          </cell>
          <cell r="R2680" t="str">
            <v>IT Services</v>
          </cell>
          <cell r="S2680" t="str">
            <v>MMS</v>
          </cell>
        </row>
        <row r="2681">
          <cell r="L2681" t="str">
            <v>MDR</v>
          </cell>
          <cell r="M2681" t="str">
            <v>MCDERMOTT-INTERNATIONAL-I-43428055/</v>
          </cell>
          <cell r="N2681" t="str">
            <v>MDR</v>
          </cell>
          <cell r="O2681" t="str">
            <v>MCDERMOTT INTL</v>
          </cell>
          <cell r="P2681" t="str">
            <v>New York</v>
          </cell>
          <cell r="Q2681" t="str">
            <v>Energy</v>
          </cell>
          <cell r="R2681" t="str">
            <v>Energy Equipment &amp; Services</v>
          </cell>
          <cell r="S2681" t="str">
            <v>MDR</v>
          </cell>
        </row>
        <row r="2682">
          <cell r="L2682" t="str">
            <v>MDU</v>
          </cell>
          <cell r="M2682" t="str">
            <v>MDU-RESOURCES-GROUP-INC-13482/</v>
          </cell>
          <cell r="N2682" t="str">
            <v>MDU</v>
          </cell>
          <cell r="O2682" t="str">
            <v>MDU RES GROUP</v>
          </cell>
          <cell r="P2682" t="str">
            <v>New York</v>
          </cell>
          <cell r="Q2682" t="str">
            <v>Utilities</v>
          </cell>
          <cell r="R2682" t="str">
            <v>Multi-Utilities</v>
          </cell>
          <cell r="S2682" t="str">
            <v>MDU</v>
          </cell>
        </row>
        <row r="2683">
          <cell r="L2683" t="str">
            <v>MD</v>
          </cell>
          <cell r="M2683" t="str">
            <v>MEDNAX-INC-4986211/</v>
          </cell>
          <cell r="N2683" t="str">
            <v>MD</v>
          </cell>
          <cell r="O2683" t="str">
            <v>MEDNAX INC</v>
          </cell>
          <cell r="P2683" t="str">
            <v>New York</v>
          </cell>
          <cell r="Q2683" t="str">
            <v>Health Care</v>
          </cell>
          <cell r="R2683" t="str">
            <v>Health Care Providers &amp; Servic</v>
          </cell>
          <cell r="S2683" t="str">
            <v>MD</v>
          </cell>
        </row>
        <row r="2684">
          <cell r="L2684" t="str">
            <v>MFA</v>
          </cell>
          <cell r="M2684" t="str">
            <v>MFA-FINANCIAL-INC-13500/</v>
          </cell>
          <cell r="N2684" t="str">
            <v>MFA</v>
          </cell>
          <cell r="O2684" t="str">
            <v>MFA FINANCIAL</v>
          </cell>
          <cell r="P2684" t="str">
            <v>New York</v>
          </cell>
          <cell r="Q2684" t="str">
            <v>Financials</v>
          </cell>
          <cell r="R2684" t="str">
            <v>Mortgage Real Estate Investmen</v>
          </cell>
          <cell r="S2684" t="str">
            <v>MFA</v>
          </cell>
        </row>
        <row r="2685">
          <cell r="L2685" t="str">
            <v>MTG</v>
          </cell>
          <cell r="M2685" t="str">
            <v>MGIC-INVESTMENT-CORP-13630/</v>
          </cell>
          <cell r="N2685" t="str">
            <v>MTG</v>
          </cell>
          <cell r="O2685" t="str">
            <v>MGIC INVT CORP</v>
          </cell>
          <cell r="P2685" t="str">
            <v>New York</v>
          </cell>
          <cell r="Q2685" t="str">
            <v>Financials</v>
          </cell>
          <cell r="R2685" t="str">
            <v>Thrifts &amp; Mortgage Finance</v>
          </cell>
          <cell r="S2685" t="str">
            <v>MTG</v>
          </cell>
        </row>
        <row r="2686">
          <cell r="L2686" t="str">
            <v>MCHP</v>
          </cell>
          <cell r="M2686" t="str">
            <v>MICROCHIP-TECHNOLOGY-4887/</v>
          </cell>
          <cell r="N2686" t="str">
            <v>MCHP</v>
          </cell>
          <cell r="O2686" t="str">
            <v>MICROCHIP TECH</v>
          </cell>
          <cell r="P2686" t="str">
            <v>NASDAQ GS</v>
          </cell>
          <cell r="Q2686" t="str">
            <v>Information Technology</v>
          </cell>
          <cell r="R2686" t="str">
            <v>Semiconductors &amp; Semiconductor</v>
          </cell>
          <cell r="S2686" t="str">
            <v>MCHP</v>
          </cell>
        </row>
        <row r="2687">
          <cell r="L2687" t="str">
            <v>MU</v>
          </cell>
          <cell r="M2687" t="str">
            <v>MICRON-TECHNOLOGY-13639/</v>
          </cell>
          <cell r="N2687" t="str">
            <v>MU</v>
          </cell>
          <cell r="O2687" t="str">
            <v>MICRON TECH</v>
          </cell>
          <cell r="P2687" t="str">
            <v>NASDAQ GS</v>
          </cell>
          <cell r="Q2687" t="str">
            <v>Information Technology</v>
          </cell>
          <cell r="R2687" t="str">
            <v>Semiconductors &amp; Semiconductor</v>
          </cell>
          <cell r="S2687" t="str">
            <v>MU</v>
          </cell>
        </row>
        <row r="2688">
          <cell r="L2688" t="str">
            <v>MC</v>
          </cell>
          <cell r="M2688" t="str">
            <v>MOELIS-CO-16279164/</v>
          </cell>
          <cell r="N2688" t="str">
            <v>MC</v>
          </cell>
          <cell r="O2688" t="str">
            <v>MOELIS &amp; CO-CL A</v>
          </cell>
          <cell r="P2688" t="str">
            <v>New York</v>
          </cell>
          <cell r="Q2688" t="str">
            <v>Financials</v>
          </cell>
          <cell r="R2688" t="str">
            <v>Capital Markets</v>
          </cell>
          <cell r="S2688" t="str">
            <v>MC</v>
          </cell>
        </row>
        <row r="2689">
          <cell r="L2689" t="str">
            <v>MOH</v>
          </cell>
          <cell r="M2689" t="str">
            <v>MOLINA-HEALTHCARE-INC-13588/</v>
          </cell>
          <cell r="N2689" t="str">
            <v>MOH</v>
          </cell>
          <cell r="O2689" t="str">
            <v>MOLINA HEALTHCAR</v>
          </cell>
          <cell r="P2689" t="str">
            <v>New York</v>
          </cell>
          <cell r="Q2689" t="str">
            <v>Health Care</v>
          </cell>
          <cell r="R2689" t="str">
            <v>Health Care Providers &amp; Servic</v>
          </cell>
          <cell r="S2689" t="str">
            <v>MOH</v>
          </cell>
        </row>
        <row r="2690">
          <cell r="L2690" t="str">
            <v>MSA</v>
          </cell>
          <cell r="M2690" t="str">
            <v>MSA-SAFETY-INC-15972927/</v>
          </cell>
          <cell r="N2690" t="str">
            <v>MSA</v>
          </cell>
          <cell r="O2690" t="str">
            <v>MSA SAFETY INC</v>
          </cell>
          <cell r="P2690" t="str">
            <v>New York</v>
          </cell>
          <cell r="Q2690" t="str">
            <v>Industrials</v>
          </cell>
          <cell r="R2690" t="str">
            <v>Commercial Services &amp; Supplies</v>
          </cell>
          <cell r="S2690" t="str">
            <v>MSA</v>
          </cell>
        </row>
        <row r="2691">
          <cell r="L2691" t="str">
            <v>MSM</v>
          </cell>
          <cell r="M2691" t="str">
            <v>MSC-INDUSTRIAL-DIRECT-CO-13621/</v>
          </cell>
          <cell r="N2691" t="str">
            <v>MSM</v>
          </cell>
          <cell r="O2691" t="str">
            <v>MSC INDL DIRECT</v>
          </cell>
          <cell r="P2691" t="str">
            <v>New York</v>
          </cell>
          <cell r="Q2691" t="str">
            <v>Industrials</v>
          </cell>
          <cell r="R2691" t="str">
            <v>Trading Companies &amp; Distributo</v>
          </cell>
          <cell r="S2691" t="str">
            <v>MSM</v>
          </cell>
        </row>
        <row r="2692">
          <cell r="L2692" t="str">
            <v>MUR</v>
          </cell>
          <cell r="M2692" t="str">
            <v>MURPHY-OIL-CORPORATION-13647/</v>
          </cell>
          <cell r="N2692" t="str">
            <v>MUR</v>
          </cell>
          <cell r="O2692" t="str">
            <v>MURPHY OIL CORP</v>
          </cell>
          <cell r="P2692" t="str">
            <v>New York</v>
          </cell>
          <cell r="Q2692" t="str">
            <v>Energy</v>
          </cell>
          <cell r="R2692" t="str">
            <v>Oil, Gas &amp; Consumable Fuels</v>
          </cell>
          <cell r="S2692" t="str">
            <v>MUR</v>
          </cell>
        </row>
        <row r="2693">
          <cell r="L2693" t="str">
            <v>EYE</v>
          </cell>
          <cell r="M2693" t="str">
            <v>NATIONAL-VISION-HOLDINGS-38226958/</v>
          </cell>
          <cell r="N2693" t="str">
            <v>EYE</v>
          </cell>
          <cell r="O2693" t="str">
            <v>NATIONAL VISION</v>
          </cell>
          <cell r="P2693" t="str">
            <v>NASDAQ GS</v>
          </cell>
          <cell r="Q2693" t="str">
            <v>Consumer Discretionary</v>
          </cell>
          <cell r="R2693" t="str">
            <v>Specialty Retail</v>
          </cell>
          <cell r="S2693" t="str">
            <v>EYE</v>
          </cell>
        </row>
        <row r="2694">
          <cell r="L2694" t="str">
            <v>NFG</v>
          </cell>
          <cell r="M2694" t="str">
            <v>NATIONAL-FUEL-GAS-CO-13716/</v>
          </cell>
          <cell r="N2694" t="str">
            <v>NFG</v>
          </cell>
          <cell r="O2694" t="str">
            <v>NATL FUEL GAS CO</v>
          </cell>
          <cell r="P2694" t="str">
            <v>New York</v>
          </cell>
          <cell r="Q2694" t="str">
            <v>Utilities</v>
          </cell>
          <cell r="R2694" t="str">
            <v>Gas Utilities</v>
          </cell>
          <cell r="S2694" t="str">
            <v>NFG</v>
          </cell>
        </row>
        <row r="2695">
          <cell r="L2695" t="str">
            <v>NHI</v>
          </cell>
          <cell r="M2695" t="str">
            <v>NATIONAL-HEALTH-INVESTORS-13726/</v>
          </cell>
          <cell r="N2695" t="str">
            <v>NHI</v>
          </cell>
          <cell r="O2695" t="str">
            <v>NATL HEALTH INV</v>
          </cell>
          <cell r="P2695" t="str">
            <v>New York</v>
          </cell>
          <cell r="Q2695" t="str">
            <v>Real Estate</v>
          </cell>
          <cell r="R2695" t="str">
            <v>Equity Real Estate Investment</v>
          </cell>
          <cell r="S2695" t="str">
            <v>NHI</v>
          </cell>
        </row>
        <row r="2696">
          <cell r="L2696" t="str">
            <v>NATI</v>
          </cell>
          <cell r="M2696" t="str">
            <v>NATIONAL-INSTRUMENTS-CORP-10156/</v>
          </cell>
          <cell r="N2696" t="str">
            <v>NATI</v>
          </cell>
          <cell r="O2696" t="str">
            <v>NATL INSTRUMENTS</v>
          </cell>
          <cell r="P2696" t="str">
            <v>NASDAQ GS</v>
          </cell>
          <cell r="Q2696" t="str">
            <v>Information Technology</v>
          </cell>
          <cell r="R2696" t="str">
            <v>Electronic Equipment, Instrume</v>
          </cell>
          <cell r="S2696" t="str">
            <v>NATI</v>
          </cell>
        </row>
        <row r="2697">
          <cell r="L2697" t="str">
            <v>NOV</v>
          </cell>
          <cell r="M2697" t="str">
            <v>NATIONAL-OILWELL-VARCO-13765/</v>
          </cell>
          <cell r="N2697" t="str">
            <v>NOV</v>
          </cell>
          <cell r="O2697" t="str">
            <v>NATL OILWELL VAR</v>
          </cell>
          <cell r="P2697" t="str">
            <v>New York</v>
          </cell>
          <cell r="Q2697" t="str">
            <v>Energy</v>
          </cell>
          <cell r="R2697" t="str">
            <v>Energy Equipment &amp; Services</v>
          </cell>
          <cell r="S2697" t="str">
            <v>NOV</v>
          </cell>
        </row>
        <row r="2698">
          <cell r="L2698" t="str">
            <v>NAV</v>
          </cell>
          <cell r="M2698" t="str">
            <v>NAVISTAR-INTERNATIONAL-CO-13684/</v>
          </cell>
          <cell r="N2698" t="str">
            <v>NAV</v>
          </cell>
          <cell r="O2698" t="str">
            <v>NAVISTAR INTL</v>
          </cell>
          <cell r="P2698" t="str">
            <v>New York</v>
          </cell>
          <cell r="Q2698" t="str">
            <v>Industrials</v>
          </cell>
          <cell r="R2698" t="str">
            <v>Machinery</v>
          </cell>
          <cell r="S2698" t="str">
            <v>NAV</v>
          </cell>
        </row>
        <row r="2699">
          <cell r="L2699" t="str">
            <v>NCR</v>
          </cell>
          <cell r="M2699" t="str">
            <v>NCR-CORPORATION-13699/</v>
          </cell>
          <cell r="N2699" t="str">
            <v>NCR</v>
          </cell>
          <cell r="O2699" t="str">
            <v>NCR CORP</v>
          </cell>
          <cell r="P2699" t="str">
            <v>New York</v>
          </cell>
          <cell r="Q2699" t="str">
            <v>Information Technology</v>
          </cell>
          <cell r="R2699" t="str">
            <v>Technology Hardware, Storage &amp;</v>
          </cell>
          <cell r="S2699" t="str">
            <v>NCR</v>
          </cell>
        </row>
        <row r="2700">
          <cell r="L2700" t="str">
            <v>NJR</v>
          </cell>
          <cell r="M2700" t="str">
            <v>NEW-JERSEY-RESOURCES-CORP-13738/</v>
          </cell>
          <cell r="N2700" t="str">
            <v>NJR</v>
          </cell>
          <cell r="O2700" t="str">
            <v>NEW JERSEY RES</v>
          </cell>
          <cell r="P2700" t="str">
            <v>New York</v>
          </cell>
          <cell r="Q2700" t="str">
            <v>Utilities</v>
          </cell>
          <cell r="R2700" t="str">
            <v>Gas Utilities</v>
          </cell>
          <cell r="S2700" t="str">
            <v>NJR</v>
          </cell>
        </row>
        <row r="2701">
          <cell r="L2701" t="str">
            <v>NEWR</v>
          </cell>
          <cell r="M2701" t="str">
            <v>NEW-RELIC-INC-19157128/</v>
          </cell>
          <cell r="N2701" t="str">
            <v>NEWR</v>
          </cell>
          <cell r="O2701" t="str">
            <v>NEW RELIC INC</v>
          </cell>
          <cell r="P2701" t="str">
            <v>New York</v>
          </cell>
          <cell r="Q2701" t="str">
            <v>Information Technology</v>
          </cell>
          <cell r="R2701" t="str">
            <v>Internet Software &amp; Services</v>
          </cell>
          <cell r="S2701" t="str">
            <v>NEWR</v>
          </cell>
        </row>
        <row r="2702">
          <cell r="L2702" t="str">
            <v>NRZ</v>
          </cell>
          <cell r="M2702" t="str">
            <v>NEW-RESIDENTIAL-INVESTMEN-18444767/</v>
          </cell>
          <cell r="N2702" t="str">
            <v>NRZ</v>
          </cell>
          <cell r="O2702" t="str">
            <v>NEW RESIDENT</v>
          </cell>
          <cell r="P2702" t="str">
            <v>New York</v>
          </cell>
          <cell r="Q2702" t="str">
            <v>Financials</v>
          </cell>
          <cell r="R2702" t="str">
            <v>Mortgage Real Estate Investmen</v>
          </cell>
          <cell r="S2702" t="str">
            <v>NRZ</v>
          </cell>
        </row>
        <row r="2703">
          <cell r="L2703" t="str">
            <v>NWSA</v>
          </cell>
          <cell r="M2703" t="str">
            <v>NEWS-CORP-13439787/</v>
          </cell>
          <cell r="N2703" t="str">
            <v>NWSA</v>
          </cell>
          <cell r="O2703" t="str">
            <v>NEWS CORP-CL A</v>
          </cell>
          <cell r="P2703" t="str">
            <v>NASDAQ GS</v>
          </cell>
          <cell r="Q2703" t="str">
            <v>Consumer Discretionary</v>
          </cell>
          <cell r="R2703" t="str">
            <v>Media</v>
          </cell>
          <cell r="S2703" t="str">
            <v>NWSA</v>
          </cell>
        </row>
        <row r="2704">
          <cell r="L2704" t="str">
            <v>NDSN</v>
          </cell>
          <cell r="M2704" t="str">
            <v>NORDSON-CORPORATION-10175/</v>
          </cell>
          <cell r="N2704" t="str">
            <v>NDSN</v>
          </cell>
          <cell r="O2704" t="str">
            <v>NORDSON CORP</v>
          </cell>
          <cell r="P2704" t="str">
            <v>NASDAQ GS</v>
          </cell>
          <cell r="Q2704" t="str">
            <v>Industrials</v>
          </cell>
          <cell r="R2704" t="str">
            <v>Machinery</v>
          </cell>
          <cell r="S2704" t="str">
            <v>NDSN</v>
          </cell>
        </row>
        <row r="2705">
          <cell r="L2705" t="str">
            <v>NTRS</v>
          </cell>
          <cell r="M2705" t="str">
            <v>NORTHERN-TRUST-CORPORATIO-40311094/</v>
          </cell>
          <cell r="N2705" t="str">
            <v>NTRS</v>
          </cell>
          <cell r="O2705" t="str">
            <v>NORTHERN TRUST</v>
          </cell>
          <cell r="P2705" t="str">
            <v>NASDAQ GS</v>
          </cell>
          <cell r="Q2705" t="str">
            <v>Financials</v>
          </cell>
          <cell r="R2705" t="str">
            <v>Capital Markets</v>
          </cell>
          <cell r="S2705" t="str">
            <v>NTRS</v>
          </cell>
        </row>
        <row r="2706">
          <cell r="L2706" t="str">
            <v>NWE</v>
          </cell>
          <cell r="M2706" t="str">
            <v>NORTHWESTERN-CORP-3007302/</v>
          </cell>
          <cell r="N2706" t="str">
            <v>NWE</v>
          </cell>
          <cell r="O2706" t="str">
            <v>NORTHWESTERN COR</v>
          </cell>
          <cell r="P2706" t="str">
            <v>New York</v>
          </cell>
          <cell r="Q2706" t="str">
            <v>Utilities</v>
          </cell>
          <cell r="R2706" t="str">
            <v>Multi-Utilities</v>
          </cell>
          <cell r="S2706" t="str">
            <v>NWE</v>
          </cell>
        </row>
        <row r="2707">
          <cell r="L2707" t="str">
            <v>NCLH</v>
          </cell>
          <cell r="M2707" t="str">
            <v>NORWEGIAN-CRUISE-LINE-HOL-39066564/</v>
          </cell>
          <cell r="N2707" t="str">
            <v>NCLH</v>
          </cell>
          <cell r="O2707" t="str">
            <v>NORWEGIAN CRUISE</v>
          </cell>
          <cell r="P2707" t="str">
            <v>New York</v>
          </cell>
          <cell r="Q2707" t="str">
            <v>Consumer Discretionary</v>
          </cell>
          <cell r="R2707" t="str">
            <v>Hotels, Restaurants &amp; Leisure</v>
          </cell>
          <cell r="S2707" t="str">
            <v>NCLH</v>
          </cell>
        </row>
        <row r="2708">
          <cell r="L2708" t="str">
            <v>NUS</v>
          </cell>
          <cell r="M2708" t="str">
            <v>NU-SKIN-ENTERPRISES-INC-13828/</v>
          </cell>
          <cell r="N2708" t="str">
            <v>NUS</v>
          </cell>
          <cell r="O2708" t="str">
            <v>NU SKIN ENTERP-A</v>
          </cell>
          <cell r="P2708" t="str">
            <v>New York</v>
          </cell>
          <cell r="Q2708" t="str">
            <v>Consumer Staples</v>
          </cell>
          <cell r="R2708" t="str">
            <v>Personal Products</v>
          </cell>
          <cell r="S2708" t="str">
            <v>NUS</v>
          </cell>
        </row>
        <row r="2709">
          <cell r="L2709" t="str">
            <v>NVR</v>
          </cell>
          <cell r="M2709" t="str">
            <v>NVR-INC-15718/</v>
          </cell>
          <cell r="N2709" t="str">
            <v>NVR</v>
          </cell>
          <cell r="O2709" t="str">
            <v>NVR INC</v>
          </cell>
          <cell r="P2709" t="str">
            <v>New York</v>
          </cell>
          <cell r="Q2709" t="str">
            <v>Consumer Discretionary</v>
          </cell>
          <cell r="R2709" t="str">
            <v>Household Durables</v>
          </cell>
          <cell r="S2709" t="str">
            <v>NVR</v>
          </cell>
        </row>
        <row r="2710">
          <cell r="L2710" t="str">
            <v>NYCB</v>
          </cell>
          <cell r="M2710" t="str">
            <v>NEW-YORK-COMMUNITY-BANCOR-13861/</v>
          </cell>
          <cell r="N2710" t="str">
            <v>NYCB</v>
          </cell>
          <cell r="O2710" t="str">
            <v>NY COMM BANCORP</v>
          </cell>
          <cell r="P2710" t="str">
            <v>New York</v>
          </cell>
          <cell r="Q2710" t="str">
            <v>Financials</v>
          </cell>
          <cell r="R2710" t="str">
            <v>Thrifts &amp; Mortgage Finance</v>
          </cell>
          <cell r="S2710" t="str">
            <v>NYCB</v>
          </cell>
        </row>
        <row r="2711">
          <cell r="L2711" t="str">
            <v>OAS</v>
          </cell>
          <cell r="M2711" t="str">
            <v>OASIS-PETROLEUM-INC-6316887/</v>
          </cell>
          <cell r="N2711" t="str">
            <v>OAS</v>
          </cell>
          <cell r="O2711" t="str">
            <v>OASIS PETROLEUM</v>
          </cell>
          <cell r="P2711" t="str">
            <v>New York</v>
          </cell>
          <cell r="Q2711" t="str">
            <v>Energy</v>
          </cell>
          <cell r="R2711" t="str">
            <v>Oil, Gas &amp; Consumable Fuels</v>
          </cell>
          <cell r="S2711" t="str">
            <v>OAS</v>
          </cell>
        </row>
        <row r="2712">
          <cell r="L2712" t="str">
            <v>OGE</v>
          </cell>
          <cell r="M2712" t="str">
            <v>OGE-ENERGY-CORP-13889/</v>
          </cell>
          <cell r="N2712" t="str">
            <v>OGE</v>
          </cell>
          <cell r="O2712" t="str">
            <v>OGE ENERGY CORP</v>
          </cell>
          <cell r="P2712" t="str">
            <v>New York</v>
          </cell>
          <cell r="Q2712" t="str">
            <v>Utilities</v>
          </cell>
          <cell r="R2712" t="str">
            <v>Electric Utilities</v>
          </cell>
          <cell r="S2712" t="str">
            <v>OGE</v>
          </cell>
        </row>
        <row r="2713">
          <cell r="L2713" t="str">
            <v>ORI</v>
          </cell>
          <cell r="M2713" t="str">
            <v>OLD-REPUBLIC-INTERNATIONA-13918/</v>
          </cell>
          <cell r="N2713" t="str">
            <v>ORI</v>
          </cell>
          <cell r="O2713" t="str">
            <v>OLD REPUB INTL</v>
          </cell>
          <cell r="P2713" t="str">
            <v>New York</v>
          </cell>
          <cell r="Q2713" t="str">
            <v>Financials</v>
          </cell>
          <cell r="R2713" t="str">
            <v>Insurance</v>
          </cell>
          <cell r="S2713" t="str">
            <v>ORI</v>
          </cell>
        </row>
        <row r="2714">
          <cell r="L2714" t="str">
            <v>OLN</v>
          </cell>
          <cell r="M2714" t="str">
            <v>OLIN-CORPORATION-13902/</v>
          </cell>
          <cell r="N2714" t="str">
            <v>OLN</v>
          </cell>
          <cell r="O2714" t="str">
            <v>OLIN CORP</v>
          </cell>
          <cell r="P2714" t="str">
            <v>New York</v>
          </cell>
          <cell r="Q2714" t="str">
            <v>Materials</v>
          </cell>
          <cell r="R2714" t="str">
            <v>Chemicals</v>
          </cell>
          <cell r="S2714" t="str">
            <v>OLN</v>
          </cell>
        </row>
        <row r="2715">
          <cell r="L2715" t="str">
            <v>OHI</v>
          </cell>
          <cell r="M2715" t="str">
            <v>OMEGA-HEALTHCARE-INVESTOR-13890/</v>
          </cell>
          <cell r="N2715" t="str">
            <v>OHI</v>
          </cell>
          <cell r="O2715" t="str">
            <v>OMEGA HEALTHCARE</v>
          </cell>
          <cell r="P2715" t="str">
            <v>New York</v>
          </cell>
          <cell r="Q2715" t="str">
            <v>Real Estate</v>
          </cell>
          <cell r="R2715" t="str">
            <v>Equity Real Estate Investment</v>
          </cell>
          <cell r="S2715" t="str">
            <v>OHI</v>
          </cell>
        </row>
        <row r="2716">
          <cell r="L2716" t="str">
            <v>OGS</v>
          </cell>
          <cell r="M2716" t="str">
            <v>ONE-GAS-INC-15523416/</v>
          </cell>
          <cell r="N2716" t="str">
            <v>OGS</v>
          </cell>
          <cell r="O2716" t="str">
            <v>ONE GAS INC</v>
          </cell>
          <cell r="P2716" t="str">
            <v>New York</v>
          </cell>
          <cell r="Q2716" t="str">
            <v>Utilities</v>
          </cell>
          <cell r="R2716" t="str">
            <v>Gas Utilities</v>
          </cell>
          <cell r="S2716" t="str">
            <v>OGS</v>
          </cell>
        </row>
        <row r="2717">
          <cell r="L2717" t="str">
            <v>OMF</v>
          </cell>
          <cell r="M2717" t="str">
            <v>ONEMAIN-HOLDINGS-INC-25209977/</v>
          </cell>
          <cell r="N2717" t="str">
            <v>OMF</v>
          </cell>
          <cell r="O2717" t="str">
            <v>ONEMAIN HOLDINGS</v>
          </cell>
          <cell r="P2717" t="str">
            <v>New York</v>
          </cell>
          <cell r="Q2717" t="str">
            <v>Financials</v>
          </cell>
          <cell r="R2717" t="str">
            <v>Consumer Finance</v>
          </cell>
          <cell r="S2717" t="str">
            <v>OMF</v>
          </cell>
        </row>
        <row r="2718">
          <cell r="L2718" t="str">
            <v>OSK</v>
          </cell>
          <cell r="M2718" t="str">
            <v>OSHKOSH-CORP-13922/</v>
          </cell>
          <cell r="N2718" t="str">
            <v>OSK</v>
          </cell>
          <cell r="O2718" t="str">
            <v>OSHKOSH CORP</v>
          </cell>
          <cell r="P2718" t="str">
            <v>New York</v>
          </cell>
          <cell r="Q2718" t="str">
            <v>Industrials</v>
          </cell>
          <cell r="R2718" t="str">
            <v>Machinery</v>
          </cell>
          <cell r="S2718" t="str">
            <v>OSK</v>
          </cell>
        </row>
        <row r="2719">
          <cell r="L2719" t="str">
            <v>OC</v>
          </cell>
          <cell r="M2719" t="str">
            <v>OWENS-CORNING-35353/</v>
          </cell>
          <cell r="N2719" t="str">
            <v>OC</v>
          </cell>
          <cell r="O2719" t="str">
            <v>OWENS CORNING</v>
          </cell>
          <cell r="P2719" t="str">
            <v>New York</v>
          </cell>
          <cell r="Q2719" t="str">
            <v>Industrials</v>
          </cell>
          <cell r="R2719" t="str">
            <v>Building Products</v>
          </cell>
          <cell r="S2719" t="str">
            <v>OC</v>
          </cell>
        </row>
        <row r="2720">
          <cell r="L2720" t="str">
            <v>PANW</v>
          </cell>
          <cell r="M2720" t="str">
            <v>PALO-ALTO-NETWORKS-INC-11067980/</v>
          </cell>
          <cell r="N2720" t="str">
            <v>PANW</v>
          </cell>
          <cell r="O2720" t="str">
            <v>PALO ALTO NETWOR</v>
          </cell>
          <cell r="P2720" t="str">
            <v>New York</v>
          </cell>
          <cell r="Q2720" t="str">
            <v>Information Technology</v>
          </cell>
          <cell r="R2720" t="str">
            <v>Communications Equipment</v>
          </cell>
          <cell r="S2720" t="str">
            <v>PANW</v>
          </cell>
        </row>
        <row r="2721">
          <cell r="L2721" t="str">
            <v>PGRE</v>
          </cell>
          <cell r="M2721" t="str">
            <v>PARAMOUNT-GROUP-INC-18539783/</v>
          </cell>
          <cell r="N2721" t="str">
            <v>PGRE</v>
          </cell>
          <cell r="O2721" t="str">
            <v>PARAMOUNT GROUP</v>
          </cell>
          <cell r="P2721" t="str">
            <v>New York</v>
          </cell>
          <cell r="Q2721" t="str">
            <v>Real Estate</v>
          </cell>
          <cell r="R2721" t="str">
            <v>Equity Real Estate Investment</v>
          </cell>
          <cell r="S2721" t="str">
            <v>PGRE</v>
          </cell>
        </row>
        <row r="2722">
          <cell r="L2722" t="str">
            <v>PK</v>
          </cell>
          <cell r="M2722" t="str">
            <v>PARK-HOTELS-RESORTS-INC-40449829/</v>
          </cell>
          <cell r="N2722" t="str">
            <v>PK</v>
          </cell>
          <cell r="O2722" t="str">
            <v>PARK H&amp;R INC</v>
          </cell>
          <cell r="P2722" t="str">
            <v>New York</v>
          </cell>
          <cell r="Q2722" t="str">
            <v>Real Estate</v>
          </cell>
          <cell r="R2722" t="str">
            <v>Equity Real Estate Investment</v>
          </cell>
          <cell r="S2722" t="str">
            <v>PK</v>
          </cell>
        </row>
        <row r="2723">
          <cell r="L2723" t="str">
            <v>PE</v>
          </cell>
          <cell r="M2723" t="str">
            <v>PARSLEY-ENERGY-INC-16529371/</v>
          </cell>
          <cell r="N2723" t="str">
            <v>PE</v>
          </cell>
          <cell r="O2723" t="str">
            <v>PARSLEY ENERGY-A</v>
          </cell>
          <cell r="P2723" t="str">
            <v>New York</v>
          </cell>
          <cell r="Q2723" t="str">
            <v>Energy</v>
          </cell>
          <cell r="R2723" t="str">
            <v>Oil, Gas &amp; Consumable Fuels</v>
          </cell>
          <cell r="S2723" t="str">
            <v>PE</v>
          </cell>
        </row>
        <row r="2724">
          <cell r="L2724" t="str">
            <v>PAYC</v>
          </cell>
          <cell r="M2724" t="str">
            <v>PAYCOM-SOFTWARE-INC-16253048/</v>
          </cell>
          <cell r="N2724" t="str">
            <v>PAYC</v>
          </cell>
          <cell r="O2724" t="str">
            <v>PAYCOM SOFTWARE</v>
          </cell>
          <cell r="P2724" t="str">
            <v>New York</v>
          </cell>
          <cell r="Q2724" t="str">
            <v>Information Technology</v>
          </cell>
          <cell r="R2724" t="str">
            <v>Software</v>
          </cell>
          <cell r="S2724" t="str">
            <v>PAYC</v>
          </cell>
        </row>
        <row r="2725">
          <cell r="L2725" t="str">
            <v>PBF</v>
          </cell>
          <cell r="M2725" t="str">
            <v>PBF-ENERGY-INC-12159534/</v>
          </cell>
          <cell r="N2725" t="str">
            <v>PBF</v>
          </cell>
          <cell r="O2725" t="str">
            <v>PBF ENERGY INC-A</v>
          </cell>
          <cell r="P2725" t="str">
            <v>New York</v>
          </cell>
          <cell r="Q2725" t="str">
            <v>Energy</v>
          </cell>
          <cell r="R2725" t="str">
            <v>Oil, Gas &amp; Consumable Fuels</v>
          </cell>
          <cell r="S2725" t="str">
            <v>PBF</v>
          </cell>
        </row>
        <row r="2726">
          <cell r="L2726" t="str">
            <v>BTU</v>
          </cell>
          <cell r="M2726" t="str">
            <v>PEABODY-ENERGY-CORPORATIO-34555317/</v>
          </cell>
          <cell r="N2726" t="str">
            <v>BTU</v>
          </cell>
          <cell r="O2726" t="str">
            <v>PEABODY ENERGY</v>
          </cell>
          <cell r="P2726" t="str">
            <v>New York</v>
          </cell>
          <cell r="Q2726" t="str">
            <v>Energy</v>
          </cell>
          <cell r="R2726" t="str">
            <v>Oil, Gas &amp; Consumable Fuels</v>
          </cell>
          <cell r="S2726" t="str">
            <v>BTU</v>
          </cell>
        </row>
        <row r="2727">
          <cell r="L2727" t="str">
            <v>PAG</v>
          </cell>
          <cell r="M2727" t="str">
            <v>PENSKE-AUTOMOTIVE-GROUP-14716/</v>
          </cell>
          <cell r="N2727" t="str">
            <v>PAG</v>
          </cell>
          <cell r="O2727" t="str">
            <v>PENSKE AUTOMOTIV</v>
          </cell>
          <cell r="P2727" t="str">
            <v>New York</v>
          </cell>
          <cell r="Q2727" t="str">
            <v>Consumer Discretionary</v>
          </cell>
          <cell r="R2727" t="str">
            <v>Specialty Retail</v>
          </cell>
          <cell r="S2727" t="str">
            <v>PAG</v>
          </cell>
        </row>
        <row r="2728">
          <cell r="L2728" t="str">
            <v>PEN</v>
          </cell>
          <cell r="M2728" t="str">
            <v>PENUMBRA-INC-23733715/</v>
          </cell>
          <cell r="N2728" t="str">
            <v>PEN</v>
          </cell>
          <cell r="O2728" t="str">
            <v>PENUMBRA INC</v>
          </cell>
          <cell r="P2728" t="str">
            <v>New York</v>
          </cell>
          <cell r="Q2728" t="str">
            <v>Health Care</v>
          </cell>
          <cell r="R2728" t="str">
            <v>Health Care Equipment &amp; Suppli</v>
          </cell>
          <cell r="S2728" t="str">
            <v>PEN</v>
          </cell>
        </row>
        <row r="2729">
          <cell r="L2729" t="str">
            <v>PFGC</v>
          </cell>
          <cell r="M2729" t="str">
            <v>PERFORMANCE-FOOD-GROUP-CO-23894480/</v>
          </cell>
          <cell r="N2729" t="str">
            <v>PFGC</v>
          </cell>
          <cell r="O2729" t="str">
            <v>PERFORMANCE FOOD</v>
          </cell>
          <cell r="P2729" t="str">
            <v>New York</v>
          </cell>
          <cell r="Q2729" t="str">
            <v>Consumer Staples</v>
          </cell>
          <cell r="R2729" t="str">
            <v>Food &amp; Staples Retailing</v>
          </cell>
          <cell r="S2729" t="str">
            <v>PFGC</v>
          </cell>
        </row>
        <row r="2730">
          <cell r="L2730" t="str">
            <v>DOC</v>
          </cell>
          <cell r="M2730" t="str">
            <v>PHYSICIANS-REALTY-TRUST-13659304/</v>
          </cell>
          <cell r="N2730" t="str">
            <v>DOC</v>
          </cell>
          <cell r="O2730" t="str">
            <v>PHYSICIANS REALT</v>
          </cell>
          <cell r="P2730" t="str">
            <v>New York</v>
          </cell>
          <cell r="Q2730" t="str">
            <v>Real Estate</v>
          </cell>
          <cell r="R2730" t="str">
            <v>Equity Real Estate Investment</v>
          </cell>
          <cell r="S2730" t="str">
            <v>DOC</v>
          </cell>
        </row>
        <row r="2731">
          <cell r="L2731" t="str">
            <v>PNFP</v>
          </cell>
          <cell r="M2731" t="str">
            <v>PINNACLE-FINANCIAL-PARTNE-10507/</v>
          </cell>
          <cell r="N2731" t="str">
            <v>PNFP</v>
          </cell>
          <cell r="O2731" t="str">
            <v>PINNACLE FINL</v>
          </cell>
          <cell r="P2731" t="str">
            <v>NASDAQ GS</v>
          </cell>
          <cell r="Q2731" t="str">
            <v>Financials</v>
          </cell>
          <cell r="R2731" t="str">
            <v>Banks</v>
          </cell>
          <cell r="S2731" t="str">
            <v>PNFP</v>
          </cell>
        </row>
        <row r="2732">
          <cell r="L2732" t="str">
            <v>PAH</v>
          </cell>
          <cell r="M2732" t="str">
            <v>PLATFORM-SPECIALTY-PRODUC-15590086/</v>
          </cell>
          <cell r="N2732" t="str">
            <v>PAH</v>
          </cell>
          <cell r="O2732" t="str">
            <v>PLATFORM SPECIAL</v>
          </cell>
          <cell r="P2732" t="str">
            <v>New York</v>
          </cell>
          <cell r="Q2732" t="str">
            <v>Materials</v>
          </cell>
          <cell r="R2732" t="str">
            <v>Chemicals</v>
          </cell>
          <cell r="S2732" t="str">
            <v>PAH</v>
          </cell>
        </row>
        <row r="2733">
          <cell r="L2733" t="str">
            <v>PNM</v>
          </cell>
          <cell r="M2733" t="str">
            <v>PNM-RESOURCES-INC-14072/</v>
          </cell>
          <cell r="N2733" t="str">
            <v>PNM</v>
          </cell>
          <cell r="O2733" t="str">
            <v>PNM RESOURCES</v>
          </cell>
          <cell r="P2733" t="str">
            <v>New York</v>
          </cell>
          <cell r="Q2733" t="str">
            <v>Utilities</v>
          </cell>
          <cell r="R2733" t="str">
            <v>Electric Utilities</v>
          </cell>
          <cell r="S2733" t="str">
            <v>PNM</v>
          </cell>
        </row>
        <row r="2734">
          <cell r="L2734" t="str">
            <v>POL</v>
          </cell>
          <cell r="M2734" t="str">
            <v>POLYONE-CORPORATION-14081/</v>
          </cell>
          <cell r="N2734" t="str">
            <v>POL</v>
          </cell>
          <cell r="O2734" t="str">
            <v>POLYONE CORP</v>
          </cell>
          <cell r="P2734" t="str">
            <v>New York</v>
          </cell>
          <cell r="Q2734" t="str">
            <v>Materials</v>
          </cell>
          <cell r="R2734" t="str">
            <v>Chemicals</v>
          </cell>
          <cell r="S2734" t="str">
            <v>POL</v>
          </cell>
        </row>
        <row r="2735">
          <cell r="L2735" t="str">
            <v>POR</v>
          </cell>
          <cell r="M2735" t="str">
            <v>PORTLAND-GENERAL-ELECTRIC-16678/</v>
          </cell>
          <cell r="N2735" t="str">
            <v>POR</v>
          </cell>
          <cell r="O2735" t="str">
            <v>PORTLAND GENERAL</v>
          </cell>
          <cell r="P2735" t="str">
            <v>New York</v>
          </cell>
          <cell r="Q2735" t="str">
            <v>Utilities</v>
          </cell>
          <cell r="R2735" t="str">
            <v>Electric Utilities</v>
          </cell>
          <cell r="S2735" t="str">
            <v>POR</v>
          </cell>
        </row>
        <row r="2736">
          <cell r="L2736" t="str">
            <v>PRI</v>
          </cell>
          <cell r="M2736" t="str">
            <v>PRIMERICA-INC-6096652/</v>
          </cell>
          <cell r="N2736" t="str">
            <v>PRI</v>
          </cell>
          <cell r="O2736" t="str">
            <v>PRIMERICA INC</v>
          </cell>
          <cell r="P2736" t="str">
            <v>New York</v>
          </cell>
          <cell r="Q2736" t="str">
            <v>Financials</v>
          </cell>
          <cell r="R2736" t="str">
            <v>Insurance</v>
          </cell>
          <cell r="S2736" t="str">
            <v>PRI</v>
          </cell>
        </row>
        <row r="2737">
          <cell r="L2737" t="str">
            <v>PB</v>
          </cell>
          <cell r="M2737" t="str">
            <v>PROSPERITY-BANCSHARES-IN-9691661/</v>
          </cell>
          <cell r="N2737" t="str">
            <v>PB</v>
          </cell>
          <cell r="O2737" t="str">
            <v>PROSPERITY BNCSH</v>
          </cell>
          <cell r="P2737" t="str">
            <v>New York</v>
          </cell>
          <cell r="Q2737" t="str">
            <v>Financials</v>
          </cell>
          <cell r="R2737" t="str">
            <v>Banks</v>
          </cell>
          <cell r="S2737" t="str">
            <v>PB</v>
          </cell>
        </row>
        <row r="2738">
          <cell r="L2738" t="str">
            <v>PRLB</v>
          </cell>
          <cell r="M2738" t="str">
            <v>PROTO-LABS-INC-10048662/</v>
          </cell>
          <cell r="N2738" t="str">
            <v>PRLB</v>
          </cell>
          <cell r="O2738" t="str">
            <v>PROTO LABS INC</v>
          </cell>
          <cell r="P2738" t="str">
            <v>New York</v>
          </cell>
          <cell r="Q2738" t="str">
            <v>Industrials</v>
          </cell>
          <cell r="R2738" t="str">
            <v>Machinery</v>
          </cell>
          <cell r="S2738" t="str">
            <v>PRLB</v>
          </cell>
        </row>
        <row r="2739">
          <cell r="L2739" t="str">
            <v>PSB</v>
          </cell>
          <cell r="M2739" t="str">
            <v>PS-BUSINESS-PARKS-INC-3970664/</v>
          </cell>
          <cell r="N2739" t="str">
            <v>PSB</v>
          </cell>
          <cell r="O2739" t="str">
            <v>PS BUSINESS PARK</v>
          </cell>
          <cell r="P2739" t="str">
            <v>New York</v>
          </cell>
          <cell r="Q2739" t="str">
            <v>Real Estate</v>
          </cell>
          <cell r="R2739" t="str">
            <v>Equity Real Estate Investment</v>
          </cell>
          <cell r="S2739" t="str">
            <v>PSB</v>
          </cell>
        </row>
        <row r="2740">
          <cell r="L2740" t="str">
            <v>PEG</v>
          </cell>
          <cell r="M2740" t="str">
            <v>PUBLIC-SERVICE-ENTERPRISE-13969/</v>
          </cell>
          <cell r="N2740" t="str">
            <v>PEG</v>
          </cell>
          <cell r="O2740" t="str">
            <v>PUB SERV ENTERP</v>
          </cell>
          <cell r="P2740" t="str">
            <v>New York</v>
          </cell>
          <cell r="Q2740" t="str">
            <v>Utilities</v>
          </cell>
          <cell r="R2740" t="str">
            <v>Multi-Utilities</v>
          </cell>
          <cell r="S2740" t="str">
            <v>PEG</v>
          </cell>
        </row>
        <row r="2741">
          <cell r="L2741" t="str">
            <v>PSTG</v>
          </cell>
          <cell r="M2741" t="str">
            <v>PURE-STORAGE-INC-24203395/</v>
          </cell>
          <cell r="N2741" t="str">
            <v>PSTG</v>
          </cell>
          <cell r="O2741" t="str">
            <v>PURE STORAGE-A</v>
          </cell>
          <cell r="P2741" t="str">
            <v>New York</v>
          </cell>
          <cell r="Q2741" t="str">
            <v>Information Technology</v>
          </cell>
          <cell r="R2741" t="str">
            <v>Technology Hardware, Storage &amp;</v>
          </cell>
          <cell r="S2741" t="str">
            <v>PSTG</v>
          </cell>
        </row>
        <row r="2742">
          <cell r="L2742" t="str">
            <v>QGEN</v>
          </cell>
          <cell r="M2742" t="str">
            <v>QIAGEN-40135659/</v>
          </cell>
          <cell r="N2742" t="str">
            <v>QGEN</v>
          </cell>
          <cell r="O2742" t="str">
            <v>QIAGEN NV</v>
          </cell>
          <cell r="P2742" t="str">
            <v>New York</v>
          </cell>
          <cell r="Q2742" t="str">
            <v>Health Care</v>
          </cell>
          <cell r="R2742" t="str">
            <v>Life Sciences Tools &amp; Services</v>
          </cell>
          <cell r="S2742" t="str">
            <v>QGEN</v>
          </cell>
        </row>
        <row r="2743">
          <cell r="L2743" t="str">
            <v>RDN</v>
          </cell>
          <cell r="M2743" t="str">
            <v>RADIAN-GROUP-INC-14211/</v>
          </cell>
          <cell r="N2743" t="str">
            <v>RDN</v>
          </cell>
          <cell r="O2743" t="str">
            <v>RADIAN GROUP INC</v>
          </cell>
          <cell r="P2743" t="str">
            <v>New York</v>
          </cell>
          <cell r="Q2743" t="str">
            <v>Financials</v>
          </cell>
          <cell r="R2743" t="str">
            <v>Thrifts &amp; Mortgage Finance</v>
          </cell>
          <cell r="S2743" t="str">
            <v>RDN</v>
          </cell>
        </row>
        <row r="2744">
          <cell r="L2744" t="str">
            <v>RRC</v>
          </cell>
          <cell r="M2744" t="str">
            <v>RANGE-RESOURCES-14288/</v>
          </cell>
          <cell r="N2744" t="str">
            <v>RRC</v>
          </cell>
          <cell r="O2744" t="str">
            <v>RANGE RESOURCES</v>
          </cell>
          <cell r="P2744" t="str">
            <v>New York</v>
          </cell>
          <cell r="Q2744" t="str">
            <v>Energy</v>
          </cell>
          <cell r="R2744" t="str">
            <v>Oil, Gas &amp; Consumable Fuels</v>
          </cell>
          <cell r="S2744" t="str">
            <v>RRC</v>
          </cell>
        </row>
        <row r="2745">
          <cell r="L2745" t="str">
            <v>RYN</v>
          </cell>
          <cell r="M2745" t="str">
            <v>RAYONIER-INC-14314/</v>
          </cell>
          <cell r="N2745" t="str">
            <v>RYN</v>
          </cell>
          <cell r="O2745" t="str">
            <v>RAYONIER INC</v>
          </cell>
          <cell r="P2745" t="str">
            <v>New York</v>
          </cell>
          <cell r="Q2745" t="str">
            <v>Real Estate</v>
          </cell>
          <cell r="R2745" t="str">
            <v>Equity Real Estate Investment</v>
          </cell>
          <cell r="S2745" t="str">
            <v>RYN</v>
          </cell>
        </row>
        <row r="2746">
          <cell r="L2746" t="str">
            <v>RBC</v>
          </cell>
          <cell r="M2746" t="str">
            <v>REGAL-BELOIT-CORP-14191/</v>
          </cell>
          <cell r="N2746" t="str">
            <v>RBC</v>
          </cell>
          <cell r="O2746" t="str">
            <v>REGAL BELOIT COR</v>
          </cell>
          <cell r="P2746" t="str">
            <v>New York</v>
          </cell>
          <cell r="Q2746" t="str">
            <v>Industrials</v>
          </cell>
          <cell r="R2746" t="str">
            <v>Electrical Equipment</v>
          </cell>
          <cell r="S2746" t="str">
            <v>RBC</v>
          </cell>
        </row>
        <row r="2747">
          <cell r="L2747" t="str">
            <v>REG</v>
          </cell>
          <cell r="M2747" t="str">
            <v>REGENCY-CENTERS-CORPORATI-40311152/</v>
          </cell>
          <cell r="N2747" t="str">
            <v>REG</v>
          </cell>
          <cell r="O2747" t="str">
            <v>REGENCY CENTERS</v>
          </cell>
          <cell r="P2747" t="str">
            <v>New York</v>
          </cell>
          <cell r="Q2747" t="str">
            <v>Real Estate</v>
          </cell>
          <cell r="R2747" t="str">
            <v>Equity Real Estate Investment</v>
          </cell>
          <cell r="S2747" t="str">
            <v>REG</v>
          </cell>
        </row>
        <row r="2748">
          <cell r="L2748" t="str">
            <v>RGA</v>
          </cell>
          <cell r="M2748" t="str">
            <v>REINSURANCE-GROUP-OF-AMER-14232/</v>
          </cell>
          <cell r="N2748" t="str">
            <v>RGA</v>
          </cell>
          <cell r="O2748" t="str">
            <v>REINSURANCE GROU</v>
          </cell>
          <cell r="P2748" t="str">
            <v>New York</v>
          </cell>
          <cell r="Q2748" t="str">
            <v>Financials</v>
          </cell>
          <cell r="R2748" t="str">
            <v>Insurance</v>
          </cell>
          <cell r="S2748" t="str">
            <v>RGA</v>
          </cell>
        </row>
        <row r="2749">
          <cell r="L2749" t="str">
            <v>RS</v>
          </cell>
          <cell r="M2749" t="str">
            <v>RELIANCE-STEEL-ALUMINUM-14292/</v>
          </cell>
          <cell r="N2749" t="str">
            <v>RS</v>
          </cell>
          <cell r="O2749" t="str">
            <v>RELIANCE STEEL</v>
          </cell>
          <cell r="P2749" t="str">
            <v>New York</v>
          </cell>
          <cell r="Q2749" t="str">
            <v>Materials</v>
          </cell>
          <cell r="R2749" t="str">
            <v>Metals &amp; Mining</v>
          </cell>
          <cell r="S2749" t="str">
            <v>RS</v>
          </cell>
        </row>
        <row r="2750">
          <cell r="L2750" t="str">
            <v>RNR</v>
          </cell>
          <cell r="M2750" t="str">
            <v>RENAISSANCERE-HOLDINGS-LT-14267/</v>
          </cell>
          <cell r="N2750" t="str">
            <v>RNR</v>
          </cell>
          <cell r="O2750" t="str">
            <v>RENAISSANCERE</v>
          </cell>
          <cell r="P2750" t="str">
            <v>New York</v>
          </cell>
          <cell r="Q2750" t="str">
            <v>Financials</v>
          </cell>
          <cell r="R2750" t="str">
            <v>Insurance</v>
          </cell>
          <cell r="S2750" t="str">
            <v>RNR</v>
          </cell>
        </row>
        <row r="2751">
          <cell r="L2751" t="str">
            <v>RXN</v>
          </cell>
          <cell r="M2751" t="str">
            <v>REXNORD-CORP-10314844/</v>
          </cell>
          <cell r="N2751" t="str">
            <v>RXN</v>
          </cell>
          <cell r="O2751" t="str">
            <v>REXNORD CORP</v>
          </cell>
          <cell r="P2751" t="str">
            <v>New York</v>
          </cell>
          <cell r="Q2751" t="str">
            <v>Industrials</v>
          </cell>
          <cell r="R2751" t="str">
            <v>Machinery</v>
          </cell>
          <cell r="S2751" t="str">
            <v>RXN</v>
          </cell>
        </row>
        <row r="2752">
          <cell r="L2752" t="str">
            <v>RNG</v>
          </cell>
          <cell r="M2752" t="str">
            <v>RINGCENTRAL-INC-14383012/</v>
          </cell>
          <cell r="N2752" t="str">
            <v>RNG</v>
          </cell>
          <cell r="O2752" t="str">
            <v>RINGCENTRAL IN-A</v>
          </cell>
          <cell r="P2752" t="str">
            <v>New York</v>
          </cell>
          <cell r="Q2752" t="str">
            <v>Information Technology</v>
          </cell>
          <cell r="R2752" t="str">
            <v>Software</v>
          </cell>
          <cell r="S2752" t="str">
            <v>RNG</v>
          </cell>
        </row>
        <row r="2753">
          <cell r="L2753" t="str">
            <v>RLI</v>
          </cell>
          <cell r="M2753" t="str">
            <v>RLI-CORP-14257/</v>
          </cell>
          <cell r="N2753" t="str">
            <v>RLI</v>
          </cell>
          <cell r="O2753" t="str">
            <v>RLI CORP</v>
          </cell>
          <cell r="P2753" t="str">
            <v>New York</v>
          </cell>
          <cell r="Q2753" t="str">
            <v>Financials</v>
          </cell>
          <cell r="R2753" t="str">
            <v>Insurance</v>
          </cell>
          <cell r="S2753" t="str">
            <v>RLI</v>
          </cell>
        </row>
        <row r="2754">
          <cell r="L2754" t="str">
            <v>RLJ</v>
          </cell>
          <cell r="M2754" t="str">
            <v>RLJ-LODGING-TRUST-7939852/</v>
          </cell>
          <cell r="N2754" t="str">
            <v>RLJ</v>
          </cell>
          <cell r="O2754" t="str">
            <v>RLJ LODGING TRUS</v>
          </cell>
          <cell r="P2754" t="str">
            <v>New York</v>
          </cell>
          <cell r="Q2754" t="str">
            <v>Real Estate</v>
          </cell>
          <cell r="R2754" t="str">
            <v>Equity Real Estate Investment</v>
          </cell>
          <cell r="S2754" t="str">
            <v>RLJ</v>
          </cell>
        </row>
        <row r="2755">
          <cell r="L2755" t="str">
            <v>ROK</v>
          </cell>
          <cell r="M2755" t="str">
            <v>ROCKWELL-AUTOMATION-14277/</v>
          </cell>
          <cell r="N2755" t="str">
            <v>ROK</v>
          </cell>
          <cell r="O2755" t="str">
            <v>ROCKWELL AUTOMAT</v>
          </cell>
          <cell r="P2755" t="str">
            <v>New York</v>
          </cell>
          <cell r="Q2755" t="str">
            <v>Industrials</v>
          </cell>
          <cell r="R2755" t="str">
            <v>Electrical Equipment</v>
          </cell>
          <cell r="S2755" t="str">
            <v>ROK</v>
          </cell>
        </row>
        <row r="2756">
          <cell r="L2756" t="str">
            <v>ROL</v>
          </cell>
          <cell r="M2756" t="str">
            <v>ROLLINS-INC-14278/</v>
          </cell>
          <cell r="N2756" t="str">
            <v>ROL</v>
          </cell>
          <cell r="O2756" t="str">
            <v>ROLLINS INC</v>
          </cell>
          <cell r="P2756" t="str">
            <v>New York</v>
          </cell>
          <cell r="Q2756" t="str">
            <v>Industrials</v>
          </cell>
          <cell r="R2756" t="str">
            <v>Commercial Services &amp; Supplies</v>
          </cell>
          <cell r="S2756" t="str">
            <v>ROL</v>
          </cell>
        </row>
        <row r="2757">
          <cell r="L2757" t="str">
            <v>RGLD</v>
          </cell>
          <cell r="M2757" t="str">
            <v>ROYAL-GOLD-INC-USA-10669/</v>
          </cell>
          <cell r="N2757" t="str">
            <v>RGLD</v>
          </cell>
          <cell r="O2757" t="str">
            <v>ROYAL GOLD INC</v>
          </cell>
          <cell r="P2757" t="str">
            <v>NASDAQ GS</v>
          </cell>
          <cell r="Q2757" t="str">
            <v>Materials</v>
          </cell>
          <cell r="R2757" t="str">
            <v>Metals &amp; Mining</v>
          </cell>
          <cell r="S2757" t="str">
            <v>RGLD</v>
          </cell>
        </row>
        <row r="2758">
          <cell r="L2758" t="str">
            <v>RPM</v>
          </cell>
          <cell r="M2758" t="str">
            <v>RPM-INTERNATIONAL-INC-14283/</v>
          </cell>
          <cell r="N2758" t="str">
            <v>RPM</v>
          </cell>
          <cell r="O2758" t="str">
            <v>RPM INTL INC</v>
          </cell>
          <cell r="P2758" t="str">
            <v>New York</v>
          </cell>
          <cell r="Q2758" t="str">
            <v>Materials</v>
          </cell>
          <cell r="R2758" t="str">
            <v>Chemicals</v>
          </cell>
          <cell r="S2758" t="str">
            <v>RPM</v>
          </cell>
        </row>
        <row r="2759">
          <cell r="L2759" t="str">
            <v>R</v>
          </cell>
          <cell r="M2759" t="str">
            <v>RYDER-SYSTEM-INC-14183/</v>
          </cell>
          <cell r="N2759" t="str">
            <v>R</v>
          </cell>
          <cell r="O2759" t="str">
            <v>RYDER SYSTEM INC</v>
          </cell>
          <cell r="P2759" t="str">
            <v>New York</v>
          </cell>
          <cell r="Q2759" t="str">
            <v>Industrials</v>
          </cell>
          <cell r="R2759" t="str">
            <v>Road &amp; Rail</v>
          </cell>
          <cell r="S2759" t="str">
            <v>R</v>
          </cell>
        </row>
        <row r="2760">
          <cell r="L2760" t="str">
            <v>RHP</v>
          </cell>
          <cell r="M2760" t="str">
            <v>RYMAN-HOSPITALITY-PROPERT-11613129/</v>
          </cell>
          <cell r="N2760" t="str">
            <v>RHP</v>
          </cell>
          <cell r="O2760" t="str">
            <v>RYMAN HOSPITALIT</v>
          </cell>
          <cell r="P2760" t="str">
            <v>New York</v>
          </cell>
          <cell r="Q2760" t="str">
            <v>Real Estate</v>
          </cell>
          <cell r="R2760" t="str">
            <v>Equity Real Estate Investment</v>
          </cell>
          <cell r="S2760" t="str">
            <v>RHP</v>
          </cell>
        </row>
        <row r="2761">
          <cell r="L2761" t="str">
            <v>SC</v>
          </cell>
          <cell r="M2761" t="str">
            <v>SANTANDER-CONSUMER-USA-HO-15539698/</v>
          </cell>
          <cell r="N2761" t="str">
            <v>SC</v>
          </cell>
          <cell r="O2761" t="str">
            <v>SANTANDER CONSUM</v>
          </cell>
          <cell r="P2761" t="str">
            <v>New York</v>
          </cell>
          <cell r="Q2761" t="str">
            <v>Financials</v>
          </cell>
          <cell r="R2761" t="str">
            <v>Consumer Finance</v>
          </cell>
          <cell r="S2761" t="str">
            <v>SC</v>
          </cell>
        </row>
        <row r="2762">
          <cell r="L2762" t="str">
            <v>SNDR</v>
          </cell>
          <cell r="M2762" t="str">
            <v>SCHNEIDER-NATIONAL-INC-34481078/</v>
          </cell>
          <cell r="N2762" t="str">
            <v>SNDR</v>
          </cell>
          <cell r="O2762" t="str">
            <v>SCHNEIDER NATL-B</v>
          </cell>
          <cell r="P2762" t="str">
            <v>New York</v>
          </cell>
          <cell r="Q2762" t="str">
            <v>Industrials</v>
          </cell>
          <cell r="R2762" t="str">
            <v>Road &amp; Rail</v>
          </cell>
          <cell r="S2762" t="str">
            <v>SNDR</v>
          </cell>
        </row>
        <row r="2763">
          <cell r="L2763" t="str">
            <v>SCHW</v>
          </cell>
          <cell r="M2763" t="str">
            <v>CHARLES-SCHWAB-CORPORATIO-9603993/</v>
          </cell>
          <cell r="N2763" t="str">
            <v>SCHW</v>
          </cell>
          <cell r="O2763" t="str">
            <v>SCHWAB (CHARLES)</v>
          </cell>
          <cell r="P2763" t="str">
            <v>New York</v>
          </cell>
          <cell r="Q2763" t="str">
            <v>Financials</v>
          </cell>
          <cell r="R2763" t="str">
            <v>Capital Markets</v>
          </cell>
          <cell r="S2763" t="str">
            <v>SCHW</v>
          </cell>
        </row>
        <row r="2764">
          <cell r="L2764" t="str">
            <v>SAIC</v>
          </cell>
          <cell r="M2764" t="str">
            <v>SCIENCE-APPLICATIONS-INTE-14285747/</v>
          </cell>
          <cell r="N2764" t="str">
            <v>SAIC</v>
          </cell>
          <cell r="O2764" t="str">
            <v>SCIENCE APPLICAT</v>
          </cell>
          <cell r="P2764" t="str">
            <v>New York</v>
          </cell>
          <cell r="Q2764" t="str">
            <v>Information Technology</v>
          </cell>
          <cell r="R2764" t="str">
            <v>IT Services</v>
          </cell>
          <cell r="S2764" t="str">
            <v>SAIC</v>
          </cell>
        </row>
        <row r="2765">
          <cell r="L2765" t="str">
            <v>SMG</v>
          </cell>
          <cell r="M2765" t="str">
            <v>SCOTTS-MIRACLE-GRO-CO-40246792/</v>
          </cell>
          <cell r="N2765" t="str">
            <v>SMG</v>
          </cell>
          <cell r="O2765" t="str">
            <v>SCOTTS MIRACLE</v>
          </cell>
          <cell r="P2765" t="str">
            <v>New York</v>
          </cell>
          <cell r="Q2765" t="str">
            <v>Materials</v>
          </cell>
          <cell r="R2765" t="str">
            <v>Chemicals</v>
          </cell>
          <cell r="S2765" t="str">
            <v>SMG</v>
          </cell>
        </row>
        <row r="2766">
          <cell r="L2766" t="str">
            <v>ST</v>
          </cell>
          <cell r="M2766" t="str">
            <v>SENSATA-TECHNOLOGIES-HOLD-42779000/</v>
          </cell>
          <cell r="N2766" t="str">
            <v>ST</v>
          </cell>
          <cell r="O2766" t="str">
            <v>SENSATA TECHNOLO</v>
          </cell>
          <cell r="P2766" t="str">
            <v>New York</v>
          </cell>
          <cell r="Q2766" t="str">
            <v>Industrials</v>
          </cell>
          <cell r="R2766" t="str">
            <v>Electrical Equipment</v>
          </cell>
          <cell r="S2766" t="str">
            <v>ST</v>
          </cell>
        </row>
        <row r="2767">
          <cell r="L2767" t="str">
            <v>SXT</v>
          </cell>
          <cell r="M2767" t="str">
            <v>SENSIENT-TECHNOLOGIES-COR-14736/</v>
          </cell>
          <cell r="N2767" t="str">
            <v>SXT</v>
          </cell>
          <cell r="O2767" t="str">
            <v>SENSIENT TECHNOL</v>
          </cell>
          <cell r="P2767" t="str">
            <v>New York</v>
          </cell>
          <cell r="Q2767" t="str">
            <v>Materials</v>
          </cell>
          <cell r="R2767" t="str">
            <v>Chemicals</v>
          </cell>
          <cell r="S2767" t="str">
            <v>SXT</v>
          </cell>
        </row>
        <row r="2768">
          <cell r="L2768" t="str">
            <v>SCI</v>
          </cell>
          <cell r="M2768" t="str">
            <v>SERVICE-CORPORATION-INTER-14476/</v>
          </cell>
          <cell r="N2768" t="str">
            <v>SCI</v>
          </cell>
          <cell r="O2768" t="str">
            <v>SERVICE CORP INT</v>
          </cell>
          <cell r="P2768" t="str">
            <v>New York</v>
          </cell>
          <cell r="Q2768" t="str">
            <v>Consumer Discretionary</v>
          </cell>
          <cell r="R2768" t="str">
            <v>Diversified Consumer Services</v>
          </cell>
          <cell r="S2768" t="str">
            <v>SCI</v>
          </cell>
        </row>
        <row r="2769">
          <cell r="L2769" t="str">
            <v>SERV</v>
          </cell>
          <cell r="M2769" t="str">
            <v>SERVICEMASTER-GLOBAL-HOLD-16764247/</v>
          </cell>
          <cell r="N2769" t="str">
            <v>SERV</v>
          </cell>
          <cell r="O2769" t="str">
            <v>SERVICEMASTER GL</v>
          </cell>
          <cell r="P2769" t="str">
            <v>New York</v>
          </cell>
          <cell r="Q2769" t="str">
            <v>Consumer Discretionary</v>
          </cell>
          <cell r="R2769" t="str">
            <v>Diversified Consumer Services</v>
          </cell>
          <cell r="S2769" t="str">
            <v>SERV</v>
          </cell>
        </row>
        <row r="2770">
          <cell r="L2770" t="str">
            <v>SIG</v>
          </cell>
          <cell r="M2770" t="str">
            <v>SIGNET-JEWELERS-14394/</v>
          </cell>
          <cell r="N2770" t="str">
            <v>SIG</v>
          </cell>
          <cell r="O2770" t="str">
            <v>SIGNET JEWELERS</v>
          </cell>
          <cell r="P2770" t="str">
            <v>New York</v>
          </cell>
          <cell r="Q2770" t="str">
            <v>Consumer Discretionary</v>
          </cell>
          <cell r="R2770" t="str">
            <v>Specialty Retail</v>
          </cell>
          <cell r="S2770" t="str">
            <v>SIG</v>
          </cell>
        </row>
        <row r="2771">
          <cell r="L2771" t="str">
            <v>SITE</v>
          </cell>
          <cell r="M2771" t="str">
            <v>SITEONE-LANDSCAPE-SUPPLY-27547962/</v>
          </cell>
          <cell r="N2771" t="str">
            <v>SITE</v>
          </cell>
          <cell r="O2771" t="str">
            <v>SITEONE LANDSCAP</v>
          </cell>
          <cell r="P2771" t="str">
            <v>New York</v>
          </cell>
          <cell r="Q2771" t="str">
            <v>Industrials</v>
          </cell>
          <cell r="R2771" t="str">
            <v>Trading Companies &amp; Distributo</v>
          </cell>
          <cell r="S2771" t="str">
            <v>SITE</v>
          </cell>
        </row>
        <row r="2772">
          <cell r="L2772" t="str">
            <v>SIX</v>
          </cell>
          <cell r="M2772" t="str">
            <v>SIX-FLAGS-ENTERTAINMENT-C-5371870/</v>
          </cell>
          <cell r="N2772" t="str">
            <v>SIX</v>
          </cell>
          <cell r="O2772" t="str">
            <v>SIX FLAGS ENTERT</v>
          </cell>
          <cell r="P2772" t="str">
            <v>New York</v>
          </cell>
          <cell r="Q2772" t="str">
            <v>Consumer Discretionary</v>
          </cell>
          <cell r="R2772" t="str">
            <v>Hotels, Restaurants &amp; Leisure</v>
          </cell>
          <cell r="S2772" t="str">
            <v>SIX</v>
          </cell>
        </row>
        <row r="2773">
          <cell r="L2773" t="str">
            <v>SKX</v>
          </cell>
          <cell r="M2773" t="str">
            <v>SKECHERS-USA-INC-14408/</v>
          </cell>
          <cell r="N2773" t="str">
            <v>SKX</v>
          </cell>
          <cell r="O2773" t="str">
            <v>SKECHERS USA-A</v>
          </cell>
          <cell r="P2773" t="str">
            <v>New York</v>
          </cell>
          <cell r="Q2773" t="str">
            <v>Consumer Discretionary</v>
          </cell>
          <cell r="R2773" t="str">
            <v>Textiles, Apparel &amp; Luxury Goo</v>
          </cell>
          <cell r="S2773" t="str">
            <v>SKX</v>
          </cell>
        </row>
        <row r="2774">
          <cell r="L2774" t="str">
            <v>SM</v>
          </cell>
          <cell r="M2774" t="str">
            <v>SM-ENERGY-CO-40449604/</v>
          </cell>
          <cell r="N2774" t="str">
            <v>SM</v>
          </cell>
          <cell r="O2774" t="str">
            <v>SM ENERGY CO</v>
          </cell>
          <cell r="P2774" t="str">
            <v>New York</v>
          </cell>
          <cell r="Q2774" t="str">
            <v>Energy</v>
          </cell>
          <cell r="R2774" t="str">
            <v>Oil, Gas &amp; Consumable Fuels</v>
          </cell>
          <cell r="S2774" t="str">
            <v>SM</v>
          </cell>
        </row>
        <row r="2775">
          <cell r="L2775" t="str">
            <v>SON</v>
          </cell>
          <cell r="M2775" t="str">
            <v>SONOCO-PRODUCTS-CO-14443/</v>
          </cell>
          <cell r="N2775" t="str">
            <v>SON</v>
          </cell>
          <cell r="O2775" t="str">
            <v>SONOCO PRODUCTS</v>
          </cell>
          <cell r="P2775" t="str">
            <v>New York</v>
          </cell>
          <cell r="Q2775" t="str">
            <v>Materials</v>
          </cell>
          <cell r="R2775" t="str">
            <v>Containers &amp; Packaging</v>
          </cell>
          <cell r="S2775" t="str">
            <v>SON</v>
          </cell>
        </row>
        <row r="2776">
          <cell r="L2776" t="str">
            <v>SCCO</v>
          </cell>
          <cell r="M2776" t="str">
            <v>SOUTHERN-COPPER-CORP-40449537/</v>
          </cell>
          <cell r="N2776" t="str">
            <v>SCCO</v>
          </cell>
          <cell r="O2776" t="str">
            <v>SOUTHERN COPPER</v>
          </cell>
          <cell r="P2776" t="str">
            <v>New York</v>
          </cell>
          <cell r="Q2776" t="str">
            <v>Materials</v>
          </cell>
          <cell r="R2776" t="str">
            <v>Metals &amp; Mining</v>
          </cell>
          <cell r="S2776" t="str">
            <v>SCCO</v>
          </cell>
        </row>
        <row r="2777">
          <cell r="L2777" t="str">
            <v>LUV</v>
          </cell>
          <cell r="M2777" t="str">
            <v>SOUTHWEST-AIRLINES-13439/</v>
          </cell>
          <cell r="N2777" t="str">
            <v>LUV</v>
          </cell>
          <cell r="O2777" t="str">
            <v>SOUTHWEST AIR</v>
          </cell>
          <cell r="P2777" t="str">
            <v>New York</v>
          </cell>
          <cell r="Q2777" t="str">
            <v>Industrials</v>
          </cell>
          <cell r="R2777" t="str">
            <v>Airlines</v>
          </cell>
          <cell r="S2777" t="str">
            <v>LUV</v>
          </cell>
        </row>
        <row r="2778">
          <cell r="L2778" t="str">
            <v>SWX</v>
          </cell>
          <cell r="M2778" t="str">
            <v>SOUTHWEST-GAS-HOLDINGS-IN-14527/</v>
          </cell>
          <cell r="N2778" t="str">
            <v>SWX</v>
          </cell>
          <cell r="O2778" t="str">
            <v>SOUTHWEST GAS HO</v>
          </cell>
          <cell r="P2778" t="str">
            <v>New York</v>
          </cell>
          <cell r="Q2778" t="str">
            <v>Utilities</v>
          </cell>
          <cell r="R2778" t="str">
            <v>Gas Utilities</v>
          </cell>
          <cell r="S2778" t="str">
            <v>SWX</v>
          </cell>
        </row>
        <row r="2779">
          <cell r="L2779" t="str">
            <v>SR</v>
          </cell>
          <cell r="M2779" t="str">
            <v>SPIRE-INC-27392458/</v>
          </cell>
          <cell r="N2779" t="str">
            <v>SR</v>
          </cell>
          <cell r="O2779" t="str">
            <v>SPIRE INC</v>
          </cell>
          <cell r="P2779" t="str">
            <v>New York</v>
          </cell>
          <cell r="Q2779" t="str">
            <v>Utilities</v>
          </cell>
          <cell r="R2779" t="str">
            <v>Gas Utilities</v>
          </cell>
          <cell r="S2779" t="str">
            <v>SR</v>
          </cell>
        </row>
        <row r="2780">
          <cell r="L2780" t="str">
            <v>SPR</v>
          </cell>
          <cell r="M2780" t="str">
            <v>SPIRIT-AEROSYSTEMS-HOLDIN-37142/</v>
          </cell>
          <cell r="N2780" t="str">
            <v>SPR</v>
          </cell>
          <cell r="O2780" t="str">
            <v>SPIRIT AEROSYS-A</v>
          </cell>
          <cell r="P2780" t="str">
            <v>New York</v>
          </cell>
          <cell r="Q2780" t="str">
            <v>Industrials</v>
          </cell>
          <cell r="R2780" t="str">
            <v>Aerospace &amp; Defense</v>
          </cell>
          <cell r="S2780" t="str">
            <v>SPR</v>
          </cell>
        </row>
        <row r="2781">
          <cell r="L2781" t="str">
            <v>SAVE</v>
          </cell>
          <cell r="M2781" t="str">
            <v>SPIRIT-AIRLINES-INCORPORA-39143167/</v>
          </cell>
          <cell r="N2781" t="str">
            <v>SAVE</v>
          </cell>
          <cell r="O2781" t="str">
            <v>SPIRIT AIRLINES</v>
          </cell>
          <cell r="P2781" t="str">
            <v>New York</v>
          </cell>
          <cell r="Q2781" t="str">
            <v>Industrials</v>
          </cell>
          <cell r="R2781" t="str">
            <v>Airlines</v>
          </cell>
          <cell r="S2781" t="str">
            <v>SAVE</v>
          </cell>
        </row>
        <row r="2782">
          <cell r="L2782" t="str">
            <v>SRC</v>
          </cell>
          <cell r="M2782" t="str">
            <v>SPIRIT-REALTY-CAPITAL-INC-13658490/</v>
          </cell>
          <cell r="N2782" t="str">
            <v>SRC</v>
          </cell>
          <cell r="O2782" t="str">
            <v>SPIRIT REALTY</v>
          </cell>
          <cell r="P2782" t="str">
            <v>New York</v>
          </cell>
          <cell r="Q2782" t="str">
            <v>Real Estate</v>
          </cell>
          <cell r="R2782" t="str">
            <v>Equity Real Estate Investment</v>
          </cell>
          <cell r="S2782" t="str">
            <v>SRC</v>
          </cell>
        </row>
        <row r="2783">
          <cell r="L2783" t="str">
            <v>S</v>
          </cell>
          <cell r="M2783" t="str">
            <v>SPRINT-CORP-13620883/</v>
          </cell>
          <cell r="N2783" t="str">
            <v>S</v>
          </cell>
          <cell r="O2783" t="str">
            <v>SPRINT CORP</v>
          </cell>
          <cell r="P2783" t="str">
            <v>New York</v>
          </cell>
          <cell r="Q2783" t="str">
            <v>Telecommunication Services</v>
          </cell>
          <cell r="R2783" t="str">
            <v>Wireless Telecommunication Ser</v>
          </cell>
          <cell r="S2783" t="str">
            <v>S</v>
          </cell>
        </row>
        <row r="2784">
          <cell r="L2784" t="str">
            <v>SQ</v>
          </cell>
          <cell r="M2784" t="str">
            <v>SQUARE-INC-24935553/</v>
          </cell>
          <cell r="N2784" t="str">
            <v>SQ</v>
          </cell>
          <cell r="O2784" t="str">
            <v>SQUARE INC - A</v>
          </cell>
          <cell r="P2784" t="str">
            <v>New York</v>
          </cell>
          <cell r="Q2784" t="str">
            <v>Information Technology</v>
          </cell>
          <cell r="R2784" t="str">
            <v>IT Services</v>
          </cell>
          <cell r="S2784" t="str">
            <v>SQ</v>
          </cell>
        </row>
        <row r="2785">
          <cell r="L2785" t="str">
            <v>STWD</v>
          </cell>
          <cell r="M2785" t="str">
            <v>STARWOOD-PROPERTY-TRUST-5513252/</v>
          </cell>
          <cell r="N2785" t="str">
            <v>STWD</v>
          </cell>
          <cell r="O2785" t="str">
            <v>STARWOOD PROPERT</v>
          </cell>
          <cell r="P2785" t="str">
            <v>New York</v>
          </cell>
          <cell r="Q2785" t="str">
            <v>Financials</v>
          </cell>
          <cell r="R2785" t="str">
            <v>Mortgage Real Estate Investmen</v>
          </cell>
          <cell r="S2785" t="str">
            <v>STWD</v>
          </cell>
        </row>
        <row r="2786">
          <cell r="L2786" t="str">
            <v>SRCL</v>
          </cell>
          <cell r="M2786" t="str">
            <v>STERICYCLE-10932/</v>
          </cell>
          <cell r="N2786" t="str">
            <v>SRCL</v>
          </cell>
          <cell r="O2786" t="str">
            <v>STERICYCLE INC</v>
          </cell>
          <cell r="P2786" t="str">
            <v>NASDAQ GS</v>
          </cell>
          <cell r="Q2786" t="str">
            <v>Industrials</v>
          </cell>
          <cell r="R2786" t="str">
            <v>Commercial Services &amp; Supplies</v>
          </cell>
          <cell r="S2786" t="str">
            <v>SRCL</v>
          </cell>
        </row>
        <row r="2787">
          <cell r="L2787" t="str">
            <v>SF</v>
          </cell>
          <cell r="M2787" t="str">
            <v>STIFEL-FINANCIAL-CORP-14353/</v>
          </cell>
          <cell r="N2787" t="str">
            <v>SF</v>
          </cell>
          <cell r="O2787" t="str">
            <v>STIFEL FINANCIAL</v>
          </cell>
          <cell r="P2787" t="str">
            <v>New York</v>
          </cell>
          <cell r="Q2787" t="str">
            <v>Financials</v>
          </cell>
          <cell r="R2787" t="str">
            <v>Capital Markets</v>
          </cell>
          <cell r="S2787" t="str">
            <v>SF</v>
          </cell>
        </row>
        <row r="2788">
          <cell r="L2788" t="str">
            <v>STOR</v>
          </cell>
          <cell r="M2788" t="str">
            <v>STORE-CAPITAL-CORP-18539778/</v>
          </cell>
          <cell r="N2788" t="str">
            <v>STOR</v>
          </cell>
          <cell r="O2788" t="str">
            <v>STORE CAPITAL</v>
          </cell>
          <cell r="P2788" t="str">
            <v>New York</v>
          </cell>
          <cell r="Q2788" t="str">
            <v>Real Estate</v>
          </cell>
          <cell r="R2788" t="str">
            <v>Equity Real Estate Investment</v>
          </cell>
          <cell r="S2788" t="str">
            <v>STOR</v>
          </cell>
        </row>
        <row r="2789">
          <cell r="L2789" t="str">
            <v>SUI</v>
          </cell>
          <cell r="M2789" t="str">
            <v>SUN-COMMUNITIES-INC-14510/</v>
          </cell>
          <cell r="N2789" t="str">
            <v>SUI</v>
          </cell>
          <cell r="O2789" t="str">
            <v>SUN COMMUNITIES</v>
          </cell>
          <cell r="P2789" t="str">
            <v>New York</v>
          </cell>
          <cell r="Q2789" t="str">
            <v>Real Estate</v>
          </cell>
          <cell r="R2789" t="str">
            <v>Equity Real Estate Investment</v>
          </cell>
          <cell r="S2789" t="str">
            <v>SUI</v>
          </cell>
        </row>
        <row r="2790">
          <cell r="L2790" t="str">
            <v>SHO</v>
          </cell>
          <cell r="M2790" t="str">
            <v>SUNSTONE-HOTEL-INVESTORS-14383/</v>
          </cell>
          <cell r="N2790" t="str">
            <v>SHO</v>
          </cell>
          <cell r="O2790" t="str">
            <v>SUNSTONE HOTEL</v>
          </cell>
          <cell r="P2790" t="str">
            <v>New York</v>
          </cell>
          <cell r="Q2790" t="str">
            <v>Real Estate</v>
          </cell>
          <cell r="R2790" t="str">
            <v>Equity Real Estate Investment</v>
          </cell>
          <cell r="S2790" t="str">
            <v>SHO</v>
          </cell>
        </row>
        <row r="2791">
          <cell r="L2791" t="str">
            <v>SNX</v>
          </cell>
          <cell r="M2791" t="str">
            <v>SYNNEX-CORPORATION-14439/</v>
          </cell>
          <cell r="N2791" t="str">
            <v>SNX</v>
          </cell>
          <cell r="O2791" t="str">
            <v>SYNNEX CORP</v>
          </cell>
          <cell r="P2791" t="str">
            <v>New York</v>
          </cell>
          <cell r="Q2791" t="str">
            <v>Information Technology</v>
          </cell>
          <cell r="R2791" t="str">
            <v>Electronic Equipment, Instrume</v>
          </cell>
          <cell r="S2791" t="str">
            <v>SNX</v>
          </cell>
        </row>
        <row r="2792">
          <cell r="L2792" t="str">
            <v>SNV</v>
          </cell>
          <cell r="M2792" t="str">
            <v>SYNOVUS-FINANCIAL-CORP-16537950/</v>
          </cell>
          <cell r="N2792" t="str">
            <v>SNV</v>
          </cell>
          <cell r="O2792" t="str">
            <v>SYNOVUS FINL</v>
          </cell>
          <cell r="P2792" t="str">
            <v>New York</v>
          </cell>
          <cell r="Q2792" t="str">
            <v>Financials</v>
          </cell>
          <cell r="R2792" t="str">
            <v>Banks</v>
          </cell>
          <cell r="S2792" t="str">
            <v>SNV</v>
          </cell>
        </row>
        <row r="2793">
          <cell r="L2793" t="str">
            <v>DATA</v>
          </cell>
          <cell r="M2793" t="str">
            <v>TABLEAU-SOFTWARE-INC-13228125/</v>
          </cell>
          <cell r="N2793" t="str">
            <v>DATA</v>
          </cell>
          <cell r="O2793" t="str">
            <v>TABLEAU SOFTWA-A</v>
          </cell>
          <cell r="P2793" t="str">
            <v>New York</v>
          </cell>
          <cell r="Q2793" t="str">
            <v>Information Technology</v>
          </cell>
          <cell r="R2793" t="str">
            <v>Software</v>
          </cell>
          <cell r="S2793" t="str">
            <v>DATA</v>
          </cell>
        </row>
        <row r="2794">
          <cell r="L2794" t="str">
            <v>TRGP</v>
          </cell>
          <cell r="M2794" t="str">
            <v>TARGA-RESOURCES-CORP-6948144/</v>
          </cell>
          <cell r="N2794" t="str">
            <v>TRGP</v>
          </cell>
          <cell r="O2794" t="str">
            <v>TARGA RESOURCES</v>
          </cell>
          <cell r="P2794" t="str">
            <v>New York</v>
          </cell>
          <cell r="Q2794" t="str">
            <v>Energy</v>
          </cell>
          <cell r="R2794" t="str">
            <v>Oil, Gas &amp; Consumable Fuels</v>
          </cell>
          <cell r="S2794" t="str">
            <v>TRGP</v>
          </cell>
        </row>
        <row r="2795">
          <cell r="L2795" t="str">
            <v>TCO</v>
          </cell>
          <cell r="M2795" t="str">
            <v>TAUBMAN-CENTERS-INC-14558/</v>
          </cell>
          <cell r="N2795" t="str">
            <v>TCO</v>
          </cell>
          <cell r="O2795" t="str">
            <v>TAUBMAN CENTERS</v>
          </cell>
          <cell r="P2795" t="str">
            <v>New York</v>
          </cell>
          <cell r="Q2795" t="str">
            <v>Real Estate</v>
          </cell>
          <cell r="R2795" t="str">
            <v>Equity Real Estate Investment</v>
          </cell>
          <cell r="S2795" t="str">
            <v>TCO</v>
          </cell>
        </row>
        <row r="2796">
          <cell r="L2796" t="str">
            <v>TCF</v>
          </cell>
          <cell r="M2796" t="str">
            <v>TCF-FINANCIAL-CORPORATION-14554/</v>
          </cell>
          <cell r="N2796" t="str">
            <v>TCF</v>
          </cell>
          <cell r="O2796" t="str">
            <v>TCF FINL CORP</v>
          </cell>
          <cell r="P2796" t="str">
            <v>New York</v>
          </cell>
          <cell r="Q2796" t="str">
            <v>Financials</v>
          </cell>
          <cell r="R2796" t="str">
            <v>Banks</v>
          </cell>
          <cell r="S2796" t="str">
            <v>TCF</v>
          </cell>
        </row>
        <row r="2797">
          <cell r="L2797" t="str">
            <v>TDOC</v>
          </cell>
          <cell r="M2797" t="str">
            <v>TELADOC-HEALTH-INC-22762533/</v>
          </cell>
          <cell r="N2797" t="str">
            <v>TDOC</v>
          </cell>
          <cell r="O2797" t="str">
            <v>TELADOC INC</v>
          </cell>
          <cell r="P2797" t="str">
            <v>New York</v>
          </cell>
          <cell r="Q2797" t="str">
            <v>Health Care</v>
          </cell>
          <cell r="R2797" t="str">
            <v>Health Care Technology</v>
          </cell>
          <cell r="S2797" t="str">
            <v>TDOC</v>
          </cell>
        </row>
        <row r="2798">
          <cell r="L2798" t="str">
            <v>TDY</v>
          </cell>
          <cell r="M2798" t="str">
            <v>TELEDYNE-TECHNOLOGIES-INC-14569/</v>
          </cell>
          <cell r="N2798" t="str">
            <v>TDY</v>
          </cell>
          <cell r="O2798" t="str">
            <v>TELEDYNE TECH</v>
          </cell>
          <cell r="P2798" t="str">
            <v>New York</v>
          </cell>
          <cell r="Q2798" t="str">
            <v>Industrials</v>
          </cell>
          <cell r="R2798" t="str">
            <v>Aerospace &amp; Defense</v>
          </cell>
          <cell r="S2798" t="str">
            <v>TDY</v>
          </cell>
        </row>
        <row r="2799">
          <cell r="L2799" t="str">
            <v>TDS</v>
          </cell>
          <cell r="M2799" t="str">
            <v>TELEPHONE-DATA-SYSTEMS-9895013/</v>
          </cell>
          <cell r="N2799" t="str">
            <v>TDS</v>
          </cell>
          <cell r="O2799" t="str">
            <v>TELEPHONE &amp; DATA</v>
          </cell>
          <cell r="P2799" t="str">
            <v>New York</v>
          </cell>
          <cell r="Q2799" t="str">
            <v>Telecommunication Services</v>
          </cell>
          <cell r="R2799" t="str">
            <v>Wireless Telecommunication Ser</v>
          </cell>
          <cell r="S2799" t="str">
            <v>TDS</v>
          </cell>
        </row>
        <row r="2800">
          <cell r="L2800" t="str">
            <v>THC</v>
          </cell>
          <cell r="M2800" t="str">
            <v>TENET-HEALTHCARE-CORP-11877509/</v>
          </cell>
          <cell r="N2800" t="str">
            <v>THC</v>
          </cell>
          <cell r="O2800" t="str">
            <v>TENET HEALTHCARE</v>
          </cell>
          <cell r="P2800" t="str">
            <v>New York</v>
          </cell>
          <cell r="Q2800" t="str">
            <v>Health Care</v>
          </cell>
          <cell r="R2800" t="str">
            <v>Health Care Providers &amp; Servic</v>
          </cell>
          <cell r="S2800" t="str">
            <v>THC</v>
          </cell>
        </row>
        <row r="2801">
          <cell r="L2801" t="str">
            <v>TDC</v>
          </cell>
          <cell r="M2801" t="str">
            <v>TERADATA-CORPORATION-61176/</v>
          </cell>
          <cell r="N2801" t="str">
            <v>TDC</v>
          </cell>
          <cell r="O2801" t="str">
            <v>TERADATA CORP</v>
          </cell>
          <cell r="P2801" t="str">
            <v>New York</v>
          </cell>
          <cell r="Q2801" t="str">
            <v>Information Technology</v>
          </cell>
          <cell r="R2801" t="str">
            <v>IT Services</v>
          </cell>
          <cell r="S2801" t="str">
            <v>TDC</v>
          </cell>
        </row>
        <row r="2802">
          <cell r="L2802" t="str">
            <v>TER</v>
          </cell>
          <cell r="M2802" t="str">
            <v>TERADYNE-INC-14578/</v>
          </cell>
          <cell r="N2802" t="str">
            <v>TER</v>
          </cell>
          <cell r="O2802" t="str">
            <v>TERADYNE INC</v>
          </cell>
          <cell r="P2802" t="str">
            <v>New York</v>
          </cell>
          <cell r="Q2802" t="str">
            <v>Information Technology</v>
          </cell>
          <cell r="R2802" t="str">
            <v>Semiconductors &amp; Semiconductor</v>
          </cell>
          <cell r="S2802" t="str">
            <v>TER</v>
          </cell>
        </row>
        <row r="2803">
          <cell r="L2803" t="str">
            <v>TCBI</v>
          </cell>
          <cell r="M2803" t="str">
            <v>TEXAS-CAPITAL-BANCSHARES-11058/</v>
          </cell>
          <cell r="N2803" t="str">
            <v>TCBI</v>
          </cell>
          <cell r="O2803" t="str">
            <v>TEXAS CAPITAL BA</v>
          </cell>
          <cell r="P2803" t="str">
            <v>NASDAQ GS</v>
          </cell>
          <cell r="Q2803" t="str">
            <v>Financials</v>
          </cell>
          <cell r="R2803" t="str">
            <v>Banks</v>
          </cell>
          <cell r="S2803" t="str">
            <v>TCBI</v>
          </cell>
        </row>
        <row r="2804">
          <cell r="L2804" t="str">
            <v>TXRH</v>
          </cell>
          <cell r="M2804" t="str">
            <v>TEXAS-ROADHOUSE-INC-11195/</v>
          </cell>
          <cell r="N2804" t="str">
            <v>TXRH</v>
          </cell>
          <cell r="O2804" t="str">
            <v>TEXAS ROADHOUS</v>
          </cell>
          <cell r="P2804" t="str">
            <v>NASDAQ GS</v>
          </cell>
          <cell r="Q2804" t="str">
            <v>Consumer Discretionary</v>
          </cell>
          <cell r="R2804" t="str">
            <v>Hotels, Restaurants &amp; Leisure</v>
          </cell>
          <cell r="S2804" t="str">
            <v>TXRH</v>
          </cell>
        </row>
        <row r="2805">
          <cell r="L2805" t="str">
            <v>THO</v>
          </cell>
          <cell r="M2805" t="str">
            <v>THOR-INDUSTRIES-INC-14591/</v>
          </cell>
          <cell r="N2805" t="str">
            <v>THO</v>
          </cell>
          <cell r="O2805" t="str">
            <v>THOR INDUSTRIES</v>
          </cell>
          <cell r="P2805" t="str">
            <v>New York</v>
          </cell>
          <cell r="Q2805" t="str">
            <v>Consumer Discretionary</v>
          </cell>
          <cell r="R2805" t="str">
            <v>Automobiles</v>
          </cell>
          <cell r="S2805" t="str">
            <v>THO</v>
          </cell>
        </row>
        <row r="2806">
          <cell r="L2806" t="str">
            <v>TKR</v>
          </cell>
          <cell r="M2806" t="str">
            <v>TIMKEN-CO-14605/</v>
          </cell>
          <cell r="N2806" t="str">
            <v>TKR</v>
          </cell>
          <cell r="O2806" t="str">
            <v>TIMKEN CO</v>
          </cell>
          <cell r="P2806" t="str">
            <v>New York</v>
          </cell>
          <cell r="Q2806" t="str">
            <v>Industrials</v>
          </cell>
          <cell r="R2806" t="str">
            <v>Machinery</v>
          </cell>
          <cell r="S2806" t="str">
            <v>TKR</v>
          </cell>
        </row>
        <row r="2807">
          <cell r="L2807" t="str">
            <v>TOL</v>
          </cell>
          <cell r="M2807" t="str">
            <v>TOLL-BROTHERS-INC-14640/</v>
          </cell>
          <cell r="N2807" t="str">
            <v>TOL</v>
          </cell>
          <cell r="O2807" t="str">
            <v>TOLL BROTHERS</v>
          </cell>
          <cell r="P2807" t="str">
            <v>New York</v>
          </cell>
          <cell r="Q2807" t="str">
            <v>Consumer Discretionary</v>
          </cell>
          <cell r="R2807" t="str">
            <v>Household Durables</v>
          </cell>
          <cell r="S2807" t="str">
            <v>TOL</v>
          </cell>
        </row>
        <row r="2808">
          <cell r="L2808" t="str">
            <v>TTC</v>
          </cell>
          <cell r="M2808" t="str">
            <v>TORO-CO-14679/</v>
          </cell>
          <cell r="N2808" t="str">
            <v>TTC</v>
          </cell>
          <cell r="O2808" t="str">
            <v>TORO CO</v>
          </cell>
          <cell r="P2808" t="str">
            <v>New York</v>
          </cell>
          <cell r="Q2808" t="str">
            <v>Industrials</v>
          </cell>
          <cell r="R2808" t="str">
            <v>Machinery</v>
          </cell>
          <cell r="S2808" t="str">
            <v>TTC</v>
          </cell>
        </row>
        <row r="2809">
          <cell r="L2809" t="str">
            <v>RIG</v>
          </cell>
          <cell r="M2809" t="str">
            <v>TRANSOCEAN-LTD-14246/</v>
          </cell>
          <cell r="N2809" t="str">
            <v>RIG</v>
          </cell>
          <cell r="O2809" t="str">
            <v>TRANSOCEAN LTD</v>
          </cell>
          <cell r="P2809" t="str">
            <v>New York</v>
          </cell>
          <cell r="Q2809" t="str">
            <v>Energy</v>
          </cell>
          <cell r="R2809" t="str">
            <v>Energy Equipment &amp; Services</v>
          </cell>
          <cell r="S2809" t="str">
            <v>RIG</v>
          </cell>
        </row>
        <row r="2810">
          <cell r="L2810" t="str">
            <v>TRU</v>
          </cell>
          <cell r="M2810" t="str">
            <v>TRANSUNION-22619502/</v>
          </cell>
          <cell r="N2810" t="str">
            <v>TRU</v>
          </cell>
          <cell r="O2810" t="str">
            <v>TRANSUNION</v>
          </cell>
          <cell r="P2810" t="str">
            <v>New York</v>
          </cell>
          <cell r="Q2810" t="str">
            <v>Industrials</v>
          </cell>
          <cell r="R2810" t="str">
            <v>Professional Services</v>
          </cell>
          <cell r="S2810" t="str">
            <v>TRU</v>
          </cell>
        </row>
        <row r="2811">
          <cell r="L2811" t="str">
            <v>TRCO</v>
          </cell>
          <cell r="M2811" t="str">
            <v>TRIBUNE-MEDIA-CO-18892405/</v>
          </cell>
          <cell r="N2811" t="str">
            <v>TRCO</v>
          </cell>
          <cell r="O2811" t="str">
            <v>TRIBUNE MEDIA -A</v>
          </cell>
          <cell r="P2811" t="str">
            <v>New York</v>
          </cell>
          <cell r="Q2811" t="str">
            <v>Consumer Discretionary</v>
          </cell>
          <cell r="R2811" t="str">
            <v>Media</v>
          </cell>
          <cell r="S2811" t="str">
            <v>TRCO</v>
          </cell>
        </row>
        <row r="2812">
          <cell r="L2812" t="str">
            <v>TNET</v>
          </cell>
          <cell r="M2812" t="str">
            <v>TRINET-GROUP-INC-16113711/</v>
          </cell>
          <cell r="N2812" t="str">
            <v>TNET</v>
          </cell>
          <cell r="O2812" t="str">
            <v>TRINET GROUP INC</v>
          </cell>
          <cell r="P2812" t="str">
            <v>New York</v>
          </cell>
          <cell r="Q2812" t="str">
            <v>Industrials</v>
          </cell>
          <cell r="R2812" t="str">
            <v>Professional Services</v>
          </cell>
          <cell r="S2812" t="str">
            <v>TNET</v>
          </cell>
        </row>
        <row r="2813">
          <cell r="L2813" t="str">
            <v>TRN</v>
          </cell>
          <cell r="M2813" t="str">
            <v>TRINITY-INDUSTRIES-INC-14657/</v>
          </cell>
          <cell r="N2813" t="str">
            <v>TRN</v>
          </cell>
          <cell r="O2813" t="str">
            <v>TRINITY INDUSTRI</v>
          </cell>
          <cell r="P2813" t="str">
            <v>New York</v>
          </cell>
          <cell r="Q2813" t="str">
            <v>Industrials</v>
          </cell>
          <cell r="R2813" t="str">
            <v>Machinery</v>
          </cell>
          <cell r="S2813" t="str">
            <v>TRN</v>
          </cell>
        </row>
        <row r="2814">
          <cell r="L2814" t="str">
            <v>TSE</v>
          </cell>
          <cell r="M2814" t="str">
            <v>TRINSEO-S-A-16665808/</v>
          </cell>
          <cell r="N2814" t="str">
            <v>TSE</v>
          </cell>
          <cell r="O2814" t="str">
            <v>TRINSEO SA</v>
          </cell>
          <cell r="P2814" t="str">
            <v>New York</v>
          </cell>
          <cell r="Q2814" t="str">
            <v>Materials</v>
          </cell>
          <cell r="R2814" t="str">
            <v>Chemicals</v>
          </cell>
          <cell r="S2814" t="str">
            <v>TSE</v>
          </cell>
        </row>
        <row r="2815">
          <cell r="L2815" t="str">
            <v>TWLO</v>
          </cell>
          <cell r="M2815" t="str">
            <v>TWILIO-INC-28734706/</v>
          </cell>
          <cell r="N2815" t="str">
            <v>TWLO</v>
          </cell>
          <cell r="O2815" t="str">
            <v>TWILIO INC - A</v>
          </cell>
          <cell r="P2815" t="str">
            <v>New York</v>
          </cell>
          <cell r="Q2815" t="str">
            <v>Information Technology</v>
          </cell>
          <cell r="R2815" t="str">
            <v>Internet Software &amp; Services</v>
          </cell>
          <cell r="S2815" t="str">
            <v>TWLO</v>
          </cell>
        </row>
        <row r="2816">
          <cell r="L2816" t="str">
            <v>TWO</v>
          </cell>
          <cell r="M2816" t="str">
            <v>TWO-HARBORS-INVESTMENT-CO-38649279/</v>
          </cell>
          <cell r="N2816" t="str">
            <v>TWO</v>
          </cell>
          <cell r="O2816" t="str">
            <v>TWO HARBORS INVE</v>
          </cell>
          <cell r="P2816" t="str">
            <v>New York</v>
          </cell>
          <cell r="Q2816" t="str">
            <v>Financials</v>
          </cell>
          <cell r="R2816" t="str">
            <v>Mortgage Real Estate Investmen</v>
          </cell>
          <cell r="S2816" t="str">
            <v>TWO</v>
          </cell>
        </row>
        <row r="2817">
          <cell r="L2817" t="str">
            <v>TYL</v>
          </cell>
          <cell r="M2817" t="str">
            <v>TYLER-TECHNOLOGIES-INC-14707/</v>
          </cell>
          <cell r="N2817" t="str">
            <v>TYL</v>
          </cell>
          <cell r="O2817" t="str">
            <v>TYLER TECHNOLOG</v>
          </cell>
          <cell r="P2817" t="str">
            <v>New York</v>
          </cell>
          <cell r="Q2817" t="str">
            <v>Information Technology</v>
          </cell>
          <cell r="R2817" t="str">
            <v>Software</v>
          </cell>
          <cell r="S2817" t="str">
            <v>TYL</v>
          </cell>
        </row>
        <row r="2818">
          <cell r="L2818" t="str">
            <v>UGI</v>
          </cell>
          <cell r="M2818" t="str">
            <v>UGI-CORP-14738/</v>
          </cell>
          <cell r="N2818" t="str">
            <v>UGI</v>
          </cell>
          <cell r="O2818" t="str">
            <v>UGI CORP</v>
          </cell>
          <cell r="P2818" t="str">
            <v>New York</v>
          </cell>
          <cell r="Q2818" t="str">
            <v>Utilities</v>
          </cell>
          <cell r="R2818" t="str">
            <v>Gas Utilities</v>
          </cell>
          <cell r="S2818" t="str">
            <v>UGI</v>
          </cell>
        </row>
        <row r="2819">
          <cell r="L2819" t="str">
            <v>ULTI</v>
          </cell>
          <cell r="M2819" t="str">
            <v>THE-ULTIMATE-SOFTWARE-GRO-11233/</v>
          </cell>
          <cell r="N2819" t="str">
            <v>ULTI</v>
          </cell>
          <cell r="O2819" t="str">
            <v>ULTIMATE SOFTWAR</v>
          </cell>
          <cell r="P2819" t="str">
            <v>NASDAQ GS</v>
          </cell>
          <cell r="Q2819" t="str">
            <v>Information Technology</v>
          </cell>
          <cell r="R2819" t="str">
            <v>Software</v>
          </cell>
          <cell r="S2819" t="str">
            <v>ULTI</v>
          </cell>
        </row>
        <row r="2820">
          <cell r="L2820" t="str">
            <v>UNF</v>
          </cell>
          <cell r="M2820" t="str">
            <v>UNIFIRST-CORP-14749/</v>
          </cell>
          <cell r="N2820" t="str">
            <v>UNF</v>
          </cell>
          <cell r="O2820" t="str">
            <v>UNIFIRST CORP/MA</v>
          </cell>
          <cell r="P2820" t="str">
            <v>New York</v>
          </cell>
          <cell r="Q2820" t="str">
            <v>Industrials</v>
          </cell>
          <cell r="R2820" t="str">
            <v>Commercial Services &amp; Supplies</v>
          </cell>
          <cell r="S2820" t="str">
            <v>UNF</v>
          </cell>
        </row>
        <row r="2821">
          <cell r="L2821" t="str">
            <v>UBSI</v>
          </cell>
          <cell r="M2821" t="str">
            <v>UNITED-BANKSHARES-INC-11212/</v>
          </cell>
          <cell r="N2821" t="str">
            <v>UBSI</v>
          </cell>
          <cell r="O2821" t="str">
            <v>UNITED BANKSHS</v>
          </cell>
          <cell r="P2821" t="str">
            <v>NASDAQ GS</v>
          </cell>
          <cell r="Q2821" t="str">
            <v>Financials</v>
          </cell>
          <cell r="R2821" t="str">
            <v>Banks</v>
          </cell>
          <cell r="S2821" t="str">
            <v>UBSI</v>
          </cell>
        </row>
        <row r="2822">
          <cell r="L2822" t="str">
            <v>UAL</v>
          </cell>
          <cell r="M2822" t="str">
            <v>UNITED-CONTINENTAL-HOLDIN-45899617/</v>
          </cell>
          <cell r="N2822" t="str">
            <v>UAL</v>
          </cell>
          <cell r="O2822" t="str">
            <v>UNITED CONTINENT</v>
          </cell>
          <cell r="P2822" t="str">
            <v>New York</v>
          </cell>
          <cell r="Q2822" t="str">
            <v>Industrials</v>
          </cell>
          <cell r="R2822" t="str">
            <v>Airlines</v>
          </cell>
          <cell r="S2822" t="str">
            <v>UAL</v>
          </cell>
        </row>
        <row r="2823">
          <cell r="L2823" t="str">
            <v>UPS</v>
          </cell>
          <cell r="M2823" t="str">
            <v>UNITED-PARCEL-SERVICE-14758/</v>
          </cell>
          <cell r="N2823" t="str">
            <v>UPS</v>
          </cell>
          <cell r="O2823" t="str">
            <v>UNITED PARCEL-B</v>
          </cell>
          <cell r="P2823" t="str">
            <v>New York</v>
          </cell>
          <cell r="Q2823" t="str">
            <v>Industrials</v>
          </cell>
          <cell r="R2823" t="str">
            <v>Air Freight &amp; Logistics</v>
          </cell>
          <cell r="S2823" t="str">
            <v>UPS</v>
          </cell>
        </row>
        <row r="2824">
          <cell r="L2824" t="str">
            <v>URI</v>
          </cell>
          <cell r="M2824" t="str">
            <v>UNITED-RENTALS-40311160/</v>
          </cell>
          <cell r="N2824" t="str">
            <v>URI</v>
          </cell>
          <cell r="O2824" t="str">
            <v>UNITED RENTALS</v>
          </cell>
          <cell r="P2824" t="str">
            <v>New York</v>
          </cell>
          <cell r="Q2824" t="str">
            <v>Industrials</v>
          </cell>
          <cell r="R2824" t="str">
            <v>Trading Companies &amp; Distributo</v>
          </cell>
          <cell r="S2824" t="str">
            <v>URI</v>
          </cell>
        </row>
        <row r="2825">
          <cell r="L2825" t="str">
            <v>UTX</v>
          </cell>
          <cell r="M2825" t="str">
            <v>UNITED-TECHNOLOGIES-CORPO-4840/</v>
          </cell>
          <cell r="N2825" t="str">
            <v>UTX</v>
          </cell>
          <cell r="O2825" t="str">
            <v>UNITED TECH CORP</v>
          </cell>
          <cell r="P2825" t="str">
            <v>New York</v>
          </cell>
          <cell r="Q2825" t="str">
            <v>Industrials</v>
          </cell>
          <cell r="R2825" t="str">
            <v>Aerospace &amp; Defense</v>
          </cell>
          <cell r="S2825" t="str">
            <v>UTX</v>
          </cell>
        </row>
        <row r="2826">
          <cell r="L2826" t="str">
            <v>UTHR</v>
          </cell>
          <cell r="M2826" t="str">
            <v>UNITED-THERAPEUTICS-CORPO-11262/</v>
          </cell>
          <cell r="N2826" t="str">
            <v>UTHR</v>
          </cell>
          <cell r="O2826" t="str">
            <v>UNITED THERAPEUT</v>
          </cell>
          <cell r="P2826" t="str">
            <v>NASDAQ GS</v>
          </cell>
          <cell r="Q2826" t="str">
            <v>Health Care</v>
          </cell>
          <cell r="R2826" t="str">
            <v>Biotechnology</v>
          </cell>
          <cell r="S2826" t="str">
            <v>UTHR</v>
          </cell>
        </row>
        <row r="2827">
          <cell r="L2827" t="str">
            <v>UNVR</v>
          </cell>
          <cell r="M2827" t="str">
            <v>UNIVAR-INC-20708083/</v>
          </cell>
          <cell r="N2827" t="str">
            <v>UNVR</v>
          </cell>
          <cell r="O2827" t="str">
            <v>UNIVAR INC</v>
          </cell>
          <cell r="P2827" t="str">
            <v>New York</v>
          </cell>
          <cell r="Q2827" t="str">
            <v>Industrials</v>
          </cell>
          <cell r="R2827" t="str">
            <v>Trading Companies &amp; Distributo</v>
          </cell>
          <cell r="S2827" t="str">
            <v>UNVR</v>
          </cell>
        </row>
        <row r="2828">
          <cell r="L2828" t="str">
            <v>OLED</v>
          </cell>
          <cell r="M2828" t="str">
            <v>UNIVERSAL-DISPLAY-CORPORA-10394/</v>
          </cell>
          <cell r="N2828" t="str">
            <v>OLED</v>
          </cell>
          <cell r="O2828" t="str">
            <v>UNIVERSAL DISPLA</v>
          </cell>
          <cell r="P2828" t="str">
            <v>NASDAQ GS</v>
          </cell>
          <cell r="Q2828" t="str">
            <v>Information Technology</v>
          </cell>
          <cell r="R2828" t="str">
            <v>Semiconductors &amp; Semiconductor</v>
          </cell>
          <cell r="S2828" t="str">
            <v>OLED</v>
          </cell>
        </row>
        <row r="2829">
          <cell r="L2829" t="str">
            <v>USM</v>
          </cell>
          <cell r="M2829" t="str">
            <v>UNITED-STATES-CELLULAR-CO-4011144/</v>
          </cell>
          <cell r="N2829" t="str">
            <v>USM</v>
          </cell>
          <cell r="O2829" t="str">
            <v>US CELLULAR CORP</v>
          </cell>
          <cell r="P2829" t="str">
            <v>New York</v>
          </cell>
          <cell r="Q2829" t="str">
            <v>Telecommunication Services</v>
          </cell>
          <cell r="R2829" t="str">
            <v>Wireless Telecommunication Ser</v>
          </cell>
          <cell r="S2829" t="str">
            <v>USM</v>
          </cell>
        </row>
        <row r="2830">
          <cell r="L2830" t="str">
            <v>USFD</v>
          </cell>
          <cell r="M2830" t="str">
            <v>US-FOODS-HOLDING-CORP-28377221/</v>
          </cell>
          <cell r="N2830" t="str">
            <v>USFD</v>
          </cell>
          <cell r="O2830" t="str">
            <v>US FOODS HOLDING</v>
          </cell>
          <cell r="P2830" t="str">
            <v>New York</v>
          </cell>
          <cell r="Q2830" t="str">
            <v>Consumer Staples</v>
          </cell>
          <cell r="R2830" t="str">
            <v>Food &amp; Staples Retailing</v>
          </cell>
          <cell r="S2830" t="str">
            <v>USFD</v>
          </cell>
        </row>
        <row r="2831">
          <cell r="L2831" t="str">
            <v>X</v>
          </cell>
          <cell r="M2831" t="str">
            <v>UNITED-STATES-STEEL-CORPO-14934/</v>
          </cell>
          <cell r="N2831" t="str">
            <v>X</v>
          </cell>
          <cell r="O2831" t="str">
            <v>US STEEL CORP</v>
          </cell>
          <cell r="P2831" t="str">
            <v>New York</v>
          </cell>
          <cell r="Q2831" t="str">
            <v>Materials</v>
          </cell>
          <cell r="R2831" t="str">
            <v>Metals &amp; Mining</v>
          </cell>
          <cell r="S2831" t="str">
            <v>X</v>
          </cell>
        </row>
        <row r="2832">
          <cell r="L2832" t="str">
            <v>USNA</v>
          </cell>
          <cell r="M2832" t="str">
            <v>USANA-HEALTH-SCIENCES-IN-11257/</v>
          </cell>
          <cell r="N2832" t="str">
            <v>USNA</v>
          </cell>
          <cell r="O2832" t="str">
            <v>USANA HEALTH SCI</v>
          </cell>
          <cell r="P2832" t="str">
            <v>New York</v>
          </cell>
          <cell r="Q2832" t="str">
            <v>Consumer Staples</v>
          </cell>
          <cell r="R2832" t="str">
            <v>Personal Products</v>
          </cell>
          <cell r="S2832" t="str">
            <v>USNA</v>
          </cell>
        </row>
        <row r="2833">
          <cell r="L2833" t="str">
            <v>USG</v>
          </cell>
          <cell r="M2833" t="str">
            <v>USG-CORPORATION-14767/</v>
          </cell>
          <cell r="N2833" t="str">
            <v>USG</v>
          </cell>
          <cell r="O2833" t="str">
            <v>USG CORP</v>
          </cell>
          <cell r="P2833" t="str">
            <v>New York</v>
          </cell>
          <cell r="Q2833" t="str">
            <v>Industrials</v>
          </cell>
          <cell r="R2833" t="str">
            <v>Building Products</v>
          </cell>
          <cell r="S2833" t="str">
            <v>USG</v>
          </cell>
        </row>
        <row r="2834">
          <cell r="L2834" t="str">
            <v>MTN</v>
          </cell>
          <cell r="M2834" t="str">
            <v>VAIL-RESORTS-INC-13633/</v>
          </cell>
          <cell r="N2834" t="str">
            <v>MTN</v>
          </cell>
          <cell r="O2834" t="str">
            <v>VAIL RESORTS</v>
          </cell>
          <cell r="P2834" t="str">
            <v>New York</v>
          </cell>
          <cell r="Q2834" t="str">
            <v>Consumer Discretionary</v>
          </cell>
          <cell r="R2834" t="str">
            <v>Hotels, Restaurants &amp; Leisure</v>
          </cell>
          <cell r="S2834" t="str">
            <v>MTN</v>
          </cell>
        </row>
        <row r="2835">
          <cell r="L2835" t="str">
            <v>VLY</v>
          </cell>
          <cell r="M2835" t="str">
            <v>VALLEY-NATIONAL-BANCORP-14813/</v>
          </cell>
          <cell r="N2835" t="str">
            <v>VLY</v>
          </cell>
          <cell r="O2835" t="str">
            <v>VALLEY NATL BANC</v>
          </cell>
          <cell r="P2835" t="str">
            <v>New York</v>
          </cell>
          <cell r="Q2835" t="str">
            <v>Financials</v>
          </cell>
          <cell r="R2835" t="str">
            <v>Banks</v>
          </cell>
          <cell r="S2835" t="str">
            <v>VLY</v>
          </cell>
        </row>
        <row r="2836">
          <cell r="L2836" t="str">
            <v>VMI</v>
          </cell>
          <cell r="M2836" t="str">
            <v>VALMONT-INDUSTRIES-INC-14816/</v>
          </cell>
          <cell r="N2836" t="str">
            <v>VMI</v>
          </cell>
          <cell r="O2836" t="str">
            <v>VALMONT INDS</v>
          </cell>
          <cell r="P2836" t="str">
            <v>New York</v>
          </cell>
          <cell r="Q2836" t="str">
            <v>Industrials</v>
          </cell>
          <cell r="R2836" t="str">
            <v>Construction &amp; Engineering</v>
          </cell>
          <cell r="S2836" t="str">
            <v>VMI</v>
          </cell>
        </row>
        <row r="2837">
          <cell r="L2837" t="str">
            <v>VVV</v>
          </cell>
          <cell r="M2837" t="str">
            <v>VALVOLINE-INC-31394892/</v>
          </cell>
          <cell r="N2837" t="str">
            <v>VVV</v>
          </cell>
          <cell r="O2837" t="str">
            <v>VALVOLINE INC</v>
          </cell>
          <cell r="P2837" t="str">
            <v>New York</v>
          </cell>
          <cell r="Q2837" t="str">
            <v>Materials</v>
          </cell>
          <cell r="R2837" t="str">
            <v>Chemicals</v>
          </cell>
          <cell r="S2837" t="str">
            <v>VVV</v>
          </cell>
        </row>
        <row r="2838">
          <cell r="L2838" t="str">
            <v>VVC</v>
          </cell>
          <cell r="M2838" t="str">
            <v>VECTREN-CORP-14838/</v>
          </cell>
          <cell r="N2838" t="str">
            <v>VVC</v>
          </cell>
          <cell r="O2838" t="str">
            <v>VECTREN CORP</v>
          </cell>
          <cell r="P2838" t="str">
            <v>New York</v>
          </cell>
          <cell r="Q2838" t="str">
            <v>Utilities</v>
          </cell>
          <cell r="R2838" t="str">
            <v>Multi-Utilities</v>
          </cell>
          <cell r="S2838" t="str">
            <v>VVC</v>
          </cell>
        </row>
        <row r="2839">
          <cell r="L2839" t="str">
            <v>VEEV</v>
          </cell>
          <cell r="M2839" t="str">
            <v>VEEVA-SYSTEMS-INC-14551091/</v>
          </cell>
          <cell r="N2839" t="str">
            <v>VEEV</v>
          </cell>
          <cell r="O2839" t="str">
            <v>VEEVA SYSTEMS-A</v>
          </cell>
          <cell r="P2839" t="str">
            <v>New York</v>
          </cell>
          <cell r="Q2839" t="str">
            <v>Health Care</v>
          </cell>
          <cell r="R2839" t="str">
            <v>Health Care Technology</v>
          </cell>
          <cell r="S2839" t="str">
            <v>VEEV</v>
          </cell>
        </row>
        <row r="2840">
          <cell r="L2840" t="str">
            <v>VRSN</v>
          </cell>
          <cell r="M2840" t="str">
            <v>VERISIGN-4912/</v>
          </cell>
          <cell r="N2840" t="str">
            <v>VRSN</v>
          </cell>
          <cell r="O2840" t="str">
            <v>VERISIGN INC</v>
          </cell>
          <cell r="P2840" t="str">
            <v>NASDAQ GS</v>
          </cell>
          <cell r="Q2840" t="str">
            <v>Information Technology</v>
          </cell>
          <cell r="R2840" t="str">
            <v>Internet Software &amp; Services</v>
          </cell>
          <cell r="S2840" t="str">
            <v>VRSN</v>
          </cell>
        </row>
        <row r="2841">
          <cell r="L2841" t="str">
            <v>VSM</v>
          </cell>
          <cell r="M2841" t="str">
            <v>VERSUM-MATERIALS-INC-31513855/</v>
          </cell>
          <cell r="N2841" t="str">
            <v>VSM</v>
          </cell>
          <cell r="O2841" t="str">
            <v>VERSUM MATER</v>
          </cell>
          <cell r="P2841" t="str">
            <v>New York</v>
          </cell>
          <cell r="Q2841" t="str">
            <v>Information Technology</v>
          </cell>
          <cell r="R2841" t="str">
            <v>Semiconductors &amp; Semiconductor</v>
          </cell>
          <cell r="S2841" t="str">
            <v>VSM</v>
          </cell>
        </row>
        <row r="2842">
          <cell r="L2842" t="str">
            <v>VIAB</v>
          </cell>
          <cell r="M2842" t="str">
            <v>VIACOM-9555153/</v>
          </cell>
          <cell r="N2842" t="str">
            <v>VIAB</v>
          </cell>
          <cell r="O2842" t="str">
            <v>VIACOM INC-B</v>
          </cell>
          <cell r="P2842" t="str">
            <v>NASDAQ GS</v>
          </cell>
          <cell r="Q2842" t="str">
            <v>Consumer Discretionary</v>
          </cell>
          <cell r="R2842" t="str">
            <v>Media</v>
          </cell>
          <cell r="S2842" t="str">
            <v>VIAB</v>
          </cell>
        </row>
        <row r="2843">
          <cell r="L2843" t="str">
            <v>VICI</v>
          </cell>
          <cell r="M2843" t="str">
            <v>VICI-PROPERTIES-INC-40580878/</v>
          </cell>
          <cell r="N2843" t="str">
            <v>VICI</v>
          </cell>
          <cell r="O2843" t="str">
            <v>VICI PROPERTIES</v>
          </cell>
          <cell r="P2843" t="str">
            <v>New York</v>
          </cell>
          <cell r="Q2843" t="str">
            <v>Real Estate</v>
          </cell>
          <cell r="R2843" t="str">
            <v>Equity Real Estate Investment</v>
          </cell>
          <cell r="S2843" t="str">
            <v>VICI</v>
          </cell>
        </row>
        <row r="2844">
          <cell r="L2844" t="str">
            <v>VSH</v>
          </cell>
          <cell r="M2844" t="str">
            <v>VISHAY-INTERTECHNOLOGY-14831/</v>
          </cell>
          <cell r="N2844" t="str">
            <v>VSH</v>
          </cell>
          <cell r="O2844" t="str">
            <v>VISHAY INTERTECH</v>
          </cell>
          <cell r="P2844" t="str">
            <v>New York</v>
          </cell>
          <cell r="Q2844" t="str">
            <v>Information Technology</v>
          </cell>
          <cell r="R2844" t="str">
            <v>Electronic Equipment, Instrume</v>
          </cell>
          <cell r="S2844" t="str">
            <v>VSH</v>
          </cell>
        </row>
        <row r="2845">
          <cell r="L2845" t="str">
            <v>VST</v>
          </cell>
          <cell r="M2845" t="str">
            <v>VISTRA-ENERGY-CORP-34858180/</v>
          </cell>
          <cell r="N2845" t="str">
            <v>VST</v>
          </cell>
          <cell r="O2845" t="str">
            <v>VISTRA ENERGY CO</v>
          </cell>
          <cell r="P2845" t="str">
            <v>New York</v>
          </cell>
          <cell r="Q2845" t="str">
            <v>Utilities</v>
          </cell>
          <cell r="R2845" t="str">
            <v>Independent Power and Renewabl</v>
          </cell>
          <cell r="S2845" t="str">
            <v>VST</v>
          </cell>
        </row>
        <row r="2846">
          <cell r="L2846" t="str">
            <v>VMW</v>
          </cell>
          <cell r="M2846" t="str">
            <v>VMWARE-INC-58476/</v>
          </cell>
          <cell r="N2846" t="str">
            <v>VMW</v>
          </cell>
          <cell r="O2846" t="str">
            <v>VMWARE INC-CL A</v>
          </cell>
          <cell r="P2846" t="str">
            <v>New York</v>
          </cell>
          <cell r="Q2846" t="str">
            <v>Information Technology</v>
          </cell>
          <cell r="R2846" t="str">
            <v>Software</v>
          </cell>
          <cell r="S2846" t="str">
            <v>VMW</v>
          </cell>
        </row>
        <row r="2847">
          <cell r="L2847" t="str">
            <v>VG</v>
          </cell>
          <cell r="M2847" t="str">
            <v>VONAGE-HOLDINGS-CORP-17164/</v>
          </cell>
          <cell r="N2847" t="str">
            <v>VG</v>
          </cell>
          <cell r="O2847" t="str">
            <v>VONAGE HOLDINGS</v>
          </cell>
          <cell r="P2847" t="str">
            <v>New York</v>
          </cell>
          <cell r="Q2847" t="str">
            <v>Telecommunication Services</v>
          </cell>
          <cell r="R2847" t="str">
            <v>Diversified Telecommunication</v>
          </cell>
          <cell r="S2847" t="str">
            <v>VG</v>
          </cell>
        </row>
        <row r="2848">
          <cell r="L2848" t="str">
            <v>VOYA</v>
          </cell>
          <cell r="M2848" t="str">
            <v>VOYA-FINANCIAL-INC-16229357/</v>
          </cell>
          <cell r="N2848" t="str">
            <v>VOYA</v>
          </cell>
          <cell r="O2848" t="str">
            <v>VOYA FINANCIAL I</v>
          </cell>
          <cell r="P2848" t="str">
            <v>New York</v>
          </cell>
          <cell r="Q2848" t="str">
            <v>Financials</v>
          </cell>
          <cell r="R2848" t="str">
            <v>Diversified Financial Services</v>
          </cell>
          <cell r="S2848" t="str">
            <v>VOYA</v>
          </cell>
        </row>
        <row r="2849">
          <cell r="L2849" t="str">
            <v>WBC</v>
          </cell>
          <cell r="M2849" t="str">
            <v>WABCO-HOLDINGS-INC-57261/</v>
          </cell>
          <cell r="N2849" t="str">
            <v>WBC</v>
          </cell>
          <cell r="O2849" t="str">
            <v>WABCO HOLDINGS</v>
          </cell>
          <cell r="P2849" t="str">
            <v>New York</v>
          </cell>
          <cell r="Q2849" t="str">
            <v>Industrials</v>
          </cell>
          <cell r="R2849" t="str">
            <v>Machinery</v>
          </cell>
          <cell r="S2849" t="str">
            <v>WBC</v>
          </cell>
        </row>
        <row r="2850">
          <cell r="L2850" t="str">
            <v>WAB</v>
          </cell>
          <cell r="M2850" t="str">
            <v>WESTINGHOUSE-AIR-BRAKE-TE-14842/</v>
          </cell>
          <cell r="N2850" t="str">
            <v>WAB</v>
          </cell>
          <cell r="O2850" t="str">
            <v>WABTEC CORP</v>
          </cell>
          <cell r="P2850" t="str">
            <v>New York</v>
          </cell>
          <cell r="Q2850" t="str">
            <v>Industrials</v>
          </cell>
          <cell r="R2850" t="str">
            <v>Machinery</v>
          </cell>
          <cell r="S2850" t="str">
            <v>WAB</v>
          </cell>
        </row>
        <row r="2851">
          <cell r="L2851" t="str">
            <v>WSO</v>
          </cell>
          <cell r="M2851" t="str">
            <v>WATSCO-INC-14916/</v>
          </cell>
          <cell r="N2851" t="str">
            <v>WSO</v>
          </cell>
          <cell r="O2851" t="str">
            <v>WATSCO INC</v>
          </cell>
          <cell r="P2851" t="str">
            <v>New York</v>
          </cell>
          <cell r="Q2851" t="str">
            <v>Industrials</v>
          </cell>
          <cell r="R2851" t="str">
            <v>Trading Companies &amp; Distributo</v>
          </cell>
          <cell r="S2851" t="str">
            <v>WSO</v>
          </cell>
        </row>
        <row r="2852">
          <cell r="L2852" t="str">
            <v>W</v>
          </cell>
          <cell r="M2852" t="str">
            <v>WAYFAIR-INC-18126549/</v>
          </cell>
          <cell r="N2852" t="str">
            <v>W</v>
          </cell>
          <cell r="O2852" t="str">
            <v>WAYFAIR INC- A</v>
          </cell>
          <cell r="P2852" t="str">
            <v>New York</v>
          </cell>
          <cell r="Q2852" t="str">
            <v>Consumer Discretionary</v>
          </cell>
          <cell r="R2852" t="str">
            <v>Internet &amp; Direct Marketing Re</v>
          </cell>
          <cell r="S2852" t="str">
            <v>W</v>
          </cell>
        </row>
        <row r="2853">
          <cell r="L2853" t="str">
            <v>WBS</v>
          </cell>
          <cell r="M2853" t="str">
            <v>WEBSTER-FINANCIAL-CORPORA-14848/</v>
          </cell>
          <cell r="N2853" t="str">
            <v>WBS</v>
          </cell>
          <cell r="O2853" t="str">
            <v>WEBSTER FINL</v>
          </cell>
          <cell r="P2853" t="str">
            <v>New York</v>
          </cell>
          <cell r="Q2853" t="str">
            <v>Financials</v>
          </cell>
          <cell r="R2853" t="str">
            <v>Banks</v>
          </cell>
          <cell r="S2853" t="str">
            <v>WBS</v>
          </cell>
        </row>
        <row r="2854">
          <cell r="L2854" t="str">
            <v>WTW</v>
          </cell>
          <cell r="M2854" t="str">
            <v>WEIGHT-WATCHERS-INTERNATI-14924/</v>
          </cell>
          <cell r="N2854" t="str">
            <v>WTW</v>
          </cell>
          <cell r="O2854" t="str">
            <v>WEIGHT WATCHERS</v>
          </cell>
          <cell r="P2854" t="str">
            <v>New York</v>
          </cell>
          <cell r="Q2854" t="str">
            <v>Consumer Discretionary</v>
          </cell>
          <cell r="R2854" t="str">
            <v>Diversified Consumer Services</v>
          </cell>
          <cell r="S2854" t="str">
            <v>WTW</v>
          </cell>
        </row>
        <row r="2855">
          <cell r="L2855" t="str">
            <v>WRI</v>
          </cell>
          <cell r="M2855" t="str">
            <v>WEINGARTEN-REALTY-INVESTO-14908/</v>
          </cell>
          <cell r="N2855" t="str">
            <v>WRI</v>
          </cell>
          <cell r="O2855" t="str">
            <v>WEINGARTEN RLTY</v>
          </cell>
          <cell r="P2855" t="str">
            <v>New York</v>
          </cell>
          <cell r="Q2855" t="str">
            <v>Real Estate</v>
          </cell>
          <cell r="R2855" t="str">
            <v>Equity Real Estate Investment</v>
          </cell>
          <cell r="S2855" t="str">
            <v>WRI</v>
          </cell>
        </row>
        <row r="2856">
          <cell r="L2856" t="str">
            <v>WBT</v>
          </cell>
          <cell r="M2856" t="str">
            <v>WELBILT-INC-34204851/</v>
          </cell>
          <cell r="N2856" t="str">
            <v>WBT</v>
          </cell>
          <cell r="O2856" t="str">
            <v>WELBILT INC</v>
          </cell>
          <cell r="P2856" t="str">
            <v>New York</v>
          </cell>
          <cell r="Q2856" t="str">
            <v>Industrials</v>
          </cell>
          <cell r="R2856" t="str">
            <v>Machinery</v>
          </cell>
          <cell r="S2856" t="str">
            <v>WBT</v>
          </cell>
        </row>
        <row r="2857">
          <cell r="L2857" t="str">
            <v>WCG</v>
          </cell>
          <cell r="M2857" t="str">
            <v>WELLCARE-HEALTH-PLANS-IN-14850/</v>
          </cell>
          <cell r="N2857" t="str">
            <v>WCG</v>
          </cell>
          <cell r="O2857" t="str">
            <v>WELLCARE HEALTH</v>
          </cell>
          <cell r="P2857" t="str">
            <v>New York</v>
          </cell>
          <cell r="Q2857" t="str">
            <v>Health Care</v>
          </cell>
          <cell r="R2857" t="str">
            <v>Health Care Providers &amp; Servic</v>
          </cell>
          <cell r="S2857" t="str">
            <v>WCG</v>
          </cell>
        </row>
        <row r="2858">
          <cell r="L2858" t="str">
            <v>WAL</v>
          </cell>
          <cell r="M2858" t="str">
            <v>WESTERN-ALLIANCE-BANCORPO-14844/</v>
          </cell>
          <cell r="N2858" t="str">
            <v>WAL</v>
          </cell>
          <cell r="O2858" t="str">
            <v>WESTERN ALLIANCE</v>
          </cell>
          <cell r="P2858" t="str">
            <v>New York</v>
          </cell>
          <cell r="Q2858" t="str">
            <v>Financials</v>
          </cell>
          <cell r="R2858" t="str">
            <v>Banks</v>
          </cell>
          <cell r="S2858" t="str">
            <v>WAL</v>
          </cell>
        </row>
        <row r="2859">
          <cell r="L2859" t="str">
            <v>WU</v>
          </cell>
          <cell r="M2859" t="str">
            <v>WESTERN-UNION-33821/</v>
          </cell>
          <cell r="N2859" t="str">
            <v>WU</v>
          </cell>
          <cell r="O2859" t="str">
            <v>WESTERN UNION</v>
          </cell>
          <cell r="P2859" t="str">
            <v>New York</v>
          </cell>
          <cell r="Q2859" t="str">
            <v>Information Technology</v>
          </cell>
          <cell r="R2859" t="str">
            <v>IT Services</v>
          </cell>
          <cell r="S2859" t="str">
            <v>WU</v>
          </cell>
        </row>
        <row r="2860">
          <cell r="L2860" t="str">
            <v>WLK</v>
          </cell>
          <cell r="M2860" t="str">
            <v>WESTLAKE-CHEMICAL-CORPORA-14877/</v>
          </cell>
          <cell r="N2860" t="str">
            <v>WLK</v>
          </cell>
          <cell r="O2860" t="str">
            <v>WESTLAKE CHEMICA</v>
          </cell>
          <cell r="P2860" t="str">
            <v>New York</v>
          </cell>
          <cell r="Q2860" t="str">
            <v>Materials</v>
          </cell>
          <cell r="R2860" t="str">
            <v>Chemicals</v>
          </cell>
          <cell r="S2860" t="str">
            <v>WLK</v>
          </cell>
        </row>
        <row r="2861">
          <cell r="L2861" t="str">
            <v>WEX</v>
          </cell>
          <cell r="M2861" t="str">
            <v>WEX-INC-11838671/</v>
          </cell>
          <cell r="N2861" t="str">
            <v>WEX</v>
          </cell>
          <cell r="O2861" t="str">
            <v>WEX INC</v>
          </cell>
          <cell r="P2861" t="str">
            <v>New York</v>
          </cell>
          <cell r="Q2861" t="str">
            <v>Information Technology</v>
          </cell>
          <cell r="R2861" t="str">
            <v>IT Services</v>
          </cell>
          <cell r="S2861" t="str">
            <v>WEX</v>
          </cell>
        </row>
        <row r="2862">
          <cell r="L2862" t="str">
            <v>WLL</v>
          </cell>
          <cell r="M2862" t="str">
            <v>WHITING-PETROLEUM-CORP-38649273/</v>
          </cell>
          <cell r="N2862" t="str">
            <v>WLL</v>
          </cell>
          <cell r="O2862" t="str">
            <v>WHITING PETROLEU</v>
          </cell>
          <cell r="P2862" t="str">
            <v>New York</v>
          </cell>
          <cell r="Q2862" t="str">
            <v>Energy</v>
          </cell>
          <cell r="R2862" t="str">
            <v>Oil, Gas &amp; Consumable Fuels</v>
          </cell>
          <cell r="S2862" t="str">
            <v>WLL</v>
          </cell>
        </row>
        <row r="2863">
          <cell r="L2863" t="str">
            <v>WSM</v>
          </cell>
          <cell r="M2863" t="str">
            <v>WILLIAMS-SONOMA-INC-14915/</v>
          </cell>
          <cell r="N2863" t="str">
            <v>WSM</v>
          </cell>
          <cell r="O2863" t="str">
            <v>WILLIAMS-SONOMA</v>
          </cell>
          <cell r="P2863" t="str">
            <v>New York</v>
          </cell>
          <cell r="Q2863" t="str">
            <v>Consumer Discretionary</v>
          </cell>
          <cell r="R2863" t="str">
            <v>Specialty Retail</v>
          </cell>
          <cell r="S2863" t="str">
            <v>WSM</v>
          </cell>
        </row>
        <row r="2864">
          <cell r="L2864" t="str">
            <v>WLTW</v>
          </cell>
          <cell r="M2864" t="str">
            <v>WILLIS-TOWERS-WATSON-25623167/</v>
          </cell>
          <cell r="N2864" t="str">
            <v>WLTW</v>
          </cell>
          <cell r="O2864" t="str">
            <v>WILLIS TOWERS WA</v>
          </cell>
          <cell r="P2864" t="str">
            <v>NASDAQ GS</v>
          </cell>
          <cell r="Q2864" t="str">
            <v>Financials</v>
          </cell>
          <cell r="R2864" t="str">
            <v>Insurance</v>
          </cell>
          <cell r="S2864" t="str">
            <v>WLTW</v>
          </cell>
        </row>
        <row r="2865">
          <cell r="L2865" t="str">
            <v>WWW</v>
          </cell>
          <cell r="M2865" t="str">
            <v>WOLVERINE-WORLD-WIDE-INC-14927/</v>
          </cell>
          <cell r="N2865" t="str">
            <v>WWW</v>
          </cell>
          <cell r="O2865" t="str">
            <v>WOLVERINE WORLD</v>
          </cell>
          <cell r="P2865" t="str">
            <v>New York</v>
          </cell>
          <cell r="Q2865" t="str">
            <v>Consumer Discretionary</v>
          </cell>
          <cell r="R2865" t="str">
            <v>Textiles, Apparel &amp; Luxury Goo</v>
          </cell>
          <cell r="S2865" t="str">
            <v>WWW</v>
          </cell>
        </row>
        <row r="2866">
          <cell r="L2866" t="str">
            <v>WWE</v>
          </cell>
          <cell r="M2866" t="str">
            <v>WORLD-WRESTLING-ENTERTAIN-14926/</v>
          </cell>
          <cell r="N2866" t="str">
            <v>WWE</v>
          </cell>
          <cell r="O2866" t="str">
            <v>WORLD WRESTLIN-A</v>
          </cell>
          <cell r="P2866" t="str">
            <v>New York</v>
          </cell>
          <cell r="Q2866" t="str">
            <v>Consumer Discretionary</v>
          </cell>
          <cell r="R2866" t="str">
            <v>Media</v>
          </cell>
          <cell r="S2866" t="str">
            <v>WWE</v>
          </cell>
        </row>
        <row r="2867">
          <cell r="L2867" t="str">
            <v>WPC</v>
          </cell>
          <cell r="M2867" t="str">
            <v>WP-CAREY-INC-11613132/</v>
          </cell>
          <cell r="N2867" t="str">
            <v>WPC</v>
          </cell>
          <cell r="O2867" t="str">
            <v>WP CAREY INC</v>
          </cell>
          <cell r="P2867" t="str">
            <v>New York</v>
          </cell>
          <cell r="Q2867" t="str">
            <v>Real Estate</v>
          </cell>
          <cell r="R2867" t="str">
            <v>Equity Real Estate Investment</v>
          </cell>
          <cell r="S2867" t="str">
            <v>WPC</v>
          </cell>
        </row>
        <row r="2868">
          <cell r="L2868" t="str">
            <v>WPX</v>
          </cell>
          <cell r="M2868" t="str">
            <v>WPX-ENERGY-INC-9730906/</v>
          </cell>
          <cell r="N2868" t="str">
            <v>WPX</v>
          </cell>
          <cell r="O2868" t="str">
            <v>WPX ENERGY</v>
          </cell>
          <cell r="P2868" t="str">
            <v>New York</v>
          </cell>
          <cell r="Q2868" t="str">
            <v>Energy</v>
          </cell>
          <cell r="R2868" t="str">
            <v>Oil, Gas &amp; Consumable Fuels</v>
          </cell>
          <cell r="S2868" t="str">
            <v>WPX</v>
          </cell>
        </row>
        <row r="2869">
          <cell r="L2869" t="str">
            <v>WRB</v>
          </cell>
          <cell r="M2869" t="str">
            <v>W-R-BERKLEY-CORP-11810/</v>
          </cell>
          <cell r="N2869" t="str">
            <v>WRB</v>
          </cell>
          <cell r="O2869" t="str">
            <v>WR BERKLEY CORP</v>
          </cell>
          <cell r="P2869" t="str">
            <v>New York</v>
          </cell>
          <cell r="Q2869" t="str">
            <v>Financials</v>
          </cell>
          <cell r="R2869" t="str">
            <v>Insurance</v>
          </cell>
          <cell r="S2869" t="str">
            <v>WRB</v>
          </cell>
        </row>
        <row r="2870">
          <cell r="L2870" t="str">
            <v>GRA</v>
          </cell>
          <cell r="M2870" t="str">
            <v>W-R-GRACE-CO-12821/</v>
          </cell>
          <cell r="N2870" t="str">
            <v>GRA</v>
          </cell>
          <cell r="O2870" t="str">
            <v>WR GRACE &amp; CO</v>
          </cell>
          <cell r="P2870" t="str">
            <v>New York</v>
          </cell>
          <cell r="Q2870" t="str">
            <v>Materials</v>
          </cell>
          <cell r="R2870" t="str">
            <v>Chemicals</v>
          </cell>
          <cell r="S2870" t="str">
            <v>GRA</v>
          </cell>
        </row>
        <row r="2871">
          <cell r="L2871" t="str">
            <v>WYND</v>
          </cell>
          <cell r="M2871" t="str">
            <v>WYNDHAM-WORLDWIDE-30737/</v>
          </cell>
          <cell r="N2871" t="str">
            <v>WYND</v>
          </cell>
          <cell r="O2871" t="str">
            <v>WYNDHAM DESTINAT</v>
          </cell>
          <cell r="P2871" t="str">
            <v>New York</v>
          </cell>
          <cell r="Q2871" t="str">
            <v>Consumer Discretionary</v>
          </cell>
          <cell r="R2871" t="str">
            <v>Hotels, Restaurants &amp; Leisure</v>
          </cell>
          <cell r="S2871" t="str">
            <v>WYND</v>
          </cell>
        </row>
        <row r="2872">
          <cell r="L2872" t="str">
            <v>XPO</v>
          </cell>
          <cell r="M2872" t="str">
            <v>XPO-LOGISTICS-INC-11890333/</v>
          </cell>
          <cell r="N2872" t="str">
            <v>XPO</v>
          </cell>
          <cell r="O2872" t="str">
            <v>XPO LOGISTICS IN</v>
          </cell>
          <cell r="P2872" t="str">
            <v>New York</v>
          </cell>
          <cell r="Q2872" t="str">
            <v>Industrials</v>
          </cell>
          <cell r="R2872" t="str">
            <v>Air Freight &amp; Logistics</v>
          </cell>
          <cell r="S2872" t="str">
            <v>XPO</v>
          </cell>
        </row>
        <row r="2873">
          <cell r="L2873" t="str">
            <v>YELP</v>
          </cell>
          <cell r="M2873" t="str">
            <v>YELP-INC-10083578/</v>
          </cell>
          <cell r="N2873" t="str">
            <v>YELP</v>
          </cell>
          <cell r="O2873" t="str">
            <v>YELP INC</v>
          </cell>
          <cell r="P2873" t="str">
            <v>New York</v>
          </cell>
          <cell r="Q2873" t="str">
            <v>Information Technology</v>
          </cell>
          <cell r="R2873" t="str">
            <v>Internet Software &amp; Services</v>
          </cell>
          <cell r="S2873" t="str">
            <v>YELP</v>
          </cell>
        </row>
        <row r="2874">
          <cell r="L2874" t="str">
            <v>YUMC</v>
          </cell>
          <cell r="M2874" t="str">
            <v>YUM-CHINA-HOLDINGS-INC-31776168/</v>
          </cell>
          <cell r="N2874" t="str">
            <v>YUMC</v>
          </cell>
          <cell r="O2874" t="str">
            <v>YUM CHINA HO</v>
          </cell>
          <cell r="P2874" t="str">
            <v>New York</v>
          </cell>
          <cell r="Q2874" t="str">
            <v>Consumer Discretionary</v>
          </cell>
          <cell r="R2874" t="str">
            <v>Hotels, Restaurants &amp; Leisure</v>
          </cell>
          <cell r="S2874" t="str">
            <v>YUMC</v>
          </cell>
        </row>
        <row r="2875">
          <cell r="L2875" t="str">
            <v>ZAYO</v>
          </cell>
          <cell r="M2875" t="str">
            <v>ZAYO-GROUP-HOLDINGS-INC-18231326/</v>
          </cell>
          <cell r="N2875" t="str">
            <v>ZAYO</v>
          </cell>
          <cell r="O2875" t="str">
            <v>ZAYO GROUP HOLDI</v>
          </cell>
          <cell r="P2875" t="str">
            <v>New York</v>
          </cell>
          <cell r="Q2875" t="str">
            <v>Telecommunication Services</v>
          </cell>
          <cell r="R2875" t="str">
            <v>Diversified Telecommunication</v>
          </cell>
          <cell r="S2875" t="str">
            <v>ZAYO</v>
          </cell>
        </row>
        <row r="2876">
          <cell r="L2876" t="str">
            <v>ZEN</v>
          </cell>
          <cell r="M2876" t="str">
            <v>ZENDESK-INC-16481773/</v>
          </cell>
          <cell r="N2876" t="str">
            <v>ZEN</v>
          </cell>
          <cell r="O2876" t="str">
            <v>ZENDESK INC</v>
          </cell>
          <cell r="P2876" t="str">
            <v>New York</v>
          </cell>
          <cell r="Q2876" t="str">
            <v>Information Technology</v>
          </cell>
          <cell r="R2876" t="str">
            <v>Software</v>
          </cell>
          <cell r="S2876" t="str">
            <v>ZEN</v>
          </cell>
        </row>
        <row r="2877">
          <cell r="L2877" t="str">
            <v>GNRC</v>
          </cell>
          <cell r="M2877" t="str">
            <v>GENERAC-HOLDINGS-INC-5948156/company/</v>
          </cell>
          <cell r="N2877" t="str">
            <v>GNRC</v>
          </cell>
          <cell r="O2877" t="str">
            <v>GENERAC HOLDINGS</v>
          </cell>
          <cell r="P2877" t="str">
            <v>New York</v>
          </cell>
          <cell r="Q2877" t="str">
            <v>Industrials</v>
          </cell>
          <cell r="R2877" t="str">
            <v>Electrical Equipment</v>
          </cell>
          <cell r="S2877" t="str">
            <v>GNRC</v>
          </cell>
        </row>
        <row r="2878">
          <cell r="L2878" t="str">
            <v>ENLK</v>
          </cell>
          <cell r="M2878" t="str">
            <v>ENLINK-MIDSTREAM-PARTNERS-15982509/</v>
          </cell>
          <cell r="N2878" t="str">
            <v>ENLK</v>
          </cell>
          <cell r="O2878" t="str">
            <v>ENLINK MIDSTREAM PARTNERS LLP</v>
          </cell>
          <cell r="P2878" t="str">
            <v>New York</v>
          </cell>
          <cell r="Q2878" t="str">
            <v>Energy</v>
          </cell>
          <cell r="R2878" t="str">
            <v>Oil, Gas &amp; Consumable Fuels</v>
          </cell>
          <cell r="S2878" t="str">
            <v>ENLK</v>
          </cell>
        </row>
        <row r="2879">
          <cell r="L2879" t="str">
            <v>INFY</v>
          </cell>
          <cell r="M2879" t="str">
            <v>INFOSYS-LTD-9743342/</v>
          </cell>
          <cell r="N2879" t="str">
            <v>INFY</v>
          </cell>
          <cell r="O2879" t="str">
            <v>INFOSYS LTD</v>
          </cell>
          <cell r="P2879" t="str">
            <v>New York</v>
          </cell>
          <cell r="Q2879" t="str">
            <v>Information Technology</v>
          </cell>
          <cell r="R2879" t="str">
            <v>IT Services</v>
          </cell>
          <cell r="S2879" t="str">
            <v>INFY</v>
          </cell>
        </row>
        <row r="2880">
          <cell r="L2880" t="str">
            <v>ACE IM</v>
          </cell>
          <cell r="M2880" t="str">
            <v>ACEA-SPA-70723/</v>
          </cell>
          <cell r="N2880" t="str">
            <v>ACE.MI</v>
          </cell>
          <cell r="O2880" t="str">
            <v>Acea SpA</v>
          </cell>
          <cell r="P2880" t="str">
            <v>BrsaItaliana</v>
          </cell>
          <cell r="Q2880" t="str">
            <v>Utilities</v>
          </cell>
          <cell r="R2880" t="str">
            <v>Utilities</v>
          </cell>
          <cell r="S2880" t="str">
            <v>ACE.MI</v>
          </cell>
        </row>
        <row r="2881">
          <cell r="L2881" t="str">
            <v>ACX SM</v>
          </cell>
          <cell r="M2881" t="str">
            <v>ACERINOX-141121/</v>
          </cell>
          <cell r="N2881" t="str">
            <v>ACX.MC</v>
          </cell>
          <cell r="O2881" t="str">
            <v>Acerinox SA</v>
          </cell>
          <cell r="P2881" t="str">
            <v>Soc.Bol SIBE</v>
          </cell>
          <cell r="Q2881" t="str">
            <v>Basic Materials</v>
          </cell>
          <cell r="R2881" t="str">
            <v>Materials</v>
          </cell>
          <cell r="S2881" t="str">
            <v>ACX.MC</v>
          </cell>
        </row>
        <row r="2882">
          <cell r="L2882" t="str">
            <v>ADE GY</v>
          </cell>
          <cell r="M2882" t="str">
            <v>BITCOIN-GROUP-SE-31516053/</v>
          </cell>
          <cell r="N2882" t="str">
            <v>ADE.DE</v>
          </cell>
          <cell r="O2882" t="str">
            <v>Bitcoin Group SE</v>
          </cell>
          <cell r="P2882" t="str">
            <v>Xetra</v>
          </cell>
          <cell r="Q2882" t="str">
            <v>Financial</v>
          </cell>
          <cell r="R2882" t="str">
            <v>Diversified Financials</v>
          </cell>
          <cell r="S2882" t="str">
            <v>ADE.DE</v>
          </cell>
        </row>
        <row r="2883">
          <cell r="L2883" t="str">
            <v>AGFB BB</v>
          </cell>
          <cell r="M2883" t="str">
            <v>AGFA-GEVAERT-5951/</v>
          </cell>
          <cell r="N2883" t="str">
            <v>AGFB.BR</v>
          </cell>
          <cell r="O2883" t="str">
            <v>Agfa Gevaert NV</v>
          </cell>
          <cell r="P2883" t="str">
            <v>EN Brussels</v>
          </cell>
          <cell r="Q2883" t="str">
            <v>Industrial</v>
          </cell>
          <cell r="R2883" t="str">
            <v>Health Care Equipment &amp; Servic</v>
          </cell>
          <cell r="S2883" t="str">
            <v>AGFB.BR</v>
          </cell>
        </row>
        <row r="2884">
          <cell r="L2884" t="str">
            <v>AGL IM</v>
          </cell>
          <cell r="M2884" t="str">
            <v>AUTOGRILL-408543/</v>
          </cell>
          <cell r="N2884" t="str">
            <v>AGL.MI</v>
          </cell>
          <cell r="O2884" t="str">
            <v>Autogrill SpA</v>
          </cell>
          <cell r="P2884" t="str">
            <v>BrsaItaliana</v>
          </cell>
          <cell r="Q2884" t="str">
            <v>Consumer, Cyclical</v>
          </cell>
          <cell r="R2884" t="str">
            <v>Consumer Services</v>
          </cell>
          <cell r="S2884" t="str">
            <v>AGL.MI</v>
          </cell>
        </row>
        <row r="2885">
          <cell r="L2885" t="str">
            <v>ALM SM</v>
          </cell>
          <cell r="M2885" t="str">
            <v>ALMIRALL-SA-268048/</v>
          </cell>
          <cell r="N2885" t="str">
            <v>ALM.MC</v>
          </cell>
          <cell r="O2885" t="str">
            <v>Almirall SA</v>
          </cell>
          <cell r="P2885" t="str">
            <v>Soc.Bol SIBE</v>
          </cell>
          <cell r="Q2885" t="str">
            <v>Consumer, Non-cyclical</v>
          </cell>
          <cell r="R2885" t="str">
            <v>Pharmaceuticals, Biotechnology</v>
          </cell>
          <cell r="S2885" t="str">
            <v>ALM.MC</v>
          </cell>
        </row>
        <row r="2886">
          <cell r="L2886" t="str">
            <v>AMG NA</v>
          </cell>
          <cell r="M2886" t="str">
            <v>AMG-55482/</v>
          </cell>
          <cell r="N2886" t="str">
            <v>AMG.AS</v>
          </cell>
          <cell r="O2886" t="str">
            <v>AMG Advanced Metallurgical Group NV</v>
          </cell>
          <cell r="P2886" t="str">
            <v>EN Amsterdam</v>
          </cell>
          <cell r="Q2886" t="str">
            <v>Industrial</v>
          </cell>
          <cell r="R2886" t="str">
            <v>Materials</v>
          </cell>
          <cell r="S2886" t="str">
            <v>AMG.AS</v>
          </cell>
        </row>
        <row r="2887">
          <cell r="L2887" t="str">
            <v>ANA SM</v>
          </cell>
          <cell r="M2887" t="str">
            <v>ACCIONA-69450/</v>
          </cell>
          <cell r="N2887" t="str">
            <v>ANA.MC</v>
          </cell>
          <cell r="O2887" t="str">
            <v>Acciona SA</v>
          </cell>
          <cell r="P2887" t="str">
            <v>Soc.Bol SIBE</v>
          </cell>
          <cell r="Q2887" t="str">
            <v>Industrial</v>
          </cell>
          <cell r="R2887" t="str">
            <v>Utilities</v>
          </cell>
          <cell r="S2887" t="str">
            <v>ANA.MC</v>
          </cell>
        </row>
        <row r="2888">
          <cell r="L2888" t="str">
            <v>APAM NA</v>
          </cell>
          <cell r="M2888" t="str">
            <v>APERAM-7261038/</v>
          </cell>
          <cell r="N2888" t="str">
            <v>APAM.AS</v>
          </cell>
          <cell r="O2888" t="str">
            <v>Aperam SA</v>
          </cell>
          <cell r="P2888" t="str">
            <v>EN Amsterdam</v>
          </cell>
          <cell r="Q2888" t="str">
            <v>Basic Materials</v>
          </cell>
          <cell r="R2888" t="str">
            <v>Materials</v>
          </cell>
          <cell r="S2888" t="str">
            <v>APAM.AS</v>
          </cell>
        </row>
        <row r="2889">
          <cell r="L2889" t="str">
            <v>APPS SM</v>
          </cell>
          <cell r="M2889" t="str">
            <v>APPLUS-SERVICES-SA-16451844/</v>
          </cell>
          <cell r="N2889" t="str">
            <v>APPS.MC</v>
          </cell>
          <cell r="O2889" t="str">
            <v>Applus Services SA</v>
          </cell>
          <cell r="P2889" t="str">
            <v>Soc.Bol SIBE</v>
          </cell>
          <cell r="Q2889" t="str">
            <v>Consumer, Non-cyclical</v>
          </cell>
          <cell r="R2889" t="str">
            <v>Commercial &amp; Professional Serv</v>
          </cell>
          <cell r="S2889" t="str">
            <v>APPS.MC</v>
          </cell>
        </row>
        <row r="2890">
          <cell r="L2890" t="str">
            <v>ARYN SW</v>
          </cell>
          <cell r="M2890" t="str">
            <v>ARYZTA-3994384/</v>
          </cell>
          <cell r="N2890" t="str">
            <v>ARYN.S</v>
          </cell>
          <cell r="O2890" t="str">
            <v>Aryzta AG</v>
          </cell>
          <cell r="P2890" t="str">
            <v>SIX Swiss Ex</v>
          </cell>
          <cell r="Q2890" t="str">
            <v>Consumer, Non-cyclical</v>
          </cell>
          <cell r="R2890" t="str">
            <v>Food, Beverage &amp; Tobacco</v>
          </cell>
          <cell r="S2890" t="str">
            <v>ARYN.SW</v>
          </cell>
        </row>
        <row r="2891">
          <cell r="L2891" t="str">
            <v>ASHM LN</v>
          </cell>
          <cell r="M2891" t="str">
            <v>ASHMORE-GROUP-4006453/</v>
          </cell>
          <cell r="N2891" t="str">
            <v>ASHM.L</v>
          </cell>
          <cell r="O2891" t="str">
            <v>Ashmore Group PLC</v>
          </cell>
          <cell r="P2891" t="str">
            <v>London</v>
          </cell>
          <cell r="Q2891" t="str">
            <v>Financial</v>
          </cell>
          <cell r="R2891" t="str">
            <v>Diversified Financials</v>
          </cell>
          <cell r="S2891" t="str">
            <v>ASHM.L</v>
          </cell>
        </row>
        <row r="2892">
          <cell r="L2892" t="str">
            <v>AT IM</v>
          </cell>
          <cell r="M2892" t="str">
            <v>ASTM-SPA-76191/</v>
          </cell>
          <cell r="N2892" t="str">
            <v>ATMI.MI</v>
          </cell>
          <cell r="O2892" t="str">
            <v>ASTM SpA</v>
          </cell>
          <cell r="P2892" t="str">
            <v>BrsaItaliana</v>
          </cell>
          <cell r="Q2892" t="str">
            <v>Consumer, Non-cyclical</v>
          </cell>
          <cell r="R2892" t="str">
            <v>Transportation</v>
          </cell>
          <cell r="S2892" t="str">
            <v>ATMI.MI</v>
          </cell>
        </row>
        <row r="2893">
          <cell r="L2893" t="str">
            <v>AVV LN</v>
          </cell>
          <cell r="M2893" t="str">
            <v>AVEVA-GROUP-PLC-13659098/</v>
          </cell>
          <cell r="N2893" t="str">
            <v>AVV.L</v>
          </cell>
          <cell r="O2893" t="str">
            <v>AVEVA Group PLC</v>
          </cell>
          <cell r="P2893" t="str">
            <v>London</v>
          </cell>
          <cell r="Q2893" t="str">
            <v>Technology</v>
          </cell>
          <cell r="R2893" t="str">
            <v>Software &amp; Services</v>
          </cell>
          <cell r="S2893" t="str">
            <v>AVV.L</v>
          </cell>
        </row>
        <row r="2894">
          <cell r="L2894" t="str">
            <v>AZM IM</v>
          </cell>
          <cell r="M2894" t="str">
            <v>AZIMUT-HOLDING-140822/</v>
          </cell>
          <cell r="N2894" t="str">
            <v>AZMT.MI</v>
          </cell>
          <cell r="O2894" t="str">
            <v>Azimut Holding SpA</v>
          </cell>
          <cell r="P2894" t="str">
            <v>BrsaItaliana</v>
          </cell>
          <cell r="Q2894" t="str">
            <v>Financial</v>
          </cell>
          <cell r="R2894" t="str">
            <v>Diversified Financials</v>
          </cell>
          <cell r="S2894" t="str">
            <v>AZM.MI</v>
          </cell>
        </row>
        <row r="2895">
          <cell r="L2895" t="str">
            <v>BAMNB NA</v>
          </cell>
          <cell r="M2895" t="str">
            <v>ROYAL-BAM-GROUP-6378/</v>
          </cell>
          <cell r="N2895" t="str">
            <v>BAMN.AS</v>
          </cell>
          <cell r="O2895" t="str">
            <v>Koninklijke BAM Groep NV</v>
          </cell>
          <cell r="P2895" t="str">
            <v>EN Amsterdam</v>
          </cell>
          <cell r="Q2895" t="str">
            <v>Industrial</v>
          </cell>
          <cell r="R2895" t="str">
            <v>Capital Goods</v>
          </cell>
          <cell r="S2895" t="str">
            <v>BAMNB.AS</v>
          </cell>
        </row>
        <row r="2896">
          <cell r="L2896" t="str">
            <v>BEFB BB</v>
          </cell>
          <cell r="M2896" t="str">
            <v>BEFIMMO-5993/</v>
          </cell>
          <cell r="N2896" t="str">
            <v>BEFB.BR</v>
          </cell>
          <cell r="O2896" t="str">
            <v>Befimmo SA</v>
          </cell>
          <cell r="P2896" t="str">
            <v>EN Brussels</v>
          </cell>
          <cell r="Q2896" t="str">
            <v>Financial</v>
          </cell>
          <cell r="R2896" t="str">
            <v>Real Estate</v>
          </cell>
          <cell r="S2896" t="str">
            <v>BEFB.BR</v>
          </cell>
        </row>
        <row r="2897">
          <cell r="L2897" t="str">
            <v>BEKB BB</v>
          </cell>
          <cell r="M2897" t="str">
            <v>BEKAERT-5971/</v>
          </cell>
          <cell r="N2897" t="str">
            <v>BEKB.BR</v>
          </cell>
          <cell r="O2897" t="str">
            <v>NV Bekaert SA</v>
          </cell>
          <cell r="P2897" t="str">
            <v>EN Brussels</v>
          </cell>
          <cell r="Q2897" t="str">
            <v>Industrial</v>
          </cell>
          <cell r="R2897" t="str">
            <v>Materials</v>
          </cell>
          <cell r="S2897" t="str">
            <v>BEKB.BR</v>
          </cell>
        </row>
        <row r="2898">
          <cell r="L2898" t="str">
            <v>BINCK NA</v>
          </cell>
          <cell r="M2898" t="str">
            <v>BINCKBANK-6374/</v>
          </cell>
          <cell r="N2898" t="str">
            <v>BINCK.AS</v>
          </cell>
          <cell r="O2898" t="str">
            <v>BinckBank NV</v>
          </cell>
          <cell r="P2898" t="str">
            <v>EN Amsterdam</v>
          </cell>
          <cell r="Q2898" t="str">
            <v>Financial</v>
          </cell>
          <cell r="R2898" t="str">
            <v>Diversified Financials</v>
          </cell>
          <cell r="S2898" t="str">
            <v>BINCK.AS</v>
          </cell>
        </row>
        <row r="2899">
          <cell r="L2899" t="str">
            <v>BMPS IM</v>
          </cell>
          <cell r="M2899" t="str">
            <v>BANCA-MONTE-DEI-PASCHI-DI-32053194/</v>
          </cell>
          <cell r="N2899" t="str">
            <v>BMPS.MI</v>
          </cell>
          <cell r="O2899" t="str">
            <v>Banca Monte dei Paschi di Siena SpA</v>
          </cell>
          <cell r="P2899" t="str">
            <v>BrsaItaliana</v>
          </cell>
          <cell r="Q2899" t="str">
            <v>Financial</v>
          </cell>
          <cell r="R2899" t="str">
            <v>Banks</v>
          </cell>
          <cell r="S2899" t="str">
            <v>BMPS.MI</v>
          </cell>
        </row>
        <row r="2900">
          <cell r="L2900" t="str">
            <v>BPOST BB</v>
          </cell>
          <cell r="M2900" t="str">
            <v>BPOST-16193932/</v>
          </cell>
          <cell r="N2900" t="str">
            <v>BPOST.BR</v>
          </cell>
          <cell r="O2900" t="str">
            <v>Bpost SA</v>
          </cell>
          <cell r="P2900" t="str">
            <v>EN Brussels</v>
          </cell>
          <cell r="Q2900" t="str">
            <v>Industrial</v>
          </cell>
          <cell r="R2900" t="str">
            <v>Transportation</v>
          </cell>
          <cell r="S2900" t="str">
            <v>BPOST.BR</v>
          </cell>
        </row>
        <row r="2901">
          <cell r="L2901" t="str">
            <v>BRNL NA</v>
          </cell>
          <cell r="M2901" t="str">
            <v>BRUNEL-INTERNATIONAL-16617775/</v>
          </cell>
          <cell r="N2901" t="str">
            <v>BRUN.AS</v>
          </cell>
          <cell r="O2901" t="str">
            <v>Brunel International NV</v>
          </cell>
          <cell r="P2901" t="str">
            <v>EN Amsterdam</v>
          </cell>
          <cell r="Q2901" t="str">
            <v>Consumer, Non-cyclical</v>
          </cell>
          <cell r="R2901" t="str">
            <v>Commercial &amp; Professional Serv</v>
          </cell>
          <cell r="S2901" t="str">
            <v>BRNL.AS</v>
          </cell>
        </row>
        <row r="2902">
          <cell r="L2902" t="str">
            <v>BSS IM</v>
          </cell>
          <cell r="M2902" t="str">
            <v>BIESSE-SPA-93574/</v>
          </cell>
          <cell r="N2902" t="str">
            <v>BSS.MI</v>
          </cell>
          <cell r="O2902" t="str">
            <v>Biesse SpA</v>
          </cell>
          <cell r="P2902" t="str">
            <v>BrsaItaliana</v>
          </cell>
          <cell r="Q2902" t="str">
            <v>Industrial</v>
          </cell>
          <cell r="R2902" t="str">
            <v>Capital Goods</v>
          </cell>
          <cell r="S2902" t="str">
            <v>BSS.MI</v>
          </cell>
        </row>
        <row r="2903">
          <cell r="L2903" t="str">
            <v>BZU IM</v>
          </cell>
          <cell r="M2903" t="str">
            <v>BUZZI-UNICEM-70838/</v>
          </cell>
          <cell r="N2903" t="str">
            <v>BZU.MI</v>
          </cell>
          <cell r="O2903" t="str">
            <v>Buzzi Unicem SpA</v>
          </cell>
          <cell r="P2903" t="str">
            <v>BrsaItaliana</v>
          </cell>
          <cell r="Q2903" t="str">
            <v>Industrial</v>
          </cell>
          <cell r="R2903" t="str">
            <v>Materials</v>
          </cell>
          <cell r="S2903" t="str">
            <v>BZU.MI</v>
          </cell>
        </row>
        <row r="2904">
          <cell r="L2904" t="str">
            <v>CASS IM</v>
          </cell>
          <cell r="M2904" t="str">
            <v>SOCIETA-CATTOLICA-DI-ASSI-90565/</v>
          </cell>
          <cell r="N2904" t="str">
            <v>CASS.MI</v>
          </cell>
          <cell r="O2904" t="str">
            <v>Societa Cattolica di Assicurazione Sc</v>
          </cell>
          <cell r="P2904" t="str">
            <v>BrsaItaliana</v>
          </cell>
          <cell r="Q2904" t="str">
            <v>Financial</v>
          </cell>
          <cell r="R2904" t="str">
            <v>Insurance</v>
          </cell>
          <cell r="S2904" t="str">
            <v>CASS.MI</v>
          </cell>
        </row>
        <row r="2905">
          <cell r="L2905" t="str">
            <v>MRN FP</v>
          </cell>
          <cell r="M2905" t="str">
            <v>MERSEN-9632901/</v>
          </cell>
          <cell r="N2905" t="str">
            <v>CBLP.PA</v>
          </cell>
          <cell r="O2905" t="str">
            <v>Mersen SA</v>
          </cell>
          <cell r="P2905" t="str">
            <v>EN Paris</v>
          </cell>
          <cell r="Q2905" t="str">
            <v>Industrial</v>
          </cell>
          <cell r="R2905" t="str">
            <v>Capital Goods</v>
          </cell>
          <cell r="S2905" t="str">
            <v>MRN.PA</v>
          </cell>
        </row>
        <row r="2906">
          <cell r="L2906" t="str">
            <v>CEC GY</v>
          </cell>
          <cell r="M2906" t="str">
            <v>CECONOMY-436626/</v>
          </cell>
          <cell r="N2906" t="str">
            <v>CECG.DE</v>
          </cell>
          <cell r="O2906" t="str">
            <v>Ceconomy AG</v>
          </cell>
          <cell r="P2906" t="str">
            <v>Xetra</v>
          </cell>
          <cell r="Q2906" t="str">
            <v>Consumer, Cyclical</v>
          </cell>
          <cell r="R2906" t="str">
            <v>Retailing</v>
          </cell>
          <cell r="S2906" t="str">
            <v>CECG.DE</v>
          </cell>
        </row>
        <row r="2907">
          <cell r="L2907" t="str">
            <v>CNE LN</v>
          </cell>
          <cell r="M2907" t="str">
            <v>CAIRN-ENERGY-9971192/</v>
          </cell>
          <cell r="N2907" t="str">
            <v>CNE.L</v>
          </cell>
          <cell r="O2907" t="str">
            <v>Cairn Energy PLC</v>
          </cell>
          <cell r="P2907" t="str">
            <v>London</v>
          </cell>
          <cell r="Q2907" t="str">
            <v>Energy</v>
          </cell>
          <cell r="R2907" t="str">
            <v>Energy</v>
          </cell>
          <cell r="S2907" t="str">
            <v>CNE.L</v>
          </cell>
        </row>
        <row r="2908">
          <cell r="L2908" t="str">
            <v>CRBN NA</v>
          </cell>
          <cell r="M2908" t="str">
            <v>CORBION-N-V-14683517/</v>
          </cell>
          <cell r="N2908" t="str">
            <v>CORB.AS</v>
          </cell>
          <cell r="O2908" t="str">
            <v>Corbion NV</v>
          </cell>
          <cell r="P2908" t="str">
            <v>EN Amsterdam</v>
          </cell>
          <cell r="Q2908" t="str">
            <v>Consumer, Non-cyclical</v>
          </cell>
          <cell r="R2908" t="str">
            <v>Materials</v>
          </cell>
          <cell r="S2908" t="str">
            <v>CRBN.AS</v>
          </cell>
        </row>
        <row r="2909">
          <cell r="L2909" t="str">
            <v>CRG IM</v>
          </cell>
          <cell r="M2909" t="str">
            <v>BANCA-CARIGE-SPA-22238258/</v>
          </cell>
          <cell r="N2909" t="str">
            <v>CRGI.MI</v>
          </cell>
          <cell r="O2909" t="str">
            <v>Banca Carige SpA Cassa di Risparmio di Genova e Imperia</v>
          </cell>
          <cell r="P2909" t="str">
            <v>BrsaItaliana</v>
          </cell>
          <cell r="Q2909" t="str">
            <v>Financial</v>
          </cell>
          <cell r="R2909" t="str">
            <v>Banks</v>
          </cell>
          <cell r="S2909" t="str">
            <v>CRGI.MI</v>
          </cell>
        </row>
        <row r="2910">
          <cell r="L2910" t="str">
            <v>DBG FP</v>
          </cell>
          <cell r="M2910" t="str">
            <v>DERICHEBOURG-4680/</v>
          </cell>
          <cell r="N2910" t="str">
            <v>DBG.PA</v>
          </cell>
          <cell r="O2910" t="str">
            <v>Derichebourg SA</v>
          </cell>
          <cell r="P2910" t="str">
            <v>EN Paris</v>
          </cell>
          <cell r="Q2910" t="str">
            <v>Industrial</v>
          </cell>
          <cell r="R2910" t="str">
            <v>Commercial &amp; Professional Serv</v>
          </cell>
          <cell r="S2910" t="str">
            <v>DBG.PA</v>
          </cell>
        </row>
        <row r="2911">
          <cell r="L2911" t="str">
            <v>DIA IM</v>
          </cell>
          <cell r="M2911" t="str">
            <v>DIASORIN-SPA-410424/</v>
          </cell>
          <cell r="N2911" t="str">
            <v>DIAS.MI</v>
          </cell>
          <cell r="O2911" t="str">
            <v>DiaSorin SpA</v>
          </cell>
          <cell r="P2911" t="str">
            <v>BrsaItaliana</v>
          </cell>
          <cell r="Q2911" t="str">
            <v>Consumer, Non-cyclical</v>
          </cell>
          <cell r="R2911" t="str">
            <v>Health Care Equipment &amp; Servic</v>
          </cell>
          <cell r="S2911" t="str">
            <v>DIA.MI</v>
          </cell>
        </row>
        <row r="2912">
          <cell r="L2912" t="str">
            <v>DIA SM</v>
          </cell>
          <cell r="M2912" t="str">
            <v>DIA-DISTRIBUIDORA-INTERNA-8322842/</v>
          </cell>
          <cell r="N2912" t="str">
            <v>DIDA.MC</v>
          </cell>
          <cell r="O2912" t="str">
            <v>Distribuidora Internacional de Alimentacion SA</v>
          </cell>
          <cell r="P2912" t="str">
            <v>Soc.Bol SIBE</v>
          </cell>
          <cell r="Q2912" t="str">
            <v>Consumer, Non-cyclical</v>
          </cell>
          <cell r="R2912" t="str">
            <v>Food &amp; Staples Retailing</v>
          </cell>
          <cell r="S2912" t="str">
            <v>DIA.MC</v>
          </cell>
        </row>
        <row r="2913">
          <cell r="L2913" t="str">
            <v>DLAR LN</v>
          </cell>
          <cell r="M2913" t="str">
            <v>DE-LA-RUE-PLC-9590126/</v>
          </cell>
          <cell r="N2913" t="str">
            <v>DLAR.L</v>
          </cell>
          <cell r="O2913" t="str">
            <v>De La Rue PLC</v>
          </cell>
          <cell r="P2913" t="str">
            <v>London</v>
          </cell>
          <cell r="Q2913" t="str">
            <v>Consumer, Non-cyclical</v>
          </cell>
          <cell r="R2913" t="str">
            <v>Commercial &amp; Professional Serv</v>
          </cell>
          <cell r="S2913" t="str">
            <v>DLAR.L</v>
          </cell>
        </row>
        <row r="2914">
          <cell r="L2914" t="str">
            <v>DNORD DC</v>
          </cell>
          <cell r="M2914" t="str">
            <v>DAMPSKIBSSELSKABET-NORDEN-1412883/</v>
          </cell>
          <cell r="N2914" t="str">
            <v>DNORD.CO</v>
          </cell>
          <cell r="O2914" t="str">
            <v>Dampskibsselskabet Norden A/S</v>
          </cell>
          <cell r="P2914" t="str">
            <v>Copenhagen</v>
          </cell>
          <cell r="Q2914" t="str">
            <v>Industrial</v>
          </cell>
          <cell r="R2914" t="str">
            <v>Transportation</v>
          </cell>
          <cell r="S2914" t="str">
            <v>DNORD.CO</v>
          </cell>
        </row>
        <row r="2915">
          <cell r="L2915" t="str">
            <v>DRX LN</v>
          </cell>
          <cell r="M2915" t="str">
            <v>DRAX-GROUP-PLC-4006894/</v>
          </cell>
          <cell r="N2915" t="str">
            <v>DRX.L</v>
          </cell>
          <cell r="O2915" t="str">
            <v>Drax Group PLC</v>
          </cell>
          <cell r="P2915" t="str">
            <v>London</v>
          </cell>
          <cell r="Q2915" t="str">
            <v>Utilities</v>
          </cell>
          <cell r="R2915" t="str">
            <v>Utilities</v>
          </cell>
          <cell r="S2915" t="str">
            <v>DRX.L</v>
          </cell>
        </row>
        <row r="2916">
          <cell r="L2916" t="str">
            <v>EBRO SM</v>
          </cell>
          <cell r="M2916" t="str">
            <v>EBRO-FOODS-SA-408703/</v>
          </cell>
          <cell r="N2916" t="str">
            <v>EBRO.MC</v>
          </cell>
          <cell r="O2916" t="str">
            <v>Ebro Foods SA</v>
          </cell>
          <cell r="P2916" t="str">
            <v>Soc.Bol SIBE</v>
          </cell>
          <cell r="Q2916" t="str">
            <v>Consumer, Non-cyclical</v>
          </cell>
          <cell r="R2916" t="str">
            <v>Food, Beverage &amp; Tobacco</v>
          </cell>
          <cell r="S2916" t="str">
            <v>EBRO.MC</v>
          </cell>
        </row>
        <row r="2917">
          <cell r="L2917" t="str">
            <v>EDPR PL</v>
          </cell>
          <cell r="M2917" t="str">
            <v>ENERGIAS-DE-PORTUGAL-5819/</v>
          </cell>
          <cell r="N2917" t="str">
            <v>EDPR.LS</v>
          </cell>
          <cell r="O2917" t="str">
            <v>EDP Renovaveis SA</v>
          </cell>
          <cell r="P2917" t="str">
            <v>EN Lisbon</v>
          </cell>
          <cell r="Q2917" t="str">
            <v>Utilities</v>
          </cell>
          <cell r="R2917" t="str">
            <v>Utilities</v>
          </cell>
          <cell r="S2917" t="str">
            <v>EDPR.LS</v>
          </cell>
        </row>
        <row r="2918">
          <cell r="L2918" t="str">
            <v>BPE IM</v>
          </cell>
          <cell r="M2918" t="str">
            <v>BPER-76152/</v>
          </cell>
          <cell r="N2918" t="str">
            <v>EMII.MI</v>
          </cell>
          <cell r="O2918" t="str">
            <v>Bper Banca SpA</v>
          </cell>
          <cell r="P2918" t="str">
            <v>BrsaItaliana</v>
          </cell>
          <cell r="Q2918" t="str">
            <v>Financial</v>
          </cell>
          <cell r="R2918" t="str">
            <v>Banks</v>
          </cell>
          <cell r="S2918" t="str">
            <v>BPE.MI</v>
          </cell>
        </row>
        <row r="2919">
          <cell r="L2919" t="str">
            <v>ERG IM</v>
          </cell>
          <cell r="M2919" t="str">
            <v>ERG-S-P-A-76233/</v>
          </cell>
          <cell r="N2919" t="str">
            <v>ERG.MI</v>
          </cell>
          <cell r="O2919" t="str">
            <v>ERG SpA</v>
          </cell>
          <cell r="P2919" t="str">
            <v>BrsaItaliana</v>
          </cell>
          <cell r="Q2919" t="str">
            <v>Utilities</v>
          </cell>
          <cell r="R2919" t="str">
            <v>Utilities</v>
          </cell>
          <cell r="S2919" t="str">
            <v>ERG.MI</v>
          </cell>
        </row>
        <row r="2920">
          <cell r="L2920" t="str">
            <v>ERA FP</v>
          </cell>
          <cell r="M2920" t="str">
            <v>ERAMET-4752/</v>
          </cell>
          <cell r="N2920" t="str">
            <v>ERMT.PA</v>
          </cell>
          <cell r="O2920" t="str">
            <v>Eramet SA</v>
          </cell>
          <cell r="P2920" t="str">
            <v>EN Paris</v>
          </cell>
          <cell r="Q2920" t="str">
            <v>Basic Materials</v>
          </cell>
          <cell r="R2920" t="str">
            <v>Materials</v>
          </cell>
          <cell r="S2920" t="str">
            <v>ERA.PA</v>
          </cell>
        </row>
        <row r="2921">
          <cell r="L2921" t="str">
            <v>EURN BB</v>
          </cell>
          <cell r="M2921" t="str">
            <v>EURONAV-5984/</v>
          </cell>
          <cell r="N2921" t="str">
            <v>EUAV.BR</v>
          </cell>
          <cell r="O2921" t="str">
            <v>Euronav NV</v>
          </cell>
          <cell r="P2921" t="str">
            <v>EN Brussels</v>
          </cell>
          <cell r="Q2921" t="str">
            <v>Industrial</v>
          </cell>
          <cell r="R2921" t="str">
            <v>Energy</v>
          </cell>
          <cell r="S2921" t="str">
            <v>EURN.BR</v>
          </cell>
        </row>
        <row r="2922">
          <cell r="L2922" t="str">
            <v>FAE SM</v>
          </cell>
          <cell r="M2922" t="str">
            <v>FAES-FARMA-SA-224975/</v>
          </cell>
          <cell r="N2922" t="str">
            <v>FAE.MC</v>
          </cell>
          <cell r="O2922" t="str">
            <v>Faes Farma SA</v>
          </cell>
          <cell r="P2922" t="str">
            <v>Soc.Bol SIBE</v>
          </cell>
          <cell r="Q2922" t="str">
            <v>Consumer, Non-cyclical</v>
          </cell>
          <cell r="R2922" t="str">
            <v>Pharmaceuticals, Biotechnology</v>
          </cell>
          <cell r="S2922" t="str">
            <v>FAE.MC</v>
          </cell>
        </row>
        <row r="2923">
          <cell r="L2923" t="str">
            <v>FAGR BB</v>
          </cell>
          <cell r="M2923" t="str">
            <v>FAGRON-62917/</v>
          </cell>
          <cell r="N2923" t="str">
            <v>FAGRO.BR</v>
          </cell>
          <cell r="O2923" t="str">
            <v>Fagron NV</v>
          </cell>
          <cell r="P2923" t="str">
            <v>EN Brussels</v>
          </cell>
          <cell r="Q2923" t="str">
            <v>Consumer, Non-cyclical</v>
          </cell>
          <cell r="R2923" t="str">
            <v>Health Care Equipment &amp; Servic</v>
          </cell>
          <cell r="S2923" t="str">
            <v>FAGR.BR</v>
          </cell>
        </row>
        <row r="2924">
          <cell r="L2924" t="str">
            <v>FCC SM</v>
          </cell>
          <cell r="M2924" t="str">
            <v>FOMENTO-DE-CONSTRUCCIONES-74234/</v>
          </cell>
          <cell r="N2924" t="str">
            <v>FCC.MC</v>
          </cell>
          <cell r="O2924" t="str">
            <v>Fomento de Construcciones y Contratas SA</v>
          </cell>
          <cell r="P2924" t="str">
            <v>Soc.Bol SIBE</v>
          </cell>
          <cell r="Q2924" t="str">
            <v>Industrial</v>
          </cell>
          <cell r="R2924" t="str">
            <v>Capital Goods</v>
          </cell>
          <cell r="S2924" t="str">
            <v>FCC.MC</v>
          </cell>
        </row>
        <row r="2925">
          <cell r="L2925" t="str">
            <v>FGP LN</v>
          </cell>
          <cell r="M2925" t="str">
            <v>FIRSTGROUP-4001947/</v>
          </cell>
          <cell r="N2925" t="str">
            <v>FGP.L</v>
          </cell>
          <cell r="O2925" t="str">
            <v>FirstGroup PLC</v>
          </cell>
          <cell r="P2925" t="str">
            <v>London</v>
          </cell>
          <cell r="Q2925" t="str">
            <v>Industrial</v>
          </cell>
          <cell r="R2925" t="str">
            <v>Transportation</v>
          </cell>
          <cell r="S2925" t="str">
            <v>FGP.L</v>
          </cell>
        </row>
        <row r="2926">
          <cell r="L2926" t="str">
            <v>FUR NA</v>
          </cell>
          <cell r="M2926" t="str">
            <v>FUGRO-6396/</v>
          </cell>
          <cell r="N2926" t="str">
            <v>FUGRc.AS</v>
          </cell>
          <cell r="O2926" t="str">
            <v>Fugro NV</v>
          </cell>
          <cell r="P2926" t="str">
            <v>EN Amsterdam</v>
          </cell>
          <cell r="Q2926" t="str">
            <v>Energy</v>
          </cell>
          <cell r="R2926" t="str">
            <v>Energy</v>
          </cell>
          <cell r="S2926" t="str">
            <v>FUR.AS</v>
          </cell>
        </row>
        <row r="2927">
          <cell r="L2927" t="str">
            <v>GBF GY</v>
          </cell>
          <cell r="M2927" t="str">
            <v>BILFINGER-SE-436147/</v>
          </cell>
          <cell r="N2927" t="str">
            <v>GBFG.DE</v>
          </cell>
          <cell r="O2927" t="str">
            <v>Bilfinger SE</v>
          </cell>
          <cell r="P2927" t="str">
            <v>Xetra</v>
          </cell>
          <cell r="Q2927" t="str">
            <v>Industrial</v>
          </cell>
          <cell r="R2927" t="str">
            <v>Commercial &amp; Professional Serv</v>
          </cell>
          <cell r="S2927" t="str">
            <v>GBF.DE</v>
          </cell>
        </row>
        <row r="2928">
          <cell r="L2928" t="str">
            <v>RAL FP</v>
          </cell>
          <cell r="M2928" t="str">
            <v>RALLYE-4686/</v>
          </cell>
          <cell r="N2928" t="str">
            <v>GENC.PA</v>
          </cell>
          <cell r="O2928" t="str">
            <v>Rallye SA</v>
          </cell>
          <cell r="P2928" t="str">
            <v>EN Paris</v>
          </cell>
          <cell r="Q2928" t="str">
            <v>Consumer, Non-cyclical</v>
          </cell>
          <cell r="R2928" t="str">
            <v>Food &amp; Staples Retailing</v>
          </cell>
          <cell r="S2928" t="str">
            <v>RAL.PA</v>
          </cell>
        </row>
        <row r="2929">
          <cell r="L2929" t="str">
            <v>GFI FP</v>
          </cell>
          <cell r="M2929" t="str">
            <v>GFI-INFORMATIQUE-4654/</v>
          </cell>
          <cell r="N2929" t="str">
            <v>GFIP.PA</v>
          </cell>
          <cell r="O2929" t="str">
            <v>GFI Informatique SA</v>
          </cell>
          <cell r="P2929" t="str">
            <v>EN Paris</v>
          </cell>
          <cell r="Q2929" t="str">
            <v>Technology</v>
          </cell>
          <cell r="R2929" t="str">
            <v>Software &amp; Services</v>
          </cell>
          <cell r="S2929" t="str">
            <v>GFIP.PA</v>
          </cell>
        </row>
        <row r="2930">
          <cell r="L2930" t="str">
            <v>GBB FP</v>
          </cell>
          <cell r="M2930" t="str">
            <v>BOURBON-4759/</v>
          </cell>
          <cell r="N2930" t="str">
            <v>GPBN.PA</v>
          </cell>
          <cell r="O2930" t="str">
            <v>Bourbon Corporation SA</v>
          </cell>
          <cell r="P2930" t="str">
            <v>EN Paris</v>
          </cell>
          <cell r="Q2930" t="str">
            <v>Energy</v>
          </cell>
          <cell r="R2930" t="str">
            <v>Energy</v>
          </cell>
          <cell r="S2930" t="str">
            <v>GBB.PA</v>
          </cell>
        </row>
        <row r="2931">
          <cell r="L2931" t="str">
            <v>HER IM</v>
          </cell>
          <cell r="M2931" t="str">
            <v>HERA-SPA-102109/</v>
          </cell>
          <cell r="N2931" t="str">
            <v>HRA.MI</v>
          </cell>
          <cell r="O2931" t="str">
            <v>Hera SpA</v>
          </cell>
          <cell r="P2931" t="str">
            <v>BrsaItaliana</v>
          </cell>
          <cell r="Q2931" t="str">
            <v>Utilities</v>
          </cell>
          <cell r="R2931" t="str">
            <v>Utilities</v>
          </cell>
          <cell r="S2931" t="str">
            <v>HER.MI</v>
          </cell>
        </row>
        <row r="2932">
          <cell r="L2932" t="str">
            <v>HTG LN</v>
          </cell>
          <cell r="M2932" t="str">
            <v>HUNTING-PLC-4002036/</v>
          </cell>
          <cell r="N2932" t="str">
            <v>HTG.L</v>
          </cell>
          <cell r="O2932" t="str">
            <v>Hunting PLC</v>
          </cell>
          <cell r="P2932" t="str">
            <v>London</v>
          </cell>
          <cell r="Q2932" t="str">
            <v>Energy</v>
          </cell>
          <cell r="R2932" t="str">
            <v>Energy</v>
          </cell>
          <cell r="S2932" t="str">
            <v>HTG.L</v>
          </cell>
        </row>
        <row r="2933">
          <cell r="L2933" t="str">
            <v>ICAD FP</v>
          </cell>
          <cell r="M2933" t="str">
            <v>ICADE-5021/</v>
          </cell>
          <cell r="N2933" t="str">
            <v>ICAD.PA</v>
          </cell>
          <cell r="O2933" t="str">
            <v>Icade SA</v>
          </cell>
          <cell r="P2933" t="str">
            <v>EN Paris</v>
          </cell>
          <cell r="Q2933" t="str">
            <v>Financial</v>
          </cell>
          <cell r="R2933" t="str">
            <v>Real Estate</v>
          </cell>
          <cell r="S2933" t="str">
            <v>ICAD.PA</v>
          </cell>
        </row>
        <row r="2934">
          <cell r="L2934" t="str">
            <v>IDIA SW</v>
          </cell>
          <cell r="M2934" t="str">
            <v>IDORSIA-LTD-35837944/</v>
          </cell>
          <cell r="N2934" t="str">
            <v>IDIA.S</v>
          </cell>
          <cell r="O2934" t="str">
            <v>Idorsia Ltd</v>
          </cell>
          <cell r="P2934" t="str">
            <v>SIX Swiss Ex</v>
          </cell>
          <cell r="Q2934" t="str">
            <v>Consumer, Non-cyclical</v>
          </cell>
          <cell r="R2934" t="str">
            <v>Pharmaceuticals, Biotechnology</v>
          </cell>
          <cell r="S2934" t="str">
            <v>IDIA.SW</v>
          </cell>
        </row>
        <row r="2935">
          <cell r="L2935" t="str">
            <v>IDR SM</v>
          </cell>
          <cell r="M2935" t="str">
            <v>INDRA-SISTEMAS-413470/</v>
          </cell>
          <cell r="N2935" t="str">
            <v>IDR.MC</v>
          </cell>
          <cell r="O2935" t="str">
            <v>Indra Sistemas SA</v>
          </cell>
          <cell r="P2935" t="str">
            <v>Soc.Bol SIBE</v>
          </cell>
          <cell r="Q2935" t="str">
            <v>Technology</v>
          </cell>
          <cell r="R2935" t="str">
            <v>Software &amp; Services</v>
          </cell>
          <cell r="S2935" t="str">
            <v>IDR.MC</v>
          </cell>
        </row>
        <row r="2936">
          <cell r="L2936" t="str">
            <v>IPH FP</v>
          </cell>
          <cell r="M2936" t="str">
            <v>INNATE-PHARMA-35620/</v>
          </cell>
          <cell r="N2936" t="str">
            <v>IPH.PA</v>
          </cell>
          <cell r="O2936" t="str">
            <v>Innate Pharma SA</v>
          </cell>
          <cell r="P2936" t="str">
            <v>EN Paris</v>
          </cell>
          <cell r="Q2936" t="str">
            <v>Consumer, Non-cyclical</v>
          </cell>
          <cell r="R2936" t="str">
            <v>Pharmaceuticals, Biotechnology</v>
          </cell>
          <cell r="S2936" t="str">
            <v>IPH.PA</v>
          </cell>
        </row>
        <row r="2937">
          <cell r="L2937" t="str">
            <v>IPS FP</v>
          </cell>
          <cell r="M2937" t="str">
            <v>IPSOS-4663/</v>
          </cell>
          <cell r="N2937" t="str">
            <v>ISOS.PA</v>
          </cell>
          <cell r="O2937" t="str">
            <v>Ipsos SA</v>
          </cell>
          <cell r="P2937" t="str">
            <v>EN Paris</v>
          </cell>
          <cell r="Q2937" t="str">
            <v>Communications</v>
          </cell>
          <cell r="R2937" t="str">
            <v>Media</v>
          </cell>
          <cell r="S2937" t="str">
            <v>ISOS.PA</v>
          </cell>
        </row>
        <row r="2938">
          <cell r="L2938" t="str">
            <v>JLT LN</v>
          </cell>
          <cell r="M2938" t="str">
            <v>JARDINE-LLOYD-THOMPSON-GR-9590131/</v>
          </cell>
          <cell r="N2938" t="str">
            <v>JLT.L</v>
          </cell>
          <cell r="O2938" t="str">
            <v>Jardine Lloyd Thompson Group PLC</v>
          </cell>
          <cell r="P2938" t="str">
            <v>London</v>
          </cell>
          <cell r="Q2938" t="str">
            <v>Financial</v>
          </cell>
          <cell r="R2938" t="str">
            <v>Insurance</v>
          </cell>
          <cell r="S2938" t="str">
            <v>JLT.L</v>
          </cell>
        </row>
        <row r="2939">
          <cell r="L2939" t="str">
            <v>KCO GY</v>
          </cell>
          <cell r="M2939" t="str">
            <v>KLOECKNER-CO-SE-498900/</v>
          </cell>
          <cell r="N2939" t="str">
            <v>KCOGn.DE</v>
          </cell>
          <cell r="O2939" t="str">
            <v>Kloeckner &amp; Co SE</v>
          </cell>
          <cell r="P2939" t="str">
            <v>Xetra</v>
          </cell>
          <cell r="Q2939" t="str">
            <v>Industrial</v>
          </cell>
          <cell r="R2939" t="str">
            <v>Capital Goods</v>
          </cell>
          <cell r="S2939" t="str">
            <v>KCO.DE</v>
          </cell>
        </row>
        <row r="2940">
          <cell r="L2940" t="str">
            <v>KU2 GY</v>
          </cell>
          <cell r="M2940" t="str">
            <v>KUKA-436260/</v>
          </cell>
          <cell r="N2940" t="str">
            <v>KU2G.DE</v>
          </cell>
          <cell r="O2940" t="str">
            <v>Kuka AG</v>
          </cell>
          <cell r="P2940" t="str">
            <v>Xetra</v>
          </cell>
          <cell r="Q2940" t="str">
            <v>Industrial</v>
          </cell>
          <cell r="R2940" t="str">
            <v>Capital Goods</v>
          </cell>
          <cell r="S2940" t="str">
            <v>KU2.DE</v>
          </cell>
        </row>
        <row r="2941">
          <cell r="L2941" t="str">
            <v>LIN GY</v>
          </cell>
          <cell r="M2941" t="str">
            <v>LINDE-GROUP-THE-436357/</v>
          </cell>
          <cell r="N2941" t="str">
            <v>LING.DE</v>
          </cell>
          <cell r="O2941" t="str">
            <v>Linde AG</v>
          </cell>
          <cell r="P2941" t="str">
            <v>Xetra</v>
          </cell>
          <cell r="Q2941" t="str">
            <v>Basic Materials</v>
          </cell>
          <cell r="R2941" t="str">
            <v>Materials</v>
          </cell>
          <cell r="S2941" t="str">
            <v>LING.DE</v>
          </cell>
        </row>
        <row r="2942">
          <cell r="L2942" t="str">
            <v>LOCAL FP</v>
          </cell>
          <cell r="M2942" t="str">
            <v>SOLOCAL-GROUP-24706781/</v>
          </cell>
          <cell r="N2942" t="str">
            <v>LOCAL.PA</v>
          </cell>
          <cell r="O2942" t="str">
            <v>Solocal Group SA</v>
          </cell>
          <cell r="P2942" t="str">
            <v>EN Paris</v>
          </cell>
          <cell r="Q2942" t="str">
            <v>Communications</v>
          </cell>
          <cell r="R2942" t="str">
            <v>Media</v>
          </cell>
          <cell r="S2942" t="str">
            <v>LOCAL.PA</v>
          </cell>
        </row>
        <row r="2943">
          <cell r="L2943" t="str">
            <v>MAB LN</v>
          </cell>
          <cell r="M2943" t="str">
            <v>MITCHELLS-BUTLERS-PLC-9590204/</v>
          </cell>
          <cell r="N2943" t="str">
            <v>MAB.L</v>
          </cell>
          <cell r="O2943" t="str">
            <v>Mitchells &amp; Butlers PLC</v>
          </cell>
          <cell r="P2943" t="str">
            <v>London</v>
          </cell>
          <cell r="Q2943" t="str">
            <v>Consumer, Cyclical</v>
          </cell>
          <cell r="R2943" t="str">
            <v>Consumer Services</v>
          </cell>
          <cell r="S2943" t="str">
            <v>MAB.L</v>
          </cell>
        </row>
        <row r="2944">
          <cell r="L2944" t="str">
            <v>MBTN SW</v>
          </cell>
          <cell r="M2944" t="str">
            <v>MEYER-BURGER-TECHNOLOGY-A-197089/</v>
          </cell>
          <cell r="N2944" t="str">
            <v>MBTN.S</v>
          </cell>
          <cell r="O2944" t="str">
            <v>Meyer Burger Technology AG</v>
          </cell>
          <cell r="P2944" t="str">
            <v>SIX Swiss Ex</v>
          </cell>
          <cell r="Q2944" t="str">
            <v>Industrial</v>
          </cell>
          <cell r="R2944" t="str">
            <v>Semiconductors &amp; Semiconductor</v>
          </cell>
          <cell r="S2944" t="str">
            <v>MBTN.SW</v>
          </cell>
        </row>
        <row r="2945">
          <cell r="L2945" t="str">
            <v>MBWS FP</v>
          </cell>
          <cell r="M2945" t="str">
            <v>MARIE-BRIZARD-WINE-SPIR-4705/</v>
          </cell>
          <cell r="N2945" t="str">
            <v>MBWS.PA</v>
          </cell>
          <cell r="O2945" t="str">
            <v>Marie Brizard Wine and Spirits SA</v>
          </cell>
          <cell r="P2945" t="str">
            <v>EN Paris</v>
          </cell>
          <cell r="Q2945" t="str">
            <v>Consumer, Non-cyclical</v>
          </cell>
          <cell r="R2945" t="str">
            <v>Food, Beverage &amp; Tobacco</v>
          </cell>
          <cell r="S2945" t="str">
            <v>MBWS.PA</v>
          </cell>
        </row>
        <row r="2946">
          <cell r="L2946" t="str">
            <v>MDM FP</v>
          </cell>
          <cell r="M2946" t="str">
            <v>MAISONS-DU-MONDE-27862556/</v>
          </cell>
          <cell r="N2946" t="str">
            <v>MDM.PA</v>
          </cell>
          <cell r="O2946" t="str">
            <v>Maisons du Monde SA</v>
          </cell>
          <cell r="P2946" t="str">
            <v>EN Paris</v>
          </cell>
          <cell r="Q2946" t="str">
            <v>Consumer, Cyclical</v>
          </cell>
          <cell r="R2946" t="str">
            <v>Retailing</v>
          </cell>
          <cell r="S2946" t="str">
            <v>MDM.PA</v>
          </cell>
        </row>
        <row r="2947">
          <cell r="L2947" t="str">
            <v>MERY FP</v>
          </cell>
          <cell r="M2947" t="str">
            <v>MERCIALYS-5135/</v>
          </cell>
          <cell r="N2947" t="str">
            <v>MERY.PA</v>
          </cell>
          <cell r="O2947" t="str">
            <v>Mercialys SA</v>
          </cell>
          <cell r="P2947" t="str">
            <v>EN Paris</v>
          </cell>
          <cell r="Q2947" t="str">
            <v>Financial</v>
          </cell>
          <cell r="R2947" t="str">
            <v>Real Estate</v>
          </cell>
          <cell r="S2947" t="str">
            <v>MERY.PA</v>
          </cell>
        </row>
        <row r="2948">
          <cell r="L2948" t="str">
            <v>MMT FP</v>
          </cell>
          <cell r="M2948" t="str">
            <v>M6-METROPOLE-TELEVISION-4670/</v>
          </cell>
          <cell r="N2948" t="str">
            <v>MMTP.PA</v>
          </cell>
          <cell r="O2948" t="str">
            <v>Metropole Television SA</v>
          </cell>
          <cell r="P2948" t="str">
            <v>EN Paris</v>
          </cell>
          <cell r="Q2948" t="str">
            <v>Communications</v>
          </cell>
          <cell r="R2948" t="str">
            <v>Media</v>
          </cell>
          <cell r="S2948" t="str">
            <v>MMT.PA</v>
          </cell>
        </row>
        <row r="2949">
          <cell r="L2949" t="str">
            <v>EGL PL</v>
          </cell>
          <cell r="M2949" t="str">
            <v>MOTA-ENGIL-5820/</v>
          </cell>
          <cell r="N2949" t="str">
            <v>MOTA.LS</v>
          </cell>
          <cell r="O2949" t="str">
            <v>Mota Engil SGPS SA</v>
          </cell>
          <cell r="P2949" t="str">
            <v>EN Lisbon</v>
          </cell>
          <cell r="Q2949" t="str">
            <v>Industrial</v>
          </cell>
          <cell r="R2949" t="str">
            <v>Capital Goods</v>
          </cell>
          <cell r="S2949" t="str">
            <v>EGL.LS</v>
          </cell>
        </row>
        <row r="2950">
          <cell r="L2950" t="str">
            <v>MS IM</v>
          </cell>
          <cell r="M2950" t="str">
            <v>MEDIASET-408336/</v>
          </cell>
          <cell r="N2950" t="str">
            <v>MS.MI</v>
          </cell>
          <cell r="O2950" t="str">
            <v>Mediaset SpA</v>
          </cell>
          <cell r="P2950" t="str">
            <v>BrsaItaliana</v>
          </cell>
          <cell r="Q2950" t="str">
            <v>Communications</v>
          </cell>
          <cell r="R2950" t="str">
            <v>Media</v>
          </cell>
          <cell r="S2950" t="str">
            <v>MS.MI</v>
          </cell>
        </row>
        <row r="2951">
          <cell r="L2951" t="str">
            <v>MTO LN</v>
          </cell>
          <cell r="M2951" t="str">
            <v>MITIE-GROUP-9590156/</v>
          </cell>
          <cell r="N2951" t="str">
            <v>MTO.L</v>
          </cell>
          <cell r="O2951" t="str">
            <v>Mitie Group PLC</v>
          </cell>
          <cell r="P2951" t="str">
            <v>London</v>
          </cell>
          <cell r="Q2951" t="str">
            <v>Consumer, Non-cyclical</v>
          </cell>
          <cell r="R2951" t="str">
            <v>Commercial &amp; Professional Serv</v>
          </cell>
          <cell r="S2951" t="str">
            <v>MTO.L</v>
          </cell>
        </row>
        <row r="2952">
          <cell r="L2952" t="str">
            <v>COX FP</v>
          </cell>
          <cell r="M2952" t="str">
            <v>NICOX-25281955/</v>
          </cell>
          <cell r="N2952" t="str">
            <v>NCOX.PA</v>
          </cell>
          <cell r="O2952" t="str">
            <v>Nicox SA</v>
          </cell>
          <cell r="P2952" t="str">
            <v>EN Paris</v>
          </cell>
          <cell r="Q2952" t="str">
            <v>Consumer, Non-cyclical</v>
          </cell>
          <cell r="R2952" t="str">
            <v>Pharmaceuticals, Biotechnology</v>
          </cell>
          <cell r="S2952" t="str">
            <v>COX.PA</v>
          </cell>
        </row>
        <row r="2953">
          <cell r="L2953" t="str">
            <v>NXI FP</v>
          </cell>
          <cell r="M2953" t="str">
            <v>NEXITY-5141/</v>
          </cell>
          <cell r="N2953" t="str">
            <v>NEXI.PA</v>
          </cell>
          <cell r="O2953" t="str">
            <v>Nexity SA</v>
          </cell>
          <cell r="P2953" t="str">
            <v>EN Paris</v>
          </cell>
          <cell r="Q2953" t="str">
            <v>Financial</v>
          </cell>
          <cell r="R2953" t="str">
            <v>Real Estate</v>
          </cell>
          <cell r="S2953" t="str">
            <v>NXI.PA</v>
          </cell>
        </row>
        <row r="2954">
          <cell r="L2954" t="str">
            <v>NEX FP</v>
          </cell>
          <cell r="M2954" t="str">
            <v>NEXANS-4676/</v>
          </cell>
          <cell r="N2954" t="str">
            <v>NEXS.PA</v>
          </cell>
          <cell r="O2954" t="str">
            <v>Nexans SA</v>
          </cell>
          <cell r="P2954" t="str">
            <v>EN Paris</v>
          </cell>
          <cell r="Q2954" t="str">
            <v>Industrial</v>
          </cell>
          <cell r="R2954" t="str">
            <v>Capital Goods</v>
          </cell>
          <cell r="S2954" t="str">
            <v>NEX.PA</v>
          </cell>
        </row>
        <row r="2955">
          <cell r="L2955" t="str">
            <v>NHH SM</v>
          </cell>
          <cell r="M2955" t="str">
            <v>NH-HOTEL-GROUP-SA-69100/</v>
          </cell>
          <cell r="N2955" t="str">
            <v>NHH.MC</v>
          </cell>
          <cell r="O2955" t="str">
            <v>NH Hotel Group SA</v>
          </cell>
          <cell r="P2955" t="str">
            <v>Soc.Bol SIBE</v>
          </cell>
          <cell r="Q2955" t="str">
            <v>Consumer, Cyclical</v>
          </cell>
          <cell r="R2955" t="str">
            <v>Consumer Services</v>
          </cell>
          <cell r="S2955" t="str">
            <v>NHH.MC</v>
          </cell>
        </row>
        <row r="2956">
          <cell r="L2956" t="str">
            <v>NEO FP</v>
          </cell>
          <cell r="M2956" t="str">
            <v>NEOPOST-4674/</v>
          </cell>
          <cell r="N2956" t="str">
            <v>NPOS.PA</v>
          </cell>
          <cell r="O2956" t="str">
            <v>Neopost SA</v>
          </cell>
          <cell r="P2956" t="str">
            <v>EN Paris</v>
          </cell>
          <cell r="Q2956" t="str">
            <v>Technology</v>
          </cell>
          <cell r="R2956" t="str">
            <v>Technology Hardware &amp; Equipmen</v>
          </cell>
          <cell r="S2956" t="str">
            <v>NEO.PA</v>
          </cell>
        </row>
        <row r="2957">
          <cell r="L2957" t="str">
            <v>OCI NA</v>
          </cell>
          <cell r="M2957" t="str">
            <v>OCI-NV-14111730/</v>
          </cell>
          <cell r="N2957" t="str">
            <v>OCI.AS</v>
          </cell>
          <cell r="O2957" t="str">
            <v>OCI NV</v>
          </cell>
          <cell r="P2957" t="str">
            <v>EN Amsterdam</v>
          </cell>
          <cell r="Q2957" t="str">
            <v>Basic Materials</v>
          </cell>
          <cell r="R2957" t="str">
            <v>Materials</v>
          </cell>
          <cell r="S2957" t="str">
            <v>OCI.AS</v>
          </cell>
        </row>
        <row r="2958">
          <cell r="L2958" t="str">
            <v>PFG LN</v>
          </cell>
          <cell r="M2958" t="str">
            <v>PROVIDENT-FINANCIAL-9590111/</v>
          </cell>
          <cell r="N2958" t="str">
            <v>PFG.L</v>
          </cell>
          <cell r="O2958" t="str">
            <v>Provident Financial PLC</v>
          </cell>
          <cell r="P2958" t="str">
            <v>London</v>
          </cell>
          <cell r="Q2958" t="str">
            <v>Financial</v>
          </cell>
          <cell r="R2958" t="str">
            <v>Diversified Financials</v>
          </cell>
          <cell r="S2958" t="str">
            <v>PFG.L</v>
          </cell>
        </row>
        <row r="2959">
          <cell r="L2959" t="str">
            <v>PGS NO</v>
          </cell>
          <cell r="M2959" t="str">
            <v>PETROLEUM-GEO-SERVICES-AS-1413242/</v>
          </cell>
          <cell r="N2959" t="str">
            <v>PGS.OL</v>
          </cell>
          <cell r="O2959" t="str">
            <v>Petroleum Geo Services ASA</v>
          </cell>
          <cell r="P2959" t="str">
            <v>Oslo</v>
          </cell>
          <cell r="Q2959" t="str">
            <v>Energy</v>
          </cell>
          <cell r="R2959" t="str">
            <v>Energy</v>
          </cell>
          <cell r="S2959" t="str">
            <v>PGS.OL</v>
          </cell>
        </row>
        <row r="2960">
          <cell r="L2960" t="str">
            <v>PLT IM</v>
          </cell>
          <cell r="M2960" t="str">
            <v>PARMALAT-SPA-160201/</v>
          </cell>
          <cell r="N2960" t="str">
            <v>PLT.MI</v>
          </cell>
          <cell r="O2960" t="str">
            <v>Parmalat SpA</v>
          </cell>
          <cell r="P2960" t="str">
            <v>BrsaItaliana</v>
          </cell>
          <cell r="Q2960" t="str">
            <v>Consumer, Non-cyclical</v>
          </cell>
          <cell r="R2960" t="str">
            <v>Food, Beverage &amp; Tobacco</v>
          </cell>
          <cell r="S2960" t="str">
            <v>PLT.MI</v>
          </cell>
        </row>
        <row r="2961">
          <cell r="L2961" t="str">
            <v>POST AV</v>
          </cell>
          <cell r="M2961" t="str">
            <v>OESTERREICHISCHE-POST-AG-6498682/</v>
          </cell>
          <cell r="N2961" t="str">
            <v>POST.VI</v>
          </cell>
          <cell r="O2961" t="str">
            <v>Oesterreichische Post AG</v>
          </cell>
          <cell r="P2961" t="str">
            <v>Vienna</v>
          </cell>
          <cell r="Q2961" t="str">
            <v>Industrial</v>
          </cell>
          <cell r="R2961" t="str">
            <v>Transportation</v>
          </cell>
          <cell r="S2961" t="str">
            <v>POST.VI</v>
          </cell>
        </row>
        <row r="2962">
          <cell r="L2962" t="str">
            <v>PNL NA</v>
          </cell>
          <cell r="M2962" t="str">
            <v>POSTNL-8070432/</v>
          </cell>
          <cell r="N2962" t="str">
            <v>PTNL.AS</v>
          </cell>
          <cell r="O2962" t="str">
            <v>PostNL NV</v>
          </cell>
          <cell r="P2962" t="str">
            <v>EN Amsterdam</v>
          </cell>
          <cell r="Q2962" t="str">
            <v>Industrial</v>
          </cell>
          <cell r="R2962" t="str">
            <v>Transportation</v>
          </cell>
          <cell r="S2962" t="str">
            <v>PNL.AS</v>
          </cell>
        </row>
        <row r="2963">
          <cell r="L2963" t="str">
            <v>PIG FP</v>
          </cell>
          <cell r="M2963" t="str">
            <v>HAULOTTE-GROUP-4684/</v>
          </cell>
          <cell r="N2963" t="str">
            <v>PYHE.PA</v>
          </cell>
          <cell r="O2963" t="str">
            <v>Haulotte Group SA</v>
          </cell>
          <cell r="P2963" t="str">
            <v>EN Paris</v>
          </cell>
          <cell r="Q2963" t="str">
            <v>Industrial</v>
          </cell>
          <cell r="R2963" t="str">
            <v>Capital Goods</v>
          </cell>
          <cell r="S2963" t="str">
            <v>PIG.PA</v>
          </cell>
        </row>
        <row r="2964">
          <cell r="L2964" t="str">
            <v>QQ/ LN</v>
          </cell>
          <cell r="M2964" t="str">
            <v>QINETIQ-GROUP-PLC-9590216/</v>
          </cell>
          <cell r="N2964" t="str">
            <v>QQ.L</v>
          </cell>
          <cell r="O2964" t="str">
            <v>Qinetiq Group PLC</v>
          </cell>
          <cell r="P2964" t="str">
            <v>London</v>
          </cell>
          <cell r="Q2964" t="str">
            <v>Consumer, Non-cyclical</v>
          </cell>
          <cell r="R2964" t="str">
            <v>Capital Goods</v>
          </cell>
          <cell r="S2964" t="str">
            <v>QQ.L</v>
          </cell>
        </row>
        <row r="2965">
          <cell r="L2965" t="str">
            <v>RHK GY</v>
          </cell>
          <cell r="M2965" t="str">
            <v>RHOEN-KLINIKUM-AG-436533/</v>
          </cell>
          <cell r="N2965" t="str">
            <v>RHKG.DE</v>
          </cell>
          <cell r="O2965" t="str">
            <v>Rhoen Klinikum AG</v>
          </cell>
          <cell r="P2965" t="str">
            <v>Xetra</v>
          </cell>
          <cell r="Q2965" t="str">
            <v>Consumer, Non-cyclical</v>
          </cell>
          <cell r="R2965" t="str">
            <v>Health Care Equipment &amp; Servic</v>
          </cell>
          <cell r="S2965" t="str">
            <v>RHK.DE</v>
          </cell>
        </row>
        <row r="2966">
          <cell r="L2966" t="str">
            <v>ROVIO FH</v>
          </cell>
          <cell r="M2966" t="str">
            <v>ROVIO-ENTERTAINMENT-OYJ-37980118/</v>
          </cell>
          <cell r="N2966" t="str">
            <v>ROVIO.HE</v>
          </cell>
          <cell r="O2966" t="str">
            <v>Rovio Entertainment Oyj</v>
          </cell>
          <cell r="P2966" t="str">
            <v>Helsinki</v>
          </cell>
          <cell r="Q2966" t="str">
            <v>Technology</v>
          </cell>
          <cell r="R2966" t="str">
            <v>Software &amp; Services</v>
          </cell>
          <cell r="S2966" t="str">
            <v>ROVIO.HE</v>
          </cell>
        </row>
        <row r="2967">
          <cell r="L2967" t="str">
            <v>SCYR SM</v>
          </cell>
          <cell r="M2967" t="str">
            <v>SACYR-SA-69101/</v>
          </cell>
          <cell r="N2967" t="str">
            <v>SCYR.MC</v>
          </cell>
          <cell r="O2967" t="str">
            <v>Sacyr SA</v>
          </cell>
          <cell r="P2967" t="str">
            <v>Soc.Bol SIBE</v>
          </cell>
          <cell r="Q2967" t="str">
            <v>Industrial</v>
          </cell>
          <cell r="R2967" t="str">
            <v>Capital Goods</v>
          </cell>
          <cell r="S2967" t="str">
            <v>SCYR.MC</v>
          </cell>
        </row>
        <row r="2968">
          <cell r="L2968" t="str">
            <v>SDRY LN</v>
          </cell>
          <cell r="M2968" t="str">
            <v>SUPERDRY-PLC-6064359/</v>
          </cell>
          <cell r="N2968" t="str">
            <v>SDRY.L</v>
          </cell>
          <cell r="O2968" t="str">
            <v>Superdry PLC</v>
          </cell>
          <cell r="P2968" t="str">
            <v>London</v>
          </cell>
          <cell r="Q2968" t="str">
            <v>Consumer, Cyclical</v>
          </cell>
          <cell r="R2968" t="str">
            <v>Retailing</v>
          </cell>
          <cell r="S2968" t="str">
            <v>SDRY.L</v>
          </cell>
        </row>
        <row r="2969">
          <cell r="L2969" t="str">
            <v>SFER IM</v>
          </cell>
          <cell r="M2969" t="str">
            <v>SALVATORE-FERRAGAMO-8180985/</v>
          </cell>
          <cell r="N2969" t="str">
            <v>SFER.MI</v>
          </cell>
          <cell r="O2969" t="str">
            <v>Salvatore Ferragamo SpA</v>
          </cell>
          <cell r="P2969" t="str">
            <v>BrsaItaliana</v>
          </cell>
          <cell r="Q2969" t="str">
            <v>Consumer, Cyclical</v>
          </cell>
          <cell r="R2969" t="str">
            <v>Consumer Durables &amp; Apparel</v>
          </cell>
          <cell r="S2969" t="str">
            <v>SFER.MI</v>
          </cell>
        </row>
        <row r="2970">
          <cell r="L2970" t="str">
            <v>SFL IM</v>
          </cell>
          <cell r="M2970" t="str">
            <v>SAFILO-GROUP-S-P-A-165621/</v>
          </cell>
          <cell r="N2970" t="str">
            <v>SFLG.MI</v>
          </cell>
          <cell r="O2970" t="str">
            <v>Safilo Group SpA</v>
          </cell>
          <cell r="P2970" t="str">
            <v>BrsaItaliana</v>
          </cell>
          <cell r="Q2970" t="str">
            <v>Consumer, Cyclical</v>
          </cell>
          <cell r="R2970" t="str">
            <v>Consumer Durables &amp; Apparel</v>
          </cell>
          <cell r="S2970" t="str">
            <v>SFL.MI</v>
          </cell>
        </row>
        <row r="2971">
          <cell r="L2971" t="str">
            <v>SGC LN</v>
          </cell>
          <cell r="M2971" t="str">
            <v>STAGECOACH-4006899/</v>
          </cell>
          <cell r="N2971" t="str">
            <v>SGC.L</v>
          </cell>
          <cell r="O2971" t="str">
            <v>Stagecoach Group PLC</v>
          </cell>
          <cell r="P2971" t="str">
            <v>London</v>
          </cell>
          <cell r="Q2971" t="str">
            <v>Industrial</v>
          </cell>
          <cell r="R2971" t="str">
            <v>Transportation</v>
          </cell>
          <cell r="S2971" t="str">
            <v>SGC.L</v>
          </cell>
        </row>
        <row r="2972">
          <cell r="L2972" t="str">
            <v>SGL GY</v>
          </cell>
          <cell r="M2972" t="str">
            <v>SGL-CARBON-SE-436603/</v>
          </cell>
          <cell r="N2972" t="str">
            <v>SGCG.DE</v>
          </cell>
          <cell r="O2972" t="str">
            <v>SGL Carbon SE</v>
          </cell>
          <cell r="P2972" t="str">
            <v>Xetra</v>
          </cell>
          <cell r="Q2972" t="str">
            <v>Basic Materials</v>
          </cell>
          <cell r="R2972" t="str">
            <v>Capital Goods</v>
          </cell>
          <cell r="S2972" t="str">
            <v>SGL.DE</v>
          </cell>
        </row>
        <row r="2973">
          <cell r="L2973" t="str">
            <v>SGE LN</v>
          </cell>
          <cell r="M2973" t="str">
            <v>THE-SAGE-GROUP-PLC-13421569/</v>
          </cell>
          <cell r="N2973" t="str">
            <v>SGE.L</v>
          </cell>
          <cell r="O2973" t="str">
            <v>Sage Group PLC</v>
          </cell>
          <cell r="P2973" t="str">
            <v>London</v>
          </cell>
          <cell r="Q2973" t="str">
            <v>Technology</v>
          </cell>
          <cell r="R2973" t="str">
            <v>Software &amp; Services</v>
          </cell>
          <cell r="S2973" t="str">
            <v>SGE.L</v>
          </cell>
        </row>
        <row r="2974">
          <cell r="L2974" t="str">
            <v>SGRO LN</v>
          </cell>
          <cell r="M2974" t="str">
            <v>SEGRO-4007239/</v>
          </cell>
          <cell r="N2974" t="str">
            <v>SGRO.L</v>
          </cell>
          <cell r="O2974" t="str">
            <v>SEGRO PLC</v>
          </cell>
          <cell r="P2974" t="str">
            <v>London</v>
          </cell>
          <cell r="Q2974" t="str">
            <v>Financial</v>
          </cell>
          <cell r="R2974" t="str">
            <v>Real Estate</v>
          </cell>
          <cell r="S2974" t="str">
            <v>SGRO.L</v>
          </cell>
        </row>
        <row r="2975">
          <cell r="L2975" t="str">
            <v>SIA LN</v>
          </cell>
          <cell r="M2975" t="str">
            <v>SOCO-INTERNATIONAL-PLC-4001087/</v>
          </cell>
          <cell r="N2975" t="str">
            <v>SIA.L</v>
          </cell>
          <cell r="O2975" t="str">
            <v>SOCO International PLC</v>
          </cell>
          <cell r="P2975" t="str">
            <v>London</v>
          </cell>
          <cell r="Q2975" t="str">
            <v>Energy</v>
          </cell>
          <cell r="R2975" t="str">
            <v>Energy</v>
          </cell>
          <cell r="S2975" t="str">
            <v>SIA.L</v>
          </cell>
        </row>
        <row r="2976">
          <cell r="L2976" t="str">
            <v>SOF BB</v>
          </cell>
          <cell r="M2976" t="str">
            <v>SOFINA-5960/</v>
          </cell>
          <cell r="N2976" t="str">
            <v>SOF.BR</v>
          </cell>
          <cell r="O2976" t="str">
            <v>Sofina SA</v>
          </cell>
          <cell r="P2976" t="str">
            <v>EN Brussels</v>
          </cell>
          <cell r="Q2976" t="str">
            <v>Diversified</v>
          </cell>
          <cell r="R2976" t="str">
            <v>Diversified Financials</v>
          </cell>
          <cell r="S2976" t="str">
            <v>SOF.BR</v>
          </cell>
        </row>
        <row r="2977">
          <cell r="L2977" t="str">
            <v>SRP LN</v>
          </cell>
          <cell r="M2977" t="str">
            <v>SERCO-GROUP-PLC-9590148/</v>
          </cell>
          <cell r="N2977" t="str">
            <v>SRP.L</v>
          </cell>
          <cell r="O2977" t="str">
            <v>Serco Group PLC</v>
          </cell>
          <cell r="P2977" t="str">
            <v>London</v>
          </cell>
          <cell r="Q2977" t="str">
            <v>Technology</v>
          </cell>
          <cell r="R2977" t="str">
            <v>Commercial &amp; Professional Serv</v>
          </cell>
          <cell r="S2977" t="str">
            <v>SRP.L</v>
          </cell>
        </row>
        <row r="2978">
          <cell r="L2978" t="str">
            <v>SRS IM</v>
          </cell>
          <cell r="M2978" t="str">
            <v>SARAS-SPA-177790/</v>
          </cell>
          <cell r="N2978" t="str">
            <v>SRS.MI</v>
          </cell>
          <cell r="O2978" t="str">
            <v>Saras SpA</v>
          </cell>
          <cell r="P2978" t="str">
            <v>BrsaItaliana</v>
          </cell>
          <cell r="Q2978" t="str">
            <v>Energy</v>
          </cell>
          <cell r="R2978" t="str">
            <v>Energy</v>
          </cell>
          <cell r="S2978" t="str">
            <v>SRS.MI</v>
          </cell>
        </row>
        <row r="2979">
          <cell r="L2979" t="str">
            <v>SAZ GY</v>
          </cell>
          <cell r="M2979" t="str">
            <v>STADA-ARZNEIMITTEL-436624/</v>
          </cell>
          <cell r="N2979" t="str">
            <v>STAGn.DE</v>
          </cell>
          <cell r="O2979" t="str">
            <v>STADA Arzneimittel AG</v>
          </cell>
          <cell r="P2979" t="str">
            <v>Xetra</v>
          </cell>
          <cell r="Q2979" t="str">
            <v>Consumer, Non-cyclical</v>
          </cell>
          <cell r="R2979" t="str">
            <v>Pharmaceuticals, Biotechnology</v>
          </cell>
          <cell r="S2979" t="str">
            <v>STAGn.DE</v>
          </cell>
        </row>
        <row r="2980">
          <cell r="L2980" t="str">
            <v>SUN SW</v>
          </cell>
          <cell r="M2980" t="str">
            <v>SULZER-AG-3028167/</v>
          </cell>
          <cell r="N2980" t="str">
            <v>SUN.S</v>
          </cell>
          <cell r="O2980" t="str">
            <v>Sulzer AG</v>
          </cell>
          <cell r="P2980" t="str">
            <v>SIX Swiss Ex</v>
          </cell>
          <cell r="Q2980" t="str">
            <v>Industrial</v>
          </cell>
          <cell r="R2980" t="str">
            <v>Capital Goods</v>
          </cell>
          <cell r="S2980" t="str">
            <v>SUN.SW</v>
          </cell>
        </row>
        <row r="2981">
          <cell r="L2981" t="str">
            <v>SZG GY</v>
          </cell>
          <cell r="M2981" t="str">
            <v>SALZGITTER-AG-436258/</v>
          </cell>
          <cell r="N2981" t="str">
            <v>SZGG.DE</v>
          </cell>
          <cell r="O2981" t="str">
            <v>Salzgitter AG</v>
          </cell>
          <cell r="P2981" t="str">
            <v>Xetra</v>
          </cell>
          <cell r="Q2981" t="str">
            <v>Basic Materials</v>
          </cell>
          <cell r="R2981" t="str">
            <v>Materials</v>
          </cell>
          <cell r="S2981" t="str">
            <v>SZG.DE</v>
          </cell>
        </row>
        <row r="2982">
          <cell r="L2982" t="str">
            <v>SZU GY</v>
          </cell>
          <cell r="M2982" t="str">
            <v>SUEDZUCKER-AG-436654/</v>
          </cell>
          <cell r="N2982" t="str">
            <v>SZUG.DE</v>
          </cell>
          <cell r="O2982" t="str">
            <v>Suedzucker AG</v>
          </cell>
          <cell r="P2982" t="str">
            <v>Xetra</v>
          </cell>
          <cell r="Q2982" t="str">
            <v>Consumer, Non-cyclical</v>
          </cell>
          <cell r="R2982" t="str">
            <v>Food, Beverage &amp; Tobacco</v>
          </cell>
          <cell r="S2982" t="str">
            <v>SZU.DE</v>
          </cell>
        </row>
        <row r="2983">
          <cell r="L2983" t="str">
            <v>TCG LN</v>
          </cell>
          <cell r="M2983" t="str">
            <v>THOMAS-COOK-GROUP-4007030/</v>
          </cell>
          <cell r="N2983" t="str">
            <v>TCG.L</v>
          </cell>
          <cell r="O2983" t="str">
            <v>Thomas Cook Group plc</v>
          </cell>
          <cell r="P2983" t="str">
            <v>London</v>
          </cell>
          <cell r="Q2983" t="str">
            <v>Consumer, Cyclical</v>
          </cell>
          <cell r="R2983" t="str">
            <v>Consumer Services</v>
          </cell>
          <cell r="S2983" t="str">
            <v>TCG.L</v>
          </cell>
        </row>
        <row r="2984">
          <cell r="L2984" t="str">
            <v>TKA AV</v>
          </cell>
          <cell r="M2984" t="str">
            <v>TELEKOM-AUSTRIA-AG-6492023/</v>
          </cell>
          <cell r="N2984" t="str">
            <v>TELA.VI</v>
          </cell>
          <cell r="O2984" t="str">
            <v>Telekom Austria AG</v>
          </cell>
          <cell r="P2984" t="str">
            <v>Vienna</v>
          </cell>
          <cell r="Q2984" t="str">
            <v>Communications</v>
          </cell>
          <cell r="R2984" t="str">
            <v>Telecommunication Services</v>
          </cell>
          <cell r="S2984" t="str">
            <v>TELA.VI</v>
          </cell>
        </row>
        <row r="2985">
          <cell r="L2985" t="str">
            <v>TFI FP</v>
          </cell>
          <cell r="M2985" t="str">
            <v>TF1-4714/</v>
          </cell>
          <cell r="N2985" t="str">
            <v>TFFP.PA</v>
          </cell>
          <cell r="O2985" t="str">
            <v>Television Francaise 1 SA</v>
          </cell>
          <cell r="P2985" t="str">
            <v>EN Paris</v>
          </cell>
          <cell r="Q2985" t="str">
            <v>Communications</v>
          </cell>
          <cell r="R2985" t="str">
            <v>Media</v>
          </cell>
          <cell r="S2985" t="str">
            <v>TFI.PA</v>
          </cell>
        </row>
        <row r="2986">
          <cell r="L2986" t="str">
            <v>TKTT FP</v>
          </cell>
          <cell r="M2986" t="str">
            <v>TARKETT-14899990/</v>
          </cell>
          <cell r="N2986" t="str">
            <v>TKTT.PA</v>
          </cell>
          <cell r="O2986" t="str">
            <v>Tarkett SA</v>
          </cell>
          <cell r="P2986" t="str">
            <v>EN Paris</v>
          </cell>
          <cell r="Q2986" t="str">
            <v>Industrial</v>
          </cell>
          <cell r="R2986" t="str">
            <v>Capital Goods</v>
          </cell>
          <cell r="S2986" t="str">
            <v>TKTT.PA</v>
          </cell>
        </row>
        <row r="2987">
          <cell r="L2987" t="str">
            <v>TOD IM</v>
          </cell>
          <cell r="M2987" t="str">
            <v>TOD-S-SPA-79342/</v>
          </cell>
          <cell r="N2987" t="str">
            <v>TOD.MI</v>
          </cell>
          <cell r="O2987" t="str">
            <v>Tod's SpA</v>
          </cell>
          <cell r="P2987" t="str">
            <v>BrsaItaliana</v>
          </cell>
          <cell r="Q2987" t="str">
            <v>Consumer, Cyclical</v>
          </cell>
          <cell r="R2987" t="str">
            <v>Consumer Durables &amp; Apparel</v>
          </cell>
          <cell r="S2987" t="str">
            <v>TOD.MI</v>
          </cell>
        </row>
        <row r="2988">
          <cell r="L2988" t="str">
            <v>TOM2 NA</v>
          </cell>
          <cell r="M2988" t="str">
            <v>TOMTOM-58863979/</v>
          </cell>
          <cell r="N2988" t="str">
            <v>TOM2.AS</v>
          </cell>
          <cell r="O2988" t="str">
            <v>TomTom NV</v>
          </cell>
          <cell r="P2988" t="str">
            <v>EN Amsterdam</v>
          </cell>
          <cell r="Q2988" t="str">
            <v>Technology</v>
          </cell>
          <cell r="R2988" t="str">
            <v>Consumer Durables &amp; Apparel</v>
          </cell>
          <cell r="S2988" t="str">
            <v>TOM2.AS</v>
          </cell>
        </row>
        <row r="2989">
          <cell r="L2989" t="str">
            <v>TOP DC</v>
          </cell>
          <cell r="M2989" t="str">
            <v>TOPDANMARK-A-S-1413041/</v>
          </cell>
          <cell r="N2989" t="str">
            <v>TOP.CO</v>
          </cell>
          <cell r="O2989" t="str">
            <v>Topdanmark A/S</v>
          </cell>
          <cell r="P2989" t="str">
            <v>Copenhagen</v>
          </cell>
          <cell r="Q2989" t="str">
            <v>Financial</v>
          </cell>
          <cell r="R2989" t="str">
            <v>Insurance</v>
          </cell>
          <cell r="S2989" t="str">
            <v>TOP.CO</v>
          </cell>
        </row>
        <row r="2990">
          <cell r="L2990" t="str">
            <v>TRE SM</v>
          </cell>
          <cell r="M2990" t="str">
            <v>TECNICAS-REUNIDAS-183228/</v>
          </cell>
          <cell r="N2990" t="str">
            <v>TRE.MC</v>
          </cell>
          <cell r="O2990" t="str">
            <v>Tecnicas Reunidas SA</v>
          </cell>
          <cell r="P2990" t="str">
            <v>Soc.Bol SIBE</v>
          </cell>
          <cell r="Q2990" t="str">
            <v>Industrial</v>
          </cell>
          <cell r="R2990" t="str">
            <v>Energy</v>
          </cell>
          <cell r="S2990" t="str">
            <v>TRE.MC</v>
          </cell>
        </row>
        <row r="2991">
          <cell r="L2991" t="str">
            <v>ULE LN</v>
          </cell>
          <cell r="M2991" t="str">
            <v>ULTRA-ELECTRONICS-9590141/</v>
          </cell>
          <cell r="N2991" t="str">
            <v>ULE.L</v>
          </cell>
          <cell r="O2991" t="str">
            <v>Ultra Electronics Holdings PLC</v>
          </cell>
          <cell r="P2991" t="str">
            <v>London</v>
          </cell>
          <cell r="Q2991" t="str">
            <v>Industrial</v>
          </cell>
          <cell r="R2991" t="str">
            <v>Capital Goods</v>
          </cell>
          <cell r="S2991" t="str">
            <v>ULE.L</v>
          </cell>
        </row>
        <row r="2992">
          <cell r="L2992" t="str">
            <v>US IM</v>
          </cell>
          <cell r="M2992" t="str">
            <v>UNIPOLSAI-ASSICURAZIONI-10924565/</v>
          </cell>
          <cell r="N2992" t="str">
            <v>US.MI</v>
          </cell>
          <cell r="O2992" t="str">
            <v>UnipolSai Assicurazioni SpA</v>
          </cell>
          <cell r="P2992" t="str">
            <v>BrsaItaliana</v>
          </cell>
          <cell r="Q2992" t="str">
            <v>Financial</v>
          </cell>
          <cell r="R2992" t="str">
            <v>Insurance</v>
          </cell>
          <cell r="S2992" t="str">
            <v>US.MI</v>
          </cell>
        </row>
        <row r="2993">
          <cell r="L2993" t="str">
            <v>VASTN NA</v>
          </cell>
          <cell r="M2993" t="str">
            <v>VASTNED-RETAIL-N-V-27316/</v>
          </cell>
          <cell r="N2993" t="str">
            <v>VASN.AS</v>
          </cell>
          <cell r="O2993" t="str">
            <v>Vastned Retail NV</v>
          </cell>
          <cell r="P2993" t="str">
            <v>EN Amsterdam</v>
          </cell>
          <cell r="Q2993" t="str">
            <v>Financial</v>
          </cell>
          <cell r="R2993" t="str">
            <v>Real Estate</v>
          </cell>
          <cell r="S2993" t="str">
            <v>VASTN.AS</v>
          </cell>
        </row>
        <row r="2994">
          <cell r="L2994" t="str">
            <v>VER AV</v>
          </cell>
          <cell r="M2994" t="str">
            <v>VERBUND-AG-6491294/</v>
          </cell>
          <cell r="N2994" t="str">
            <v>VERB.VI</v>
          </cell>
          <cell r="O2994" t="str">
            <v>Verbund AG</v>
          </cell>
          <cell r="P2994" t="str">
            <v>Vienna</v>
          </cell>
          <cell r="Q2994" t="str">
            <v>Utilities</v>
          </cell>
          <cell r="R2994" t="str">
            <v>Utilities</v>
          </cell>
          <cell r="S2994" t="str">
            <v>VERB.VI</v>
          </cell>
        </row>
        <row r="2995">
          <cell r="L2995" t="str">
            <v>VIG AV</v>
          </cell>
          <cell r="M2995" t="str">
            <v>VIENNA-INSURANCE-GROUP-AG-6491671/</v>
          </cell>
          <cell r="N2995" t="str">
            <v>VIGR.VI</v>
          </cell>
          <cell r="O2995" t="str">
            <v>Vienna Insurance Group AG Wiener Versicherung Gruppe</v>
          </cell>
          <cell r="P2995" t="str">
            <v>Vienna</v>
          </cell>
          <cell r="Q2995" t="str">
            <v>Financial</v>
          </cell>
          <cell r="R2995" t="str">
            <v>Insurance</v>
          </cell>
          <cell r="S2995" t="str">
            <v>VIGR.VI</v>
          </cell>
        </row>
        <row r="2996">
          <cell r="L2996" t="str">
            <v>VK FP</v>
          </cell>
          <cell r="M2996" t="str">
            <v>VALLOUREC-4723/</v>
          </cell>
          <cell r="N2996" t="str">
            <v>VLLP.PA</v>
          </cell>
          <cell r="O2996" t="str">
            <v>Vallourec SA</v>
          </cell>
          <cell r="P2996" t="str">
            <v>EN Paris</v>
          </cell>
          <cell r="Q2996" t="str">
            <v>Industrial</v>
          </cell>
          <cell r="R2996" t="str">
            <v>Energy</v>
          </cell>
          <cell r="S2996" t="str">
            <v>VK.PA</v>
          </cell>
        </row>
        <row r="2997">
          <cell r="L2997" t="str">
            <v>VLA FP</v>
          </cell>
          <cell r="M2997" t="str">
            <v>VALNEVA-54466/</v>
          </cell>
          <cell r="N2997" t="str">
            <v>VLS.PA</v>
          </cell>
          <cell r="O2997" t="str">
            <v>Valneva SE</v>
          </cell>
          <cell r="P2997" t="str">
            <v>EN Paris</v>
          </cell>
          <cell r="Q2997" t="str">
            <v>Consumer, Non-cyclical</v>
          </cell>
          <cell r="R2997" t="str">
            <v>Pharmaceuticals, Biotechnology</v>
          </cell>
          <cell r="S2997" t="str">
            <v>VLA.PA</v>
          </cell>
        </row>
        <row r="2998">
          <cell r="L2998" t="str">
            <v>WHA NA</v>
          </cell>
          <cell r="M2998" t="str">
            <v>WERELDHAVE-27319/</v>
          </cell>
          <cell r="N2998" t="str">
            <v>WEHA.AS</v>
          </cell>
          <cell r="O2998" t="str">
            <v>Wereldhave NV</v>
          </cell>
          <cell r="P2998" t="str">
            <v>EN Amsterdam</v>
          </cell>
          <cell r="Q2998" t="str">
            <v>Financial</v>
          </cell>
          <cell r="R2998" t="str">
            <v>Real Estate</v>
          </cell>
          <cell r="S2998" t="str">
            <v>WHA.AS</v>
          </cell>
        </row>
        <row r="2999">
          <cell r="L2999" t="str">
            <v>WIN GY</v>
          </cell>
          <cell r="M2999" t="str">
            <v>DIEBOLD-NIXDORF-AG-461015/</v>
          </cell>
          <cell r="N2999" t="str">
            <v>WING.DE</v>
          </cell>
          <cell r="O2999" t="str">
            <v>Diebold Nixdorf AG</v>
          </cell>
          <cell r="P2999" t="str">
            <v>Xetra</v>
          </cell>
          <cell r="Q2999" t="str">
            <v>Technology</v>
          </cell>
          <cell r="R2999" t="str">
            <v>Technology Hardware &amp; Equipmen</v>
          </cell>
          <cell r="S2999" t="str">
            <v>WING.DE</v>
          </cell>
        </row>
        <row r="3000">
          <cell r="L3000" t="str">
            <v>WLN FP</v>
          </cell>
          <cell r="M3000" t="str">
            <v>WORLDLINE-16783982/</v>
          </cell>
          <cell r="N3000" t="str">
            <v>WLN.PA</v>
          </cell>
          <cell r="O3000" t="str">
            <v>Worldline SA</v>
          </cell>
          <cell r="P3000" t="str">
            <v>EN Paris</v>
          </cell>
          <cell r="Q3000" t="str">
            <v>Technology</v>
          </cell>
          <cell r="R3000" t="str">
            <v>Software &amp; Services</v>
          </cell>
          <cell r="S3000" t="str">
            <v>WLN.PA</v>
          </cell>
        </row>
        <row r="3001">
          <cell r="L3001" t="str">
            <v>YIT FH</v>
          </cell>
          <cell r="M3001" t="str">
            <v>YIT-OYJ-40647156/</v>
          </cell>
          <cell r="N3001" t="str">
            <v>YIT.HE</v>
          </cell>
          <cell r="O3001" t="str">
            <v>Yit Oyj</v>
          </cell>
          <cell r="P3001" t="str">
            <v>Helsinki</v>
          </cell>
          <cell r="Q3001" t="str">
            <v>Consumer, Cyclical</v>
          </cell>
          <cell r="R3001" t="str">
            <v>Capital Goods</v>
          </cell>
          <cell r="S3001" t="str">
            <v>YIT.HE</v>
          </cell>
        </row>
        <row r="3002">
          <cell r="L3002" t="str">
            <v>ZOT SM</v>
          </cell>
          <cell r="M3002" t="str">
            <v>ZARDOYA-OTIS-69591/</v>
          </cell>
          <cell r="N3002" t="str">
            <v>ZOT.MC</v>
          </cell>
          <cell r="O3002" t="str">
            <v>Zardoya Otis SA</v>
          </cell>
          <cell r="P3002" t="str">
            <v>Soc.Bol SIBE</v>
          </cell>
          <cell r="Q3002" t="str">
            <v>Industrial</v>
          </cell>
          <cell r="R3002" t="str">
            <v>Capital Goods</v>
          </cell>
          <cell r="S3002" t="str">
            <v>ZOT.MC</v>
          </cell>
        </row>
        <row r="3003">
          <cell r="L3003" t="str">
            <v>TRYG DC</v>
          </cell>
          <cell r="M3003" t="str">
            <v>TRYG-A-S-1413048/</v>
          </cell>
          <cell r="N3003" t="str">
            <v>TRYG.CO</v>
          </cell>
          <cell r="O3003" t="str">
            <v>Tryg A/S</v>
          </cell>
          <cell r="P3003" t="str">
            <v>Copenhagen</v>
          </cell>
          <cell r="Q3003" t="str">
            <v>Financial</v>
          </cell>
          <cell r="R3003" t="str">
            <v>Insurance</v>
          </cell>
          <cell r="S3003" t="str">
            <v>TRYG.CO</v>
          </cell>
        </row>
        <row r="3004">
          <cell r="L3004" t="str">
            <v>TEG GY</v>
          </cell>
          <cell r="M3004" t="str">
            <v>TAG-IMMOBILIEN-AG-436835/</v>
          </cell>
          <cell r="N3004" t="str">
            <v>TEGG.DE</v>
          </cell>
          <cell r="O3004" t="str">
            <v>TAG Immobilien AG</v>
          </cell>
          <cell r="P3004" t="str">
            <v>Xetra</v>
          </cell>
          <cell r="Q3004" t="str">
            <v>Financial</v>
          </cell>
          <cell r="R3004" t="str">
            <v>Real Estate</v>
          </cell>
          <cell r="S3004" t="str">
            <v>TEG.DE</v>
          </cell>
        </row>
        <row r="3005">
          <cell r="L3005" t="str">
            <v>SYDB DC</v>
          </cell>
          <cell r="M3005" t="str">
            <v>SYDBANK-1413034/</v>
          </cell>
          <cell r="N3005" t="str">
            <v>SYDB.CO</v>
          </cell>
          <cell r="O3005" t="str">
            <v>Sydbank A/S</v>
          </cell>
          <cell r="P3005" t="str">
            <v>Copenhagen</v>
          </cell>
          <cell r="Q3005" t="str">
            <v>Financial</v>
          </cell>
          <cell r="R3005" t="str">
            <v>Banks</v>
          </cell>
          <cell r="S3005" t="str">
            <v>SYDB.CO</v>
          </cell>
        </row>
        <row r="3006">
          <cell r="L3006" t="str">
            <v>SOBI SS</v>
          </cell>
          <cell r="M3006" t="str">
            <v>SWEDISH-MATCH-6492173/</v>
          </cell>
          <cell r="N3006" t="str">
            <v>SOBIV.ST</v>
          </cell>
          <cell r="O3006" t="str">
            <v>Swedish Orphan Biovitrum AB (publ)</v>
          </cell>
          <cell r="P3006" t="str">
            <v>Stockholm</v>
          </cell>
          <cell r="Q3006" t="str">
            <v>Consumer, Non-cyclical</v>
          </cell>
          <cell r="R3006" t="str">
            <v>Pharmaceuticals, Biotechnology</v>
          </cell>
          <cell r="S3006" t="str">
            <v>SOBIV.ST</v>
          </cell>
        </row>
        <row r="3007">
          <cell r="L3007" t="str">
            <v>SOW GY</v>
          </cell>
          <cell r="M3007" t="str">
            <v>SOFTWARE-37926215/</v>
          </cell>
          <cell r="N3007" t="str">
            <v>SOWGn.DE</v>
          </cell>
          <cell r="O3007" t="str">
            <v>Software AG</v>
          </cell>
          <cell r="P3007" t="str">
            <v>Xetra</v>
          </cell>
          <cell r="Q3007" t="str">
            <v>Technology</v>
          </cell>
          <cell r="R3007" t="str">
            <v>Software &amp; Services</v>
          </cell>
          <cell r="S3007" t="str">
            <v>SOW.DE</v>
          </cell>
        </row>
        <row r="3008">
          <cell r="L3008" t="str">
            <v>SCHP SW</v>
          </cell>
          <cell r="M3008" t="str">
            <v>SCHINDLER-HOLDING-AG-174980/</v>
          </cell>
          <cell r="N3008" t="str">
            <v>SCHP.S</v>
          </cell>
          <cell r="O3008" t="str">
            <v>Schindler Holding AG</v>
          </cell>
          <cell r="P3008" t="str">
            <v>SIX Swiss Ex</v>
          </cell>
          <cell r="Q3008" t="str">
            <v>Industrial</v>
          </cell>
          <cell r="R3008" t="str">
            <v>Capital Goods</v>
          </cell>
          <cell r="S3008" t="str">
            <v>SCHN.SW</v>
          </cell>
        </row>
        <row r="3009">
          <cell r="L3009" t="str">
            <v>SPM IM</v>
          </cell>
          <cell r="M3009" t="str">
            <v>SAIPEM-SPA-34973305/</v>
          </cell>
          <cell r="N3009" t="str">
            <v>SPMI.MI</v>
          </cell>
          <cell r="O3009" t="str">
            <v>Saipem SpA</v>
          </cell>
          <cell r="P3009" t="str">
            <v>BrsaItaliana</v>
          </cell>
          <cell r="Q3009" t="str">
            <v>Energy</v>
          </cell>
          <cell r="R3009" t="str">
            <v>Energy</v>
          </cell>
          <cell r="S3009" t="str">
            <v>SPM.MI</v>
          </cell>
        </row>
        <row r="3010">
          <cell r="L3010" t="str">
            <v>ORNBV FH</v>
          </cell>
          <cell r="M3010" t="str">
            <v>ORION-OYJ-1412508/</v>
          </cell>
          <cell r="N3010" t="str">
            <v>ORNBV.HE</v>
          </cell>
          <cell r="O3010" t="str">
            <v>Orion Oyj</v>
          </cell>
          <cell r="P3010" t="str">
            <v>Helsinki</v>
          </cell>
          <cell r="Q3010" t="str">
            <v>Consumer, Non-cyclical</v>
          </cell>
          <cell r="R3010" t="str">
            <v>Pharmaceuticals, Biotechnology</v>
          </cell>
          <cell r="S3010" t="str">
            <v>ORNBV.HE</v>
          </cell>
        </row>
        <row r="3011">
          <cell r="L3011" t="str">
            <v>NEX LN</v>
          </cell>
          <cell r="M3011" t="str">
            <v>NATIONAL-GRID-PLC-34973324/</v>
          </cell>
          <cell r="N3011" t="str">
            <v>NEX.L</v>
          </cell>
          <cell r="O3011" t="str">
            <v>National Express Group PLC</v>
          </cell>
          <cell r="P3011" t="str">
            <v>London</v>
          </cell>
          <cell r="Q3011" t="str">
            <v>Industrial</v>
          </cell>
          <cell r="R3011" t="str">
            <v>Transportation</v>
          </cell>
          <cell r="S3011" t="str">
            <v>NEX.L</v>
          </cell>
        </row>
        <row r="3012">
          <cell r="L3012" t="str">
            <v>METSO FH</v>
          </cell>
          <cell r="M3012" t="str">
            <v>METSO-OYJ-1412488/</v>
          </cell>
          <cell r="N3012" t="str">
            <v>METSO.HE</v>
          </cell>
          <cell r="O3012" t="str">
            <v>Metso Oyj</v>
          </cell>
          <cell r="P3012" t="str">
            <v>Helsinki</v>
          </cell>
          <cell r="Q3012" t="str">
            <v>Industrial</v>
          </cell>
          <cell r="R3012" t="str">
            <v>Capital Goods</v>
          </cell>
          <cell r="S3012" t="str">
            <v>METSO.HE</v>
          </cell>
        </row>
        <row r="3013">
          <cell r="L3013" t="str">
            <v>EMG LN</v>
          </cell>
          <cell r="M3013" t="str">
            <v>MAN-GROUP-PLC-11870027/</v>
          </cell>
          <cell r="N3013" t="str">
            <v>EMG.L</v>
          </cell>
          <cell r="O3013" t="str">
            <v>Man Group PLC</v>
          </cell>
          <cell r="P3013" t="str">
            <v>London</v>
          </cell>
          <cell r="Q3013" t="str">
            <v>Financial</v>
          </cell>
          <cell r="R3013" t="str">
            <v>Diversified Financials</v>
          </cell>
          <cell r="S3013" t="str">
            <v>EMG.L</v>
          </cell>
        </row>
        <row r="3014">
          <cell r="L3014" t="str">
            <v>KESKOB FH</v>
          </cell>
          <cell r="M3014" t="str">
            <v>KESKO-OYJ-1412478/</v>
          </cell>
          <cell r="N3014" t="str">
            <v>KESKOB.HE</v>
          </cell>
          <cell r="O3014" t="str">
            <v>Kesko Oyj</v>
          </cell>
          <cell r="P3014" t="str">
            <v>Helsinki</v>
          </cell>
          <cell r="Q3014" t="str">
            <v>Consumer, Non-cyclical</v>
          </cell>
          <cell r="R3014" t="str">
            <v>Food &amp; Staples Retailing</v>
          </cell>
          <cell r="S3014" t="str">
            <v>KESKOB.HE</v>
          </cell>
        </row>
        <row r="3015">
          <cell r="L3015" t="str">
            <v>JMAT LN</v>
          </cell>
          <cell r="M3015" t="str">
            <v>JOHNSON-MATTHEY-PLC-25600218/</v>
          </cell>
          <cell r="N3015" t="str">
            <v>JMAT.L</v>
          </cell>
          <cell r="O3015" t="str">
            <v>Johnson Matthey PLC</v>
          </cell>
          <cell r="P3015" t="str">
            <v>London</v>
          </cell>
          <cell r="Q3015" t="str">
            <v>Basic Materials</v>
          </cell>
          <cell r="R3015" t="str">
            <v>Materials</v>
          </cell>
          <cell r="S3015" t="str">
            <v>JMAT.L</v>
          </cell>
        </row>
        <row r="3016">
          <cell r="L3016" t="str">
            <v>INF LN</v>
          </cell>
          <cell r="M3016" t="str">
            <v>INFORMA-PLC-16587322/</v>
          </cell>
          <cell r="N3016" t="str">
            <v>INF.L</v>
          </cell>
          <cell r="O3016" t="str">
            <v>Informa PLC</v>
          </cell>
          <cell r="P3016" t="str">
            <v>London</v>
          </cell>
          <cell r="Q3016" t="str">
            <v>Communications</v>
          </cell>
          <cell r="R3016" t="str">
            <v>Media</v>
          </cell>
          <cell r="S3016" t="str">
            <v>INF.L</v>
          </cell>
        </row>
        <row r="3017">
          <cell r="L3017" t="str">
            <v>IMI LN</v>
          </cell>
          <cell r="M3017" t="str">
            <v>IMI-PLC-15810605/</v>
          </cell>
          <cell r="N3017" t="str">
            <v>IMI.L</v>
          </cell>
          <cell r="O3017" t="str">
            <v>IMI PLC</v>
          </cell>
          <cell r="P3017" t="str">
            <v>London</v>
          </cell>
          <cell r="Q3017" t="str">
            <v>Industrial</v>
          </cell>
          <cell r="R3017" t="str">
            <v>Capital Goods</v>
          </cell>
          <cell r="S3017" t="str">
            <v>IMI.L</v>
          </cell>
        </row>
        <row r="3018">
          <cell r="L3018" t="str">
            <v>HSV LN</v>
          </cell>
          <cell r="M3018" t="str">
            <v>HOMESERVE-PLC-28642919/</v>
          </cell>
          <cell r="N3018" t="str">
            <v>HSV.L</v>
          </cell>
          <cell r="O3018" t="str">
            <v>HomeServe PLC</v>
          </cell>
          <cell r="P3018" t="str">
            <v>London</v>
          </cell>
          <cell r="Q3018" t="str">
            <v>Industrial</v>
          </cell>
          <cell r="R3018" t="str">
            <v>Commercial &amp; Professional Serv</v>
          </cell>
          <cell r="S3018" t="str">
            <v>HSV.L</v>
          </cell>
        </row>
        <row r="3019">
          <cell r="L3019" t="str">
            <v>GXI GY</v>
          </cell>
          <cell r="M3019" t="str">
            <v>GERRESHEIMER-599546/</v>
          </cell>
          <cell r="N3019" t="str">
            <v>GXIG.DE</v>
          </cell>
          <cell r="O3019" t="str">
            <v>Gerresheimer AG</v>
          </cell>
          <cell r="P3019" t="str">
            <v>Xetra</v>
          </cell>
          <cell r="Q3019" t="str">
            <v>Industrial</v>
          </cell>
          <cell r="R3019" t="str">
            <v>Pharmaceuticals, Biotechnology</v>
          </cell>
          <cell r="S3019" t="str">
            <v>GXI.DE</v>
          </cell>
        </row>
        <row r="3020">
          <cell r="L3020" t="str">
            <v>GTO NA</v>
          </cell>
          <cell r="M3020" t="str">
            <v>GEMALTO-13124163/</v>
          </cell>
          <cell r="N3020" t="str">
            <v>GTO.AS</v>
          </cell>
          <cell r="O3020" t="str">
            <v>Gemalto NV</v>
          </cell>
          <cell r="P3020" t="str">
            <v>EN Amsterdam</v>
          </cell>
          <cell r="Q3020" t="str">
            <v>Technology</v>
          </cell>
          <cell r="R3020" t="str">
            <v>Software &amp; Services</v>
          </cell>
          <cell r="S3020" t="str">
            <v>GTO.AS</v>
          </cell>
        </row>
        <row r="3021">
          <cell r="L3021" t="str">
            <v>ELISA FH</v>
          </cell>
          <cell r="M3021" t="str">
            <v>ELISA-CORPORATION-1412464/</v>
          </cell>
          <cell r="N3021" t="str">
            <v>ELISA.HE</v>
          </cell>
          <cell r="O3021" t="str">
            <v>Elisa Oyj</v>
          </cell>
          <cell r="P3021" t="str">
            <v>Helsinki</v>
          </cell>
          <cell r="Q3021" t="str">
            <v>Communications</v>
          </cell>
          <cell r="R3021" t="str">
            <v>Telecommunication Services</v>
          </cell>
          <cell r="S3021" t="str">
            <v>ELISA.HE</v>
          </cell>
        </row>
        <row r="3022">
          <cell r="L3022" t="str">
            <v>COFB BB</v>
          </cell>
          <cell r="M3022" t="str">
            <v>COFINIMMO-5977/</v>
          </cell>
          <cell r="N3022" t="str">
            <v>COFB.BR</v>
          </cell>
          <cell r="O3022" t="str">
            <v>Cofinimmo SA</v>
          </cell>
          <cell r="P3022" t="str">
            <v>EN Brussels</v>
          </cell>
          <cell r="Q3022" t="str">
            <v>Financial</v>
          </cell>
          <cell r="R3022" t="str">
            <v>Real Estate</v>
          </cell>
          <cell r="S3022" t="str">
            <v>COFB.BR</v>
          </cell>
        </row>
        <row r="3023">
          <cell r="L3023" t="str">
            <v>CLN SW</v>
          </cell>
          <cell r="M3023" t="str">
            <v>CLARIANT-9364981/</v>
          </cell>
          <cell r="N3023" t="str">
            <v>CLN.S</v>
          </cell>
          <cell r="O3023" t="str">
            <v>Clariant AG</v>
          </cell>
          <cell r="P3023" t="str">
            <v>SIX Swiss Ex</v>
          </cell>
          <cell r="Q3023" t="str">
            <v>Basic Materials</v>
          </cell>
          <cell r="R3023" t="str">
            <v>Materials</v>
          </cell>
          <cell r="S3023" t="str">
            <v>CLN.S</v>
          </cell>
        </row>
        <row r="3024">
          <cell r="L3024" t="str">
            <v>BKG LN</v>
          </cell>
          <cell r="M3024" t="str">
            <v>BERKELEY-4004901/</v>
          </cell>
          <cell r="N3024" t="str">
            <v>BKGH.L</v>
          </cell>
          <cell r="O3024" t="str">
            <v>Berkeley Group Holdings PLC</v>
          </cell>
          <cell r="P3024" t="str">
            <v>London</v>
          </cell>
          <cell r="Q3024" t="str">
            <v>Consumer, Cyclical</v>
          </cell>
          <cell r="R3024" t="str">
            <v>Consumer Durables &amp; Apparel</v>
          </cell>
          <cell r="S3024" t="str">
            <v>BKGH.L</v>
          </cell>
        </row>
        <row r="3025">
          <cell r="L3025" t="str">
            <v>NDA GY</v>
          </cell>
          <cell r="M3025" t="str">
            <v>AURUBIS-436439/</v>
          </cell>
          <cell r="N3025" t="str">
            <v>NAFG.DE</v>
          </cell>
          <cell r="O3025" t="str">
            <v>Aurubis AG</v>
          </cell>
          <cell r="P3025" t="str">
            <v>Xetra</v>
          </cell>
          <cell r="Q3025" t="str">
            <v>Industrial</v>
          </cell>
          <cell r="R3025" t="str">
            <v>Materials</v>
          </cell>
          <cell r="S3025" t="str">
            <v>NDA.DE</v>
          </cell>
        </row>
        <row r="3026">
          <cell r="L3026" t="str">
            <v>AGK LN</v>
          </cell>
          <cell r="M3026" t="str">
            <v>AGGREKO-PLC-16570411/</v>
          </cell>
          <cell r="N3026" t="str">
            <v>AGGK.L</v>
          </cell>
          <cell r="O3026" t="str">
            <v>Aggreko PLC</v>
          </cell>
          <cell r="P3026" t="str">
            <v>London</v>
          </cell>
          <cell r="Q3026" t="str">
            <v>Consumer, Non-cyclical</v>
          </cell>
          <cell r="R3026" t="str">
            <v>Commercial &amp; Professional Serv</v>
          </cell>
          <cell r="S3026" t="str">
            <v>AGK.L</v>
          </cell>
        </row>
        <row r="3027">
          <cell r="L3027" t="str">
            <v>BPI PL</v>
          </cell>
          <cell r="N3027" t="str">
            <v>BBPI.LS</v>
          </cell>
          <cell r="O3027" t="str">
            <v>Banco BPI SA</v>
          </cell>
          <cell r="P3027" t="str">
            <v>EN Lisbon</v>
          </cell>
          <cell r="Q3027" t="str">
            <v>Financial</v>
          </cell>
          <cell r="R3027" t="str">
            <v>Banks</v>
          </cell>
          <cell r="S3027" t="str">
            <v>BBPI.LS</v>
          </cell>
        </row>
        <row r="3028">
          <cell r="L3028" t="str">
            <v>TCH FP</v>
          </cell>
          <cell r="N3028" t="str">
            <v>TCH.PA</v>
          </cell>
          <cell r="O3028" t="str">
            <v>Technicolor SA</v>
          </cell>
          <cell r="P3028" t="str">
            <v>EN Paris</v>
          </cell>
          <cell r="Q3028" t="str">
            <v>Consumer, Cyclical</v>
          </cell>
          <cell r="R3028" t="str">
            <v>Media</v>
          </cell>
          <cell r="S3028" t="str">
            <v>TCH.PA</v>
          </cell>
        </row>
        <row r="3029">
          <cell r="L3029" t="str">
            <v>BION SW</v>
          </cell>
          <cell r="N3029" t="e">
            <v>#N/A</v>
          </cell>
          <cell r="O3029" t="e">
            <v>#N/A</v>
          </cell>
          <cell r="P3029" t="e">
            <v>#N/A</v>
          </cell>
          <cell r="Q3029" t="e">
            <v>#N/A</v>
          </cell>
          <cell r="R3029" t="e">
            <v>#N/A</v>
          </cell>
          <cell r="S3029" t="e">
            <v>#N/A</v>
          </cell>
        </row>
        <row r="3030">
          <cell r="L3030" t="str">
            <v>BSLN SW</v>
          </cell>
          <cell r="N3030" t="str">
            <v>BSLN.S</v>
          </cell>
          <cell r="O3030" t="str">
            <v>Basilea Pharmaceutica AG</v>
          </cell>
          <cell r="P3030" t="str">
            <v>SIX Swiss Ex</v>
          </cell>
          <cell r="Q3030" t="str">
            <v>Consumer, Non-cyclical</v>
          </cell>
          <cell r="R3030" t="str">
            <v>Pharmaceuticals, Biotechnology</v>
          </cell>
          <cell r="S3030" t="e">
            <v>#N/A</v>
          </cell>
        </row>
        <row r="3031">
          <cell r="L3031" t="str">
            <v>GLPG BB</v>
          </cell>
          <cell r="N3031" t="str">
            <v>GLPG.AS</v>
          </cell>
          <cell r="O3031" t="str">
            <v>Galapagos NV</v>
          </cell>
          <cell r="P3031" t="str">
            <v>EN Brussels</v>
          </cell>
          <cell r="Q3031" t="str">
            <v>Consumer, Non-cyclical</v>
          </cell>
          <cell r="R3031" t="str">
            <v>Pharmaceuticals, Biotechnology</v>
          </cell>
          <cell r="S3031" t="e">
            <v>#N/A</v>
          </cell>
        </row>
        <row r="3032">
          <cell r="L3032" t="str">
            <v>HELN SW</v>
          </cell>
          <cell r="N3032" t="str">
            <v>HELN.S</v>
          </cell>
          <cell r="O3032" t="str">
            <v>Helvetia Holding AG</v>
          </cell>
          <cell r="P3032" t="str">
            <v>SIX Swiss Ex</v>
          </cell>
          <cell r="Q3032" t="str">
            <v>Financial</v>
          </cell>
          <cell r="R3032" t="str">
            <v>Insurance</v>
          </cell>
          <cell r="S3032" t="e">
            <v>#N/A</v>
          </cell>
        </row>
        <row r="3033">
          <cell r="L3033" t="str">
            <v>HOLMB SS</v>
          </cell>
          <cell r="N3033" t="e">
            <v>#N/A</v>
          </cell>
          <cell r="O3033" t="e">
            <v>#N/A</v>
          </cell>
          <cell r="P3033" t="e">
            <v>#N/A</v>
          </cell>
          <cell r="Q3033" t="e">
            <v>#N/A</v>
          </cell>
          <cell r="R3033" t="e">
            <v>#N/A</v>
          </cell>
          <cell r="S3033" t="e">
            <v>#N/A</v>
          </cell>
        </row>
        <row r="3034">
          <cell r="L3034" t="str">
            <v>HUSMB SS</v>
          </cell>
          <cell r="N3034" t="e">
            <v>#N/A</v>
          </cell>
          <cell r="O3034" t="e">
            <v>#N/A</v>
          </cell>
          <cell r="P3034" t="e">
            <v>#N/A</v>
          </cell>
          <cell r="Q3034" t="e">
            <v>#N/A</v>
          </cell>
          <cell r="R3034" t="e">
            <v>#N/A</v>
          </cell>
          <cell r="S3034" t="e">
            <v>#N/A</v>
          </cell>
        </row>
        <row r="3035">
          <cell r="L3035" t="str">
            <v>INVEB SS</v>
          </cell>
          <cell r="N3035" t="e">
            <v>#N/A</v>
          </cell>
          <cell r="O3035" t="e">
            <v>#N/A</v>
          </cell>
          <cell r="P3035" t="e">
            <v>#N/A</v>
          </cell>
          <cell r="Q3035" t="e">
            <v>#N/A</v>
          </cell>
          <cell r="R3035" t="e">
            <v>#N/A</v>
          </cell>
          <cell r="S3035" t="e">
            <v>#N/A</v>
          </cell>
        </row>
        <row r="3036">
          <cell r="L3036" t="str">
            <v>MTGB SS</v>
          </cell>
          <cell r="N3036" t="e">
            <v>#N/A</v>
          </cell>
          <cell r="O3036" t="e">
            <v>#N/A</v>
          </cell>
          <cell r="P3036" t="e">
            <v>#N/A</v>
          </cell>
          <cell r="Q3036" t="e">
            <v>#N/A</v>
          </cell>
          <cell r="R3036" t="e">
            <v>#N/A</v>
          </cell>
          <cell r="S3036" t="e">
            <v>#N/A</v>
          </cell>
        </row>
        <row r="3037">
          <cell r="L3037" t="str">
            <v>NDA SS</v>
          </cell>
          <cell r="N3037" t="e">
            <v>#N/A</v>
          </cell>
          <cell r="O3037" t="e">
            <v>#N/A</v>
          </cell>
          <cell r="P3037" t="e">
            <v>#N/A</v>
          </cell>
          <cell r="Q3037" t="e">
            <v>#N/A</v>
          </cell>
          <cell r="R3037" t="e">
            <v>#N/A</v>
          </cell>
          <cell r="S3037" t="e">
            <v>#N/A</v>
          </cell>
        </row>
        <row r="3038">
          <cell r="L3038" t="str">
            <v>NOFI NO</v>
          </cell>
          <cell r="N3038" t="e">
            <v>#N/A</v>
          </cell>
          <cell r="O3038" t="e">
            <v>#N/A</v>
          </cell>
          <cell r="P3038" t="e">
            <v>#N/A</v>
          </cell>
          <cell r="Q3038" t="e">
            <v>#N/A</v>
          </cell>
          <cell r="R3038" t="e">
            <v>#N/A</v>
          </cell>
          <cell r="S3038" t="e">
            <v>#N/A</v>
          </cell>
        </row>
        <row r="3039">
          <cell r="L3039" t="str">
            <v>NOKIA FH</v>
          </cell>
          <cell r="N3039" t="str">
            <v>NOKIA.HE</v>
          </cell>
          <cell r="O3039" t="str">
            <v>Nokia Oyj</v>
          </cell>
          <cell r="P3039" t="str">
            <v>Helsinki</v>
          </cell>
          <cell r="Q3039" t="str">
            <v>Communications</v>
          </cell>
          <cell r="R3039" t="str">
            <v>Technology Hardware &amp; Equipmen</v>
          </cell>
          <cell r="S3039" t="e">
            <v>#N/A</v>
          </cell>
        </row>
        <row r="3040">
          <cell r="L3040" t="str">
            <v>NOVOB DC</v>
          </cell>
          <cell r="N3040" t="e">
            <v>#N/A</v>
          </cell>
          <cell r="O3040" t="e">
            <v>#N/A</v>
          </cell>
          <cell r="P3040" t="e">
            <v>#N/A</v>
          </cell>
          <cell r="Q3040" t="e">
            <v>#N/A</v>
          </cell>
          <cell r="R3040" t="e">
            <v>#N/A</v>
          </cell>
          <cell r="S3040" t="e">
            <v>#N/A</v>
          </cell>
        </row>
        <row r="3041">
          <cell r="L3041" t="str">
            <v>ORI SS</v>
          </cell>
          <cell r="N3041" t="e">
            <v>#N/A</v>
          </cell>
          <cell r="O3041" t="e">
            <v>#N/A</v>
          </cell>
          <cell r="P3041" t="e">
            <v>#N/A</v>
          </cell>
          <cell r="Q3041" t="e">
            <v>#N/A</v>
          </cell>
          <cell r="R3041" t="e">
            <v>#N/A</v>
          </cell>
          <cell r="S3041" t="e">
            <v>#N/A</v>
          </cell>
        </row>
        <row r="3042">
          <cell r="L3042" t="str">
            <v>PARG SW</v>
          </cell>
          <cell r="N3042" t="str">
            <v>PARG.S</v>
          </cell>
          <cell r="O3042" t="str">
            <v>Pargesa Holding SA</v>
          </cell>
          <cell r="P3042" t="str">
            <v>SIX Swiss Ex</v>
          </cell>
          <cell r="Q3042" t="str">
            <v>Financial</v>
          </cell>
          <cell r="R3042" t="str">
            <v>Diversified Financials</v>
          </cell>
          <cell r="S3042" t="e">
            <v>#N/A</v>
          </cell>
        </row>
        <row r="3043">
          <cell r="L3043" t="str">
            <v>PFC LN</v>
          </cell>
          <cell r="N3043" t="e">
            <v>#N/A</v>
          </cell>
          <cell r="O3043" t="e">
            <v>#N/A</v>
          </cell>
          <cell r="P3043" t="e">
            <v>#N/A</v>
          </cell>
          <cell r="Q3043" t="e">
            <v>#N/A</v>
          </cell>
          <cell r="R3043" t="e">
            <v>#N/A</v>
          </cell>
          <cell r="S3043" t="e">
            <v>#N/A</v>
          </cell>
        </row>
        <row r="3044">
          <cell r="L3044" t="str">
            <v>PSPN SW</v>
          </cell>
          <cell r="N3044" t="str">
            <v>PSPN.S</v>
          </cell>
          <cell r="O3044" t="str">
            <v>PSP Swiss Property AG</v>
          </cell>
          <cell r="P3044" t="str">
            <v>SIX Swiss Ex</v>
          </cell>
          <cell r="Q3044" t="str">
            <v>Financial</v>
          </cell>
          <cell r="R3044" t="str">
            <v>Real Estate</v>
          </cell>
          <cell r="S3044" t="e">
            <v>#N/A</v>
          </cell>
        </row>
        <row r="3045">
          <cell r="L3045" t="str">
            <v>RATOB SS</v>
          </cell>
          <cell r="N3045" t="e">
            <v>#N/A</v>
          </cell>
          <cell r="O3045" t="e">
            <v>#N/A</v>
          </cell>
          <cell r="P3045" t="e">
            <v>#N/A</v>
          </cell>
          <cell r="Q3045" t="e">
            <v>#N/A</v>
          </cell>
          <cell r="R3045" t="e">
            <v>#N/A</v>
          </cell>
          <cell r="S3045" t="e">
            <v>#N/A</v>
          </cell>
        </row>
        <row r="3046">
          <cell r="L3046" t="str">
            <v>RTL BB</v>
          </cell>
          <cell r="N3046" t="e">
            <v>#N/A</v>
          </cell>
          <cell r="O3046" t="e">
            <v>#N/A</v>
          </cell>
          <cell r="P3046" t="e">
            <v>#N/A</v>
          </cell>
          <cell r="Q3046" t="e">
            <v>#N/A</v>
          </cell>
          <cell r="R3046" t="e">
            <v>#N/A</v>
          </cell>
          <cell r="S3046" t="e">
            <v>#N/A</v>
          </cell>
        </row>
        <row r="3047">
          <cell r="L3047" t="str">
            <v>SAA1V FH</v>
          </cell>
          <cell r="N3047" t="e">
            <v>#N/A</v>
          </cell>
          <cell r="O3047" t="e">
            <v>#N/A</v>
          </cell>
          <cell r="P3047" t="e">
            <v>#N/A</v>
          </cell>
          <cell r="Q3047" t="e">
            <v>#N/A</v>
          </cell>
          <cell r="R3047" t="e">
            <v>#N/A</v>
          </cell>
          <cell r="S3047" t="e">
            <v>#N/A</v>
          </cell>
        </row>
        <row r="3048">
          <cell r="L3048" t="str">
            <v>SHBA SS</v>
          </cell>
          <cell r="N3048" t="e">
            <v>#N/A</v>
          </cell>
          <cell r="O3048" t="e">
            <v>#N/A</v>
          </cell>
          <cell r="P3048" t="e">
            <v>#N/A</v>
          </cell>
          <cell r="Q3048" t="e">
            <v>#N/A</v>
          </cell>
          <cell r="R3048" t="e">
            <v>#N/A</v>
          </cell>
          <cell r="S3048" t="e">
            <v>#N/A</v>
          </cell>
        </row>
        <row r="3049">
          <cell r="L3049" t="str">
            <v>SHP LN</v>
          </cell>
          <cell r="N3049" t="e">
            <v>#N/A</v>
          </cell>
          <cell r="O3049" t="e">
            <v>#N/A</v>
          </cell>
          <cell r="P3049" t="e">
            <v>#N/A</v>
          </cell>
          <cell r="Q3049" t="e">
            <v>#N/A</v>
          </cell>
          <cell r="R3049" t="e">
            <v>#N/A</v>
          </cell>
          <cell r="S3049" t="e">
            <v>#N/A</v>
          </cell>
        </row>
        <row r="3050">
          <cell r="L3050" t="str">
            <v>SIK SW</v>
          </cell>
          <cell r="N3050" t="e">
            <v>#N/A</v>
          </cell>
          <cell r="O3050" t="e">
            <v>#N/A</v>
          </cell>
          <cell r="P3050" t="e">
            <v>#N/A</v>
          </cell>
          <cell r="Q3050" t="e">
            <v>#N/A</v>
          </cell>
          <cell r="R3050" t="e">
            <v>#N/A</v>
          </cell>
          <cell r="S3050" t="e">
            <v>#N/A</v>
          </cell>
        </row>
        <row r="3051">
          <cell r="L3051" t="str">
            <v>SSABA SS</v>
          </cell>
          <cell r="N3051" t="e">
            <v>#N/A</v>
          </cell>
          <cell r="O3051" t="e">
            <v>#N/A</v>
          </cell>
          <cell r="P3051" t="e">
            <v>#N/A</v>
          </cell>
          <cell r="Q3051" t="e">
            <v>#N/A</v>
          </cell>
          <cell r="R3051" t="e">
            <v>#N/A</v>
          </cell>
          <cell r="S3051" t="e">
            <v>#N/A</v>
          </cell>
        </row>
        <row r="3052">
          <cell r="L3052" t="str">
            <v>STM GY</v>
          </cell>
          <cell r="N3052" t="e">
            <v>#N/A</v>
          </cell>
          <cell r="O3052" t="e">
            <v>#N/A</v>
          </cell>
          <cell r="P3052" t="e">
            <v>#N/A</v>
          </cell>
          <cell r="Q3052" t="e">
            <v>#N/A</v>
          </cell>
          <cell r="R3052" t="e">
            <v>#N/A</v>
          </cell>
          <cell r="S3052" t="e">
            <v>#N/A</v>
          </cell>
        </row>
        <row r="3053">
          <cell r="L3053" t="str">
            <v>STM IM</v>
          </cell>
          <cell r="N3053" t="str">
            <v>STM.MI</v>
          </cell>
          <cell r="O3053" t="str">
            <v>ST Micro</v>
          </cell>
          <cell r="P3053" t="str">
            <v>BrsaItaliana</v>
          </cell>
          <cell r="Q3053" t="str">
            <v>Technology</v>
          </cell>
          <cell r="R3053" t="str">
            <v>Semiconductors &amp; Semiconductor</v>
          </cell>
          <cell r="S3053" t="str">
            <v>STM.MI</v>
          </cell>
        </row>
        <row r="3054">
          <cell r="L3054" t="str">
            <v>STMN SW</v>
          </cell>
          <cell r="N3054" t="str">
            <v>STMN.S</v>
          </cell>
          <cell r="O3054" t="str">
            <v>Straumann Holding AG</v>
          </cell>
          <cell r="P3054" t="str">
            <v>SIX Swiss Ex</v>
          </cell>
          <cell r="Q3054" t="str">
            <v>Consumer, Non-cyclical</v>
          </cell>
          <cell r="R3054" t="str">
            <v>Health Care Equipment &amp; Servic</v>
          </cell>
          <cell r="S3054" t="e">
            <v>#N/A</v>
          </cell>
        </row>
        <row r="3055">
          <cell r="L3055" t="str">
            <v>UBM LN</v>
          </cell>
          <cell r="N3055" t="e">
            <v>#N/A</v>
          </cell>
          <cell r="O3055" t="e">
            <v>#N/A</v>
          </cell>
          <cell r="P3055" t="e">
            <v>#N/A</v>
          </cell>
          <cell r="Q3055" t="e">
            <v>#N/A</v>
          </cell>
          <cell r="R3055" t="e">
            <v>#N/A</v>
          </cell>
          <cell r="S3055" t="e">
            <v>#N/A</v>
          </cell>
        </row>
        <row r="3056">
          <cell r="L3056" t="str">
            <v>UL NA</v>
          </cell>
          <cell r="N3056" t="e">
            <v>#N/A</v>
          </cell>
          <cell r="O3056" t="e">
            <v>#N/A</v>
          </cell>
          <cell r="P3056" t="e">
            <v>#N/A</v>
          </cell>
          <cell r="Q3056" t="e">
            <v>#N/A</v>
          </cell>
          <cell r="R3056" t="e">
            <v>#N/A</v>
          </cell>
          <cell r="S3056" t="e">
            <v>#N/A</v>
          </cell>
        </row>
        <row r="3057">
          <cell r="L3057" t="str">
            <v>VATN SW</v>
          </cell>
          <cell r="N3057" t="str">
            <v>VATN.S</v>
          </cell>
          <cell r="O3057" t="str">
            <v>Valiant Holding AG</v>
          </cell>
          <cell r="P3057" t="str">
            <v>SIX Swiss Ex</v>
          </cell>
          <cell r="Q3057" t="str">
            <v>Financial</v>
          </cell>
          <cell r="R3057" t="str">
            <v>Banks</v>
          </cell>
          <cell r="S3057" t="e">
            <v>#N/A</v>
          </cell>
        </row>
        <row r="3058">
          <cell r="L3058" t="str">
            <v>VOLVB SS</v>
          </cell>
          <cell r="N3058" t="e">
            <v>#N/A</v>
          </cell>
          <cell r="O3058" t="e">
            <v>#N/A</v>
          </cell>
          <cell r="P3058" t="e">
            <v>#N/A</v>
          </cell>
          <cell r="Q3058" t="e">
            <v>#N/A</v>
          </cell>
          <cell r="R3058" t="e">
            <v>#N/A</v>
          </cell>
          <cell r="S3058" t="str">
            <v>VOLV-A.ST</v>
          </cell>
        </row>
        <row r="3059">
          <cell r="L3059" t="str">
            <v>VOW GY</v>
          </cell>
          <cell r="N3059" t="e">
            <v>#N/A</v>
          </cell>
          <cell r="O3059" t="e">
            <v>#N/A</v>
          </cell>
          <cell r="P3059" t="e">
            <v>#N/A</v>
          </cell>
          <cell r="Q3059" t="e">
            <v>#N/A</v>
          </cell>
          <cell r="R3059" t="e">
            <v>#N/A</v>
          </cell>
          <cell r="S3059" t="e">
            <v>#N/A</v>
          </cell>
        </row>
        <row r="3060">
          <cell r="L3060" t="str">
            <v>WTM</v>
          </cell>
          <cell r="M3060" t="str">
            <v>WHITE-MOUNTAINS-INSURANCE-14920/</v>
          </cell>
          <cell r="N3060" t="str">
            <v>WTM</v>
          </cell>
          <cell r="O3060" t="str">
            <v>WHITE MOUNTAINS</v>
          </cell>
          <cell r="P3060" t="str">
            <v>New York</v>
          </cell>
          <cell r="Q3060" t="str">
            <v>Financial</v>
          </cell>
          <cell r="R3060" t="str">
            <v>Insurance</v>
          </cell>
          <cell r="S3060" t="str">
            <v>WTM</v>
          </cell>
        </row>
        <row r="3061">
          <cell r="L3061" t="str">
            <v>KKR</v>
          </cell>
          <cell r="M3061" t="str">
            <v>KKR-CO-INC-44486777/</v>
          </cell>
          <cell r="N3061" t="str">
            <v>KKR</v>
          </cell>
          <cell r="O3061" t="str">
            <v>KKR &amp; CO INC</v>
          </cell>
          <cell r="P3061" t="str">
            <v>New York</v>
          </cell>
          <cell r="Q3061" t="str">
            <v>Financials</v>
          </cell>
          <cell r="R3061" t="str">
            <v>Capital Markets</v>
          </cell>
          <cell r="S3061" t="str">
            <v>KKR</v>
          </cell>
        </row>
        <row r="3062">
          <cell r="L3062" t="str">
            <v>GOOS</v>
          </cell>
          <cell r="M3062" t="str">
            <v>CANADA-GOOSE-HOLDINGS-INC-34281600/</v>
          </cell>
          <cell r="N3062" t="str">
            <v>GOOS</v>
          </cell>
          <cell r="O3062" t="str">
            <v>Canada Goose Holdings Inc</v>
          </cell>
          <cell r="P3062" t="str">
            <v>New York</v>
          </cell>
          <cell r="Q3062" t="str">
            <v>Consumer Discretionary</v>
          </cell>
          <cell r="R3062" t="str">
            <v>Textiles, Apparel &amp; Luxury Goo</v>
          </cell>
          <cell r="S3062" t="str">
            <v>GOOS</v>
          </cell>
        </row>
        <row r="3063">
          <cell r="L3063" t="str">
            <v>AABA</v>
          </cell>
          <cell r="M3063" t="e">
            <v>#REF!</v>
          </cell>
          <cell r="N3063" t="str">
            <v>AABA</v>
          </cell>
          <cell r="O3063" t="e">
            <v>#N/A</v>
          </cell>
          <cell r="P3063" t="e">
            <v>#N/A</v>
          </cell>
          <cell r="Q3063" t="e">
            <v>#N/A</v>
          </cell>
          <cell r="R3063" t="e">
            <v>#N/A</v>
          </cell>
          <cell r="S3063" t="str">
            <v>AABA</v>
          </cell>
        </row>
        <row r="3064">
          <cell r="L3064" t="str">
            <v>ABB</v>
          </cell>
          <cell r="M3064" t="e">
            <v>#REF!</v>
          </cell>
          <cell r="N3064" t="str">
            <v>ABB</v>
          </cell>
          <cell r="O3064" t="e">
            <v>#N/A</v>
          </cell>
          <cell r="P3064" t="e">
            <v>#N/A</v>
          </cell>
          <cell r="Q3064" t="e">
            <v>#N/A</v>
          </cell>
          <cell r="R3064" t="e">
            <v>#N/A</v>
          </cell>
          <cell r="S3064" t="str">
            <v>ABB</v>
          </cell>
        </row>
        <row r="3065">
          <cell r="L3065" t="str">
            <v>ABEV</v>
          </cell>
          <cell r="M3065" t="e">
            <v>#REF!</v>
          </cell>
          <cell r="N3065" t="str">
            <v>ABEV</v>
          </cell>
          <cell r="O3065" t="e">
            <v>#N/A</v>
          </cell>
          <cell r="P3065" t="e">
            <v>#N/A</v>
          </cell>
          <cell r="Q3065" t="e">
            <v>#N/A</v>
          </cell>
          <cell r="R3065" t="e">
            <v>#N/A</v>
          </cell>
          <cell r="S3065" t="str">
            <v>ABEV</v>
          </cell>
        </row>
        <row r="3066">
          <cell r="L3066" t="str">
            <v>ABX</v>
          </cell>
          <cell r="M3066" t="e">
            <v>#REF!</v>
          </cell>
          <cell r="N3066" t="str">
            <v>ABX</v>
          </cell>
          <cell r="O3066" t="e">
            <v>#N/A</v>
          </cell>
          <cell r="P3066" t="e">
            <v>#N/A</v>
          </cell>
          <cell r="Q3066" t="e">
            <v>#N/A</v>
          </cell>
          <cell r="R3066" t="e">
            <v>#N/A</v>
          </cell>
          <cell r="S3066" t="str">
            <v>ABX</v>
          </cell>
        </row>
        <row r="3067">
          <cell r="L3067" t="str">
            <v>AEG</v>
          </cell>
          <cell r="M3067" t="e">
            <v>#REF!</v>
          </cell>
          <cell r="N3067" t="str">
            <v>AEG</v>
          </cell>
          <cell r="O3067" t="e">
            <v>#N/A</v>
          </cell>
          <cell r="P3067" t="e">
            <v>#N/A</v>
          </cell>
          <cell r="Q3067" t="e">
            <v>#N/A</v>
          </cell>
          <cell r="R3067" t="e">
            <v>#N/A</v>
          </cell>
          <cell r="S3067" t="str">
            <v>AEG</v>
          </cell>
        </row>
        <row r="3068">
          <cell r="L3068" t="str">
            <v>AEM</v>
          </cell>
          <cell r="M3068" t="e">
            <v>#REF!</v>
          </cell>
          <cell r="N3068" t="str">
            <v>AEM</v>
          </cell>
          <cell r="O3068" t="e">
            <v>#N/A</v>
          </cell>
          <cell r="P3068" t="e">
            <v>#N/A</v>
          </cell>
          <cell r="Q3068" t="e">
            <v>#N/A</v>
          </cell>
          <cell r="R3068" t="e">
            <v>#N/A</v>
          </cell>
          <cell r="S3068" t="str">
            <v>AEM</v>
          </cell>
        </row>
        <row r="3069">
          <cell r="L3069" t="str">
            <v>AER</v>
          </cell>
          <cell r="M3069" t="e">
            <v>#REF!</v>
          </cell>
          <cell r="N3069" t="str">
            <v>AER</v>
          </cell>
          <cell r="O3069" t="e">
            <v>#N/A</v>
          </cell>
          <cell r="P3069" t="e">
            <v>#N/A</v>
          </cell>
          <cell r="Q3069" t="e">
            <v>#N/A</v>
          </cell>
          <cell r="R3069" t="e">
            <v>#N/A</v>
          </cell>
          <cell r="S3069" t="str">
            <v>AER</v>
          </cell>
        </row>
        <row r="3070">
          <cell r="L3070" t="str">
            <v>ALV</v>
          </cell>
          <cell r="M3070" t="e">
            <v>#REF!</v>
          </cell>
          <cell r="N3070" t="str">
            <v>ALV</v>
          </cell>
          <cell r="O3070" t="e">
            <v>#N/A</v>
          </cell>
          <cell r="P3070" t="e">
            <v>#N/A</v>
          </cell>
          <cell r="Q3070" t="e">
            <v>#N/A</v>
          </cell>
          <cell r="R3070" t="e">
            <v>#N/A</v>
          </cell>
          <cell r="S3070" t="str">
            <v>ALV</v>
          </cell>
        </row>
        <row r="3071">
          <cell r="L3071" t="str">
            <v>AM</v>
          </cell>
          <cell r="M3071" t="e">
            <v>#REF!</v>
          </cell>
          <cell r="N3071" t="str">
            <v>AM</v>
          </cell>
          <cell r="O3071" t="e">
            <v>#N/A</v>
          </cell>
          <cell r="P3071" t="e">
            <v>#N/A</v>
          </cell>
          <cell r="Q3071" t="e">
            <v>#N/A</v>
          </cell>
          <cell r="R3071" t="e">
            <v>#N/A</v>
          </cell>
          <cell r="S3071" t="str">
            <v>AM</v>
          </cell>
        </row>
        <row r="3072">
          <cell r="L3072" t="str">
            <v>AMGP</v>
          </cell>
          <cell r="M3072" t="e">
            <v>#REF!</v>
          </cell>
          <cell r="N3072" t="str">
            <v>AMGP</v>
          </cell>
          <cell r="O3072" t="e">
            <v>#N/A</v>
          </cell>
          <cell r="P3072" t="e">
            <v>#N/A</v>
          </cell>
          <cell r="Q3072" t="e">
            <v>#N/A</v>
          </cell>
          <cell r="R3072" t="e">
            <v>#N/A</v>
          </cell>
          <cell r="S3072" t="str">
            <v>AMGP</v>
          </cell>
        </row>
        <row r="3073">
          <cell r="L3073" t="str">
            <v>AMX</v>
          </cell>
          <cell r="M3073" t="e">
            <v>#REF!</v>
          </cell>
          <cell r="N3073" t="str">
            <v>AMX</v>
          </cell>
          <cell r="O3073" t="e">
            <v>#N/A</v>
          </cell>
          <cell r="P3073" t="e">
            <v>#N/A</v>
          </cell>
          <cell r="Q3073" t="e">
            <v>#N/A</v>
          </cell>
          <cell r="R3073" t="e">
            <v>#N/A</v>
          </cell>
          <cell r="S3073" t="str">
            <v>AMX</v>
          </cell>
        </row>
        <row r="3074">
          <cell r="L3074" t="str">
            <v>ANDX</v>
          </cell>
          <cell r="M3074" t="e">
            <v>#REF!</v>
          </cell>
          <cell r="N3074" t="str">
            <v>ANDX</v>
          </cell>
          <cell r="O3074" t="e">
            <v>#N/A</v>
          </cell>
          <cell r="P3074" t="e">
            <v>#N/A</v>
          </cell>
          <cell r="Q3074" t="e">
            <v>#N/A</v>
          </cell>
          <cell r="R3074" t="e">
            <v>#N/A</v>
          </cell>
          <cell r="S3074" t="str">
            <v>ANDX</v>
          </cell>
        </row>
        <row r="3075">
          <cell r="L3075" t="str">
            <v>APO</v>
          </cell>
          <cell r="M3075" t="e">
            <v>#REF!</v>
          </cell>
          <cell r="N3075" t="str">
            <v>APO</v>
          </cell>
          <cell r="O3075" t="e">
            <v>#N/A</v>
          </cell>
          <cell r="P3075" t="e">
            <v>#N/A</v>
          </cell>
          <cell r="Q3075" t="e">
            <v>#N/A</v>
          </cell>
          <cell r="R3075" t="e">
            <v>#N/A</v>
          </cell>
          <cell r="S3075" t="str">
            <v>APO</v>
          </cell>
        </row>
        <row r="3076">
          <cell r="L3076" t="str">
            <v>APU</v>
          </cell>
          <cell r="M3076" t="e">
            <v>#REF!</v>
          </cell>
          <cell r="N3076" t="str">
            <v>APU</v>
          </cell>
          <cell r="O3076" t="e">
            <v>#N/A</v>
          </cell>
          <cell r="P3076" t="e">
            <v>#N/A</v>
          </cell>
          <cell r="Q3076" t="e">
            <v>#N/A</v>
          </cell>
          <cell r="R3076" t="e">
            <v>#N/A</v>
          </cell>
          <cell r="S3076" t="str">
            <v>APU</v>
          </cell>
        </row>
        <row r="3077">
          <cell r="L3077" t="str">
            <v>AQN</v>
          </cell>
          <cell r="M3077" t="e">
            <v>#REF!</v>
          </cell>
          <cell r="N3077" t="str">
            <v>AQN</v>
          </cell>
          <cell r="O3077" t="e">
            <v>#N/A</v>
          </cell>
          <cell r="P3077" t="e">
            <v>#N/A</v>
          </cell>
          <cell r="Q3077" t="e">
            <v>#N/A</v>
          </cell>
          <cell r="R3077" t="e">
            <v>#N/A</v>
          </cell>
          <cell r="S3077" t="str">
            <v>AQN</v>
          </cell>
        </row>
        <row r="3078">
          <cell r="L3078" t="str">
            <v>ARCC</v>
          </cell>
          <cell r="M3078" t="e">
            <v>#REF!</v>
          </cell>
          <cell r="N3078" t="str">
            <v>ARCC</v>
          </cell>
          <cell r="O3078" t="e">
            <v>#N/A</v>
          </cell>
          <cell r="P3078" t="e">
            <v>#N/A</v>
          </cell>
          <cell r="Q3078" t="e">
            <v>#N/A</v>
          </cell>
          <cell r="R3078" t="e">
            <v>#N/A</v>
          </cell>
          <cell r="S3078" t="str">
            <v>ARCC</v>
          </cell>
        </row>
        <row r="3079">
          <cell r="L3079" t="str">
            <v>ASR</v>
          </cell>
          <cell r="M3079" t="e">
            <v>#REF!</v>
          </cell>
          <cell r="N3079" t="str">
            <v>ASR</v>
          </cell>
          <cell r="O3079" t="e">
            <v>#N/A</v>
          </cell>
          <cell r="P3079" t="e">
            <v>#N/A</v>
          </cell>
          <cell r="Q3079" t="e">
            <v>#N/A</v>
          </cell>
          <cell r="R3079" t="e">
            <v>#N/A</v>
          </cell>
          <cell r="S3079" t="str">
            <v>ASR</v>
          </cell>
        </row>
        <row r="3080">
          <cell r="L3080" t="str">
            <v>ATHM</v>
          </cell>
          <cell r="M3080" t="e">
            <v>#REF!</v>
          </cell>
          <cell r="N3080" t="str">
            <v>ATHM</v>
          </cell>
          <cell r="O3080" t="e">
            <v>#N/A</v>
          </cell>
          <cell r="P3080" t="e">
            <v>#N/A</v>
          </cell>
          <cell r="Q3080" t="e">
            <v>#N/A</v>
          </cell>
          <cell r="R3080" t="e">
            <v>#N/A</v>
          </cell>
          <cell r="S3080" t="str">
            <v>ATHM</v>
          </cell>
        </row>
        <row r="3081">
          <cell r="L3081" t="str">
            <v>ATUS</v>
          </cell>
          <cell r="M3081" t="e">
            <v>#REF!</v>
          </cell>
          <cell r="N3081" t="str">
            <v>ATUS</v>
          </cell>
          <cell r="O3081" t="e">
            <v>#N/A</v>
          </cell>
          <cell r="P3081" t="e">
            <v>#N/A</v>
          </cell>
          <cell r="Q3081" t="e">
            <v>#N/A</v>
          </cell>
          <cell r="R3081" t="e">
            <v>#N/A</v>
          </cell>
          <cell r="S3081" t="str">
            <v>ATUS</v>
          </cell>
        </row>
        <row r="3082">
          <cell r="L3082" t="str">
            <v>AVNS</v>
          </cell>
          <cell r="M3082" t="e">
            <v>#REF!</v>
          </cell>
          <cell r="N3082" t="str">
            <v>AVNS</v>
          </cell>
          <cell r="O3082" t="e">
            <v>#N/A</v>
          </cell>
          <cell r="P3082" t="e">
            <v>#N/A</v>
          </cell>
          <cell r="Q3082" t="e">
            <v>#N/A</v>
          </cell>
          <cell r="R3082" t="e">
            <v>#N/A</v>
          </cell>
          <cell r="S3082" t="str">
            <v>AVNS</v>
          </cell>
        </row>
        <row r="3083">
          <cell r="L3083" t="str">
            <v>AZN</v>
          </cell>
          <cell r="M3083" t="e">
            <v>#REF!</v>
          </cell>
          <cell r="N3083" t="str">
            <v>AZN</v>
          </cell>
          <cell r="O3083" t="e">
            <v>#N/A</v>
          </cell>
          <cell r="P3083" t="e">
            <v>#N/A</v>
          </cell>
          <cell r="Q3083" t="e">
            <v>#N/A</v>
          </cell>
          <cell r="R3083" t="e">
            <v>#N/A</v>
          </cell>
          <cell r="S3083" t="str">
            <v>AZN</v>
          </cell>
        </row>
        <row r="3084">
          <cell r="L3084" t="str">
            <v>AZUL</v>
          </cell>
          <cell r="M3084" t="e">
            <v>#REF!</v>
          </cell>
          <cell r="N3084" t="str">
            <v>AZUL</v>
          </cell>
          <cell r="O3084" t="e">
            <v>#N/A</v>
          </cell>
          <cell r="P3084" t="e">
            <v>#N/A</v>
          </cell>
          <cell r="Q3084" t="e">
            <v>#N/A</v>
          </cell>
          <cell r="R3084" t="e">
            <v>#N/A</v>
          </cell>
          <cell r="S3084" t="str">
            <v>AZUL</v>
          </cell>
        </row>
        <row r="3085">
          <cell r="L3085" t="str">
            <v>BABA</v>
          </cell>
          <cell r="M3085" t="e">
            <v>#REF!</v>
          </cell>
          <cell r="N3085" t="str">
            <v>BABA</v>
          </cell>
          <cell r="O3085" t="e">
            <v>#N/A</v>
          </cell>
          <cell r="P3085" t="e">
            <v>#N/A</v>
          </cell>
          <cell r="Q3085" t="e">
            <v>#N/A</v>
          </cell>
          <cell r="R3085" t="e">
            <v>#N/A</v>
          </cell>
          <cell r="S3085" t="str">
            <v>BABA</v>
          </cell>
        </row>
        <row r="3086">
          <cell r="L3086" t="str">
            <v>BAK</v>
          </cell>
          <cell r="M3086" t="e">
            <v>#REF!</v>
          </cell>
          <cell r="N3086" t="str">
            <v>BAK</v>
          </cell>
          <cell r="O3086" t="e">
            <v>#N/A</v>
          </cell>
          <cell r="P3086" t="e">
            <v>#N/A</v>
          </cell>
          <cell r="Q3086" t="e">
            <v>#N/A</v>
          </cell>
          <cell r="R3086" t="e">
            <v>#N/A</v>
          </cell>
          <cell r="S3086" t="str">
            <v>BAK</v>
          </cell>
        </row>
        <row r="3087">
          <cell r="L3087" t="str">
            <v>BAP</v>
          </cell>
          <cell r="M3087" t="e">
            <v>#REF!</v>
          </cell>
          <cell r="N3087" t="str">
            <v>BAP</v>
          </cell>
          <cell r="O3087" t="e">
            <v>#N/A</v>
          </cell>
          <cell r="P3087" t="e">
            <v>#N/A</v>
          </cell>
          <cell r="Q3087" t="e">
            <v>#N/A</v>
          </cell>
          <cell r="R3087" t="e">
            <v>#N/A</v>
          </cell>
          <cell r="S3087" t="str">
            <v>BAP</v>
          </cell>
        </row>
        <row r="3088">
          <cell r="L3088" t="str">
            <v>BB</v>
          </cell>
          <cell r="M3088" t="e">
            <v>#REF!</v>
          </cell>
          <cell r="N3088" t="str">
            <v>BB</v>
          </cell>
          <cell r="O3088" t="e">
            <v>#N/A</v>
          </cell>
          <cell r="P3088" t="e">
            <v>#N/A</v>
          </cell>
          <cell r="Q3088" t="e">
            <v>#N/A</v>
          </cell>
          <cell r="R3088" t="e">
            <v>#N/A</v>
          </cell>
          <cell r="S3088" t="str">
            <v>BB</v>
          </cell>
        </row>
        <row r="3089">
          <cell r="L3089" t="str">
            <v>BBD</v>
          </cell>
          <cell r="M3089" t="e">
            <v>#REF!</v>
          </cell>
          <cell r="N3089" t="str">
            <v>BBD</v>
          </cell>
          <cell r="O3089" t="e">
            <v>#N/A</v>
          </cell>
          <cell r="P3089" t="e">
            <v>#N/A</v>
          </cell>
          <cell r="Q3089" t="e">
            <v>#N/A</v>
          </cell>
          <cell r="R3089" t="e">
            <v>#N/A</v>
          </cell>
          <cell r="S3089" t="str">
            <v>BBD</v>
          </cell>
        </row>
        <row r="3090">
          <cell r="L3090" t="str">
            <v>BBL</v>
          </cell>
          <cell r="M3090" t="e">
            <v>#REF!</v>
          </cell>
          <cell r="N3090" t="str">
            <v>BBL</v>
          </cell>
          <cell r="O3090" t="e">
            <v>#N/A</v>
          </cell>
          <cell r="P3090" t="e">
            <v>#N/A</v>
          </cell>
          <cell r="Q3090" t="e">
            <v>#N/A</v>
          </cell>
          <cell r="R3090" t="e">
            <v>#N/A</v>
          </cell>
          <cell r="S3090" t="str">
            <v>BBL</v>
          </cell>
        </row>
        <row r="3091">
          <cell r="L3091" t="str">
            <v>BBVA</v>
          </cell>
          <cell r="M3091" t="e">
            <v>#REF!</v>
          </cell>
          <cell r="N3091" t="str">
            <v>BBVA</v>
          </cell>
          <cell r="O3091" t="e">
            <v>#N/A</v>
          </cell>
          <cell r="P3091" t="e">
            <v>#N/A</v>
          </cell>
          <cell r="Q3091" t="e">
            <v>#N/A</v>
          </cell>
          <cell r="R3091" t="e">
            <v>#N/A</v>
          </cell>
          <cell r="S3091" t="str">
            <v>BBVA</v>
          </cell>
        </row>
        <row r="3092">
          <cell r="L3092" t="str">
            <v>BCE</v>
          </cell>
          <cell r="M3092" t="e">
            <v>#REF!</v>
          </cell>
          <cell r="N3092" t="str">
            <v>BCE</v>
          </cell>
          <cell r="O3092" t="e">
            <v>#N/A</v>
          </cell>
          <cell r="P3092" t="e">
            <v>#N/A</v>
          </cell>
          <cell r="Q3092" t="e">
            <v>#N/A</v>
          </cell>
          <cell r="R3092" t="e">
            <v>#N/A</v>
          </cell>
          <cell r="S3092" t="str">
            <v>BCE</v>
          </cell>
        </row>
        <row r="3093">
          <cell r="L3093" t="str">
            <v>BCH</v>
          </cell>
          <cell r="M3093" t="e">
            <v>#REF!</v>
          </cell>
          <cell r="N3093" t="str">
            <v>BCH</v>
          </cell>
          <cell r="O3093" t="e">
            <v>#N/A</v>
          </cell>
          <cell r="P3093" t="e">
            <v>#N/A</v>
          </cell>
          <cell r="Q3093" t="e">
            <v>#N/A</v>
          </cell>
          <cell r="R3093" t="e">
            <v>#N/A</v>
          </cell>
          <cell r="S3093" t="str">
            <v>BCH</v>
          </cell>
        </row>
        <row r="3094">
          <cell r="L3094" t="str">
            <v>BCS</v>
          </cell>
          <cell r="M3094" t="e">
            <v>#REF!</v>
          </cell>
          <cell r="N3094" t="str">
            <v>BCS</v>
          </cell>
          <cell r="O3094" t="e">
            <v>#N/A</v>
          </cell>
          <cell r="P3094" t="e">
            <v>#N/A</v>
          </cell>
          <cell r="Q3094" t="e">
            <v>#N/A</v>
          </cell>
          <cell r="R3094" t="e">
            <v>#N/A</v>
          </cell>
          <cell r="S3094" t="str">
            <v>BCS</v>
          </cell>
        </row>
        <row r="3095">
          <cell r="L3095" t="str">
            <v>BEP</v>
          </cell>
          <cell r="M3095" t="e">
            <v>#REF!</v>
          </cell>
          <cell r="N3095" t="str">
            <v>BEP</v>
          </cell>
          <cell r="O3095" t="e">
            <v>#N/A</v>
          </cell>
          <cell r="P3095" t="e">
            <v>#N/A</v>
          </cell>
          <cell r="Q3095" t="e">
            <v>#N/A</v>
          </cell>
          <cell r="R3095" t="e">
            <v>#N/A</v>
          </cell>
          <cell r="S3095" t="str">
            <v>BEP</v>
          </cell>
        </row>
        <row r="3096">
          <cell r="L3096" t="str">
            <v>BF.A</v>
          </cell>
          <cell r="M3096" t="e">
            <v>#REF!</v>
          </cell>
          <cell r="N3096" t="str">
            <v>BF.A</v>
          </cell>
          <cell r="O3096" t="e">
            <v>#N/A</v>
          </cell>
          <cell r="P3096" t="e">
            <v>#N/A</v>
          </cell>
          <cell r="Q3096" t="e">
            <v>#N/A</v>
          </cell>
          <cell r="R3096" t="e">
            <v>#N/A</v>
          </cell>
          <cell r="S3096" t="str">
            <v>BF.A</v>
          </cell>
        </row>
        <row r="3097">
          <cell r="L3097" t="str">
            <v>BF.B</v>
          </cell>
          <cell r="M3097" t="e">
            <v>#REF!</v>
          </cell>
          <cell r="N3097" t="str">
            <v>BF.B</v>
          </cell>
          <cell r="O3097" t="e">
            <v>#N/A</v>
          </cell>
          <cell r="P3097" t="e">
            <v>#N/A</v>
          </cell>
          <cell r="Q3097" t="e">
            <v>#N/A</v>
          </cell>
          <cell r="R3097" t="e">
            <v>#N/A</v>
          </cell>
          <cell r="S3097" t="str">
            <v>BF.B</v>
          </cell>
        </row>
        <row r="3098">
          <cell r="L3098" t="str">
            <v>BGNE</v>
          </cell>
          <cell r="M3098" t="e">
            <v>#REF!</v>
          </cell>
          <cell r="N3098" t="str">
            <v>BGNE</v>
          </cell>
          <cell r="O3098" t="str">
            <v>BEIGENE LTD-ADR</v>
          </cell>
          <cell r="P3098" t="str">
            <v>NASDAQ GS</v>
          </cell>
          <cell r="Q3098" t="str">
            <v>Health Care</v>
          </cell>
          <cell r="R3098" t="str">
            <v>Biotechnology</v>
          </cell>
          <cell r="S3098" t="str">
            <v>BGNE</v>
          </cell>
        </row>
        <row r="3099">
          <cell r="L3099" t="str">
            <v>BHC</v>
          </cell>
          <cell r="M3099" t="e">
            <v>#REF!</v>
          </cell>
          <cell r="N3099" t="str">
            <v>BHC</v>
          </cell>
          <cell r="O3099" t="e">
            <v>#N/A</v>
          </cell>
          <cell r="P3099" t="e">
            <v>#N/A</v>
          </cell>
          <cell r="Q3099" t="e">
            <v>#N/A</v>
          </cell>
          <cell r="R3099" t="e">
            <v>#N/A</v>
          </cell>
          <cell r="S3099" t="str">
            <v>BHC</v>
          </cell>
        </row>
        <row r="3100">
          <cell r="L3100" t="str">
            <v>BHP</v>
          </cell>
          <cell r="M3100" t="e">
            <v>#REF!</v>
          </cell>
          <cell r="N3100" t="str">
            <v>BHP</v>
          </cell>
          <cell r="O3100" t="e">
            <v>#N/A</v>
          </cell>
          <cell r="P3100" t="e">
            <v>#N/A</v>
          </cell>
          <cell r="Q3100" t="e">
            <v>#N/A</v>
          </cell>
          <cell r="R3100" t="e">
            <v>#N/A</v>
          </cell>
          <cell r="S3100" t="str">
            <v>BHP</v>
          </cell>
        </row>
        <row r="3101">
          <cell r="L3101" t="str">
            <v>BIP</v>
          </cell>
          <cell r="M3101" t="e">
            <v>#REF!</v>
          </cell>
          <cell r="N3101" t="str">
            <v>BIP</v>
          </cell>
          <cell r="O3101" t="e">
            <v>#N/A</v>
          </cell>
          <cell r="P3101" t="e">
            <v>#N/A</v>
          </cell>
          <cell r="Q3101" t="e">
            <v>#N/A</v>
          </cell>
          <cell r="R3101" t="e">
            <v>#N/A</v>
          </cell>
          <cell r="S3101" t="str">
            <v>BIP</v>
          </cell>
        </row>
        <row r="3102">
          <cell r="L3102" t="str">
            <v>BMO</v>
          </cell>
          <cell r="M3102" t="e">
            <v>#REF!</v>
          </cell>
          <cell r="N3102" t="str">
            <v>BMO</v>
          </cell>
          <cell r="O3102" t="e">
            <v>#N/A</v>
          </cell>
          <cell r="P3102" t="e">
            <v>#N/A</v>
          </cell>
          <cell r="Q3102" t="e">
            <v>#N/A</v>
          </cell>
          <cell r="R3102" t="e">
            <v>#N/A</v>
          </cell>
          <cell r="S3102" t="str">
            <v>BMO</v>
          </cell>
        </row>
        <row r="3103">
          <cell r="L3103" t="str">
            <v>BNS</v>
          </cell>
          <cell r="M3103" t="e">
            <v>#REF!</v>
          </cell>
          <cell r="N3103" t="str">
            <v>BNS</v>
          </cell>
          <cell r="O3103" t="e">
            <v>#N/A</v>
          </cell>
          <cell r="P3103" t="e">
            <v>#N/A</v>
          </cell>
          <cell r="Q3103" t="e">
            <v>#N/A</v>
          </cell>
          <cell r="R3103" t="e">
            <v>#N/A</v>
          </cell>
          <cell r="S3103" t="str">
            <v>BNS</v>
          </cell>
        </row>
        <row r="3104">
          <cell r="L3104" t="str">
            <v>BP</v>
          </cell>
          <cell r="M3104" t="e">
            <v>#REF!</v>
          </cell>
          <cell r="N3104" t="str">
            <v>BP</v>
          </cell>
          <cell r="O3104" t="e">
            <v>#N/A</v>
          </cell>
          <cell r="P3104" t="e">
            <v>#N/A</v>
          </cell>
          <cell r="Q3104" t="e">
            <v>#N/A</v>
          </cell>
          <cell r="R3104" t="e">
            <v>#N/A</v>
          </cell>
          <cell r="S3104" t="str">
            <v>BP</v>
          </cell>
        </row>
        <row r="3105">
          <cell r="L3105" t="str">
            <v>BPL</v>
          </cell>
          <cell r="M3105" t="e">
            <v>#REF!</v>
          </cell>
          <cell r="N3105" t="str">
            <v>BPL</v>
          </cell>
          <cell r="O3105" t="e">
            <v>#N/A</v>
          </cell>
          <cell r="P3105" t="e">
            <v>#N/A</v>
          </cell>
          <cell r="Q3105" t="e">
            <v>#N/A</v>
          </cell>
          <cell r="R3105" t="e">
            <v>#N/A</v>
          </cell>
          <cell r="S3105" t="str">
            <v>BPL</v>
          </cell>
        </row>
        <row r="3106">
          <cell r="L3106" t="str">
            <v>BRK.B</v>
          </cell>
          <cell r="M3106" t="e">
            <v>#REF!</v>
          </cell>
          <cell r="N3106" t="str">
            <v>BRK.B</v>
          </cell>
          <cell r="O3106" t="e">
            <v>#N/A</v>
          </cell>
          <cell r="P3106" t="e">
            <v>#N/A</v>
          </cell>
          <cell r="Q3106" t="e">
            <v>#N/A</v>
          </cell>
          <cell r="R3106" t="e">
            <v>#N/A</v>
          </cell>
          <cell r="S3106" t="str">
            <v>BRK.B</v>
          </cell>
        </row>
        <row r="3107">
          <cell r="L3107" t="str">
            <v>BSAC</v>
          </cell>
          <cell r="M3107" t="e">
            <v>#REF!</v>
          </cell>
          <cell r="N3107" t="str">
            <v>BSAC</v>
          </cell>
          <cell r="O3107" t="e">
            <v>#N/A</v>
          </cell>
          <cell r="P3107" t="e">
            <v>#N/A</v>
          </cell>
          <cell r="Q3107" t="e">
            <v>#N/A</v>
          </cell>
          <cell r="R3107" t="e">
            <v>#N/A</v>
          </cell>
          <cell r="S3107" t="str">
            <v>BSAC</v>
          </cell>
        </row>
        <row r="3108">
          <cell r="L3108" t="str">
            <v>BSBR</v>
          </cell>
          <cell r="M3108" t="e">
            <v>#REF!</v>
          </cell>
          <cell r="N3108" t="str">
            <v>BSBR</v>
          </cell>
          <cell r="O3108" t="e">
            <v>#N/A</v>
          </cell>
          <cell r="P3108" t="e">
            <v>#N/A</v>
          </cell>
          <cell r="Q3108" t="e">
            <v>#N/A</v>
          </cell>
          <cell r="R3108" t="e">
            <v>#N/A</v>
          </cell>
          <cell r="S3108" t="str">
            <v>BSBR</v>
          </cell>
        </row>
        <row r="3109">
          <cell r="L3109" t="str">
            <v>BSM</v>
          </cell>
          <cell r="M3109" t="e">
            <v>#REF!</v>
          </cell>
          <cell r="N3109" t="str">
            <v>BSM</v>
          </cell>
          <cell r="O3109" t="e">
            <v>#N/A</v>
          </cell>
          <cell r="P3109" t="e">
            <v>#N/A</v>
          </cell>
          <cell r="Q3109" t="e">
            <v>#N/A</v>
          </cell>
          <cell r="R3109" t="e">
            <v>#N/A</v>
          </cell>
          <cell r="S3109" t="str">
            <v>BSM</v>
          </cell>
        </row>
        <row r="3110">
          <cell r="L3110" t="str">
            <v>BT</v>
          </cell>
          <cell r="M3110" t="e">
            <v>#REF!</v>
          </cell>
          <cell r="N3110" t="str">
            <v>BT</v>
          </cell>
          <cell r="O3110" t="e">
            <v>#N/A</v>
          </cell>
          <cell r="P3110" t="e">
            <v>#N/A</v>
          </cell>
          <cell r="Q3110" t="e">
            <v>#N/A</v>
          </cell>
          <cell r="R3110" t="e">
            <v>#N/A</v>
          </cell>
          <cell r="S3110" t="str">
            <v>BT</v>
          </cell>
        </row>
        <row r="3111">
          <cell r="L3111" t="str">
            <v>BTI</v>
          </cell>
          <cell r="M3111" t="e">
            <v>#REF!</v>
          </cell>
          <cell r="N3111" t="str">
            <v>BTI</v>
          </cell>
          <cell r="O3111" t="e">
            <v>#N/A</v>
          </cell>
          <cell r="P3111" t="e">
            <v>#N/A</v>
          </cell>
          <cell r="Q3111" t="e">
            <v>#N/A</v>
          </cell>
          <cell r="R3111" t="e">
            <v>#N/A</v>
          </cell>
          <cell r="S3111" t="str">
            <v>BTI</v>
          </cell>
        </row>
        <row r="3112">
          <cell r="L3112" t="str">
            <v>BUD</v>
          </cell>
          <cell r="M3112" t="e">
            <v>#REF!</v>
          </cell>
          <cell r="N3112" t="str">
            <v>BUD</v>
          </cell>
          <cell r="O3112" t="e">
            <v>#N/A</v>
          </cell>
          <cell r="P3112" t="e">
            <v>#N/A</v>
          </cell>
          <cell r="Q3112" t="e">
            <v>#N/A</v>
          </cell>
          <cell r="R3112" t="e">
            <v>#N/A</v>
          </cell>
          <cell r="S3112" t="str">
            <v>BUD</v>
          </cell>
        </row>
        <row r="3113">
          <cell r="L3113" t="str">
            <v>BVN</v>
          </cell>
          <cell r="M3113" t="e">
            <v>#REF!</v>
          </cell>
          <cell r="N3113" t="str">
            <v>BVN</v>
          </cell>
          <cell r="O3113" t="e">
            <v>#N/A</v>
          </cell>
          <cell r="P3113" t="e">
            <v>#N/A</v>
          </cell>
          <cell r="Q3113" t="e">
            <v>#N/A</v>
          </cell>
          <cell r="R3113" t="e">
            <v>#N/A</v>
          </cell>
          <cell r="S3113" t="str">
            <v>BVN</v>
          </cell>
        </row>
        <row r="3114">
          <cell r="L3114" t="str">
            <v>BX</v>
          </cell>
          <cell r="M3114" t="e">
            <v>#REF!</v>
          </cell>
          <cell r="N3114" t="str">
            <v>BX</v>
          </cell>
          <cell r="O3114" t="e">
            <v>#N/A</v>
          </cell>
          <cell r="P3114" t="e">
            <v>#N/A</v>
          </cell>
          <cell r="Q3114" t="e">
            <v>#N/A</v>
          </cell>
          <cell r="R3114" t="e">
            <v>#N/A</v>
          </cell>
          <cell r="S3114" t="str">
            <v>BX</v>
          </cell>
        </row>
        <row r="3115">
          <cell r="L3115" t="str">
            <v>BXMT</v>
          </cell>
          <cell r="M3115" t="e">
            <v>#REF!</v>
          </cell>
          <cell r="N3115" t="str">
            <v>BXMT</v>
          </cell>
          <cell r="O3115" t="e">
            <v>#N/A</v>
          </cell>
          <cell r="P3115" t="e">
            <v>#N/A</v>
          </cell>
          <cell r="Q3115" t="e">
            <v>#N/A</v>
          </cell>
          <cell r="R3115" t="e">
            <v>#N/A</v>
          </cell>
          <cell r="S3115" t="str">
            <v>BXMT</v>
          </cell>
        </row>
        <row r="3116">
          <cell r="L3116" t="str">
            <v>CAE</v>
          </cell>
          <cell r="M3116" t="e">
            <v>#REF!</v>
          </cell>
          <cell r="N3116" t="str">
            <v>CAE</v>
          </cell>
          <cell r="O3116" t="e">
            <v>#N/A</v>
          </cell>
          <cell r="P3116" t="e">
            <v>#N/A</v>
          </cell>
          <cell r="Q3116" t="e">
            <v>#N/A</v>
          </cell>
          <cell r="R3116" t="e">
            <v>#N/A</v>
          </cell>
          <cell r="S3116" t="str">
            <v>CAE</v>
          </cell>
        </row>
        <row r="3117">
          <cell r="L3117" t="str">
            <v>CAJ</v>
          </cell>
          <cell r="M3117" t="e">
            <v>#REF!</v>
          </cell>
          <cell r="N3117" t="str">
            <v>CAJ</v>
          </cell>
          <cell r="O3117" t="e">
            <v>#N/A</v>
          </cell>
          <cell r="P3117" t="e">
            <v>#N/A</v>
          </cell>
          <cell r="Q3117" t="e">
            <v>#N/A</v>
          </cell>
          <cell r="R3117" t="e">
            <v>#N/A</v>
          </cell>
          <cell r="S3117" t="str">
            <v>CAJ</v>
          </cell>
        </row>
        <row r="3118">
          <cell r="L3118" t="str">
            <v>CBD</v>
          </cell>
          <cell r="M3118" t="e">
            <v>#REF!</v>
          </cell>
          <cell r="N3118" t="str">
            <v>CBD</v>
          </cell>
          <cell r="O3118" t="e">
            <v>#N/A</v>
          </cell>
          <cell r="P3118" t="e">
            <v>#N/A</v>
          </cell>
          <cell r="Q3118" t="e">
            <v>#N/A</v>
          </cell>
          <cell r="R3118" t="e">
            <v>#N/A</v>
          </cell>
          <cell r="S3118" t="str">
            <v>CBD</v>
          </cell>
        </row>
        <row r="3119">
          <cell r="L3119" t="str">
            <v>CCJ</v>
          </cell>
          <cell r="M3119" t="e">
            <v>#REF!</v>
          </cell>
          <cell r="N3119" t="str">
            <v>CCJ</v>
          </cell>
          <cell r="O3119" t="e">
            <v>#N/A</v>
          </cell>
          <cell r="P3119" t="e">
            <v>#N/A</v>
          </cell>
          <cell r="Q3119" t="e">
            <v>#N/A</v>
          </cell>
          <cell r="R3119" t="e">
            <v>#N/A</v>
          </cell>
          <cell r="S3119" t="str">
            <v>CCJ</v>
          </cell>
        </row>
        <row r="3120">
          <cell r="L3120" t="str">
            <v>CEO</v>
          </cell>
          <cell r="M3120" t="e">
            <v>#REF!</v>
          </cell>
          <cell r="N3120" t="str">
            <v>CEO</v>
          </cell>
          <cell r="O3120" t="e">
            <v>#N/A</v>
          </cell>
          <cell r="P3120" t="e">
            <v>#N/A</v>
          </cell>
          <cell r="Q3120" t="e">
            <v>#N/A</v>
          </cell>
          <cell r="R3120" t="e">
            <v>#N/A</v>
          </cell>
          <cell r="S3120" t="str">
            <v>CEO</v>
          </cell>
        </row>
        <row r="3121">
          <cell r="L3121" t="str">
            <v>CHA</v>
          </cell>
          <cell r="M3121" t="e">
            <v>#REF!</v>
          </cell>
          <cell r="N3121" t="str">
            <v>CHA</v>
          </cell>
          <cell r="O3121" t="e">
            <v>#N/A</v>
          </cell>
          <cell r="P3121" t="e">
            <v>#N/A</v>
          </cell>
          <cell r="Q3121" t="e">
            <v>#N/A</v>
          </cell>
          <cell r="R3121" t="e">
            <v>#N/A</v>
          </cell>
          <cell r="S3121" t="str">
            <v>CHA</v>
          </cell>
        </row>
        <row r="3122">
          <cell r="L3122" t="str">
            <v>CHL</v>
          </cell>
          <cell r="M3122" t="e">
            <v>#REF!</v>
          </cell>
          <cell r="N3122" t="str">
            <v>CHL</v>
          </cell>
          <cell r="O3122" t="e">
            <v>#N/A</v>
          </cell>
          <cell r="P3122" t="e">
            <v>#N/A</v>
          </cell>
          <cell r="Q3122" t="e">
            <v>#N/A</v>
          </cell>
          <cell r="R3122" t="e">
            <v>#N/A</v>
          </cell>
          <cell r="S3122" t="str">
            <v>CHL</v>
          </cell>
        </row>
        <row r="3123">
          <cell r="L3123" t="str">
            <v>CHU</v>
          </cell>
          <cell r="M3123" t="e">
            <v>#REF!</v>
          </cell>
          <cell r="N3123" t="str">
            <v>CHU</v>
          </cell>
          <cell r="O3123" t="e">
            <v>#N/A</v>
          </cell>
          <cell r="P3123" t="e">
            <v>#N/A</v>
          </cell>
          <cell r="Q3123" t="e">
            <v>#N/A</v>
          </cell>
          <cell r="R3123" t="e">
            <v>#N/A</v>
          </cell>
          <cell r="S3123" t="str">
            <v>CHU</v>
          </cell>
        </row>
        <row r="3124">
          <cell r="L3124" t="str">
            <v>CIB</v>
          </cell>
          <cell r="M3124" t="e">
            <v>#REF!</v>
          </cell>
          <cell r="N3124" t="str">
            <v>CIB</v>
          </cell>
          <cell r="O3124" t="e">
            <v>#N/A</v>
          </cell>
          <cell r="P3124" t="e">
            <v>#N/A</v>
          </cell>
          <cell r="Q3124" t="e">
            <v>#N/A</v>
          </cell>
          <cell r="R3124" t="e">
            <v>#N/A</v>
          </cell>
          <cell r="S3124" t="str">
            <v>CIB</v>
          </cell>
        </row>
        <row r="3125">
          <cell r="L3125" t="str">
            <v>CM</v>
          </cell>
          <cell r="M3125" t="e">
            <v>#REF!</v>
          </cell>
          <cell r="N3125" t="str">
            <v>CM</v>
          </cell>
          <cell r="O3125" t="e">
            <v>#N/A</v>
          </cell>
          <cell r="P3125" t="e">
            <v>#N/A</v>
          </cell>
          <cell r="Q3125" t="e">
            <v>#N/A</v>
          </cell>
          <cell r="R3125" t="e">
            <v>#N/A</v>
          </cell>
          <cell r="S3125" t="str">
            <v>CM</v>
          </cell>
        </row>
        <row r="3126">
          <cell r="L3126" t="str">
            <v>CNHI</v>
          </cell>
          <cell r="M3126" t="e">
            <v>#REF!</v>
          </cell>
          <cell r="N3126" t="str">
            <v>CNHI</v>
          </cell>
          <cell r="O3126" t="e">
            <v>#N/A</v>
          </cell>
          <cell r="P3126" t="e">
            <v>#N/A</v>
          </cell>
          <cell r="Q3126" t="e">
            <v>#N/A</v>
          </cell>
          <cell r="R3126" t="e">
            <v>#N/A</v>
          </cell>
          <cell r="S3126" t="str">
            <v>CNHI</v>
          </cell>
        </row>
        <row r="3127">
          <cell r="L3127" t="str">
            <v>CNI</v>
          </cell>
          <cell r="M3127" t="e">
            <v>#REF!</v>
          </cell>
          <cell r="N3127" t="str">
            <v>CNI</v>
          </cell>
          <cell r="O3127" t="e">
            <v>#N/A</v>
          </cell>
          <cell r="P3127" t="e">
            <v>#N/A</v>
          </cell>
          <cell r="Q3127" t="e">
            <v>#N/A</v>
          </cell>
          <cell r="R3127" t="e">
            <v>#N/A</v>
          </cell>
          <cell r="S3127" t="str">
            <v>CNI</v>
          </cell>
        </row>
        <row r="3128">
          <cell r="L3128" t="str">
            <v>CNQ</v>
          </cell>
          <cell r="M3128" t="e">
            <v>#REF!</v>
          </cell>
          <cell r="N3128" t="str">
            <v>CNQ</v>
          </cell>
          <cell r="O3128" t="e">
            <v>#N/A</v>
          </cell>
          <cell r="P3128" t="e">
            <v>#N/A</v>
          </cell>
          <cell r="Q3128" t="e">
            <v>#N/A</v>
          </cell>
          <cell r="R3128" t="e">
            <v>#N/A</v>
          </cell>
          <cell r="S3128" t="str">
            <v>CNQ</v>
          </cell>
        </row>
        <row r="3129">
          <cell r="L3129" t="str">
            <v>CP</v>
          </cell>
          <cell r="M3129" t="e">
            <v>#REF!</v>
          </cell>
          <cell r="N3129" t="str">
            <v>CP</v>
          </cell>
          <cell r="O3129" t="e">
            <v>#N/A</v>
          </cell>
          <cell r="P3129" t="e">
            <v>#N/A</v>
          </cell>
          <cell r="Q3129" t="e">
            <v>#N/A</v>
          </cell>
          <cell r="R3129" t="e">
            <v>#N/A</v>
          </cell>
          <cell r="S3129" t="str">
            <v>CP</v>
          </cell>
        </row>
        <row r="3130">
          <cell r="L3130" t="str">
            <v>CQH</v>
          </cell>
          <cell r="M3130" t="e">
            <v>#REF!</v>
          </cell>
          <cell r="N3130" t="str">
            <v>CQH</v>
          </cell>
          <cell r="O3130" t="e">
            <v>#N/A</v>
          </cell>
          <cell r="P3130" t="e">
            <v>#N/A</v>
          </cell>
          <cell r="Q3130" t="e">
            <v>#N/A</v>
          </cell>
          <cell r="R3130" t="e">
            <v>#N/A</v>
          </cell>
          <cell r="S3130" t="str">
            <v>CQH</v>
          </cell>
        </row>
        <row r="3131">
          <cell r="L3131" t="str">
            <v>CQP</v>
          </cell>
          <cell r="M3131" t="e">
            <v>#REF!</v>
          </cell>
          <cell r="N3131" t="str">
            <v>CQP</v>
          </cell>
          <cell r="O3131" t="e">
            <v>#N/A</v>
          </cell>
          <cell r="P3131" t="e">
            <v>#N/A</v>
          </cell>
          <cell r="Q3131" t="e">
            <v>#N/A</v>
          </cell>
          <cell r="R3131" t="e">
            <v>#N/A</v>
          </cell>
          <cell r="S3131" t="str">
            <v>CQP</v>
          </cell>
        </row>
        <row r="3132">
          <cell r="L3132" t="str">
            <v>CRH</v>
          </cell>
          <cell r="M3132" t="e">
            <v>#REF!</v>
          </cell>
          <cell r="N3132" t="str">
            <v>CRH</v>
          </cell>
          <cell r="O3132" t="e">
            <v>#N/A</v>
          </cell>
          <cell r="P3132" t="e">
            <v>#N/A</v>
          </cell>
          <cell r="Q3132" t="e">
            <v>#N/A</v>
          </cell>
          <cell r="R3132" t="e">
            <v>#N/A</v>
          </cell>
          <cell r="S3132" t="str">
            <v>CRH</v>
          </cell>
        </row>
        <row r="3133">
          <cell r="L3133" t="str">
            <v>CS</v>
          </cell>
          <cell r="M3133" t="e">
            <v>#REF!</v>
          </cell>
          <cell r="N3133" t="str">
            <v>CS</v>
          </cell>
          <cell r="O3133" t="e">
            <v>#N/A</v>
          </cell>
          <cell r="P3133" t="e">
            <v>#N/A</v>
          </cell>
          <cell r="Q3133" t="e">
            <v>#N/A</v>
          </cell>
          <cell r="R3133" t="e">
            <v>#N/A</v>
          </cell>
          <cell r="S3133" t="str">
            <v>CS</v>
          </cell>
        </row>
        <row r="3134">
          <cell r="L3134" t="str">
            <v>CUK</v>
          </cell>
          <cell r="M3134" t="e">
            <v>#REF!</v>
          </cell>
          <cell r="N3134" t="str">
            <v>CUK</v>
          </cell>
          <cell r="O3134" t="e">
            <v>#N/A</v>
          </cell>
          <cell r="P3134" t="e">
            <v>#N/A</v>
          </cell>
          <cell r="Q3134" t="e">
            <v>#N/A</v>
          </cell>
          <cell r="R3134" t="e">
            <v>#N/A</v>
          </cell>
          <cell r="S3134" t="str">
            <v>CUK</v>
          </cell>
        </row>
        <row r="3135">
          <cell r="L3135" t="str">
            <v>CVE</v>
          </cell>
          <cell r="M3135" t="e">
            <v>#REF!</v>
          </cell>
          <cell r="N3135" t="str">
            <v>CVE</v>
          </cell>
          <cell r="O3135" t="e">
            <v>#N/A</v>
          </cell>
          <cell r="P3135" t="e">
            <v>#N/A</v>
          </cell>
          <cell r="Q3135" t="e">
            <v>#N/A</v>
          </cell>
          <cell r="R3135" t="e">
            <v>#N/A</v>
          </cell>
          <cell r="S3135" t="str">
            <v>CVE</v>
          </cell>
        </row>
        <row r="3136">
          <cell r="L3136" t="str">
            <v>CVRR</v>
          </cell>
          <cell r="M3136" t="e">
            <v>#REF!</v>
          </cell>
          <cell r="N3136" t="str">
            <v>CVRR</v>
          </cell>
          <cell r="O3136" t="e">
            <v>#N/A</v>
          </cell>
          <cell r="P3136" t="e">
            <v>#N/A</v>
          </cell>
          <cell r="Q3136" t="e">
            <v>#N/A</v>
          </cell>
          <cell r="R3136" t="e">
            <v>#N/A</v>
          </cell>
          <cell r="S3136" t="str">
            <v>CVRR</v>
          </cell>
        </row>
        <row r="3137">
          <cell r="L3137" t="str">
            <v>CX</v>
          </cell>
          <cell r="M3137" t="e">
            <v>#REF!</v>
          </cell>
          <cell r="N3137" t="str">
            <v>CX</v>
          </cell>
          <cell r="O3137" t="e">
            <v>#N/A</v>
          </cell>
          <cell r="P3137" t="e">
            <v>#N/A</v>
          </cell>
          <cell r="Q3137" t="e">
            <v>#N/A</v>
          </cell>
          <cell r="R3137" t="e">
            <v>#N/A</v>
          </cell>
          <cell r="S3137" t="str">
            <v>CX</v>
          </cell>
        </row>
        <row r="3138">
          <cell r="L3138" t="str">
            <v>DB</v>
          </cell>
          <cell r="M3138" t="e">
            <v>#REF!</v>
          </cell>
          <cell r="N3138" t="str">
            <v>DB</v>
          </cell>
          <cell r="O3138" t="e">
            <v>#N/A</v>
          </cell>
          <cell r="P3138" t="e">
            <v>#N/A</v>
          </cell>
          <cell r="Q3138" t="e">
            <v>#N/A</v>
          </cell>
          <cell r="R3138" t="e">
            <v>#N/A</v>
          </cell>
          <cell r="S3138" t="str">
            <v>DB</v>
          </cell>
        </row>
        <row r="3139">
          <cell r="L3139" t="str">
            <v>DCP</v>
          </cell>
          <cell r="M3139" t="e">
            <v>#REF!</v>
          </cell>
          <cell r="N3139" t="str">
            <v>DCP</v>
          </cell>
          <cell r="O3139" t="e">
            <v>#N/A</v>
          </cell>
          <cell r="P3139" t="e">
            <v>#N/A</v>
          </cell>
          <cell r="Q3139" t="e">
            <v>#N/A</v>
          </cell>
          <cell r="R3139" t="e">
            <v>#N/A</v>
          </cell>
          <cell r="S3139" t="str">
            <v>DCP</v>
          </cell>
        </row>
        <row r="3140">
          <cell r="L3140" t="str">
            <v>DEO</v>
          </cell>
          <cell r="M3140" t="e">
            <v>#REF!</v>
          </cell>
          <cell r="N3140" t="str">
            <v>DEO</v>
          </cell>
          <cell r="O3140" t="e">
            <v>#N/A</v>
          </cell>
          <cell r="P3140" t="e">
            <v>#N/A</v>
          </cell>
          <cell r="Q3140" t="e">
            <v>#N/A</v>
          </cell>
          <cell r="R3140" t="e">
            <v>#N/A</v>
          </cell>
          <cell r="S3140" t="str">
            <v>DEO</v>
          </cell>
        </row>
        <row r="3141">
          <cell r="L3141" t="str">
            <v>E</v>
          </cell>
          <cell r="M3141" t="e">
            <v>#REF!</v>
          </cell>
          <cell r="N3141" t="str">
            <v>E</v>
          </cell>
          <cell r="O3141" t="e">
            <v>#N/A</v>
          </cell>
          <cell r="P3141" t="e">
            <v>#N/A</v>
          </cell>
          <cell r="Q3141" t="e">
            <v>#N/A</v>
          </cell>
          <cell r="R3141" t="e">
            <v>#N/A</v>
          </cell>
          <cell r="S3141" t="str">
            <v>E</v>
          </cell>
        </row>
        <row r="3142">
          <cell r="L3142" t="str">
            <v>EC</v>
          </cell>
          <cell r="M3142" t="e">
            <v>#REF!</v>
          </cell>
          <cell r="N3142" t="str">
            <v>EC</v>
          </cell>
          <cell r="O3142" t="e">
            <v>#N/A</v>
          </cell>
          <cell r="P3142" t="e">
            <v>#N/A</v>
          </cell>
          <cell r="Q3142" t="e">
            <v>#N/A</v>
          </cell>
          <cell r="R3142" t="e">
            <v>#N/A</v>
          </cell>
          <cell r="S3142" t="str">
            <v>EC</v>
          </cell>
        </row>
        <row r="3143">
          <cell r="L3143" t="str">
            <v>ECA</v>
          </cell>
          <cell r="M3143" t="e">
            <v>#REF!</v>
          </cell>
          <cell r="N3143" t="str">
            <v>ECA</v>
          </cell>
          <cell r="O3143" t="e">
            <v>#N/A</v>
          </cell>
          <cell r="P3143" t="e">
            <v>#N/A</v>
          </cell>
          <cell r="Q3143" t="e">
            <v>#N/A</v>
          </cell>
          <cell r="R3143" t="e">
            <v>#N/A</v>
          </cell>
          <cell r="S3143" t="str">
            <v>ECA</v>
          </cell>
        </row>
        <row r="3144">
          <cell r="L3144" t="str">
            <v>EDU</v>
          </cell>
          <cell r="M3144" t="e">
            <v>#REF!</v>
          </cell>
          <cell r="N3144" t="str">
            <v>EDU</v>
          </cell>
          <cell r="O3144" t="e">
            <v>#N/A</v>
          </cell>
          <cell r="P3144" t="e">
            <v>#N/A</v>
          </cell>
          <cell r="Q3144" t="e">
            <v>#N/A</v>
          </cell>
          <cell r="R3144" t="e">
            <v>#N/A</v>
          </cell>
          <cell r="S3144" t="str">
            <v>EDU</v>
          </cell>
        </row>
        <row r="3145">
          <cell r="L3145" t="str">
            <v>ENB</v>
          </cell>
          <cell r="M3145" t="e">
            <v>#REF!</v>
          </cell>
          <cell r="N3145" t="str">
            <v>ENB</v>
          </cell>
          <cell r="O3145" t="e">
            <v>#N/A</v>
          </cell>
          <cell r="P3145" t="e">
            <v>#N/A</v>
          </cell>
          <cell r="Q3145" t="e">
            <v>#N/A</v>
          </cell>
          <cell r="R3145" t="e">
            <v>#N/A</v>
          </cell>
          <cell r="S3145" t="str">
            <v>ENB</v>
          </cell>
        </row>
        <row r="3146">
          <cell r="L3146" t="str">
            <v>ENBL</v>
          </cell>
          <cell r="M3146" t="e">
            <v>#REF!</v>
          </cell>
          <cell r="N3146" t="str">
            <v>ENBL</v>
          </cell>
          <cell r="O3146" t="e">
            <v>#N/A</v>
          </cell>
          <cell r="P3146" t="e">
            <v>#N/A</v>
          </cell>
          <cell r="Q3146" t="e">
            <v>#N/A</v>
          </cell>
          <cell r="R3146" t="e">
            <v>#N/A</v>
          </cell>
          <cell r="S3146" t="str">
            <v>ENBL</v>
          </cell>
        </row>
        <row r="3147">
          <cell r="L3147" t="str">
            <v>ENLK</v>
          </cell>
          <cell r="M3147" t="e">
            <v>#REF!</v>
          </cell>
          <cell r="N3147" t="str">
            <v>ENLK</v>
          </cell>
          <cell r="O3147" t="str">
            <v>ENLINK MIDSTREAM PARTNERS LLP</v>
          </cell>
          <cell r="P3147" t="str">
            <v>New York</v>
          </cell>
          <cell r="Q3147" t="str">
            <v>Energy</v>
          </cell>
          <cell r="R3147" t="str">
            <v>Oil, Gas &amp; Consumable Fuels</v>
          </cell>
          <cell r="S3147" t="str">
            <v>ENLK</v>
          </cell>
        </row>
        <row r="3148">
          <cell r="L3148" t="str">
            <v>EPD</v>
          </cell>
          <cell r="M3148" t="e">
            <v>#REF!</v>
          </cell>
          <cell r="N3148" t="str">
            <v>EPD</v>
          </cell>
          <cell r="O3148" t="e">
            <v>#N/A</v>
          </cell>
          <cell r="P3148" t="e">
            <v>#N/A</v>
          </cell>
          <cell r="Q3148" t="e">
            <v>#N/A</v>
          </cell>
          <cell r="R3148" t="e">
            <v>#N/A</v>
          </cell>
          <cell r="S3148" t="str">
            <v>EPD</v>
          </cell>
        </row>
        <row r="3149">
          <cell r="L3149" t="str">
            <v>EQGP</v>
          </cell>
          <cell r="M3149" t="e">
            <v>#REF!</v>
          </cell>
          <cell r="N3149" t="str">
            <v>EQGP</v>
          </cell>
          <cell r="O3149" t="e">
            <v>#N/A</v>
          </cell>
          <cell r="P3149" t="e">
            <v>#N/A</v>
          </cell>
          <cell r="Q3149" t="e">
            <v>#N/A</v>
          </cell>
          <cell r="R3149" t="e">
            <v>#N/A</v>
          </cell>
          <cell r="S3149" t="str">
            <v>EQGP</v>
          </cell>
        </row>
        <row r="3150">
          <cell r="L3150" t="str">
            <v>EQM</v>
          </cell>
          <cell r="M3150" t="e">
            <v>#REF!</v>
          </cell>
          <cell r="N3150" t="str">
            <v>EQM</v>
          </cell>
          <cell r="O3150" t="e">
            <v>#N/A</v>
          </cell>
          <cell r="P3150" t="e">
            <v>#N/A</v>
          </cell>
          <cell r="Q3150" t="e">
            <v>#N/A</v>
          </cell>
          <cell r="R3150" t="e">
            <v>#N/A</v>
          </cell>
          <cell r="S3150" t="str">
            <v>EQM</v>
          </cell>
        </row>
        <row r="3151">
          <cell r="L3151" t="str">
            <v>EQNR</v>
          </cell>
          <cell r="M3151" t="e">
            <v>#REF!</v>
          </cell>
          <cell r="N3151" t="str">
            <v>EQNR</v>
          </cell>
          <cell r="O3151" t="e">
            <v>#N/A</v>
          </cell>
          <cell r="P3151" t="e">
            <v>#N/A</v>
          </cell>
          <cell r="Q3151" t="e">
            <v>#N/A</v>
          </cell>
          <cell r="R3151" t="e">
            <v>#N/A</v>
          </cell>
          <cell r="S3151" t="str">
            <v>EQNR</v>
          </cell>
        </row>
        <row r="3152">
          <cell r="L3152" t="str">
            <v>ERJ</v>
          </cell>
          <cell r="M3152" t="e">
            <v>#REF!</v>
          </cell>
          <cell r="N3152" t="str">
            <v>ERJ</v>
          </cell>
          <cell r="O3152" t="e">
            <v>#N/A</v>
          </cell>
          <cell r="P3152" t="e">
            <v>#N/A</v>
          </cell>
          <cell r="Q3152" t="e">
            <v>#N/A</v>
          </cell>
          <cell r="R3152" t="e">
            <v>#N/A</v>
          </cell>
          <cell r="S3152" t="str">
            <v>ERJ</v>
          </cell>
        </row>
        <row r="3153">
          <cell r="L3153" t="str">
            <v>ETE</v>
          </cell>
          <cell r="M3153" t="e">
            <v>#REF!</v>
          </cell>
          <cell r="N3153" t="str">
            <v>ETE</v>
          </cell>
          <cell r="O3153" t="e">
            <v>#N/A</v>
          </cell>
          <cell r="P3153" t="e">
            <v>#N/A</v>
          </cell>
          <cell r="Q3153" t="e">
            <v>#N/A</v>
          </cell>
          <cell r="R3153" t="e">
            <v>#N/A</v>
          </cell>
          <cell r="S3153" t="str">
            <v>ETE</v>
          </cell>
        </row>
        <row r="3154">
          <cell r="L3154" t="str">
            <v>ETP</v>
          </cell>
          <cell r="M3154" t="e">
            <v>#REF!</v>
          </cell>
          <cell r="N3154" t="str">
            <v>ETP</v>
          </cell>
          <cell r="O3154" t="e">
            <v>#N/A</v>
          </cell>
          <cell r="P3154" t="e">
            <v>#N/A</v>
          </cell>
          <cell r="Q3154" t="e">
            <v>#N/A</v>
          </cell>
          <cell r="R3154" t="e">
            <v>#N/A</v>
          </cell>
          <cell r="S3154" t="str">
            <v>ETP</v>
          </cell>
        </row>
        <row r="3155">
          <cell r="L3155" t="str">
            <v>FBR</v>
          </cell>
          <cell r="M3155" t="e">
            <v>#REF!</v>
          </cell>
          <cell r="N3155" t="str">
            <v>FBR</v>
          </cell>
          <cell r="O3155" t="e">
            <v>#N/A</v>
          </cell>
          <cell r="P3155" t="e">
            <v>#N/A</v>
          </cell>
          <cell r="Q3155" t="e">
            <v>#N/A</v>
          </cell>
          <cell r="R3155" t="e">
            <v>#N/A</v>
          </cell>
          <cell r="S3155" t="str">
            <v>FBR</v>
          </cell>
        </row>
        <row r="3156">
          <cell r="L3156" t="str">
            <v>FCAU</v>
          </cell>
          <cell r="M3156" t="e">
            <v>#REF!</v>
          </cell>
          <cell r="N3156" t="str">
            <v>FCAU</v>
          </cell>
          <cell r="O3156" t="e">
            <v>#N/A</v>
          </cell>
          <cell r="P3156" t="e">
            <v>#N/A</v>
          </cell>
          <cell r="Q3156" t="e">
            <v>#N/A</v>
          </cell>
          <cell r="R3156" t="e">
            <v>#N/A</v>
          </cell>
          <cell r="S3156" t="str">
            <v>FCAU</v>
          </cell>
        </row>
        <row r="3157">
          <cell r="L3157" t="str">
            <v>FMS</v>
          </cell>
          <cell r="M3157" t="e">
            <v>#REF!</v>
          </cell>
          <cell r="N3157" t="str">
            <v>FMS</v>
          </cell>
          <cell r="O3157" t="e">
            <v>#N/A</v>
          </cell>
          <cell r="P3157" t="e">
            <v>#N/A</v>
          </cell>
          <cell r="Q3157" t="e">
            <v>#N/A</v>
          </cell>
          <cell r="R3157" t="e">
            <v>#N/A</v>
          </cell>
          <cell r="S3157" t="str">
            <v>FMS</v>
          </cell>
        </row>
        <row r="3158">
          <cell r="L3158" t="str">
            <v>FMX</v>
          </cell>
          <cell r="M3158" t="e">
            <v>#REF!</v>
          </cell>
          <cell r="N3158" t="str">
            <v>FMX</v>
          </cell>
          <cell r="O3158" t="e">
            <v>#N/A</v>
          </cell>
          <cell r="P3158" t="e">
            <v>#N/A</v>
          </cell>
          <cell r="Q3158" t="e">
            <v>#N/A</v>
          </cell>
          <cell r="R3158" t="e">
            <v>#N/A</v>
          </cell>
          <cell r="S3158" t="str">
            <v>FMX</v>
          </cell>
        </row>
        <row r="3159">
          <cell r="L3159" t="str">
            <v>FNV</v>
          </cell>
          <cell r="M3159" t="e">
            <v>#REF!</v>
          </cell>
          <cell r="N3159" t="str">
            <v>FNV</v>
          </cell>
          <cell r="O3159" t="e">
            <v>#N/A</v>
          </cell>
          <cell r="P3159" t="e">
            <v>#N/A</v>
          </cell>
          <cell r="Q3159" t="e">
            <v>#N/A</v>
          </cell>
          <cell r="R3159" t="e">
            <v>#N/A</v>
          </cell>
          <cell r="S3159" t="str">
            <v>FNV</v>
          </cell>
        </row>
        <row r="3160">
          <cell r="L3160" t="str">
            <v>FUN</v>
          </cell>
          <cell r="M3160" t="e">
            <v>#REF!</v>
          </cell>
          <cell r="N3160" t="str">
            <v>FUN</v>
          </cell>
          <cell r="O3160" t="e">
            <v>#N/A</v>
          </cell>
          <cell r="P3160" t="e">
            <v>#N/A</v>
          </cell>
          <cell r="Q3160" t="e">
            <v>#N/A</v>
          </cell>
          <cell r="R3160" t="e">
            <v>#N/A</v>
          </cell>
          <cell r="S3160" t="str">
            <v>FUN</v>
          </cell>
        </row>
        <row r="3161">
          <cell r="L3161" t="str">
            <v>FWONK</v>
          </cell>
          <cell r="M3161" t="e">
            <v>#REF!</v>
          </cell>
          <cell r="N3161" t="str">
            <v>FWONK</v>
          </cell>
          <cell r="O3161" t="str">
            <v>LIBERTY MEDIA-C</v>
          </cell>
          <cell r="P3161" t="str">
            <v>NASDAQ GS</v>
          </cell>
          <cell r="Q3161" t="str">
            <v>Consumer Discretionary</v>
          </cell>
          <cell r="R3161" t="str">
            <v>Media</v>
          </cell>
          <cell r="S3161" t="str">
            <v>FWONK</v>
          </cell>
        </row>
        <row r="3162">
          <cell r="L3162" t="str">
            <v>GG</v>
          </cell>
          <cell r="M3162" t="e">
            <v>#REF!</v>
          </cell>
          <cell r="N3162" t="str">
            <v>GG</v>
          </cell>
          <cell r="O3162" t="e">
            <v>#N/A</v>
          </cell>
          <cell r="P3162" t="e">
            <v>#N/A</v>
          </cell>
          <cell r="Q3162" t="e">
            <v>#N/A</v>
          </cell>
          <cell r="R3162" t="e">
            <v>#N/A</v>
          </cell>
          <cell r="S3162" t="str">
            <v>GG</v>
          </cell>
        </row>
        <row r="3163">
          <cell r="L3163" t="str">
            <v>GIB</v>
          </cell>
          <cell r="M3163" t="e">
            <v>#REF!</v>
          </cell>
          <cell r="N3163" t="str">
            <v>GIB</v>
          </cell>
          <cell r="O3163" t="e">
            <v>#N/A</v>
          </cell>
          <cell r="P3163" t="e">
            <v>#N/A</v>
          </cell>
          <cell r="Q3163" t="e">
            <v>#N/A</v>
          </cell>
          <cell r="R3163" t="e">
            <v>#N/A</v>
          </cell>
          <cell r="S3163" t="str">
            <v>GIB</v>
          </cell>
        </row>
        <row r="3164">
          <cell r="L3164" t="str">
            <v>GIL</v>
          </cell>
          <cell r="M3164" t="e">
            <v>#REF!</v>
          </cell>
          <cell r="N3164" t="str">
            <v>GIL</v>
          </cell>
          <cell r="O3164" t="e">
            <v>#N/A</v>
          </cell>
          <cell r="P3164" t="e">
            <v>#N/A</v>
          </cell>
          <cell r="Q3164" t="e">
            <v>#N/A</v>
          </cell>
          <cell r="R3164" t="e">
            <v>#N/A</v>
          </cell>
          <cell r="S3164" t="str">
            <v>GIL</v>
          </cell>
        </row>
        <row r="3165">
          <cell r="L3165" t="str">
            <v>GSK</v>
          </cell>
          <cell r="M3165" t="e">
            <v>#REF!</v>
          </cell>
          <cell r="N3165" t="str">
            <v>GSK</v>
          </cell>
          <cell r="O3165" t="e">
            <v>#N/A</v>
          </cell>
          <cell r="P3165" t="e">
            <v>#N/A</v>
          </cell>
          <cell r="Q3165" t="e">
            <v>#N/A</v>
          </cell>
          <cell r="R3165" t="e">
            <v>#N/A</v>
          </cell>
          <cell r="S3165" t="str">
            <v>GSK</v>
          </cell>
        </row>
        <row r="3166">
          <cell r="L3166" t="str">
            <v>HDB</v>
          </cell>
          <cell r="M3166" t="e">
            <v>#REF!</v>
          </cell>
          <cell r="N3166" t="str">
            <v>HDB</v>
          </cell>
          <cell r="O3166" t="e">
            <v>#N/A</v>
          </cell>
          <cell r="P3166" t="e">
            <v>#N/A</v>
          </cell>
          <cell r="Q3166" t="e">
            <v>#N/A</v>
          </cell>
          <cell r="R3166" t="e">
            <v>#N/A</v>
          </cell>
          <cell r="S3166" t="str">
            <v>HDB</v>
          </cell>
        </row>
        <row r="3167">
          <cell r="L3167" t="str">
            <v>HEP</v>
          </cell>
          <cell r="M3167" t="e">
            <v>#REF!</v>
          </cell>
          <cell r="N3167" t="str">
            <v>HEP</v>
          </cell>
          <cell r="O3167" t="e">
            <v>#N/A</v>
          </cell>
          <cell r="P3167" t="e">
            <v>#N/A</v>
          </cell>
          <cell r="Q3167" t="e">
            <v>#N/A</v>
          </cell>
          <cell r="R3167" t="e">
            <v>#N/A</v>
          </cell>
          <cell r="S3167" t="str">
            <v>HEP</v>
          </cell>
        </row>
        <row r="3168">
          <cell r="L3168" t="str">
            <v>HMC</v>
          </cell>
          <cell r="M3168" t="e">
            <v>#REF!</v>
          </cell>
          <cell r="N3168" t="str">
            <v>HMC</v>
          </cell>
          <cell r="O3168" t="e">
            <v>#N/A</v>
          </cell>
          <cell r="P3168" t="e">
            <v>#N/A</v>
          </cell>
          <cell r="Q3168" t="e">
            <v>#N/A</v>
          </cell>
          <cell r="R3168" t="e">
            <v>#N/A</v>
          </cell>
          <cell r="S3168" t="str">
            <v>HMC</v>
          </cell>
        </row>
        <row r="3169">
          <cell r="L3169" t="str">
            <v>HNP</v>
          </cell>
          <cell r="M3169" t="e">
            <v>#REF!</v>
          </cell>
          <cell r="N3169" t="str">
            <v>HNP</v>
          </cell>
          <cell r="O3169" t="e">
            <v>#N/A</v>
          </cell>
          <cell r="P3169" t="e">
            <v>#N/A</v>
          </cell>
          <cell r="Q3169" t="e">
            <v>#N/A</v>
          </cell>
          <cell r="R3169" t="e">
            <v>#N/A</v>
          </cell>
          <cell r="S3169" t="str">
            <v>HNP</v>
          </cell>
        </row>
        <row r="3170">
          <cell r="L3170" t="str">
            <v>HSBC</v>
          </cell>
          <cell r="M3170" t="e">
            <v>#REF!</v>
          </cell>
          <cell r="N3170" t="str">
            <v>HSBC</v>
          </cell>
          <cell r="O3170" t="e">
            <v>#N/A</v>
          </cell>
          <cell r="P3170" t="e">
            <v>#N/A</v>
          </cell>
          <cell r="Q3170" t="e">
            <v>#N/A</v>
          </cell>
          <cell r="R3170" t="e">
            <v>#N/A</v>
          </cell>
          <cell r="S3170" t="str">
            <v>HSBC</v>
          </cell>
        </row>
        <row r="3171">
          <cell r="L3171" t="str">
            <v>IBN</v>
          </cell>
          <cell r="M3171" t="e">
            <v>#REF!</v>
          </cell>
          <cell r="N3171" t="str">
            <v>IBN</v>
          </cell>
          <cell r="O3171" t="e">
            <v>#N/A</v>
          </cell>
          <cell r="P3171" t="e">
            <v>#N/A</v>
          </cell>
          <cell r="Q3171" t="e">
            <v>#N/A</v>
          </cell>
          <cell r="R3171" t="e">
            <v>#N/A</v>
          </cell>
          <cell r="S3171" t="str">
            <v>IBN</v>
          </cell>
        </row>
        <row r="3172">
          <cell r="L3172" t="str">
            <v>ICL</v>
          </cell>
          <cell r="M3172" t="e">
            <v>#REF!</v>
          </cell>
          <cell r="N3172" t="str">
            <v>ICL</v>
          </cell>
          <cell r="O3172" t="e">
            <v>#N/A</v>
          </cell>
          <cell r="P3172" t="e">
            <v>#N/A</v>
          </cell>
          <cell r="Q3172" t="e">
            <v>#N/A</v>
          </cell>
          <cell r="R3172" t="e">
            <v>#N/A</v>
          </cell>
          <cell r="S3172" t="str">
            <v>ICL</v>
          </cell>
        </row>
        <row r="3173">
          <cell r="L3173" t="str">
            <v>IMO</v>
          </cell>
          <cell r="M3173" t="e">
            <v>#REF!</v>
          </cell>
          <cell r="N3173" t="str">
            <v>IMO</v>
          </cell>
          <cell r="O3173" t="e">
            <v>#N/A</v>
          </cell>
          <cell r="P3173" t="e">
            <v>#N/A</v>
          </cell>
          <cell r="Q3173" t="e">
            <v>#N/A</v>
          </cell>
          <cell r="R3173" t="e">
            <v>#N/A</v>
          </cell>
          <cell r="S3173" t="str">
            <v>IMO</v>
          </cell>
        </row>
        <row r="3174">
          <cell r="L3174" t="str">
            <v>ING</v>
          </cell>
          <cell r="M3174" t="e">
            <v>#REF!</v>
          </cell>
          <cell r="N3174" t="str">
            <v>ING</v>
          </cell>
          <cell r="O3174" t="e">
            <v>#N/A</v>
          </cell>
          <cell r="P3174" t="e">
            <v>#N/A</v>
          </cell>
          <cell r="Q3174" t="e">
            <v>#N/A</v>
          </cell>
          <cell r="R3174" t="e">
            <v>#N/A</v>
          </cell>
          <cell r="S3174" t="str">
            <v>ING</v>
          </cell>
        </row>
        <row r="3175">
          <cell r="L3175" t="str">
            <v>INXN</v>
          </cell>
          <cell r="M3175" t="e">
            <v>#REF!</v>
          </cell>
          <cell r="N3175" t="str">
            <v>INXN</v>
          </cell>
          <cell r="O3175" t="e">
            <v>#N/A</v>
          </cell>
          <cell r="P3175" t="e">
            <v>#N/A</v>
          </cell>
          <cell r="Q3175" t="e">
            <v>#N/A</v>
          </cell>
          <cell r="R3175" t="e">
            <v>#N/A</v>
          </cell>
          <cell r="S3175" t="str">
            <v>INXN</v>
          </cell>
        </row>
        <row r="3176">
          <cell r="L3176" t="str">
            <v>ITUB</v>
          </cell>
          <cell r="M3176" t="e">
            <v>#REF!</v>
          </cell>
          <cell r="N3176" t="str">
            <v>ITUB</v>
          </cell>
          <cell r="O3176" t="e">
            <v>#N/A</v>
          </cell>
          <cell r="P3176" t="e">
            <v>#N/A</v>
          </cell>
          <cell r="Q3176" t="e">
            <v>#N/A</v>
          </cell>
          <cell r="R3176" t="e">
            <v>#N/A</v>
          </cell>
          <cell r="S3176" t="str">
            <v>ITUB</v>
          </cell>
        </row>
        <row r="3177">
          <cell r="L3177" t="str">
            <v>IX</v>
          </cell>
          <cell r="M3177" t="e">
            <v>#REF!</v>
          </cell>
          <cell r="N3177" t="str">
            <v>IX</v>
          </cell>
          <cell r="O3177" t="e">
            <v>#N/A</v>
          </cell>
          <cell r="P3177" t="e">
            <v>#N/A</v>
          </cell>
          <cell r="Q3177" t="e">
            <v>#N/A</v>
          </cell>
          <cell r="R3177" t="e">
            <v>#N/A</v>
          </cell>
          <cell r="S3177" t="str">
            <v>IX</v>
          </cell>
        </row>
        <row r="3178">
          <cell r="L3178" t="str">
            <v>JW.A</v>
          </cell>
          <cell r="M3178" t="e">
            <v>#REF!</v>
          </cell>
          <cell r="N3178" t="str">
            <v>JW.A</v>
          </cell>
          <cell r="O3178" t="e">
            <v>#N/A</v>
          </cell>
          <cell r="P3178" t="e">
            <v>#N/A</v>
          </cell>
          <cell r="Q3178" t="e">
            <v>#N/A</v>
          </cell>
          <cell r="R3178" t="e">
            <v>#N/A</v>
          </cell>
          <cell r="S3178" t="str">
            <v>JW.A</v>
          </cell>
        </row>
        <row r="3179">
          <cell r="L3179" t="str">
            <v>KB</v>
          </cell>
          <cell r="M3179" t="e">
            <v>#REF!</v>
          </cell>
          <cell r="N3179" t="str">
            <v>KB</v>
          </cell>
          <cell r="O3179" t="e">
            <v>#N/A</v>
          </cell>
          <cell r="P3179" t="e">
            <v>#N/A</v>
          </cell>
          <cell r="Q3179" t="e">
            <v>#N/A</v>
          </cell>
          <cell r="R3179" t="e">
            <v>#N/A</v>
          </cell>
          <cell r="S3179" t="str">
            <v>KB</v>
          </cell>
        </row>
        <row r="3180">
          <cell r="L3180" t="str">
            <v>KEP</v>
          </cell>
          <cell r="M3180" t="e">
            <v>#REF!</v>
          </cell>
          <cell r="N3180" t="str">
            <v>KEP</v>
          </cell>
          <cell r="O3180" t="e">
            <v>#N/A</v>
          </cell>
          <cell r="P3180" t="e">
            <v>#N/A</v>
          </cell>
          <cell r="Q3180" t="e">
            <v>#N/A</v>
          </cell>
          <cell r="R3180" t="e">
            <v>#N/A</v>
          </cell>
          <cell r="S3180" t="str">
            <v>KEP</v>
          </cell>
        </row>
        <row r="3181">
          <cell r="L3181" t="str">
            <v>KL</v>
          </cell>
          <cell r="M3181" t="e">
            <v>#REF!</v>
          </cell>
          <cell r="N3181" t="str">
            <v>KL</v>
          </cell>
          <cell r="O3181" t="e">
            <v>#N/A</v>
          </cell>
          <cell r="P3181" t="e">
            <v>#N/A</v>
          </cell>
          <cell r="Q3181" t="e">
            <v>#N/A</v>
          </cell>
          <cell r="R3181" t="e">
            <v>#N/A</v>
          </cell>
          <cell r="S3181" t="str">
            <v>KL</v>
          </cell>
        </row>
        <row r="3182">
          <cell r="L3182" t="str">
            <v>KOF</v>
          </cell>
          <cell r="M3182" t="e">
            <v>#REF!</v>
          </cell>
          <cell r="N3182" t="str">
            <v>KOF</v>
          </cell>
          <cell r="O3182" t="e">
            <v>#N/A</v>
          </cell>
          <cell r="P3182" t="e">
            <v>#N/A</v>
          </cell>
          <cell r="Q3182" t="e">
            <v>#N/A</v>
          </cell>
          <cell r="R3182" t="e">
            <v>#N/A</v>
          </cell>
          <cell r="S3182" t="str">
            <v>KOF</v>
          </cell>
        </row>
        <row r="3183">
          <cell r="L3183" t="str">
            <v>KT</v>
          </cell>
          <cell r="M3183" t="e">
            <v>#REF!</v>
          </cell>
          <cell r="N3183" t="str">
            <v>KT</v>
          </cell>
          <cell r="O3183" t="e">
            <v>#N/A</v>
          </cell>
          <cell r="P3183" t="e">
            <v>#N/A</v>
          </cell>
          <cell r="Q3183" t="e">
            <v>#N/A</v>
          </cell>
          <cell r="R3183" t="e">
            <v>#N/A</v>
          </cell>
          <cell r="S3183" t="str">
            <v>KT</v>
          </cell>
        </row>
        <row r="3184">
          <cell r="L3184" t="str">
            <v>LBRDK</v>
          </cell>
          <cell r="M3184" t="e">
            <v>#REF!</v>
          </cell>
          <cell r="N3184" t="str">
            <v>LBRDK</v>
          </cell>
          <cell r="O3184" t="str">
            <v>LIBERTY BR-C</v>
          </cell>
          <cell r="P3184" t="str">
            <v>NASDAQ GS</v>
          </cell>
          <cell r="Q3184" t="str">
            <v>Consumer Discretionary</v>
          </cell>
          <cell r="R3184" t="str">
            <v>Media</v>
          </cell>
          <cell r="S3184" t="str">
            <v>LBRDK</v>
          </cell>
        </row>
        <row r="3185">
          <cell r="L3185" t="str">
            <v>LGF.A</v>
          </cell>
          <cell r="M3185" t="e">
            <v>#REF!</v>
          </cell>
          <cell r="N3185" t="str">
            <v>LGF.A</v>
          </cell>
          <cell r="O3185" t="e">
            <v>#N/A</v>
          </cell>
          <cell r="P3185" t="e">
            <v>#N/A</v>
          </cell>
          <cell r="Q3185" t="e">
            <v>#N/A</v>
          </cell>
          <cell r="R3185" t="e">
            <v>#N/A</v>
          </cell>
          <cell r="S3185" t="str">
            <v>LGF.A</v>
          </cell>
        </row>
        <row r="3186">
          <cell r="L3186" t="str">
            <v>LN</v>
          </cell>
          <cell r="M3186" t="e">
            <v>#REF!</v>
          </cell>
          <cell r="N3186" t="str">
            <v>LN</v>
          </cell>
          <cell r="O3186" t="e">
            <v>#N/A</v>
          </cell>
          <cell r="P3186" t="e">
            <v>#N/A</v>
          </cell>
          <cell r="Q3186" t="e">
            <v>#N/A</v>
          </cell>
          <cell r="R3186" t="e">
            <v>#N/A</v>
          </cell>
          <cell r="S3186" t="str">
            <v>LN</v>
          </cell>
        </row>
        <row r="3187">
          <cell r="L3187" t="str">
            <v>LOGI</v>
          </cell>
          <cell r="M3187" t="e">
            <v>#REF!</v>
          </cell>
          <cell r="N3187" t="str">
            <v>LOGI</v>
          </cell>
          <cell r="O3187" t="e">
            <v>#N/A</v>
          </cell>
          <cell r="P3187" t="e">
            <v>#N/A</v>
          </cell>
          <cell r="Q3187" t="e">
            <v>#N/A</v>
          </cell>
          <cell r="R3187" t="e">
            <v>#N/A</v>
          </cell>
          <cell r="S3187" t="str">
            <v>LOGI</v>
          </cell>
        </row>
        <row r="3188">
          <cell r="L3188" t="str">
            <v>LPL</v>
          </cell>
          <cell r="M3188" t="e">
            <v>#REF!</v>
          </cell>
          <cell r="N3188" t="str">
            <v>LPL</v>
          </cell>
          <cell r="O3188" t="e">
            <v>#N/A</v>
          </cell>
          <cell r="P3188" t="e">
            <v>#N/A</v>
          </cell>
          <cell r="Q3188" t="e">
            <v>#N/A</v>
          </cell>
          <cell r="R3188" t="e">
            <v>#N/A</v>
          </cell>
          <cell r="S3188" t="str">
            <v>LPL</v>
          </cell>
        </row>
        <row r="3189">
          <cell r="L3189" t="str">
            <v>LSXMK</v>
          </cell>
          <cell r="M3189" t="e">
            <v>#REF!</v>
          </cell>
          <cell r="N3189" t="str">
            <v>LSXMK</v>
          </cell>
          <cell r="O3189" t="str">
            <v>LIBERTY MEDIA-C</v>
          </cell>
          <cell r="P3189" t="str">
            <v>NASDAQ GS</v>
          </cell>
          <cell r="Q3189" t="str">
            <v>Consumer Discretionary</v>
          </cell>
          <cell r="R3189" t="str">
            <v>Media</v>
          </cell>
          <cell r="S3189" t="str">
            <v>LSXMK</v>
          </cell>
        </row>
        <row r="3190">
          <cell r="L3190" t="str">
            <v>LTM</v>
          </cell>
          <cell r="M3190" t="e">
            <v>#REF!</v>
          </cell>
          <cell r="N3190" t="str">
            <v>LTM</v>
          </cell>
          <cell r="O3190" t="e">
            <v>#N/A</v>
          </cell>
          <cell r="P3190" t="e">
            <v>#N/A</v>
          </cell>
          <cell r="Q3190" t="e">
            <v>#N/A</v>
          </cell>
          <cell r="R3190" t="e">
            <v>#N/A</v>
          </cell>
          <cell r="S3190" t="str">
            <v>LTM</v>
          </cell>
        </row>
        <row r="3191">
          <cell r="L3191" t="str">
            <v>MBT</v>
          </cell>
          <cell r="M3191" t="e">
            <v>#REF!</v>
          </cell>
          <cell r="N3191" t="str">
            <v>MBT</v>
          </cell>
          <cell r="O3191" t="e">
            <v>#N/A</v>
          </cell>
          <cell r="P3191" t="e">
            <v>#N/A</v>
          </cell>
          <cell r="Q3191" t="e">
            <v>#N/A</v>
          </cell>
          <cell r="R3191" t="e">
            <v>#N/A</v>
          </cell>
          <cell r="S3191" t="str">
            <v>MBT</v>
          </cell>
        </row>
        <row r="3192">
          <cell r="L3192" t="str">
            <v>MEOH</v>
          </cell>
          <cell r="M3192" t="e">
            <v>#REF!</v>
          </cell>
          <cell r="N3192" t="str">
            <v>MEOH</v>
          </cell>
          <cell r="O3192" t="e">
            <v>#N/A</v>
          </cell>
          <cell r="P3192" t="e">
            <v>#N/A</v>
          </cell>
          <cell r="Q3192" t="e">
            <v>#N/A</v>
          </cell>
          <cell r="R3192" t="e">
            <v>#N/A</v>
          </cell>
          <cell r="S3192" t="str">
            <v>MEOH</v>
          </cell>
        </row>
        <row r="3193">
          <cell r="L3193" t="str">
            <v>MFC</v>
          </cell>
          <cell r="M3193" t="e">
            <v>#REF!</v>
          </cell>
          <cell r="N3193" t="str">
            <v>MFC</v>
          </cell>
          <cell r="O3193" t="e">
            <v>#N/A</v>
          </cell>
          <cell r="P3193" t="e">
            <v>#N/A</v>
          </cell>
          <cell r="Q3193" t="e">
            <v>#N/A</v>
          </cell>
          <cell r="R3193" t="e">
            <v>#N/A</v>
          </cell>
          <cell r="S3193" t="str">
            <v>MFC</v>
          </cell>
        </row>
        <row r="3194">
          <cell r="L3194" t="str">
            <v>MFGP</v>
          </cell>
          <cell r="M3194" t="e">
            <v>#REF!</v>
          </cell>
          <cell r="N3194" t="str">
            <v>MFGP</v>
          </cell>
          <cell r="O3194" t="e">
            <v>#N/A</v>
          </cell>
          <cell r="P3194" t="e">
            <v>#N/A</v>
          </cell>
          <cell r="Q3194" t="e">
            <v>#N/A</v>
          </cell>
          <cell r="R3194" t="e">
            <v>#N/A</v>
          </cell>
          <cell r="S3194" t="str">
            <v>MFGP</v>
          </cell>
        </row>
        <row r="3195">
          <cell r="L3195" t="str">
            <v>MGA</v>
          </cell>
          <cell r="M3195" t="e">
            <v>#REF!</v>
          </cell>
          <cell r="N3195" t="str">
            <v>MGA</v>
          </cell>
          <cell r="O3195" t="e">
            <v>#N/A</v>
          </cell>
          <cell r="P3195" t="e">
            <v>#N/A</v>
          </cell>
          <cell r="Q3195" t="e">
            <v>#N/A</v>
          </cell>
          <cell r="R3195" t="e">
            <v>#N/A</v>
          </cell>
          <cell r="S3195" t="str">
            <v>MGA</v>
          </cell>
        </row>
        <row r="3196">
          <cell r="L3196" t="str">
            <v>MMP</v>
          </cell>
          <cell r="M3196" t="e">
            <v>#REF!</v>
          </cell>
          <cell r="N3196" t="str">
            <v>MMP</v>
          </cell>
          <cell r="O3196" t="e">
            <v>#N/A</v>
          </cell>
          <cell r="P3196" t="e">
            <v>#N/A</v>
          </cell>
          <cell r="Q3196" t="e">
            <v>#N/A</v>
          </cell>
          <cell r="R3196" t="e">
            <v>#N/A</v>
          </cell>
          <cell r="S3196" t="str">
            <v>MMP</v>
          </cell>
        </row>
        <row r="3197">
          <cell r="L3197" t="str">
            <v>MPLX</v>
          </cell>
          <cell r="M3197" t="e">
            <v>#REF!</v>
          </cell>
          <cell r="N3197" t="str">
            <v>MPLX</v>
          </cell>
          <cell r="O3197" t="e">
            <v>#N/A</v>
          </cell>
          <cell r="P3197" t="e">
            <v>#N/A</v>
          </cell>
          <cell r="Q3197" t="e">
            <v>#N/A</v>
          </cell>
          <cell r="R3197" t="e">
            <v>#N/A</v>
          </cell>
          <cell r="S3197" t="str">
            <v>MPLX</v>
          </cell>
        </row>
        <row r="3198">
          <cell r="L3198" t="str">
            <v>MT</v>
          </cell>
          <cell r="M3198" t="e">
            <v>#REF!</v>
          </cell>
          <cell r="N3198" t="str">
            <v>MT</v>
          </cell>
          <cell r="O3198" t="e">
            <v>#N/A</v>
          </cell>
          <cell r="P3198" t="e">
            <v>#N/A</v>
          </cell>
          <cell r="Q3198" t="e">
            <v>#N/A</v>
          </cell>
          <cell r="R3198" t="e">
            <v>#N/A</v>
          </cell>
          <cell r="S3198" t="str">
            <v>MT</v>
          </cell>
        </row>
        <row r="3199">
          <cell r="L3199" t="str">
            <v>NGG</v>
          </cell>
          <cell r="M3199" t="e">
            <v>#REF!</v>
          </cell>
          <cell r="N3199" t="str">
            <v>NGG</v>
          </cell>
          <cell r="O3199" t="e">
            <v>#N/A</v>
          </cell>
          <cell r="P3199" t="e">
            <v>#N/A</v>
          </cell>
          <cell r="Q3199" t="e">
            <v>#N/A</v>
          </cell>
          <cell r="R3199" t="e">
            <v>#N/A</v>
          </cell>
          <cell r="S3199" t="str">
            <v>NGG</v>
          </cell>
        </row>
        <row r="3200">
          <cell r="L3200" t="str">
            <v>NOK</v>
          </cell>
          <cell r="M3200" t="e">
            <v>#REF!</v>
          </cell>
          <cell r="N3200" t="str">
            <v>NOK</v>
          </cell>
          <cell r="O3200" t="e">
            <v>#N/A</v>
          </cell>
          <cell r="P3200" t="e">
            <v>#N/A</v>
          </cell>
          <cell r="Q3200" t="e">
            <v>#N/A</v>
          </cell>
          <cell r="R3200" t="e">
            <v>#N/A</v>
          </cell>
          <cell r="S3200" t="str">
            <v>NOK</v>
          </cell>
        </row>
        <row r="3201">
          <cell r="L3201" t="str">
            <v>NTR</v>
          </cell>
          <cell r="M3201" t="e">
            <v>#REF!</v>
          </cell>
          <cell r="N3201" t="str">
            <v>NTR</v>
          </cell>
          <cell r="O3201" t="e">
            <v>#N/A</v>
          </cell>
          <cell r="P3201" t="e">
            <v>#N/A</v>
          </cell>
          <cell r="Q3201" t="e">
            <v>#N/A</v>
          </cell>
          <cell r="R3201" t="e">
            <v>#N/A</v>
          </cell>
          <cell r="S3201" t="str">
            <v>NTR</v>
          </cell>
        </row>
        <row r="3202">
          <cell r="L3202" t="str">
            <v>NVO</v>
          </cell>
          <cell r="M3202" t="e">
            <v>#REF!</v>
          </cell>
          <cell r="N3202" t="str">
            <v>NVO</v>
          </cell>
          <cell r="O3202" t="e">
            <v>#N/A</v>
          </cell>
          <cell r="P3202" t="e">
            <v>#N/A</v>
          </cell>
          <cell r="Q3202" t="e">
            <v>#N/A</v>
          </cell>
          <cell r="R3202" t="e">
            <v>#N/A</v>
          </cell>
          <cell r="S3202" t="str">
            <v>NVO</v>
          </cell>
        </row>
        <row r="3203">
          <cell r="L3203" t="str">
            <v>NVS</v>
          </cell>
          <cell r="M3203" t="e">
            <v>#REF!</v>
          </cell>
          <cell r="N3203" t="str">
            <v>NVS</v>
          </cell>
          <cell r="O3203" t="e">
            <v>#N/A</v>
          </cell>
          <cell r="P3203" t="e">
            <v>#N/A</v>
          </cell>
          <cell r="Q3203" t="e">
            <v>#N/A</v>
          </cell>
          <cell r="R3203" t="e">
            <v>#N/A</v>
          </cell>
          <cell r="S3203" t="str">
            <v>NVS</v>
          </cell>
        </row>
        <row r="3204">
          <cell r="L3204" t="str">
            <v>NYLD</v>
          </cell>
          <cell r="M3204" t="e">
            <v>#REF!</v>
          </cell>
          <cell r="N3204" t="str">
            <v>NYLD</v>
          </cell>
          <cell r="O3204" t="str">
            <v>NRG YIELD INC-C</v>
          </cell>
          <cell r="P3204" t="str">
            <v>New York</v>
          </cell>
          <cell r="Q3204" t="str">
            <v>Utilities</v>
          </cell>
          <cell r="R3204" t="str">
            <v>Independent Power and Renewabl</v>
          </cell>
          <cell r="S3204" t="str">
            <v>NYLD</v>
          </cell>
        </row>
        <row r="3205">
          <cell r="L3205" t="str">
            <v>OAK</v>
          </cell>
          <cell r="M3205" t="e">
            <v>#REF!</v>
          </cell>
          <cell r="N3205" t="str">
            <v>OAK</v>
          </cell>
          <cell r="O3205" t="e">
            <v>#N/A</v>
          </cell>
          <cell r="P3205" t="e">
            <v>#N/A</v>
          </cell>
          <cell r="Q3205" t="e">
            <v>#N/A</v>
          </cell>
          <cell r="R3205" t="e">
            <v>#N/A</v>
          </cell>
          <cell r="S3205" t="str">
            <v>OAK</v>
          </cell>
        </row>
        <row r="3206">
          <cell r="L3206" t="str">
            <v>ORAN</v>
          </cell>
          <cell r="M3206" t="e">
            <v>#REF!</v>
          </cell>
          <cell r="N3206" t="str">
            <v>ORAN</v>
          </cell>
          <cell r="O3206" t="e">
            <v>#N/A</v>
          </cell>
          <cell r="P3206" t="e">
            <v>#N/A</v>
          </cell>
          <cell r="Q3206" t="e">
            <v>#N/A</v>
          </cell>
          <cell r="R3206" t="e">
            <v>#N/A</v>
          </cell>
          <cell r="S3206" t="str">
            <v>ORAN</v>
          </cell>
        </row>
        <row r="3207">
          <cell r="L3207" t="str">
            <v>OSB</v>
          </cell>
          <cell r="M3207" t="e">
            <v>#REF!</v>
          </cell>
          <cell r="N3207" t="str">
            <v>OSB</v>
          </cell>
          <cell r="O3207" t="e">
            <v>#N/A</v>
          </cell>
          <cell r="P3207" t="e">
            <v>#N/A</v>
          </cell>
          <cell r="Q3207" t="e">
            <v>#N/A</v>
          </cell>
          <cell r="R3207" t="e">
            <v>#N/A</v>
          </cell>
          <cell r="S3207" t="str">
            <v>OSB</v>
          </cell>
        </row>
        <row r="3208">
          <cell r="L3208" t="str">
            <v>OZK</v>
          </cell>
          <cell r="M3208" t="e">
            <v>#REF!</v>
          </cell>
          <cell r="N3208" t="str">
            <v>OZK</v>
          </cell>
          <cell r="O3208" t="e">
            <v>#N/A</v>
          </cell>
          <cell r="P3208" t="e">
            <v>#N/A</v>
          </cell>
          <cell r="Q3208" t="e">
            <v>#N/A</v>
          </cell>
          <cell r="R3208" t="e">
            <v>#N/A</v>
          </cell>
          <cell r="S3208" t="str">
            <v>OZK</v>
          </cell>
        </row>
        <row r="3209">
          <cell r="L3209" t="str">
            <v>PAA</v>
          </cell>
          <cell r="M3209" t="e">
            <v>#REF!</v>
          </cell>
          <cell r="N3209" t="str">
            <v>PAA</v>
          </cell>
          <cell r="O3209" t="e">
            <v>#N/A</v>
          </cell>
          <cell r="P3209" t="e">
            <v>#N/A</v>
          </cell>
          <cell r="Q3209" t="e">
            <v>#N/A</v>
          </cell>
          <cell r="R3209" t="e">
            <v>#N/A</v>
          </cell>
          <cell r="S3209" t="str">
            <v>PAA</v>
          </cell>
        </row>
        <row r="3210">
          <cell r="L3210" t="str">
            <v>PAC</v>
          </cell>
          <cell r="M3210" t="e">
            <v>#REF!</v>
          </cell>
          <cell r="N3210" t="str">
            <v>PAC</v>
          </cell>
          <cell r="O3210" t="e">
            <v>#N/A</v>
          </cell>
          <cell r="P3210" t="e">
            <v>#N/A</v>
          </cell>
          <cell r="Q3210" t="e">
            <v>#N/A</v>
          </cell>
          <cell r="R3210" t="e">
            <v>#N/A</v>
          </cell>
          <cell r="S3210" t="str">
            <v>PAC</v>
          </cell>
        </row>
        <row r="3211">
          <cell r="L3211" t="str">
            <v>PAGP</v>
          </cell>
          <cell r="M3211" t="e">
            <v>#REF!</v>
          </cell>
          <cell r="N3211" t="str">
            <v>PAGP</v>
          </cell>
          <cell r="O3211" t="e">
            <v>#N/A</v>
          </cell>
          <cell r="P3211" t="e">
            <v>#N/A</v>
          </cell>
          <cell r="Q3211" t="e">
            <v>#N/A</v>
          </cell>
          <cell r="R3211" t="e">
            <v>#N/A</v>
          </cell>
          <cell r="S3211" t="str">
            <v>PAGP</v>
          </cell>
        </row>
        <row r="3212">
          <cell r="L3212" t="str">
            <v>PAGS</v>
          </cell>
          <cell r="M3212" t="e">
            <v>#REF!</v>
          </cell>
          <cell r="N3212" t="str">
            <v>PAGS</v>
          </cell>
          <cell r="O3212" t="e">
            <v>#N/A</v>
          </cell>
          <cell r="P3212" t="e">
            <v>#N/A</v>
          </cell>
          <cell r="Q3212" t="e">
            <v>#N/A</v>
          </cell>
          <cell r="R3212" t="e">
            <v>#N/A</v>
          </cell>
          <cell r="S3212" t="str">
            <v>PAGS</v>
          </cell>
        </row>
        <row r="3213">
          <cell r="L3213" t="str">
            <v>PBA</v>
          </cell>
          <cell r="M3213" t="e">
            <v>#REF!</v>
          </cell>
          <cell r="N3213" t="str">
            <v>PBA</v>
          </cell>
          <cell r="O3213" t="e">
            <v>#N/A</v>
          </cell>
          <cell r="P3213" t="e">
            <v>#N/A</v>
          </cell>
          <cell r="Q3213" t="e">
            <v>#N/A</v>
          </cell>
          <cell r="R3213" t="e">
            <v>#N/A</v>
          </cell>
          <cell r="S3213" t="str">
            <v>PBA</v>
          </cell>
        </row>
        <row r="3214">
          <cell r="L3214" t="str">
            <v>PBR</v>
          </cell>
          <cell r="M3214" t="e">
            <v>#REF!</v>
          </cell>
          <cell r="N3214" t="str">
            <v>PBR</v>
          </cell>
          <cell r="O3214" t="e">
            <v>#N/A</v>
          </cell>
          <cell r="P3214" t="e">
            <v>#N/A</v>
          </cell>
          <cell r="Q3214" t="e">
            <v>#N/A</v>
          </cell>
          <cell r="R3214" t="e">
            <v>#N/A</v>
          </cell>
          <cell r="S3214" t="str">
            <v>PBR</v>
          </cell>
        </row>
        <row r="3215">
          <cell r="L3215" t="str">
            <v>PHG</v>
          </cell>
          <cell r="M3215" t="e">
            <v>#REF!</v>
          </cell>
          <cell r="N3215" t="str">
            <v>PHG</v>
          </cell>
          <cell r="O3215" t="e">
            <v>#N/A</v>
          </cell>
          <cell r="P3215" t="e">
            <v>#N/A</v>
          </cell>
          <cell r="Q3215" t="e">
            <v>#N/A</v>
          </cell>
          <cell r="R3215" t="e">
            <v>#N/A</v>
          </cell>
          <cell r="S3215" t="str">
            <v>PHG</v>
          </cell>
        </row>
        <row r="3216">
          <cell r="L3216" t="str">
            <v>PHI</v>
          </cell>
          <cell r="M3216" t="e">
            <v>#REF!</v>
          </cell>
          <cell r="N3216" t="str">
            <v>PHI</v>
          </cell>
          <cell r="O3216" t="e">
            <v>#N/A</v>
          </cell>
          <cell r="P3216" t="e">
            <v>#N/A</v>
          </cell>
          <cell r="Q3216" t="e">
            <v>#N/A</v>
          </cell>
          <cell r="R3216" t="e">
            <v>#N/A</v>
          </cell>
          <cell r="S3216" t="str">
            <v>PHI</v>
          </cell>
        </row>
        <row r="3217">
          <cell r="L3217" t="str">
            <v>PKX</v>
          </cell>
          <cell r="M3217" t="e">
            <v>#REF!</v>
          </cell>
          <cell r="N3217" t="str">
            <v>PKX</v>
          </cell>
          <cell r="O3217" t="e">
            <v>#N/A</v>
          </cell>
          <cell r="P3217" t="e">
            <v>#N/A</v>
          </cell>
          <cell r="Q3217" t="e">
            <v>#N/A</v>
          </cell>
          <cell r="R3217" t="e">
            <v>#N/A</v>
          </cell>
          <cell r="S3217" t="str">
            <v>PKX</v>
          </cell>
        </row>
        <row r="3218">
          <cell r="L3218" t="str">
            <v>PSO</v>
          </cell>
          <cell r="M3218" t="e">
            <v>#REF!</v>
          </cell>
          <cell r="N3218" t="str">
            <v>PSO</v>
          </cell>
          <cell r="O3218" t="e">
            <v>#N/A</v>
          </cell>
          <cell r="P3218" t="e">
            <v>#N/A</v>
          </cell>
          <cell r="Q3218" t="e">
            <v>#N/A</v>
          </cell>
          <cell r="R3218" t="e">
            <v>#N/A</v>
          </cell>
          <cell r="S3218" t="str">
            <v>PSO</v>
          </cell>
        </row>
        <row r="3219">
          <cell r="L3219" t="str">
            <v>PSXP</v>
          </cell>
          <cell r="M3219" t="e">
            <v>#REF!</v>
          </cell>
          <cell r="N3219" t="str">
            <v>PSXP</v>
          </cell>
          <cell r="O3219" t="e">
            <v>#N/A</v>
          </cell>
          <cell r="P3219" t="e">
            <v>#N/A</v>
          </cell>
          <cell r="Q3219" t="e">
            <v>#N/A</v>
          </cell>
          <cell r="R3219" t="e">
            <v>#N/A</v>
          </cell>
          <cell r="S3219" t="str">
            <v>PSXP</v>
          </cell>
        </row>
        <row r="3220">
          <cell r="L3220" t="str">
            <v>PTR</v>
          </cell>
          <cell r="M3220" t="e">
            <v>#REF!</v>
          </cell>
          <cell r="N3220" t="str">
            <v>PTR</v>
          </cell>
          <cell r="O3220" t="e">
            <v>#N/A</v>
          </cell>
          <cell r="P3220" t="e">
            <v>#N/A</v>
          </cell>
          <cell r="Q3220" t="e">
            <v>#N/A</v>
          </cell>
          <cell r="R3220" t="e">
            <v>#N/A</v>
          </cell>
          <cell r="S3220" t="str">
            <v>PTR</v>
          </cell>
        </row>
        <row r="3221">
          <cell r="L3221" t="str">
            <v>PUK</v>
          </cell>
          <cell r="M3221" t="e">
            <v>#REF!</v>
          </cell>
          <cell r="N3221" t="str">
            <v>PUK</v>
          </cell>
          <cell r="O3221" t="e">
            <v>#N/A</v>
          </cell>
          <cell r="P3221" t="e">
            <v>#N/A</v>
          </cell>
          <cell r="Q3221" t="e">
            <v>#N/A</v>
          </cell>
          <cell r="R3221" t="e">
            <v>#N/A</v>
          </cell>
          <cell r="S3221" t="str">
            <v>PUK</v>
          </cell>
        </row>
        <row r="3222">
          <cell r="L3222" t="str">
            <v>QSR</v>
          </cell>
          <cell r="M3222" t="e">
            <v>#REF!</v>
          </cell>
          <cell r="N3222" t="str">
            <v>QSR</v>
          </cell>
          <cell r="O3222" t="e">
            <v>#N/A</v>
          </cell>
          <cell r="P3222" t="e">
            <v>#N/A</v>
          </cell>
          <cell r="Q3222" t="e">
            <v>#N/A</v>
          </cell>
          <cell r="R3222" t="e">
            <v>#N/A</v>
          </cell>
          <cell r="S3222" t="str">
            <v>QSR</v>
          </cell>
        </row>
        <row r="3223">
          <cell r="L3223" t="str">
            <v>RACE</v>
          </cell>
          <cell r="M3223" t="e">
            <v>#REF!</v>
          </cell>
          <cell r="N3223" t="str">
            <v>RACE</v>
          </cell>
          <cell r="O3223" t="e">
            <v>#N/A</v>
          </cell>
          <cell r="P3223" t="e">
            <v>#N/A</v>
          </cell>
          <cell r="Q3223" t="e">
            <v>#N/A</v>
          </cell>
          <cell r="R3223" t="e">
            <v>#N/A</v>
          </cell>
          <cell r="S3223" t="str">
            <v>RACE</v>
          </cell>
        </row>
        <row r="3224">
          <cell r="L3224" t="str">
            <v>RBA</v>
          </cell>
          <cell r="M3224" t="e">
            <v>#REF!</v>
          </cell>
          <cell r="N3224" t="str">
            <v>RBA</v>
          </cell>
          <cell r="O3224" t="e">
            <v>#N/A</v>
          </cell>
          <cell r="P3224" t="e">
            <v>#N/A</v>
          </cell>
          <cell r="Q3224" t="e">
            <v>#N/A</v>
          </cell>
          <cell r="R3224" t="e">
            <v>#N/A</v>
          </cell>
          <cell r="S3224" t="str">
            <v>RBA</v>
          </cell>
        </row>
        <row r="3225">
          <cell r="L3225" t="str">
            <v>RBS</v>
          </cell>
          <cell r="M3225" t="e">
            <v>#REF!</v>
          </cell>
          <cell r="N3225" t="str">
            <v>RBS</v>
          </cell>
          <cell r="O3225" t="e">
            <v>#N/A</v>
          </cell>
          <cell r="P3225" t="e">
            <v>#N/A</v>
          </cell>
          <cell r="Q3225" t="e">
            <v>#N/A</v>
          </cell>
          <cell r="R3225" t="e">
            <v>#N/A</v>
          </cell>
          <cell r="S3225" t="str">
            <v>RBS</v>
          </cell>
        </row>
        <row r="3226">
          <cell r="L3226" t="str">
            <v>RCI</v>
          </cell>
          <cell r="M3226" t="e">
            <v>#REF!</v>
          </cell>
          <cell r="N3226" t="str">
            <v>RCI</v>
          </cell>
          <cell r="O3226" t="e">
            <v>#N/A</v>
          </cell>
          <cell r="P3226" t="e">
            <v>#N/A</v>
          </cell>
          <cell r="Q3226" t="e">
            <v>#N/A</v>
          </cell>
          <cell r="R3226" t="e">
            <v>#N/A</v>
          </cell>
          <cell r="S3226" t="str">
            <v>RCI</v>
          </cell>
        </row>
        <row r="3227">
          <cell r="L3227" t="str">
            <v>RDS.A</v>
          </cell>
          <cell r="M3227" t="e">
            <v>#REF!</v>
          </cell>
          <cell r="N3227" t="str">
            <v>RDS.A</v>
          </cell>
          <cell r="O3227" t="e">
            <v>#N/A</v>
          </cell>
          <cell r="P3227" t="e">
            <v>#N/A</v>
          </cell>
          <cell r="Q3227" t="e">
            <v>#N/A</v>
          </cell>
          <cell r="R3227" t="e">
            <v>#N/A</v>
          </cell>
          <cell r="S3227" t="str">
            <v>RDS.A</v>
          </cell>
        </row>
        <row r="3228">
          <cell r="L3228" t="str">
            <v>RDY</v>
          </cell>
          <cell r="M3228" t="e">
            <v>#REF!</v>
          </cell>
          <cell r="N3228" t="str">
            <v>RDY</v>
          </cell>
          <cell r="O3228" t="e">
            <v>#N/A</v>
          </cell>
          <cell r="P3228" t="e">
            <v>#N/A</v>
          </cell>
          <cell r="Q3228" t="e">
            <v>#N/A</v>
          </cell>
          <cell r="R3228" t="e">
            <v>#N/A</v>
          </cell>
          <cell r="S3228" t="str">
            <v>RDY</v>
          </cell>
        </row>
        <row r="3229">
          <cell r="L3229" t="str">
            <v>RELX</v>
          </cell>
          <cell r="M3229" t="e">
            <v>#REF!</v>
          </cell>
          <cell r="N3229" t="str">
            <v>RELX</v>
          </cell>
          <cell r="O3229" t="e">
            <v>#N/A</v>
          </cell>
          <cell r="P3229" t="e">
            <v>#N/A</v>
          </cell>
          <cell r="Q3229" t="e">
            <v>#N/A</v>
          </cell>
          <cell r="R3229" t="e">
            <v>#N/A</v>
          </cell>
          <cell r="S3229" t="str">
            <v>RELX</v>
          </cell>
        </row>
        <row r="3230">
          <cell r="L3230" t="str">
            <v>RENX</v>
          </cell>
          <cell r="M3230" t="e">
            <v>#REF!</v>
          </cell>
          <cell r="N3230" t="str">
            <v>RENX</v>
          </cell>
          <cell r="O3230" t="e">
            <v>#N/A</v>
          </cell>
          <cell r="P3230" t="e">
            <v>#N/A</v>
          </cell>
          <cell r="Q3230" t="e">
            <v>#N/A</v>
          </cell>
          <cell r="R3230" t="e">
            <v>#N/A</v>
          </cell>
          <cell r="S3230" t="str">
            <v>RENX</v>
          </cell>
        </row>
        <row r="3231">
          <cell r="L3231" t="str">
            <v>RIO</v>
          </cell>
          <cell r="M3231" t="e">
            <v>#REF!</v>
          </cell>
          <cell r="N3231" t="str">
            <v>RIO</v>
          </cell>
          <cell r="O3231" t="e">
            <v>#N/A</v>
          </cell>
          <cell r="P3231" t="e">
            <v>#N/A</v>
          </cell>
          <cell r="Q3231" t="e">
            <v>#N/A</v>
          </cell>
          <cell r="R3231" t="e">
            <v>#N/A</v>
          </cell>
          <cell r="S3231" t="str">
            <v>RIO</v>
          </cell>
        </row>
        <row r="3232">
          <cell r="L3232" t="str">
            <v>RY</v>
          </cell>
          <cell r="M3232" t="e">
            <v>#REF!</v>
          </cell>
          <cell r="N3232" t="str">
            <v>RY</v>
          </cell>
          <cell r="O3232" t="e">
            <v>#N/A</v>
          </cell>
          <cell r="P3232" t="e">
            <v>#N/A</v>
          </cell>
          <cell r="Q3232" t="e">
            <v>#N/A</v>
          </cell>
          <cell r="R3232" t="e">
            <v>#N/A</v>
          </cell>
          <cell r="S3232" t="str">
            <v>RY</v>
          </cell>
        </row>
        <row r="3233">
          <cell r="L3233" t="str">
            <v>SAP</v>
          </cell>
          <cell r="M3233" t="e">
            <v>#REF!</v>
          </cell>
          <cell r="N3233" t="str">
            <v>SAP</v>
          </cell>
          <cell r="O3233" t="e">
            <v>#N/A</v>
          </cell>
          <cell r="P3233" t="e">
            <v>#N/A</v>
          </cell>
          <cell r="Q3233" t="e">
            <v>#N/A</v>
          </cell>
          <cell r="R3233" t="e">
            <v>#N/A</v>
          </cell>
          <cell r="S3233" t="str">
            <v>SAP</v>
          </cell>
        </row>
        <row r="3234">
          <cell r="L3234" t="str">
            <v>SBS</v>
          </cell>
          <cell r="M3234" t="e">
            <v>#REF!</v>
          </cell>
          <cell r="N3234" t="str">
            <v>SBS</v>
          </cell>
          <cell r="O3234" t="e">
            <v>#N/A</v>
          </cell>
          <cell r="P3234" t="e">
            <v>#N/A</v>
          </cell>
          <cell r="Q3234" t="e">
            <v>#N/A</v>
          </cell>
          <cell r="R3234" t="e">
            <v>#N/A</v>
          </cell>
          <cell r="S3234" t="str">
            <v>SBS</v>
          </cell>
        </row>
        <row r="3235">
          <cell r="L3235" t="str">
            <v>SE</v>
          </cell>
          <cell r="M3235" t="e">
            <v>#REF!</v>
          </cell>
          <cell r="N3235" t="str">
            <v>SE</v>
          </cell>
          <cell r="O3235" t="e">
            <v>#N/A</v>
          </cell>
          <cell r="P3235" t="e">
            <v>#N/A</v>
          </cell>
          <cell r="Q3235" t="e">
            <v>#N/A</v>
          </cell>
          <cell r="R3235" t="e">
            <v>#N/A</v>
          </cell>
          <cell r="S3235" t="str">
            <v>SE</v>
          </cell>
        </row>
        <row r="3236">
          <cell r="L3236" t="str">
            <v>SEP</v>
          </cell>
          <cell r="M3236" t="e">
            <v>#REF!</v>
          </cell>
          <cell r="N3236" t="str">
            <v>SEP</v>
          </cell>
          <cell r="O3236" t="e">
            <v>#N/A</v>
          </cell>
          <cell r="P3236" t="e">
            <v>#N/A</v>
          </cell>
          <cell r="Q3236" t="e">
            <v>#N/A</v>
          </cell>
          <cell r="R3236" t="e">
            <v>#N/A</v>
          </cell>
          <cell r="S3236" t="str">
            <v>SEP</v>
          </cell>
        </row>
        <row r="3237">
          <cell r="L3237" t="str">
            <v>SHG</v>
          </cell>
          <cell r="M3237" t="e">
            <v>#REF!</v>
          </cell>
          <cell r="N3237" t="str">
            <v>SHG</v>
          </cell>
          <cell r="O3237" t="e">
            <v>#N/A</v>
          </cell>
          <cell r="P3237" t="e">
            <v>#N/A</v>
          </cell>
          <cell r="Q3237" t="e">
            <v>#N/A</v>
          </cell>
          <cell r="R3237" t="e">
            <v>#N/A</v>
          </cell>
          <cell r="S3237" t="str">
            <v>SHG</v>
          </cell>
        </row>
        <row r="3238">
          <cell r="L3238" t="str">
            <v>SHLX</v>
          </cell>
          <cell r="M3238" t="e">
            <v>#REF!</v>
          </cell>
          <cell r="N3238" t="str">
            <v>SHLX</v>
          </cell>
          <cell r="O3238" t="e">
            <v>#N/A</v>
          </cell>
          <cell r="P3238" t="e">
            <v>#N/A</v>
          </cell>
          <cell r="Q3238" t="e">
            <v>#N/A</v>
          </cell>
          <cell r="R3238" t="e">
            <v>#N/A</v>
          </cell>
          <cell r="S3238" t="str">
            <v>SHLX</v>
          </cell>
        </row>
        <row r="3239">
          <cell r="L3239" t="str">
            <v>SHOP</v>
          </cell>
          <cell r="M3239" t="e">
            <v>#REF!</v>
          </cell>
          <cell r="N3239" t="str">
            <v>SHOP</v>
          </cell>
          <cell r="O3239" t="e">
            <v>#N/A</v>
          </cell>
          <cell r="P3239" t="e">
            <v>#N/A</v>
          </cell>
          <cell r="Q3239" t="e">
            <v>#N/A</v>
          </cell>
          <cell r="R3239" t="e">
            <v>#N/A</v>
          </cell>
          <cell r="S3239" t="str">
            <v>SHOP</v>
          </cell>
        </row>
        <row r="3240">
          <cell r="L3240" t="str">
            <v>SJR</v>
          </cell>
          <cell r="M3240" t="e">
            <v>#REF!</v>
          </cell>
          <cell r="N3240" t="str">
            <v>SJR</v>
          </cell>
          <cell r="O3240" t="e">
            <v>#N/A</v>
          </cell>
          <cell r="P3240" t="e">
            <v>#N/A</v>
          </cell>
          <cell r="Q3240" t="e">
            <v>#N/A</v>
          </cell>
          <cell r="R3240" t="e">
            <v>#N/A</v>
          </cell>
          <cell r="S3240" t="str">
            <v>SJR</v>
          </cell>
        </row>
        <row r="3241">
          <cell r="L3241" t="str">
            <v>SLF</v>
          </cell>
          <cell r="M3241" t="e">
            <v>#REF!</v>
          </cell>
          <cell r="N3241" t="str">
            <v>SLF</v>
          </cell>
          <cell r="O3241" t="e">
            <v>#N/A</v>
          </cell>
          <cell r="P3241" t="e">
            <v>#N/A</v>
          </cell>
          <cell r="Q3241" t="e">
            <v>#N/A</v>
          </cell>
          <cell r="R3241" t="e">
            <v>#N/A</v>
          </cell>
          <cell r="S3241" t="str">
            <v>SLF</v>
          </cell>
        </row>
        <row r="3242">
          <cell r="L3242" t="str">
            <v>SMFG</v>
          </cell>
          <cell r="M3242" t="e">
            <v>#REF!</v>
          </cell>
          <cell r="N3242" t="str">
            <v>SMFG</v>
          </cell>
          <cell r="O3242" t="e">
            <v>#N/A</v>
          </cell>
          <cell r="P3242" t="e">
            <v>#N/A</v>
          </cell>
          <cell r="Q3242" t="e">
            <v>#N/A</v>
          </cell>
          <cell r="R3242" t="e">
            <v>#N/A</v>
          </cell>
          <cell r="S3242" t="str">
            <v>SMFG</v>
          </cell>
        </row>
        <row r="3243">
          <cell r="L3243" t="str">
            <v>SMI</v>
          </cell>
          <cell r="M3243" t="e">
            <v>#REF!</v>
          </cell>
          <cell r="N3243" t="str">
            <v>SMI</v>
          </cell>
          <cell r="O3243" t="e">
            <v>#N/A</v>
          </cell>
          <cell r="P3243" t="e">
            <v>#N/A</v>
          </cell>
          <cell r="Q3243" t="e">
            <v>#N/A</v>
          </cell>
          <cell r="R3243" t="e">
            <v>#N/A</v>
          </cell>
          <cell r="S3243" t="str">
            <v>SMI</v>
          </cell>
        </row>
        <row r="3244">
          <cell r="L3244" t="str">
            <v>SNAP</v>
          </cell>
          <cell r="M3244" t="e">
            <v>#REF!</v>
          </cell>
          <cell r="N3244" t="str">
            <v>SNAP</v>
          </cell>
          <cell r="O3244" t="e">
            <v>#N/A</v>
          </cell>
          <cell r="P3244" t="e">
            <v>#N/A</v>
          </cell>
          <cell r="Q3244" t="e">
            <v>#N/A</v>
          </cell>
          <cell r="R3244" t="e">
            <v>#N/A</v>
          </cell>
          <cell r="S3244" t="str">
            <v>SNAP</v>
          </cell>
        </row>
        <row r="3245">
          <cell r="L3245" t="str">
            <v>SNE</v>
          </cell>
          <cell r="M3245" t="e">
            <v>#REF!</v>
          </cell>
          <cell r="N3245" t="str">
            <v>SNE</v>
          </cell>
          <cell r="O3245" t="e">
            <v>#N/A</v>
          </cell>
          <cell r="P3245" t="e">
            <v>#N/A</v>
          </cell>
          <cell r="Q3245" t="e">
            <v>#N/A</v>
          </cell>
          <cell r="R3245" t="e">
            <v>#N/A</v>
          </cell>
          <cell r="S3245" t="str">
            <v>SNE</v>
          </cell>
        </row>
        <row r="3246">
          <cell r="L3246" t="str">
            <v>SNN</v>
          </cell>
          <cell r="M3246" t="e">
            <v>#REF!</v>
          </cell>
          <cell r="N3246" t="str">
            <v>SNN</v>
          </cell>
          <cell r="O3246" t="e">
            <v>#N/A</v>
          </cell>
          <cell r="P3246" t="e">
            <v>#N/A</v>
          </cell>
          <cell r="Q3246" t="e">
            <v>#N/A</v>
          </cell>
          <cell r="R3246" t="e">
            <v>#N/A</v>
          </cell>
          <cell r="S3246" t="str">
            <v>SNN</v>
          </cell>
        </row>
        <row r="3247">
          <cell r="L3247" t="str">
            <v>SNP</v>
          </cell>
          <cell r="M3247" t="e">
            <v>#REF!</v>
          </cell>
          <cell r="N3247" t="str">
            <v>SNP</v>
          </cell>
          <cell r="O3247" t="e">
            <v>#N/A</v>
          </cell>
          <cell r="P3247" t="e">
            <v>#N/A</v>
          </cell>
          <cell r="Q3247" t="e">
            <v>#N/A</v>
          </cell>
          <cell r="R3247" t="e">
            <v>#N/A</v>
          </cell>
          <cell r="S3247" t="str">
            <v>SNP</v>
          </cell>
        </row>
        <row r="3248">
          <cell r="L3248" t="str">
            <v>SNY</v>
          </cell>
          <cell r="M3248" t="e">
            <v>#REF!</v>
          </cell>
          <cell r="N3248" t="str">
            <v>SNY</v>
          </cell>
          <cell r="O3248" t="e">
            <v>#N/A</v>
          </cell>
          <cell r="P3248" t="e">
            <v>#N/A</v>
          </cell>
          <cell r="Q3248" t="e">
            <v>#N/A</v>
          </cell>
          <cell r="R3248" t="e">
            <v>#N/A</v>
          </cell>
          <cell r="S3248" t="str">
            <v>SNY</v>
          </cell>
        </row>
        <row r="3249">
          <cell r="L3249" t="str">
            <v>SOGO</v>
          </cell>
          <cell r="M3249" t="e">
            <v>#REF!</v>
          </cell>
          <cell r="N3249" t="str">
            <v>SOGO</v>
          </cell>
          <cell r="O3249" t="e">
            <v>#N/A</v>
          </cell>
          <cell r="P3249" t="e">
            <v>#N/A</v>
          </cell>
          <cell r="Q3249" t="e">
            <v>#N/A</v>
          </cell>
          <cell r="R3249" t="e">
            <v>#N/A</v>
          </cell>
          <cell r="S3249" t="str">
            <v>SOGO</v>
          </cell>
        </row>
        <row r="3250">
          <cell r="L3250" t="str">
            <v>SQM</v>
          </cell>
          <cell r="M3250" t="e">
            <v>#REF!</v>
          </cell>
          <cell r="N3250" t="str">
            <v>SQM</v>
          </cell>
          <cell r="O3250" t="e">
            <v>#N/A</v>
          </cell>
          <cell r="P3250" t="e">
            <v>#N/A</v>
          </cell>
          <cell r="Q3250" t="e">
            <v>#N/A</v>
          </cell>
          <cell r="R3250" t="e">
            <v>#N/A</v>
          </cell>
          <cell r="S3250" t="str">
            <v>SQM</v>
          </cell>
        </row>
        <row r="3251">
          <cell r="L3251" t="str">
            <v>SSL</v>
          </cell>
          <cell r="M3251" t="e">
            <v>#REF!</v>
          </cell>
          <cell r="N3251" t="str">
            <v>SSL</v>
          </cell>
          <cell r="O3251" t="e">
            <v>#N/A</v>
          </cell>
          <cell r="P3251" t="e">
            <v>#N/A</v>
          </cell>
          <cell r="Q3251" t="e">
            <v>#N/A</v>
          </cell>
          <cell r="R3251" t="e">
            <v>#N/A</v>
          </cell>
          <cell r="S3251" t="str">
            <v>SSL</v>
          </cell>
        </row>
        <row r="3252">
          <cell r="L3252" t="str">
            <v>STM</v>
          </cell>
          <cell r="M3252" t="e">
            <v>#REF!</v>
          </cell>
          <cell r="N3252" t="str">
            <v>STM</v>
          </cell>
          <cell r="O3252" t="e">
            <v>#N/A</v>
          </cell>
          <cell r="P3252" t="e">
            <v>#N/A</v>
          </cell>
          <cell r="Q3252" t="e">
            <v>#N/A</v>
          </cell>
          <cell r="R3252" t="e">
            <v>#N/A</v>
          </cell>
          <cell r="S3252" t="str">
            <v>STM</v>
          </cell>
        </row>
        <row r="3253">
          <cell r="L3253" t="str">
            <v>SU</v>
          </cell>
          <cell r="M3253" t="e">
            <v>#REF!</v>
          </cell>
          <cell r="N3253" t="str">
            <v>SU</v>
          </cell>
          <cell r="O3253" t="e">
            <v>#N/A</v>
          </cell>
          <cell r="P3253" t="e">
            <v>#N/A</v>
          </cell>
          <cell r="Q3253" t="e">
            <v>#N/A</v>
          </cell>
          <cell r="R3253" t="e">
            <v>#N/A</v>
          </cell>
          <cell r="S3253" t="str">
            <v>SU</v>
          </cell>
        </row>
        <row r="3254">
          <cell r="L3254" t="str">
            <v>T.TRI</v>
          </cell>
          <cell r="M3254" t="e">
            <v>#REF!</v>
          </cell>
          <cell r="N3254" t="str">
            <v>T.TRI</v>
          </cell>
          <cell r="O3254" t="e">
            <v>#N/A</v>
          </cell>
          <cell r="P3254" t="e">
            <v>#N/A</v>
          </cell>
          <cell r="Q3254" t="e">
            <v>#N/A</v>
          </cell>
          <cell r="R3254" t="e">
            <v>#N/A</v>
          </cell>
          <cell r="S3254" t="str">
            <v>T.TRI</v>
          </cell>
        </row>
        <row r="3255">
          <cell r="L3255" t="str">
            <v>TAL</v>
          </cell>
          <cell r="M3255" t="e">
            <v>#REF!</v>
          </cell>
          <cell r="N3255" t="str">
            <v>TAL</v>
          </cell>
          <cell r="O3255" t="e">
            <v>#N/A</v>
          </cell>
          <cell r="P3255" t="e">
            <v>#N/A</v>
          </cell>
          <cell r="Q3255" t="e">
            <v>#N/A</v>
          </cell>
          <cell r="R3255" t="e">
            <v>#N/A</v>
          </cell>
          <cell r="S3255" t="str">
            <v>TAL</v>
          </cell>
        </row>
        <row r="3256">
          <cell r="L3256" t="str">
            <v>TARO</v>
          </cell>
          <cell r="M3256" t="e">
            <v>#REF!</v>
          </cell>
          <cell r="N3256" t="str">
            <v>TARO</v>
          </cell>
          <cell r="O3256" t="e">
            <v>#N/A</v>
          </cell>
          <cell r="P3256" t="e">
            <v>#N/A</v>
          </cell>
          <cell r="Q3256" t="e">
            <v>#N/A</v>
          </cell>
          <cell r="R3256" t="e">
            <v>#N/A</v>
          </cell>
          <cell r="S3256" t="str">
            <v>TARO</v>
          </cell>
        </row>
        <row r="3257">
          <cell r="L3257" t="str">
            <v>TD</v>
          </cell>
          <cell r="M3257" t="e">
            <v>#REF!</v>
          </cell>
          <cell r="N3257" t="str">
            <v>TD</v>
          </cell>
          <cell r="O3257" t="e">
            <v>#N/A</v>
          </cell>
          <cell r="P3257" t="e">
            <v>#N/A</v>
          </cell>
          <cell r="Q3257" t="e">
            <v>#N/A</v>
          </cell>
          <cell r="R3257" t="e">
            <v>#N/A</v>
          </cell>
          <cell r="S3257" t="str">
            <v>TD</v>
          </cell>
        </row>
        <row r="3258">
          <cell r="L3258" t="str">
            <v>TECK</v>
          </cell>
          <cell r="M3258" t="e">
            <v>#REF!</v>
          </cell>
          <cell r="N3258" t="str">
            <v>TECK</v>
          </cell>
          <cell r="O3258" t="e">
            <v>#N/A</v>
          </cell>
          <cell r="P3258" t="e">
            <v>#N/A</v>
          </cell>
          <cell r="Q3258" t="e">
            <v>#N/A</v>
          </cell>
          <cell r="R3258" t="e">
            <v>#N/A</v>
          </cell>
          <cell r="S3258" t="str">
            <v>TECK</v>
          </cell>
        </row>
        <row r="3259">
          <cell r="L3259" t="str">
            <v>TEF</v>
          </cell>
          <cell r="M3259" t="e">
            <v>#REF!</v>
          </cell>
          <cell r="N3259" t="str">
            <v>TEF</v>
          </cell>
          <cell r="O3259" t="e">
            <v>#N/A</v>
          </cell>
          <cell r="P3259" t="e">
            <v>#N/A</v>
          </cell>
          <cell r="Q3259" t="e">
            <v>#N/A</v>
          </cell>
          <cell r="R3259" t="e">
            <v>#N/A</v>
          </cell>
          <cell r="S3259" t="str">
            <v>TEF</v>
          </cell>
        </row>
        <row r="3260">
          <cell r="L3260" t="str">
            <v>TEO</v>
          </cell>
          <cell r="M3260" t="e">
            <v>#REF!</v>
          </cell>
          <cell r="N3260" t="str">
            <v>TEO</v>
          </cell>
          <cell r="O3260" t="e">
            <v>#N/A</v>
          </cell>
          <cell r="P3260" t="e">
            <v>#N/A</v>
          </cell>
          <cell r="Q3260" t="e">
            <v>#N/A</v>
          </cell>
          <cell r="R3260" t="e">
            <v>#N/A</v>
          </cell>
          <cell r="S3260" t="str">
            <v>TEO</v>
          </cell>
        </row>
        <row r="3261">
          <cell r="L3261" t="str">
            <v>TEVA</v>
          </cell>
          <cell r="M3261" t="e">
            <v>#REF!</v>
          </cell>
          <cell r="N3261" t="str">
            <v>TEVA</v>
          </cell>
          <cell r="O3261" t="e">
            <v>#N/A</v>
          </cell>
          <cell r="P3261" t="e">
            <v>#N/A</v>
          </cell>
          <cell r="Q3261" t="e">
            <v>#N/A</v>
          </cell>
          <cell r="R3261" t="e">
            <v>#N/A</v>
          </cell>
          <cell r="S3261" t="str">
            <v>TEVA</v>
          </cell>
        </row>
        <row r="3262">
          <cell r="L3262" t="str">
            <v>TGE</v>
          </cell>
          <cell r="M3262" t="e">
            <v>#REF!</v>
          </cell>
          <cell r="N3262" t="str">
            <v>TGE</v>
          </cell>
          <cell r="O3262" t="e">
            <v>#N/A</v>
          </cell>
          <cell r="P3262" t="e">
            <v>#N/A</v>
          </cell>
          <cell r="Q3262" t="e">
            <v>#N/A</v>
          </cell>
          <cell r="R3262" t="e">
            <v>#N/A</v>
          </cell>
          <cell r="S3262" t="str">
            <v>TGE</v>
          </cell>
        </row>
        <row r="3263">
          <cell r="L3263" t="str">
            <v>TI</v>
          </cell>
          <cell r="M3263" t="e">
            <v>#REF!</v>
          </cell>
          <cell r="N3263" t="str">
            <v>TI</v>
          </cell>
          <cell r="O3263" t="e">
            <v>#N/A</v>
          </cell>
          <cell r="P3263" t="e">
            <v>#N/A</v>
          </cell>
          <cell r="Q3263" t="e">
            <v>#N/A</v>
          </cell>
          <cell r="R3263" t="e">
            <v>#N/A</v>
          </cell>
          <cell r="S3263" t="str">
            <v>TI</v>
          </cell>
        </row>
        <row r="3264">
          <cell r="L3264" t="str">
            <v>TKC</v>
          </cell>
          <cell r="M3264" t="e">
            <v>#REF!</v>
          </cell>
          <cell r="N3264" t="str">
            <v>TKC</v>
          </cell>
          <cell r="O3264" t="e">
            <v>#N/A</v>
          </cell>
          <cell r="P3264" t="e">
            <v>#N/A</v>
          </cell>
          <cell r="Q3264" t="e">
            <v>#N/A</v>
          </cell>
          <cell r="R3264" t="e">
            <v>#N/A</v>
          </cell>
          <cell r="S3264" t="str">
            <v>TKC</v>
          </cell>
        </row>
        <row r="3265">
          <cell r="L3265" t="str">
            <v>TM</v>
          </cell>
          <cell r="M3265" t="e">
            <v>#REF!</v>
          </cell>
          <cell r="N3265" t="str">
            <v>TM</v>
          </cell>
          <cell r="O3265" t="e">
            <v>#N/A</v>
          </cell>
          <cell r="P3265" t="e">
            <v>#N/A</v>
          </cell>
          <cell r="Q3265" t="e">
            <v>#N/A</v>
          </cell>
          <cell r="R3265" t="e">
            <v>#N/A</v>
          </cell>
          <cell r="S3265" t="str">
            <v>TM</v>
          </cell>
        </row>
        <row r="3266">
          <cell r="L3266" t="str">
            <v>TOT</v>
          </cell>
          <cell r="M3266" t="e">
            <v>#REF!</v>
          </cell>
          <cell r="N3266" t="str">
            <v>TOT</v>
          </cell>
          <cell r="O3266" t="e">
            <v>#N/A</v>
          </cell>
          <cell r="P3266" t="e">
            <v>#N/A</v>
          </cell>
          <cell r="Q3266" t="e">
            <v>#N/A</v>
          </cell>
          <cell r="R3266" t="e">
            <v>#N/A</v>
          </cell>
          <cell r="S3266" t="str">
            <v>TOT</v>
          </cell>
        </row>
        <row r="3267">
          <cell r="L3267" t="str">
            <v>TRI</v>
          </cell>
          <cell r="M3267" t="e">
            <v>#REF!</v>
          </cell>
          <cell r="N3267" t="str">
            <v>TRI</v>
          </cell>
          <cell r="O3267" t="e">
            <v>#N/A</v>
          </cell>
          <cell r="P3267" t="e">
            <v>#N/A</v>
          </cell>
          <cell r="Q3267" t="e">
            <v>#N/A</v>
          </cell>
          <cell r="R3267" t="e">
            <v>#N/A</v>
          </cell>
          <cell r="S3267" t="str">
            <v>TRI</v>
          </cell>
        </row>
        <row r="3268">
          <cell r="L3268" t="str">
            <v>TRP</v>
          </cell>
          <cell r="M3268" t="e">
            <v>#REF!</v>
          </cell>
          <cell r="N3268" t="str">
            <v>TRP</v>
          </cell>
          <cell r="O3268" t="e">
            <v>#N/A</v>
          </cell>
          <cell r="P3268" t="e">
            <v>#N/A</v>
          </cell>
          <cell r="Q3268" t="e">
            <v>#N/A</v>
          </cell>
          <cell r="R3268" t="e">
            <v>#N/A</v>
          </cell>
          <cell r="S3268" t="str">
            <v>TRP</v>
          </cell>
        </row>
        <row r="3269">
          <cell r="L3269" t="str">
            <v>TS</v>
          </cell>
          <cell r="M3269" t="e">
            <v>#REF!</v>
          </cell>
          <cell r="N3269" t="str">
            <v>TS</v>
          </cell>
          <cell r="O3269" t="e">
            <v>#N/A</v>
          </cell>
          <cell r="P3269" t="e">
            <v>#N/A</v>
          </cell>
          <cell r="Q3269" t="e">
            <v>#N/A</v>
          </cell>
          <cell r="R3269" t="e">
            <v>#N/A</v>
          </cell>
          <cell r="S3269" t="str">
            <v>TS</v>
          </cell>
        </row>
        <row r="3270">
          <cell r="L3270" t="str">
            <v>TSG</v>
          </cell>
          <cell r="M3270" t="e">
            <v>#REF!</v>
          </cell>
          <cell r="N3270" t="str">
            <v>TSG</v>
          </cell>
          <cell r="O3270" t="e">
            <v>#N/A</v>
          </cell>
          <cell r="P3270" t="e">
            <v>#N/A</v>
          </cell>
          <cell r="Q3270" t="e">
            <v>#N/A</v>
          </cell>
          <cell r="R3270" t="e">
            <v>#N/A</v>
          </cell>
          <cell r="S3270" t="str">
            <v>TSG</v>
          </cell>
        </row>
        <row r="3271">
          <cell r="L3271" t="str">
            <v>TSM</v>
          </cell>
          <cell r="M3271" t="e">
            <v>#REF!</v>
          </cell>
          <cell r="N3271" t="str">
            <v>TSM</v>
          </cell>
          <cell r="O3271" t="e">
            <v>#N/A</v>
          </cell>
          <cell r="P3271" t="e">
            <v>#N/A</v>
          </cell>
          <cell r="Q3271" t="e">
            <v>#N/A</v>
          </cell>
          <cell r="R3271" t="e">
            <v>#N/A</v>
          </cell>
          <cell r="S3271" t="str">
            <v>TSM</v>
          </cell>
        </row>
        <row r="3272">
          <cell r="L3272" t="str">
            <v>TSU</v>
          </cell>
          <cell r="M3272" t="e">
            <v>#REF!</v>
          </cell>
          <cell r="N3272" t="str">
            <v>TSU</v>
          </cell>
          <cell r="O3272" t="e">
            <v>#N/A</v>
          </cell>
          <cell r="P3272" t="e">
            <v>#N/A</v>
          </cell>
          <cell r="Q3272" t="e">
            <v>#N/A</v>
          </cell>
          <cell r="R3272" t="e">
            <v>#N/A</v>
          </cell>
          <cell r="S3272" t="str">
            <v>TSU</v>
          </cell>
        </row>
        <row r="3273">
          <cell r="L3273" t="str">
            <v>TTM</v>
          </cell>
          <cell r="M3273" t="e">
            <v>#REF!</v>
          </cell>
          <cell r="N3273" t="str">
            <v>TTM</v>
          </cell>
          <cell r="O3273" t="e">
            <v>#N/A</v>
          </cell>
          <cell r="P3273" t="e">
            <v>#N/A</v>
          </cell>
          <cell r="Q3273" t="e">
            <v>#N/A</v>
          </cell>
          <cell r="R3273" t="e">
            <v>#N/A</v>
          </cell>
          <cell r="S3273" t="str">
            <v>TTM</v>
          </cell>
        </row>
        <row r="3274">
          <cell r="L3274" t="str">
            <v>TU</v>
          </cell>
          <cell r="M3274" t="e">
            <v>#REF!</v>
          </cell>
          <cell r="N3274" t="str">
            <v>TU</v>
          </cell>
          <cell r="O3274" t="e">
            <v>#N/A</v>
          </cell>
          <cell r="P3274" t="e">
            <v>#N/A</v>
          </cell>
          <cell r="Q3274" t="e">
            <v>#N/A</v>
          </cell>
          <cell r="R3274" t="e">
            <v>#N/A</v>
          </cell>
          <cell r="S3274" t="str">
            <v>TU</v>
          </cell>
        </row>
        <row r="3275">
          <cell r="L3275" t="str">
            <v>TV</v>
          </cell>
          <cell r="M3275" t="e">
            <v>#REF!</v>
          </cell>
          <cell r="N3275" t="str">
            <v>TV</v>
          </cell>
          <cell r="O3275" t="e">
            <v>#N/A</v>
          </cell>
          <cell r="P3275" t="e">
            <v>#N/A</v>
          </cell>
          <cell r="Q3275" t="e">
            <v>#N/A</v>
          </cell>
          <cell r="R3275" t="e">
            <v>#N/A</v>
          </cell>
          <cell r="S3275" t="str">
            <v>TV</v>
          </cell>
        </row>
        <row r="3276">
          <cell r="L3276" t="str">
            <v>TX</v>
          </cell>
          <cell r="M3276" t="e">
            <v>#REF!</v>
          </cell>
          <cell r="N3276" t="str">
            <v>TX</v>
          </cell>
          <cell r="O3276" t="e">
            <v>#N/A</v>
          </cell>
          <cell r="P3276" t="e">
            <v>#N/A</v>
          </cell>
          <cell r="Q3276" t="e">
            <v>#N/A</v>
          </cell>
          <cell r="R3276" t="e">
            <v>#N/A</v>
          </cell>
          <cell r="S3276" t="str">
            <v>TX</v>
          </cell>
        </row>
        <row r="3277">
          <cell r="L3277" t="str">
            <v>UBS</v>
          </cell>
          <cell r="M3277" t="e">
            <v>#REF!</v>
          </cell>
          <cell r="N3277" t="str">
            <v>UBS</v>
          </cell>
          <cell r="O3277" t="e">
            <v>#N/A</v>
          </cell>
          <cell r="P3277" t="e">
            <v>#N/A</v>
          </cell>
          <cell r="Q3277" t="e">
            <v>#N/A</v>
          </cell>
          <cell r="R3277" t="e">
            <v>#N/A</v>
          </cell>
          <cell r="S3277" t="str">
            <v>UBS</v>
          </cell>
        </row>
        <row r="3278">
          <cell r="L3278" t="str">
            <v>UGP</v>
          </cell>
          <cell r="M3278" t="e">
            <v>#REF!</v>
          </cell>
          <cell r="N3278" t="str">
            <v>UGP</v>
          </cell>
          <cell r="O3278" t="e">
            <v>#N/A</v>
          </cell>
          <cell r="P3278" t="e">
            <v>#N/A</v>
          </cell>
          <cell r="Q3278" t="e">
            <v>#N/A</v>
          </cell>
          <cell r="R3278" t="e">
            <v>#N/A</v>
          </cell>
          <cell r="S3278" t="str">
            <v>UGP</v>
          </cell>
        </row>
        <row r="3279">
          <cell r="L3279" t="str">
            <v>UN</v>
          </cell>
          <cell r="M3279" t="e">
            <v>#REF!</v>
          </cell>
          <cell r="N3279" t="str">
            <v>UN</v>
          </cell>
          <cell r="O3279" t="e">
            <v>#N/A</v>
          </cell>
          <cell r="P3279" t="e">
            <v>#N/A</v>
          </cell>
          <cell r="Q3279" t="e">
            <v>#N/A</v>
          </cell>
          <cell r="R3279" t="e">
            <v>#N/A</v>
          </cell>
          <cell r="S3279" t="str">
            <v>UN</v>
          </cell>
        </row>
        <row r="3280">
          <cell r="L3280" t="str">
            <v>VET</v>
          </cell>
          <cell r="M3280" t="e">
            <v>#REF!</v>
          </cell>
          <cell r="N3280" t="str">
            <v>VET</v>
          </cell>
          <cell r="O3280" t="e">
            <v>#N/A</v>
          </cell>
          <cell r="P3280" t="e">
            <v>#N/A</v>
          </cell>
          <cell r="Q3280" t="e">
            <v>#N/A</v>
          </cell>
          <cell r="R3280" t="e">
            <v>#N/A</v>
          </cell>
          <cell r="S3280" t="str">
            <v>VET</v>
          </cell>
        </row>
        <row r="3281">
          <cell r="L3281" t="str">
            <v>VIPS</v>
          </cell>
          <cell r="M3281" t="e">
            <v>#REF!</v>
          </cell>
          <cell r="N3281" t="str">
            <v>VIPS</v>
          </cell>
          <cell r="O3281" t="e">
            <v>#N/A</v>
          </cell>
          <cell r="P3281" t="e">
            <v>#N/A</v>
          </cell>
          <cell r="Q3281" t="e">
            <v>#N/A</v>
          </cell>
          <cell r="R3281" t="e">
            <v>#N/A</v>
          </cell>
          <cell r="S3281" t="str">
            <v>VIPS</v>
          </cell>
        </row>
        <row r="3282">
          <cell r="L3282" t="str">
            <v>VIV</v>
          </cell>
          <cell r="M3282" t="e">
            <v>#REF!</v>
          </cell>
          <cell r="N3282" t="str">
            <v>VIV</v>
          </cell>
          <cell r="O3282" t="e">
            <v>#N/A</v>
          </cell>
          <cell r="P3282" t="e">
            <v>#N/A</v>
          </cell>
          <cell r="Q3282" t="e">
            <v>#N/A</v>
          </cell>
          <cell r="R3282" t="e">
            <v>#N/A</v>
          </cell>
          <cell r="S3282" t="str">
            <v>VIV</v>
          </cell>
        </row>
        <row r="3283">
          <cell r="L3283" t="str">
            <v>WBK</v>
          </cell>
          <cell r="M3283" t="e">
            <v>#REF!</v>
          </cell>
          <cell r="N3283" t="str">
            <v>WBK</v>
          </cell>
          <cell r="O3283" t="e">
            <v>#N/A</v>
          </cell>
          <cell r="P3283" t="e">
            <v>#N/A</v>
          </cell>
          <cell r="Q3283" t="e">
            <v>#N/A</v>
          </cell>
          <cell r="R3283" t="e">
            <v>#N/A</v>
          </cell>
          <cell r="S3283" t="str">
            <v>WBK</v>
          </cell>
        </row>
        <row r="3284">
          <cell r="L3284" t="str">
            <v>WCN</v>
          </cell>
          <cell r="M3284" t="e">
            <v>#REF!</v>
          </cell>
          <cell r="N3284" t="str">
            <v>WCN</v>
          </cell>
          <cell r="O3284" t="e">
            <v>#N/A</v>
          </cell>
          <cell r="P3284" t="e">
            <v>#N/A</v>
          </cell>
          <cell r="Q3284" t="e">
            <v>#N/A</v>
          </cell>
          <cell r="R3284" t="e">
            <v>#N/A</v>
          </cell>
          <cell r="S3284" t="str">
            <v>WCN</v>
          </cell>
        </row>
        <row r="3285">
          <cell r="L3285" t="str">
            <v>WES</v>
          </cell>
          <cell r="M3285" t="e">
            <v>#REF!</v>
          </cell>
          <cell r="N3285" t="str">
            <v>WES</v>
          </cell>
          <cell r="O3285" t="e">
            <v>#N/A</v>
          </cell>
          <cell r="P3285" t="e">
            <v>#N/A</v>
          </cell>
          <cell r="Q3285" t="e">
            <v>#N/A</v>
          </cell>
          <cell r="R3285" t="e">
            <v>#N/A</v>
          </cell>
          <cell r="S3285" t="str">
            <v>WES</v>
          </cell>
        </row>
        <row r="3286">
          <cell r="L3286" t="str">
            <v>WF</v>
          </cell>
          <cell r="M3286" t="e">
            <v>#REF!</v>
          </cell>
          <cell r="N3286" t="str">
            <v>WF</v>
          </cell>
          <cell r="O3286" t="e">
            <v>#N/A</v>
          </cell>
          <cell r="P3286" t="e">
            <v>#N/A</v>
          </cell>
          <cell r="Q3286" t="e">
            <v>#N/A</v>
          </cell>
          <cell r="R3286" t="e">
            <v>#N/A</v>
          </cell>
          <cell r="S3286" t="str">
            <v>WF</v>
          </cell>
        </row>
        <row r="3287">
          <cell r="L3287" t="str">
            <v>WGP</v>
          </cell>
          <cell r="M3287" t="e">
            <v>#REF!</v>
          </cell>
          <cell r="N3287" t="str">
            <v>WGP</v>
          </cell>
          <cell r="O3287" t="e">
            <v>#N/A</v>
          </cell>
          <cell r="P3287" t="e">
            <v>#N/A</v>
          </cell>
          <cell r="Q3287" t="e">
            <v>#N/A</v>
          </cell>
          <cell r="R3287" t="e">
            <v>#N/A</v>
          </cell>
          <cell r="S3287" t="str">
            <v>WGP</v>
          </cell>
        </row>
        <row r="3288">
          <cell r="L3288" t="str">
            <v>WIT</v>
          </cell>
          <cell r="M3288" t="e">
            <v>#REF!</v>
          </cell>
          <cell r="N3288" t="str">
            <v>WIT</v>
          </cell>
          <cell r="O3288" t="e">
            <v>#N/A</v>
          </cell>
          <cell r="P3288" t="e">
            <v>#N/A</v>
          </cell>
          <cell r="Q3288" t="e">
            <v>#N/A</v>
          </cell>
          <cell r="R3288" t="e">
            <v>#N/A</v>
          </cell>
          <cell r="S3288" t="str">
            <v>WIT</v>
          </cell>
        </row>
        <row r="3289">
          <cell r="L3289" t="str">
            <v>WPM</v>
          </cell>
          <cell r="M3289" t="e">
            <v>#REF!</v>
          </cell>
          <cell r="N3289" t="str">
            <v>WPM</v>
          </cell>
          <cell r="O3289" t="e">
            <v>#N/A</v>
          </cell>
          <cell r="P3289" t="e">
            <v>#N/A</v>
          </cell>
          <cell r="Q3289" t="e">
            <v>#N/A</v>
          </cell>
          <cell r="R3289" t="e">
            <v>#N/A</v>
          </cell>
          <cell r="S3289" t="str">
            <v>WPM</v>
          </cell>
        </row>
        <row r="3290">
          <cell r="L3290" t="str">
            <v>WPP</v>
          </cell>
          <cell r="M3290" t="e">
            <v>#REF!</v>
          </cell>
          <cell r="N3290" t="str">
            <v>WPP</v>
          </cell>
          <cell r="O3290" t="e">
            <v>#N/A</v>
          </cell>
          <cell r="P3290" t="e">
            <v>#N/A</v>
          </cell>
          <cell r="Q3290" t="e">
            <v>#N/A</v>
          </cell>
          <cell r="R3290" t="e">
            <v>#N/A</v>
          </cell>
          <cell r="S3290" t="str">
            <v>WPP</v>
          </cell>
        </row>
        <row r="3291">
          <cell r="L3291" t="str">
            <v>WUBA</v>
          </cell>
          <cell r="M3291" t="e">
            <v>#REF!</v>
          </cell>
          <cell r="N3291" t="str">
            <v>WUBA</v>
          </cell>
          <cell r="O3291" t="e">
            <v>#N/A</v>
          </cell>
          <cell r="P3291" t="e">
            <v>#N/A</v>
          </cell>
          <cell r="Q3291" t="e">
            <v>#N/A</v>
          </cell>
          <cell r="R3291" t="e">
            <v>#N/A</v>
          </cell>
          <cell r="S3291" t="str">
            <v>WUBA</v>
          </cell>
        </row>
        <row r="3292">
          <cell r="L3292" t="str">
            <v>YPF</v>
          </cell>
          <cell r="M3292" t="e">
            <v>#REF!</v>
          </cell>
          <cell r="N3292" t="str">
            <v>YPF</v>
          </cell>
          <cell r="O3292" t="e">
            <v>#N/A</v>
          </cell>
          <cell r="P3292" t="e">
            <v>#N/A</v>
          </cell>
          <cell r="Q3292" t="e">
            <v>#N/A</v>
          </cell>
          <cell r="R3292" t="e">
            <v>#N/A</v>
          </cell>
          <cell r="S3292" t="str">
            <v>YPF</v>
          </cell>
        </row>
        <row r="3293">
          <cell r="L3293" t="str">
            <v>ZTO</v>
          </cell>
          <cell r="M3293" t="e">
            <v>#REF!</v>
          </cell>
          <cell r="N3293" t="str">
            <v>ZTO</v>
          </cell>
          <cell r="O3293" t="e">
            <v>#N/A</v>
          </cell>
          <cell r="P3293" t="e">
            <v>#N/A</v>
          </cell>
          <cell r="Q3293" t="e">
            <v>#N/A</v>
          </cell>
          <cell r="R3293" t="e">
            <v>#N/A</v>
          </cell>
          <cell r="S3293" t="str">
            <v>ZTO</v>
          </cell>
        </row>
        <row r="3294">
          <cell r="L3294" t="str">
            <v>EBS</v>
          </cell>
          <cell r="M3294" t="str">
            <v>EMERGENT-BIOSOLUTIONS-INC-36547/</v>
          </cell>
          <cell r="N3294" t="str">
            <v>EBS</v>
          </cell>
          <cell r="O3294" t="str">
            <v>EMERGENT BIOSOLU</v>
          </cell>
          <cell r="P3294" t="str">
            <v>New York</v>
          </cell>
          <cell r="Q3294" t="str">
            <v>Health Care</v>
          </cell>
          <cell r="R3294" t="str">
            <v>Biotechnology</v>
          </cell>
          <cell r="S3294" t="str">
            <v>EBS</v>
          </cell>
        </row>
        <row r="3295">
          <cell r="L3295" t="str">
            <v>NOKIA FH</v>
          </cell>
          <cell r="M3295" t="str">
            <v>NOKIA-OYJ-1412498/</v>
          </cell>
          <cell r="N3295" t="str">
            <v>NOKIA.HE</v>
          </cell>
          <cell r="O3295" t="str">
            <v>Nokia Oyj</v>
          </cell>
          <cell r="P3295" t="str">
            <v>Helsinki</v>
          </cell>
          <cell r="Q3295" t="str">
            <v>Communications</v>
          </cell>
          <cell r="R3295" t="str">
            <v>Technology Hardware &amp; Equipmen</v>
          </cell>
        </row>
        <row r="3296">
          <cell r="L3296" t="str">
            <v>SAMPO FH</v>
          </cell>
          <cell r="M3296" t="str">
            <v>SAMPO-OYJ-42062213/</v>
          </cell>
          <cell r="N3296" t="str">
            <v>SAMPO.HE</v>
          </cell>
          <cell r="O3296" t="str">
            <v>Sampo Oyj</v>
          </cell>
          <cell r="P3296" t="str">
            <v>Helsinki</v>
          </cell>
          <cell r="Q3296" t="str">
            <v>Financial</v>
          </cell>
          <cell r="R3296" t="str">
            <v>Insurance</v>
          </cell>
          <cell r="S3296" t="str">
            <v>SAMPO.HE</v>
          </cell>
        </row>
        <row r="3297">
          <cell r="L3297" t="str">
            <v>KNEBV FH</v>
          </cell>
          <cell r="M3297" t="str">
            <v>KONE-OYJ-1412480/</v>
          </cell>
          <cell r="N3297" t="str">
            <v>KNEBV.HE</v>
          </cell>
          <cell r="O3297" t="str">
            <v>Kone Oyj</v>
          </cell>
          <cell r="P3297" t="str">
            <v>Helsinki</v>
          </cell>
          <cell r="Q3297" t="str">
            <v>Industrial</v>
          </cell>
          <cell r="R3297" t="str">
            <v>Capital Goods</v>
          </cell>
          <cell r="S3297" t="str">
            <v>KNEBV.HE</v>
          </cell>
        </row>
        <row r="3298">
          <cell r="L3298" t="str">
            <v>NESTE FH</v>
          </cell>
          <cell r="M3298" t="str">
            <v>NESTE-1412495/</v>
          </cell>
          <cell r="N3298" t="str">
            <v>NESTE.HE</v>
          </cell>
          <cell r="O3298" t="str">
            <v>Neste Oyj</v>
          </cell>
          <cell r="P3298" t="str">
            <v>Helsinki</v>
          </cell>
          <cell r="Q3298" t="str">
            <v>Energy</v>
          </cell>
          <cell r="R3298" t="str">
            <v>Energy</v>
          </cell>
          <cell r="S3298" t="str">
            <v>NESTE.HE</v>
          </cell>
        </row>
        <row r="3299">
          <cell r="L3299" t="str">
            <v>FORTUM FH</v>
          </cell>
          <cell r="M3299" t="str">
            <v>FORTUM-OYJ-1412461/</v>
          </cell>
          <cell r="N3299" t="str">
            <v>FORTUM.HE</v>
          </cell>
          <cell r="O3299" t="str">
            <v>Fortum Oyj</v>
          </cell>
          <cell r="P3299" t="str">
            <v>Helsinki</v>
          </cell>
          <cell r="Q3299" t="str">
            <v>Utilities</v>
          </cell>
          <cell r="R3299" t="str">
            <v>Utilities</v>
          </cell>
          <cell r="S3299" t="str">
            <v>FORTUM.HE</v>
          </cell>
        </row>
        <row r="3300">
          <cell r="L3300" t="str">
            <v>UPM FH</v>
          </cell>
          <cell r="M3300" t="str">
            <v>UPM-KYMMENE-OYJ-1412565/</v>
          </cell>
          <cell r="N3300" t="str">
            <v>UPM.HE</v>
          </cell>
          <cell r="O3300" t="str">
            <v>UPM-Kymmene Oyj</v>
          </cell>
          <cell r="P3300" t="str">
            <v>Helsinki</v>
          </cell>
          <cell r="Q3300" t="str">
            <v>Basic Materials</v>
          </cell>
          <cell r="R3300" t="str">
            <v>Materials</v>
          </cell>
          <cell r="S3300" t="str">
            <v>UPM.HE</v>
          </cell>
        </row>
        <row r="3301">
          <cell r="L3301" t="str">
            <v>STERV FH</v>
          </cell>
          <cell r="M3301" t="str">
            <v>STORA-ENSO-OYJ-1412452/</v>
          </cell>
          <cell r="N3301" t="str">
            <v>STERV.HE</v>
          </cell>
          <cell r="O3301" t="str">
            <v>Stora Enso Oyj</v>
          </cell>
          <cell r="P3301" t="str">
            <v>Helsinki</v>
          </cell>
          <cell r="Q3301" t="str">
            <v>Basic Materials</v>
          </cell>
          <cell r="R3301" t="str">
            <v>Materials</v>
          </cell>
          <cell r="S3301" t="str">
            <v>STERV.HE</v>
          </cell>
        </row>
        <row r="3302">
          <cell r="L3302" t="str">
            <v>WRT1V FH</v>
          </cell>
          <cell r="M3302" t="str">
            <v>WARTSILA-OYJ-ABP-1412489/</v>
          </cell>
          <cell r="N3302" t="str">
            <v>WRT1V.HE</v>
          </cell>
          <cell r="O3302" t="str">
            <v>Wartsila Oyj Abp</v>
          </cell>
          <cell r="P3302" t="str">
            <v>Helsinki</v>
          </cell>
          <cell r="Q3302" t="str">
            <v>Industrial</v>
          </cell>
          <cell r="R3302" t="str">
            <v>Capital Goods</v>
          </cell>
          <cell r="S3302" t="str">
            <v>WRT1V.HE</v>
          </cell>
        </row>
        <row r="3303">
          <cell r="L3303" t="str">
            <v>ELISA FH</v>
          </cell>
          <cell r="M3303" t="str">
            <v>ELISA-CORPORATION-1412464/</v>
          </cell>
          <cell r="N3303" t="str">
            <v>ELISA.HE</v>
          </cell>
          <cell r="O3303" t="str">
            <v>Elisa Oyj</v>
          </cell>
          <cell r="P3303" t="str">
            <v>Helsinki</v>
          </cell>
          <cell r="Q3303" t="str">
            <v>Communications</v>
          </cell>
          <cell r="R3303" t="str">
            <v>Telecommunication Services</v>
          </cell>
          <cell r="S3303" t="str">
            <v>ELISA.HE</v>
          </cell>
        </row>
        <row r="3304">
          <cell r="L3304" t="str">
            <v>NRE1V FH</v>
          </cell>
          <cell r="M3304" t="str">
            <v>NOKIAN-RENKAAT-OYJ-1412499/</v>
          </cell>
          <cell r="N3304" t="str">
            <v>NRE1V.HE</v>
          </cell>
          <cell r="O3304" t="str">
            <v>Nokian Tyres plc</v>
          </cell>
          <cell r="P3304" t="str">
            <v>Helsinki</v>
          </cell>
          <cell r="Q3304" t="str">
            <v>Consumer, Cyclical</v>
          </cell>
          <cell r="R3304" t="str">
            <v>Automobiles &amp; Components</v>
          </cell>
          <cell r="S3304" t="str">
            <v>NRE1V.HE</v>
          </cell>
        </row>
        <row r="3305">
          <cell r="L3305" t="str">
            <v>METSO FH</v>
          </cell>
          <cell r="M3305" t="str">
            <v>METSO-OYJ-31357794/</v>
          </cell>
          <cell r="N3305" t="str">
            <v>METSO.HE</v>
          </cell>
          <cell r="O3305" t="str">
            <v>Metso Oyj</v>
          </cell>
          <cell r="P3305" t="str">
            <v>Helsinki</v>
          </cell>
          <cell r="Q3305" t="str">
            <v>Industrial</v>
          </cell>
          <cell r="R3305" t="str">
            <v>Capital Goods</v>
          </cell>
          <cell r="S3305" t="str">
            <v>METSO.HE</v>
          </cell>
        </row>
        <row r="3306">
          <cell r="L3306" t="str">
            <v>AMEAS FH</v>
          </cell>
          <cell r="M3306" t="str">
            <v>AMER-SPORTS-OYJ-1412429/</v>
          </cell>
          <cell r="N3306" t="str">
            <v>AMEAS.HE</v>
          </cell>
          <cell r="O3306" t="str">
            <v>Amer Sports Oyj</v>
          </cell>
          <cell r="P3306" t="str">
            <v>Helsinki</v>
          </cell>
          <cell r="Q3306" t="str">
            <v>Consumer, Cyclical</v>
          </cell>
          <cell r="R3306" t="str">
            <v>Consumer Durables &amp; Apparel</v>
          </cell>
          <cell r="S3306" t="str">
            <v>AMEAS.HE</v>
          </cell>
        </row>
        <row r="3307">
          <cell r="L3307" t="str">
            <v>VALMT FH</v>
          </cell>
          <cell r="M3307" t="str">
            <v>VALMET-15379631/</v>
          </cell>
          <cell r="N3307" t="str">
            <v>VALMT.HE</v>
          </cell>
          <cell r="O3307" t="str">
            <v>Valmet Oyj</v>
          </cell>
          <cell r="P3307" t="str">
            <v>Helsinki</v>
          </cell>
          <cell r="Q3307" t="str">
            <v>Industrial</v>
          </cell>
          <cell r="R3307" t="str">
            <v>Capital Goods</v>
          </cell>
          <cell r="S3307" t="str">
            <v>VALMT.HE</v>
          </cell>
        </row>
        <row r="3308">
          <cell r="L3308" t="str">
            <v>HUH1V FH</v>
          </cell>
          <cell r="M3308" t="str">
            <v>HUHTAMAKI-OYJ-1412465/</v>
          </cell>
          <cell r="N3308" t="str">
            <v>HUH1V.HE</v>
          </cell>
          <cell r="O3308" t="str">
            <v>Huhtamaki Oyj</v>
          </cell>
          <cell r="P3308" t="str">
            <v>Helsinki</v>
          </cell>
          <cell r="Q3308" t="str">
            <v>Industrial</v>
          </cell>
          <cell r="R3308" t="str">
            <v>Materials</v>
          </cell>
          <cell r="S3308" t="str">
            <v>HUH1V.HE</v>
          </cell>
        </row>
        <row r="3309">
          <cell r="L3309" t="str">
            <v>METSB FH</v>
          </cell>
          <cell r="M3309" t="str">
            <v>METSA-BOARD-1412492/</v>
          </cell>
          <cell r="N3309" t="str">
            <v>METSB.HE</v>
          </cell>
          <cell r="O3309" t="str">
            <v>Metsa Board Oyj</v>
          </cell>
          <cell r="P3309" t="str">
            <v>Helsinki</v>
          </cell>
          <cell r="Q3309" t="str">
            <v>Industrial</v>
          </cell>
          <cell r="R3309" t="str">
            <v>Materials</v>
          </cell>
          <cell r="S3309" t="str">
            <v>METSB.HE</v>
          </cell>
        </row>
        <row r="3310">
          <cell r="L3310" t="str">
            <v>DNA FH</v>
          </cell>
          <cell r="M3310" t="str">
            <v>DNA-45272026/</v>
          </cell>
          <cell r="N3310" t="str">
            <v>DNAO.HE</v>
          </cell>
          <cell r="O3310" t="str">
            <v>DNA Oyj</v>
          </cell>
          <cell r="P3310" t="str">
            <v>Helsinki</v>
          </cell>
          <cell r="Q3310" t="str">
            <v>Communications</v>
          </cell>
          <cell r="R3310" t="str">
            <v>Telecommunication Services</v>
          </cell>
          <cell r="S3310" t="str">
            <v>DNA.HE</v>
          </cell>
        </row>
        <row r="3311">
          <cell r="L3311" t="str">
            <v>KCR FH</v>
          </cell>
          <cell r="M3311" t="str">
            <v>KONECRANES-OYJ-ABP-1412474/</v>
          </cell>
          <cell r="N3311" t="str">
            <v>KCRA.HE</v>
          </cell>
          <cell r="O3311" t="str">
            <v>Konecranes Abp</v>
          </cell>
          <cell r="P3311" t="str">
            <v>Helsinki</v>
          </cell>
          <cell r="Q3311" t="str">
            <v>Industrial</v>
          </cell>
          <cell r="R3311" t="str">
            <v>Capital Goods</v>
          </cell>
          <cell r="S3311" t="str">
            <v>KCR.HE</v>
          </cell>
        </row>
        <row r="3312">
          <cell r="L3312" t="str">
            <v>CGCBV FH</v>
          </cell>
          <cell r="M3312" t="str">
            <v>CARGOTEC-OYJ-1412441/</v>
          </cell>
          <cell r="N3312" t="str">
            <v>CGCBV.HE</v>
          </cell>
          <cell r="O3312" t="str">
            <v>Cargotec Oyj</v>
          </cell>
          <cell r="P3312" t="str">
            <v>Helsinki</v>
          </cell>
          <cell r="Q3312" t="str">
            <v>Industrial</v>
          </cell>
          <cell r="R3312" t="str">
            <v>Capital Goods</v>
          </cell>
          <cell r="S3312" t="str">
            <v>CGCBV.HE</v>
          </cell>
        </row>
        <row r="3313">
          <cell r="L3313" t="str">
            <v>OUT1V FH</v>
          </cell>
          <cell r="M3313" t="str">
            <v>OUTOKUMPU-OYJ-1412511/</v>
          </cell>
          <cell r="N3313" t="str">
            <v>OUT1V.HE</v>
          </cell>
          <cell r="O3313" t="str">
            <v>Outokumpu Oyj</v>
          </cell>
          <cell r="P3313" t="str">
            <v>Helsinki</v>
          </cell>
          <cell r="Q3313" t="str">
            <v>Basic Materials</v>
          </cell>
          <cell r="R3313" t="str">
            <v>Materials</v>
          </cell>
          <cell r="S3313" t="str">
            <v>OUT1V.HE</v>
          </cell>
        </row>
        <row r="3314">
          <cell r="M3314" t="str">
            <v>KEMIRA-OYJ-1412476/</v>
          </cell>
          <cell r="N3314" t="e">
            <v>#N/A</v>
          </cell>
          <cell r="O3314" t="e">
            <v>#N/A</v>
          </cell>
          <cell r="P3314" t="e">
            <v>#N/A</v>
          </cell>
          <cell r="Q3314" t="e">
            <v>#N/A</v>
          </cell>
          <cell r="R3314" t="e">
            <v>#N/A</v>
          </cell>
        </row>
        <row r="3315">
          <cell r="M3315" t="str">
            <v>CITYCON-OYJ-1412445/</v>
          </cell>
          <cell r="N3315" t="e">
            <v>#N/A</v>
          </cell>
          <cell r="O3315" t="e">
            <v>#N/A</v>
          </cell>
          <cell r="P3315" t="e">
            <v>#N/A</v>
          </cell>
          <cell r="Q3315" t="e">
            <v>#N/A</v>
          </cell>
          <cell r="R3315" t="e">
            <v>#N/A</v>
          </cell>
        </row>
        <row r="3316">
          <cell r="M3316" t="str">
            <v>SANOMA-OYJ-1412549/</v>
          </cell>
          <cell r="N3316" t="e">
            <v>#N/A</v>
          </cell>
          <cell r="O3316" t="e">
            <v>#N/A</v>
          </cell>
          <cell r="P3316" t="e">
            <v>#N/A</v>
          </cell>
          <cell r="Q3316" t="e">
            <v>#N/A</v>
          </cell>
          <cell r="R3316" t="e">
            <v>#N/A</v>
          </cell>
        </row>
        <row r="3317">
          <cell r="M3317" t="str">
            <v>AHLSTROM-MUNKSJO-OYJ-13351643/</v>
          </cell>
          <cell r="N3317" t="e">
            <v>#N/A</v>
          </cell>
          <cell r="O3317" t="e">
            <v>#N/A</v>
          </cell>
          <cell r="P3317" t="e">
            <v>#N/A</v>
          </cell>
          <cell r="Q3317" t="e">
            <v>#N/A</v>
          </cell>
          <cell r="R3317" t="e">
            <v>#N/A</v>
          </cell>
        </row>
        <row r="3318">
          <cell r="M3318" t="str">
            <v>FISKARS-OYJ-ABP-1412457/</v>
          </cell>
          <cell r="N3318" t="e">
            <v>#N/A</v>
          </cell>
          <cell r="O3318" t="e">
            <v>#N/A</v>
          </cell>
          <cell r="P3318" t="e">
            <v>#N/A</v>
          </cell>
          <cell r="Q3318" t="e">
            <v>#N/A</v>
          </cell>
          <cell r="R3318" t="e">
            <v>#N/A</v>
          </cell>
        </row>
        <row r="3319">
          <cell r="M3319" t="str">
            <v>YIT-OYJ-40647156/</v>
          </cell>
          <cell r="N3319" t="e">
            <v>#N/A</v>
          </cell>
          <cell r="O3319" t="e">
            <v>#N/A</v>
          </cell>
          <cell r="P3319" t="e">
            <v>#N/A</v>
          </cell>
          <cell r="Q3319" t="e">
            <v>#N/A</v>
          </cell>
          <cell r="R3319" t="e">
            <v>#N/A</v>
          </cell>
        </row>
        <row r="3320">
          <cell r="M3320" t="str">
            <v>TERVEYSTALO-OY-38123466/</v>
          </cell>
          <cell r="N3320" t="e">
            <v>#N/A</v>
          </cell>
          <cell r="O3320" t="e">
            <v>#N/A</v>
          </cell>
          <cell r="P3320" t="e">
            <v>#N/A</v>
          </cell>
          <cell r="Q3320" t="e">
            <v>#N/A</v>
          </cell>
          <cell r="R3320" t="e">
            <v>#N/A</v>
          </cell>
        </row>
        <row r="3321">
          <cell r="M3321" t="str">
            <v>OUTOTEC-OYJ-1412510/</v>
          </cell>
          <cell r="N3321" t="e">
            <v>#N/A</v>
          </cell>
          <cell r="O3321" t="e">
            <v>#N/A</v>
          </cell>
          <cell r="P3321" t="e">
            <v>#N/A</v>
          </cell>
          <cell r="Q3321" t="e">
            <v>#N/A</v>
          </cell>
          <cell r="R3321" t="e">
            <v>#N/A</v>
          </cell>
        </row>
        <row r="3322">
          <cell r="M3322" t="str">
            <v>FINNAIR-OYJ-1412456/</v>
          </cell>
          <cell r="N3322" t="e">
            <v>#N/A</v>
          </cell>
          <cell r="O3322" t="e">
            <v>#N/A</v>
          </cell>
          <cell r="P3322" t="e">
            <v>#N/A</v>
          </cell>
          <cell r="Q3322" t="e">
            <v>#N/A</v>
          </cell>
          <cell r="R3322" t="e">
            <v>#N/A</v>
          </cell>
        </row>
        <row r="3323">
          <cell r="M3323" t="str">
            <v>CAVERION-OYJ-13555949/</v>
          </cell>
          <cell r="N3323" t="e">
            <v>#N/A</v>
          </cell>
          <cell r="O3323" t="e">
            <v>#N/A</v>
          </cell>
          <cell r="P3323" t="e">
            <v>#N/A</v>
          </cell>
          <cell r="Q3323" t="e">
            <v>#N/A</v>
          </cell>
          <cell r="R3323" t="e">
            <v>#N/A</v>
          </cell>
        </row>
        <row r="3324">
          <cell r="M3324" t="str">
            <v>PONSSE-OYJ-1412517/</v>
          </cell>
          <cell r="N3324" t="e">
            <v>#N/A</v>
          </cell>
          <cell r="O3324" t="e">
            <v>#N/A</v>
          </cell>
          <cell r="P3324" t="e">
            <v>#N/A</v>
          </cell>
          <cell r="Q3324" t="e">
            <v>#N/A</v>
          </cell>
          <cell r="R3324" t="e">
            <v>#N/A</v>
          </cell>
        </row>
        <row r="3448">
          <cell r="L3448" t="str">
            <v>VALE</v>
          </cell>
          <cell r="M3448" t="str">
            <v>VALE-SA-14249/</v>
          </cell>
          <cell r="N3448" t="str">
            <v>VALE</v>
          </cell>
          <cell r="O3448" t="str">
            <v>VALE SA</v>
          </cell>
          <cell r="P3448" t="str">
            <v>New York</v>
          </cell>
          <cell r="Q3448" t="str">
            <v>Materials</v>
          </cell>
          <cell r="R3448" t="str">
            <v>Metals &amp; Mining</v>
          </cell>
          <cell r="S3448" t="str">
            <v>VALE</v>
          </cell>
        </row>
        <row r="3449">
          <cell r="L3449" t="str">
            <v>SEMG</v>
          </cell>
          <cell r="M3449" t="str">
            <v>SEMGROUP-CORP-6863446/</v>
          </cell>
          <cell r="N3449" t="str">
            <v>SEMG</v>
          </cell>
          <cell r="O3449" t="str">
            <v>SEMGROUP CORP-A</v>
          </cell>
          <cell r="P3449" t="str">
            <v>New York</v>
          </cell>
          <cell r="Q3449" t="str">
            <v>Energy</v>
          </cell>
          <cell r="R3449" t="str">
            <v>Oil, Gas &amp; Consumable Fuels</v>
          </cell>
          <cell r="S3449" t="str">
            <v>SEMG</v>
          </cell>
        </row>
        <row r="3450">
          <cell r="L3450" t="str">
            <v>HA</v>
          </cell>
          <cell r="M3450" t="str">
            <v>HAWAIIAN-HOLDINGS-INC-3064324/</v>
          </cell>
          <cell r="N3450" t="str">
            <v>HA</v>
          </cell>
          <cell r="O3450" t="str">
            <v>HAWAIIAN HOLDING</v>
          </cell>
          <cell r="P3450" t="str">
            <v>NASDAQ GS</v>
          </cell>
          <cell r="Q3450" t="str">
            <v>Industrials</v>
          </cell>
          <cell r="R3450" t="str">
            <v>Airlines</v>
          </cell>
          <cell r="S3450" t="str">
            <v>HA</v>
          </cell>
        </row>
        <row r="3451">
          <cell r="L3451" t="str">
            <v>SFL</v>
          </cell>
          <cell r="M3451" t="str">
            <v>SHIP-FINANCE-INTERNATIONA-14366/</v>
          </cell>
          <cell r="N3451" t="str">
            <v>SFL</v>
          </cell>
          <cell r="O3451" t="str">
            <v>SHIP FINANCE</v>
          </cell>
          <cell r="P3451" t="str">
            <v>New York</v>
          </cell>
          <cell r="Q3451" t="str">
            <v>Energy</v>
          </cell>
          <cell r="R3451" t="str">
            <v>Oil, Gas &amp; Consumable Fuels</v>
          </cell>
          <cell r="S3451" t="str">
            <v>SFL</v>
          </cell>
        </row>
        <row r="3452">
          <cell r="L3452" t="str">
            <v>AAWW</v>
          </cell>
          <cell r="M3452" t="str">
            <v>ATLAS-AIR-WORLDWIDE-HOLDI-17203/</v>
          </cell>
          <cell r="N3452" t="str">
            <v>AAWW</v>
          </cell>
          <cell r="O3452" t="str">
            <v>ATLAS AIR WORLDW</v>
          </cell>
          <cell r="P3452" t="str">
            <v>NASDAQ GS</v>
          </cell>
          <cell r="Q3452" t="str">
            <v>Industrials</v>
          </cell>
          <cell r="R3452" t="str">
            <v>Air Freight &amp; Logistics</v>
          </cell>
          <cell r="S3452" t="str">
            <v>AAWW</v>
          </cell>
        </row>
        <row r="3453">
          <cell r="L3453" t="str">
            <v>HTLD</v>
          </cell>
          <cell r="M3453" t="str">
            <v>HEARTLAND-EXPRESS-INC-9591/</v>
          </cell>
          <cell r="N3453" t="str">
            <v>HTLD</v>
          </cell>
          <cell r="O3453" t="str">
            <v>HEARTLAND EXPRES</v>
          </cell>
          <cell r="P3453" t="str">
            <v>NASDAQ GS</v>
          </cell>
          <cell r="Q3453" t="str">
            <v>Industrials</v>
          </cell>
          <cell r="R3453" t="str">
            <v>Road &amp; Rail</v>
          </cell>
          <cell r="S3453" t="str">
            <v>HTLD</v>
          </cell>
        </row>
        <row r="3454">
          <cell r="L3454" t="str">
            <v>MATX</v>
          </cell>
          <cell r="M3454" t="str">
            <v>MATSON-INC-10800761/</v>
          </cell>
          <cell r="N3454" t="str">
            <v>MATX</v>
          </cell>
          <cell r="O3454" t="str">
            <v>MATSON INC</v>
          </cell>
          <cell r="P3454" t="str">
            <v>New York</v>
          </cell>
          <cell r="Q3454" t="str">
            <v>Industrials</v>
          </cell>
          <cell r="R3454" t="str">
            <v>Marine</v>
          </cell>
          <cell r="S3454" t="str">
            <v>MATX</v>
          </cell>
        </row>
        <row r="3455">
          <cell r="L3455" t="str">
            <v>GLOG</v>
          </cell>
          <cell r="M3455" t="str">
            <v>GASLOG-LTD-10323499/</v>
          </cell>
          <cell r="N3455" t="str">
            <v>GLOG</v>
          </cell>
          <cell r="O3455" t="str">
            <v>GASLOG LTD</v>
          </cell>
          <cell r="P3455" t="str">
            <v>New York</v>
          </cell>
          <cell r="Q3455" t="str">
            <v>Energy</v>
          </cell>
          <cell r="R3455" t="str">
            <v>Oil, Gas &amp; Consumable Fuels</v>
          </cell>
          <cell r="S3455" t="str">
            <v>GLOG</v>
          </cell>
        </row>
        <row r="3456">
          <cell r="L3456" t="str">
            <v>GMLP</v>
          </cell>
          <cell r="M3456" t="str">
            <v>GOLAR-LNG-PARTNERS-LP-7769669/</v>
          </cell>
          <cell r="N3456" t="str">
            <v>GMLP</v>
          </cell>
          <cell r="O3456" t="str">
            <v>GOLAR LNG PARTNE</v>
          </cell>
          <cell r="P3456" t="str">
            <v>NASDAQ GS</v>
          </cell>
          <cell r="Q3456" t="str">
            <v>Energy</v>
          </cell>
          <cell r="R3456" t="str">
            <v>Oil, Gas &amp; Consumable Fuels</v>
          </cell>
          <cell r="S3456" t="str">
            <v>GMLP</v>
          </cell>
        </row>
        <row r="3457">
          <cell r="L3457" t="str">
            <v>CMRE</v>
          </cell>
          <cell r="M3457" t="str">
            <v>COSTAMARE-INC-6830660/</v>
          </cell>
          <cell r="N3457" t="str">
            <v>CMRE</v>
          </cell>
          <cell r="O3457" t="str">
            <v>COSTAMARE INC</v>
          </cell>
          <cell r="P3457" t="str">
            <v>New York</v>
          </cell>
          <cell r="Q3457" t="str">
            <v>Industrials</v>
          </cell>
          <cell r="R3457" t="str">
            <v>Marine</v>
          </cell>
          <cell r="S3457" t="str">
            <v>CMRE</v>
          </cell>
        </row>
        <row r="3458">
          <cell r="L3458" t="str">
            <v>TK</v>
          </cell>
          <cell r="M3458" t="str">
            <v>TEEKAY-CORPORATION-14600/</v>
          </cell>
          <cell r="N3458" t="str">
            <v>TK</v>
          </cell>
          <cell r="O3458" t="str">
            <v>TEEKAY CORP</v>
          </cell>
          <cell r="P3458" t="str">
            <v>New York</v>
          </cell>
          <cell r="Q3458" t="str">
            <v>Energy</v>
          </cell>
          <cell r="R3458" t="str">
            <v>Oil, Gas &amp; Consumable Fuels</v>
          </cell>
          <cell r="S3458" t="str">
            <v>TK</v>
          </cell>
        </row>
        <row r="3459">
          <cell r="L3459" t="str">
            <v>ULH</v>
          </cell>
          <cell r="M3459" t="str">
            <v>UNIVERSAL-LOGISTICS-HOLDI-11199/</v>
          </cell>
          <cell r="N3459" t="str">
            <v>ULH</v>
          </cell>
          <cell r="O3459" t="str">
            <v>UNIVERSAL LOGIST</v>
          </cell>
          <cell r="P3459" t="str">
            <v>NASDAQ GS</v>
          </cell>
          <cell r="Q3459" t="str">
            <v>Industrials</v>
          </cell>
          <cell r="R3459" t="str">
            <v>Road &amp; Rail</v>
          </cell>
          <cell r="S3459" t="str">
            <v>ULH</v>
          </cell>
        </row>
        <row r="3460">
          <cell r="L3460" t="str">
            <v>INSW</v>
          </cell>
          <cell r="M3460" t="str">
            <v>INTERNATIONAL-SEAWAYS-INC-32104272/</v>
          </cell>
          <cell r="N3460" t="str">
            <v>INSW</v>
          </cell>
          <cell r="O3460" t="str">
            <v>INTERNATIONAL</v>
          </cell>
          <cell r="P3460" t="str">
            <v>New York</v>
          </cell>
          <cell r="Q3460" t="str">
            <v>Energy</v>
          </cell>
          <cell r="R3460" t="str">
            <v>Oil, Gas &amp; Consumable Fuels</v>
          </cell>
          <cell r="S3460" t="str">
            <v>INSW</v>
          </cell>
        </row>
        <row r="3461">
          <cell r="L3461" t="str">
            <v>DHT</v>
          </cell>
          <cell r="M3461" t="str">
            <v>DHT-HOLDINGS-INC-11105059/</v>
          </cell>
          <cell r="N3461" t="str">
            <v>DHT</v>
          </cell>
          <cell r="O3461" t="str">
            <v>DHT HOLDINGS INC</v>
          </cell>
          <cell r="P3461" t="str">
            <v>New York</v>
          </cell>
          <cell r="Q3461" t="str">
            <v>Energy</v>
          </cell>
          <cell r="R3461" t="str">
            <v>Oil, Gas &amp; Consumable Fuels</v>
          </cell>
          <cell r="S3461" t="str">
            <v>DHT</v>
          </cell>
        </row>
        <row r="3462">
          <cell r="L3462" t="str">
            <v>MMLP</v>
          </cell>
          <cell r="M3462" t="str">
            <v>MARTIN-MIDSTREAM-PARTNERS-40511746/</v>
          </cell>
          <cell r="N3462" t="str">
            <v>MMLP</v>
          </cell>
          <cell r="O3462" t="str">
            <v>MARTIN MIDSTREAM</v>
          </cell>
          <cell r="P3462" t="str">
            <v>NASDAQ GS</v>
          </cell>
          <cell r="Q3462" t="str">
            <v>Energy</v>
          </cell>
          <cell r="R3462" t="str">
            <v>Oil, Gas &amp; Consumable Fuels</v>
          </cell>
          <cell r="S3462" t="str">
            <v>MMLP</v>
          </cell>
        </row>
        <row r="3463">
          <cell r="L3463" t="str">
            <v>SALT</v>
          </cell>
          <cell r="M3463" t="str">
            <v>SCORPIO-BULKERS-INC-26390932/</v>
          </cell>
          <cell r="N3463" t="str">
            <v>SALT</v>
          </cell>
          <cell r="O3463" t="str">
            <v>SCORPIO BULKERS</v>
          </cell>
          <cell r="P3463" t="str">
            <v>New York</v>
          </cell>
          <cell r="Q3463" t="str">
            <v>Industrials</v>
          </cell>
          <cell r="R3463" t="str">
            <v>Marine</v>
          </cell>
          <cell r="S3463" t="str">
            <v>SALT</v>
          </cell>
        </row>
        <row r="3464">
          <cell r="L3464" t="str">
            <v>GPP</v>
          </cell>
          <cell r="M3464" t="str">
            <v>GREEN-PLAINS-PARTNERS-LP-22619580/</v>
          </cell>
          <cell r="N3464" t="str">
            <v>GPP</v>
          </cell>
          <cell r="O3464" t="str">
            <v>GREEN PLAINS PAR</v>
          </cell>
          <cell r="P3464" t="str">
            <v>NASDAQ GM</v>
          </cell>
          <cell r="Q3464" t="str">
            <v>Energy</v>
          </cell>
          <cell r="R3464" t="str">
            <v>Oil, Gas &amp; Consumable Fuels</v>
          </cell>
          <cell r="S3464" t="str">
            <v>GPP</v>
          </cell>
        </row>
        <row r="3465">
          <cell r="L3465" t="str">
            <v>LPG</v>
          </cell>
          <cell r="M3465" t="str">
            <v>DORIAN-LPG-LTD-16421411/</v>
          </cell>
          <cell r="N3465" t="str">
            <v>LPG</v>
          </cell>
          <cell r="O3465" t="str">
            <v>DORIAN LPG LTD</v>
          </cell>
          <cell r="P3465" t="str">
            <v>New York</v>
          </cell>
          <cell r="Q3465" t="str">
            <v>Energy</v>
          </cell>
          <cell r="R3465" t="str">
            <v>Oil, Gas &amp; Consumable Fuels</v>
          </cell>
          <cell r="S3465" t="str">
            <v>LPG</v>
          </cell>
        </row>
        <row r="3466">
          <cell r="L3466" t="str">
            <v>BRS</v>
          </cell>
          <cell r="M3466" t="str">
            <v>BRISTOW-GROUP-INC-13901/</v>
          </cell>
          <cell r="N3466" t="str">
            <v>BRS</v>
          </cell>
          <cell r="O3466" t="str">
            <v>BRISTOW GROUP IN</v>
          </cell>
          <cell r="P3466" t="str">
            <v>New York</v>
          </cell>
          <cell r="Q3466" t="str">
            <v>Energy</v>
          </cell>
          <cell r="R3466" t="str">
            <v>Energy Equipment &amp; Services</v>
          </cell>
          <cell r="S3466" t="str">
            <v>BRS</v>
          </cell>
        </row>
        <row r="3467">
          <cell r="L3467" t="str">
            <v>EGLE</v>
          </cell>
          <cell r="M3467" t="str">
            <v>EAGLE-BULK-SHIPPING-INC-30531881/</v>
          </cell>
          <cell r="N3467" t="str">
            <v>EGLE</v>
          </cell>
          <cell r="O3467" t="str">
            <v>EAGLE BULK SHIPP</v>
          </cell>
          <cell r="P3467" t="str">
            <v>NASDAQ GS</v>
          </cell>
          <cell r="Q3467" t="str">
            <v>Industrials</v>
          </cell>
          <cell r="R3467" t="str">
            <v>Marine</v>
          </cell>
          <cell r="S3467" t="str">
            <v>EGLE</v>
          </cell>
        </row>
        <row r="3468">
          <cell r="L3468" t="str">
            <v>CPLP</v>
          </cell>
          <cell r="M3468" t="str">
            <v>CAPITAL-PRODUCT-PARTNERS-47497/</v>
          </cell>
          <cell r="N3468" t="str">
            <v>CPLP</v>
          </cell>
          <cell r="O3468" t="str">
            <v>CAPITAL PRODUCT</v>
          </cell>
          <cell r="P3468" t="str">
            <v>NASDAQ GS</v>
          </cell>
          <cell r="Q3468" t="str">
            <v>Energy</v>
          </cell>
          <cell r="R3468" t="str">
            <v>Oil, Gas &amp; Consumable Fuels</v>
          </cell>
          <cell r="S3468" t="str">
            <v>CPLP</v>
          </cell>
        </row>
        <row r="3469">
          <cell r="L3469" t="str">
            <v>SB</v>
          </cell>
          <cell r="M3469" t="str">
            <v>SAFE-BULKERS-INC-3061488/</v>
          </cell>
          <cell r="N3469" t="str">
            <v>SB</v>
          </cell>
          <cell r="O3469" t="str">
            <v>SAFE BULKERS INC</v>
          </cell>
          <cell r="P3469" t="str">
            <v>New York</v>
          </cell>
          <cell r="Q3469" t="str">
            <v>Industrials</v>
          </cell>
          <cell r="R3469" t="str">
            <v>Marine</v>
          </cell>
          <cell r="S3469" t="str">
            <v>SB</v>
          </cell>
        </row>
        <row r="3470">
          <cell r="L3470" t="str">
            <v>YRCW</v>
          </cell>
          <cell r="M3470" t="str">
            <v>YRC-WORLDWIDE-INC-9562935/</v>
          </cell>
          <cell r="N3470" t="str">
            <v>YRCW</v>
          </cell>
          <cell r="O3470" t="str">
            <v>YRC WORLDWIDE IN</v>
          </cell>
          <cell r="P3470" t="str">
            <v>NASDAQ GS</v>
          </cell>
          <cell r="Q3470" t="str">
            <v>Industrials</v>
          </cell>
          <cell r="R3470" t="str">
            <v>Road &amp; Rail</v>
          </cell>
          <cell r="S3470" t="str">
            <v>YRCW</v>
          </cell>
        </row>
        <row r="3471">
          <cell r="L3471" t="str">
            <v>TNK</v>
          </cell>
          <cell r="M3471" t="str">
            <v>TEEKAY-TANKERS-LTD-433824/</v>
          </cell>
          <cell r="N3471" t="str">
            <v>TNK</v>
          </cell>
          <cell r="O3471" t="str">
            <v>TEEKAY TANK-CL A</v>
          </cell>
          <cell r="P3471" t="str">
            <v>New York</v>
          </cell>
          <cell r="Q3471" t="str">
            <v>Energy</v>
          </cell>
          <cell r="R3471" t="str">
            <v>Oil, Gas &amp; Consumable Fuels</v>
          </cell>
          <cell r="S3471" t="str">
            <v>TNK</v>
          </cell>
        </row>
        <row r="3472">
          <cell r="L3472" t="str">
            <v>FRAC</v>
          </cell>
          <cell r="M3472" t="str">
            <v>KEANE-GROUP-INC-33339711/</v>
          </cell>
          <cell r="N3472" t="str">
            <v>FRAC</v>
          </cell>
          <cell r="O3472" t="str">
            <v>KEANE GROUP INC</v>
          </cell>
          <cell r="P3472" t="str">
            <v>New York</v>
          </cell>
          <cell r="Q3472" t="str">
            <v>Energy</v>
          </cell>
          <cell r="R3472" t="str">
            <v>Energy Equipment &amp; Services</v>
          </cell>
          <cell r="S3472" t="str">
            <v>FRAC</v>
          </cell>
        </row>
        <row r="3473">
          <cell r="L3473" t="str">
            <v>TPC</v>
          </cell>
          <cell r="M3473" t="str">
            <v>TUTOR-PERINI-CORP-5357739/</v>
          </cell>
          <cell r="N3473" t="str">
            <v>TPC</v>
          </cell>
          <cell r="O3473" t="str">
            <v>TUTOR PERINI COR</v>
          </cell>
          <cell r="P3473" t="str">
            <v>New York</v>
          </cell>
          <cell r="Q3473" t="str">
            <v>Industrials</v>
          </cell>
          <cell r="R3473" t="str">
            <v>Construction &amp; Engineering</v>
          </cell>
          <cell r="S3473" t="str">
            <v>TPC</v>
          </cell>
        </row>
        <row r="3474">
          <cell r="L3474" t="str">
            <v>HIL</v>
          </cell>
          <cell r="M3474" t="str">
            <v>HILL-INTERNATIONAL-INC-1801786/</v>
          </cell>
          <cell r="N3474" t="str">
            <v>HIL</v>
          </cell>
          <cell r="O3474" t="str">
            <v>HILL INTERNATION</v>
          </cell>
          <cell r="P3474" t="str">
            <v>New York</v>
          </cell>
          <cell r="Q3474" t="str">
            <v>Industrials</v>
          </cell>
          <cell r="R3474" t="str">
            <v>Professional Services</v>
          </cell>
          <cell r="S3474" t="str">
            <v>HIL</v>
          </cell>
        </row>
        <row r="3475">
          <cell r="L3475" t="str">
            <v>BLD</v>
          </cell>
          <cell r="M3475" t="str">
            <v>TOPBUILD-CORP-22762520/</v>
          </cell>
          <cell r="N3475" t="str">
            <v>BLD</v>
          </cell>
          <cell r="O3475" t="str">
            <v>TOPBUILD COR</v>
          </cell>
          <cell r="P3475" t="str">
            <v>New York</v>
          </cell>
          <cell r="Q3475" t="str">
            <v>Consumer Discretionary</v>
          </cell>
          <cell r="R3475" t="str">
            <v>Household Durables</v>
          </cell>
          <cell r="S3475" t="str">
            <v>BLD</v>
          </cell>
        </row>
        <row r="3476">
          <cell r="L3476" t="str">
            <v>TPH</v>
          </cell>
          <cell r="M3476" t="str">
            <v>TRI-POINTE-GROUP-INC-12455217/</v>
          </cell>
          <cell r="N3476" t="str">
            <v>TPH</v>
          </cell>
          <cell r="O3476" t="str">
            <v>TRI POINTE GROUP</v>
          </cell>
          <cell r="P3476" t="str">
            <v>New York</v>
          </cell>
          <cell r="Q3476" t="str">
            <v>Consumer Discretionary</v>
          </cell>
          <cell r="R3476" t="str">
            <v>Household Durables</v>
          </cell>
          <cell r="S3476" t="str">
            <v>TPH</v>
          </cell>
        </row>
        <row r="3477">
          <cell r="L3477" t="str">
            <v>KBH</v>
          </cell>
          <cell r="M3477" t="str">
            <v>KB-HOME-13230/</v>
          </cell>
          <cell r="N3477" t="str">
            <v>KBH</v>
          </cell>
          <cell r="O3477" t="str">
            <v>KB HOME</v>
          </cell>
          <cell r="P3477" t="str">
            <v>New York</v>
          </cell>
          <cell r="Q3477" t="str">
            <v>Consumer Discretionary</v>
          </cell>
          <cell r="R3477" t="str">
            <v>Household Durables</v>
          </cell>
          <cell r="S3477" t="str">
            <v>KBH</v>
          </cell>
        </row>
        <row r="3478">
          <cell r="L3478" t="str">
            <v>TMHC</v>
          </cell>
          <cell r="M3478" t="str">
            <v>TAYLOR-MORRISON-HOME-CORP-12936897/</v>
          </cell>
          <cell r="N3478" t="str">
            <v>TMHC</v>
          </cell>
          <cell r="O3478" t="str">
            <v>TAYLOR MORRISO-A</v>
          </cell>
          <cell r="P3478" t="str">
            <v>New York</v>
          </cell>
          <cell r="Q3478" t="str">
            <v>Consumer Discretionary</v>
          </cell>
          <cell r="R3478" t="str">
            <v>Household Durables</v>
          </cell>
          <cell r="S3478" t="str">
            <v>TMHC</v>
          </cell>
        </row>
        <row r="3479">
          <cell r="L3479" t="str">
            <v>IBP</v>
          </cell>
          <cell r="M3479" t="str">
            <v>INSTALLED-BUILDING-PRODUC-15758354/</v>
          </cell>
          <cell r="N3479" t="str">
            <v>IBP</v>
          </cell>
          <cell r="O3479" t="str">
            <v>INSTALLED BUILDI</v>
          </cell>
          <cell r="P3479" t="str">
            <v>New York</v>
          </cell>
          <cell r="Q3479" t="str">
            <v>Consumer Discretionary</v>
          </cell>
          <cell r="R3479" t="str">
            <v>Household Durables</v>
          </cell>
          <cell r="S3479" t="str">
            <v>IBP</v>
          </cell>
        </row>
        <row r="3480">
          <cell r="L3480" t="str">
            <v>MTH</v>
          </cell>
          <cell r="M3480" t="str">
            <v>MERITAGE-HOMES-CORP-13631/</v>
          </cell>
          <cell r="N3480" t="str">
            <v>MTH</v>
          </cell>
          <cell r="O3480" t="str">
            <v>MERITAGE HOMES C</v>
          </cell>
          <cell r="P3480" t="str">
            <v>New York</v>
          </cell>
          <cell r="Q3480" t="str">
            <v>Consumer Discretionary</v>
          </cell>
          <cell r="R3480" t="str">
            <v>Household Durables</v>
          </cell>
          <cell r="S3480" t="str">
            <v>MTH</v>
          </cell>
        </row>
        <row r="3481">
          <cell r="L3481" t="str">
            <v>MDC</v>
          </cell>
          <cell r="M3481" t="str">
            <v>M-D-C-HOLDINGS-INC-13476/</v>
          </cell>
          <cell r="N3481" t="str">
            <v>MDC</v>
          </cell>
          <cell r="O3481" t="str">
            <v>MDC HOLDINGS INC</v>
          </cell>
          <cell r="P3481" t="str">
            <v>New York</v>
          </cell>
          <cell r="Q3481" t="str">
            <v>Consumer Discretionary</v>
          </cell>
          <cell r="R3481" t="str">
            <v>Household Durables</v>
          </cell>
          <cell r="S3481" t="str">
            <v>MDC</v>
          </cell>
        </row>
        <row r="3482">
          <cell r="L3482" t="str">
            <v>WLH</v>
          </cell>
          <cell r="M3482" t="str">
            <v>WILLIAM-LYON-HOMES-13370709/</v>
          </cell>
          <cell r="N3482" t="str">
            <v>WLH</v>
          </cell>
          <cell r="O3482" t="str">
            <v>WILLIAM LYON-A</v>
          </cell>
          <cell r="P3482" t="str">
            <v>New York</v>
          </cell>
          <cell r="Q3482" t="str">
            <v>Consumer Discretionary</v>
          </cell>
          <cell r="R3482" t="str">
            <v>Household Durables</v>
          </cell>
          <cell r="S3482" t="str">
            <v>WLH</v>
          </cell>
        </row>
        <row r="3483">
          <cell r="L3483" t="str">
            <v>CCS</v>
          </cell>
          <cell r="M3483" t="str">
            <v>CENTURY-COMMUNITIES-INC-16699891/</v>
          </cell>
          <cell r="N3483" t="str">
            <v>CCS</v>
          </cell>
          <cell r="O3483" t="str">
            <v>CENTURY COMMUNIT</v>
          </cell>
          <cell r="P3483" t="str">
            <v>New York</v>
          </cell>
          <cell r="Q3483" t="str">
            <v>Consumer Discretionary</v>
          </cell>
          <cell r="R3483" t="str">
            <v>Household Durables</v>
          </cell>
          <cell r="S3483" t="str">
            <v>CCS</v>
          </cell>
        </row>
        <row r="3484">
          <cell r="L3484" t="str">
            <v>MHO</v>
          </cell>
          <cell r="M3484" t="str">
            <v>M-I-HOMES-INC-13524/</v>
          </cell>
          <cell r="N3484" t="str">
            <v>MHO</v>
          </cell>
          <cell r="O3484" t="str">
            <v>M/I HOMES INC</v>
          </cell>
          <cell r="P3484" t="str">
            <v>New York</v>
          </cell>
          <cell r="Q3484" t="str">
            <v>Consumer Discretionary</v>
          </cell>
          <cell r="R3484" t="str">
            <v>Household Durables</v>
          </cell>
          <cell r="S3484" t="str">
            <v>MHO</v>
          </cell>
        </row>
        <row r="3485">
          <cell r="L3485" t="str">
            <v>BZH</v>
          </cell>
          <cell r="M3485" t="str">
            <v>BEAZER-HOMES-USA-INC-11791433/</v>
          </cell>
          <cell r="N3485" t="str">
            <v>BZH</v>
          </cell>
          <cell r="O3485" t="str">
            <v>BEAZER HOMES USA</v>
          </cell>
          <cell r="P3485" t="str">
            <v>New York</v>
          </cell>
          <cell r="Q3485" t="str">
            <v>Consumer Discretionary</v>
          </cell>
          <cell r="R3485" t="str">
            <v>Household Durables</v>
          </cell>
          <cell r="S3485" t="str">
            <v>BZH</v>
          </cell>
        </row>
        <row r="3486">
          <cell r="L3486" t="str">
            <v>NP</v>
          </cell>
          <cell r="M3486" t="str">
            <v>NEENAH-INC-13767/</v>
          </cell>
          <cell r="N3486" t="str">
            <v>NP</v>
          </cell>
          <cell r="O3486" t="str">
            <v>NEENAH INC</v>
          </cell>
          <cell r="P3486" t="str">
            <v>New York</v>
          </cell>
          <cell r="Q3486" t="str">
            <v>Materials</v>
          </cell>
          <cell r="R3486" t="str">
            <v>Paper &amp; Forest Products</v>
          </cell>
          <cell r="S3486" t="str">
            <v>NP</v>
          </cell>
        </row>
        <row r="3487">
          <cell r="L3487" t="str">
            <v>SWM</v>
          </cell>
          <cell r="M3487" t="str">
            <v>SCHWEITZER-MAUDUIT-INTERN-14523/</v>
          </cell>
          <cell r="N3487" t="str">
            <v>SWM</v>
          </cell>
          <cell r="O3487" t="str">
            <v>SCHWEITZER-MAUDU</v>
          </cell>
          <cell r="P3487" t="str">
            <v>New York</v>
          </cell>
          <cell r="Q3487" t="str">
            <v>Materials</v>
          </cell>
          <cell r="R3487" t="str">
            <v>Paper &amp; Forest Products</v>
          </cell>
          <cell r="S3487" t="str">
            <v>SWM</v>
          </cell>
        </row>
        <row r="3488">
          <cell r="L3488" t="str">
            <v>GLT</v>
          </cell>
          <cell r="M3488" t="str">
            <v>P-H-GLATFELTER-CO-12787/</v>
          </cell>
          <cell r="N3488" t="str">
            <v>GLT</v>
          </cell>
          <cell r="O3488" t="str">
            <v>GLATFELTER</v>
          </cell>
          <cell r="P3488" t="str">
            <v>New York</v>
          </cell>
          <cell r="Q3488" t="str">
            <v>Materials</v>
          </cell>
          <cell r="R3488" t="str">
            <v>Paper &amp; Forest Products</v>
          </cell>
          <cell r="S3488" t="str">
            <v>GLT</v>
          </cell>
        </row>
        <row r="3489">
          <cell r="L3489" t="str">
            <v>CLW</v>
          </cell>
          <cell r="M3489" t="str">
            <v>CLEARWATER-PAPER-CORP-4955682/</v>
          </cell>
          <cell r="N3489" t="str">
            <v>CLW</v>
          </cell>
          <cell r="O3489" t="str">
            <v>CLEARWATER</v>
          </cell>
          <cell r="P3489" t="str">
            <v>New York</v>
          </cell>
          <cell r="Q3489" t="str">
            <v>Materials</v>
          </cell>
          <cell r="R3489" t="str">
            <v>Paper &amp; Forest Products</v>
          </cell>
          <cell r="S3489" t="str">
            <v>CLW</v>
          </cell>
        </row>
        <row r="3490">
          <cell r="L3490" t="str">
            <v>MOG/A</v>
          </cell>
          <cell r="M3490" t="str">
            <v>MOOG-INC-13587/</v>
          </cell>
          <cell r="N3490" t="str">
            <v>MOGA</v>
          </cell>
          <cell r="O3490" t="str">
            <v>MOOG INC-CLASS A</v>
          </cell>
          <cell r="P3490" t="e">
            <v>#N/A</v>
          </cell>
          <cell r="Q3490" t="str">
            <v>Industrials</v>
          </cell>
          <cell r="R3490" t="str">
            <v>Aerospace &amp; Defense</v>
          </cell>
          <cell r="S3490" t="str">
            <v>MOGA</v>
          </cell>
        </row>
        <row r="3491">
          <cell r="L3491" t="str">
            <v>SHL GY</v>
          </cell>
          <cell r="M3491" t="str">
            <v>SIEMENS-HEALTHINEERS-AG-42379342/</v>
          </cell>
          <cell r="O3491" t="str">
            <v>Siemens Healthineers</v>
          </cell>
          <cell r="P3491" t="str">
            <v>Xetra</v>
          </cell>
          <cell r="Q3491" t="str">
            <v>Health Care</v>
          </cell>
          <cell r="R3491" t="str">
            <v>Health Care Equipment &amp; Suppli</v>
          </cell>
          <cell r="S3491" t="str">
            <v>SIE.DE</v>
          </cell>
        </row>
        <row r="3492">
          <cell r="L3492" t="str">
            <v>ALC SW</v>
          </cell>
          <cell r="M3492" t="str">
            <v>ALCON-AG-56976364/</v>
          </cell>
          <cell r="N3492" t="str">
            <v>ALCC.S</v>
          </cell>
          <cell r="O3492" t="str">
            <v>Alcon AG</v>
          </cell>
          <cell r="P3492" t="str">
            <v>SIX Swiss Ex</v>
          </cell>
          <cell r="Q3492" t="str">
            <v>Health Care</v>
          </cell>
          <cell r="R3492" t="str">
            <v>Health Care Equipment &amp; Suppli</v>
          </cell>
          <cell r="S3492" t="str">
            <v>ALC.SW</v>
          </cell>
        </row>
      </sheetData>
      <sheetData sheetId="5" refreshError="1"/>
      <sheetData sheetId="6" refreshError="1"/>
      <sheetData sheetId="7" refreshError="1"/>
      <sheetData sheetId="8" refreshError="1"/>
      <sheetData sheetId="9">
        <row r="1">
          <cell r="A1" t="str">
            <v>MSFT</v>
          </cell>
          <cell r="C1" t="str">
            <v>MICROSOFT-CORPORATION-4835/</v>
          </cell>
        </row>
        <row r="43">
          <cell r="C43" t="str">
            <v>United States</v>
          </cell>
          <cell r="D43">
            <v>1</v>
          </cell>
          <cell r="G43" t="str">
            <v>Sales Cloud</v>
          </cell>
          <cell r="H43">
            <v>0.36499999999999999</v>
          </cell>
        </row>
        <row r="44">
          <cell r="D44" t="str">
            <v xml:space="preserve">
	</v>
          </cell>
          <cell r="G44" t="str">
            <v>Service Cloud</v>
          </cell>
          <cell r="H44">
            <v>0.27700000000000002</v>
          </cell>
        </row>
        <row r="45">
          <cell r="D45" t="str">
            <v xml:space="preserve">_x000D_
</v>
          </cell>
          <cell r="G45" t="str">
            <v>Sales Force Platform and Other</v>
          </cell>
          <cell r="H45">
            <v>0.17199999999999999</v>
          </cell>
        </row>
        <row r="46">
          <cell r="C46" t="str">
            <v>Thomas Kingsbury</v>
          </cell>
          <cell r="D46">
            <v>2008</v>
          </cell>
          <cell r="G46" t="str">
            <v>Marketing and Commerce Cloud</v>
          </cell>
          <cell r="H46">
            <v>0.111</v>
          </cell>
        </row>
      </sheetData>
      <sheetData sheetId="10" refreshError="1"/>
      <sheetData sheetId="11"/>
      <sheetData sheetId="12" refreshError="1"/>
      <sheetData sheetId="13"/>
      <sheetData sheetId="14" refreshError="1"/>
      <sheetData sheetId="15" refreshError="1"/>
      <sheetData sheetId="16" refreshError="1"/>
      <sheetData sheetId="17"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www.marketwatch.com/" TargetMode="External"/><Relationship Id="rId2" Type="http://schemas.openxmlformats.org/officeDocument/2006/relationships/hyperlink" Target="https://www.reuters.com/" TargetMode="External"/><Relationship Id="rId1" Type="http://schemas.openxmlformats.org/officeDocument/2006/relationships/hyperlink" Target="https://finance.yahoo.com/" TargetMode="External"/><Relationship Id="rId6" Type="http://schemas.openxmlformats.org/officeDocument/2006/relationships/hyperlink" Target="https://stockrow.com/" TargetMode="External"/><Relationship Id="rId5" Type="http://schemas.openxmlformats.org/officeDocument/2006/relationships/hyperlink" Target="https://www.marketscreener.com/" TargetMode="External"/><Relationship Id="rId4" Type="http://schemas.openxmlformats.org/officeDocument/2006/relationships/hyperlink" Target="https://finviz.com/"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FF00"/>
  </sheetPr>
  <dimension ref="B1:J17"/>
  <sheetViews>
    <sheetView zoomScale="150" zoomScaleNormal="150" workbookViewId="0">
      <selection activeCell="I28" sqref="I28"/>
    </sheetView>
  </sheetViews>
  <sheetFormatPr baseColWidth="10" defaultColWidth="9.1640625" defaultRowHeight="15" x14ac:dyDescent="0.2"/>
  <cols>
    <col min="1" max="1" width="9.1640625" style="2" customWidth="1"/>
    <col min="2" max="10" width="12.83203125" style="2" customWidth="1"/>
    <col min="11" max="11" width="9.1640625" style="2" customWidth="1"/>
    <col min="12" max="16384" width="9.1640625" style="2"/>
  </cols>
  <sheetData>
    <row r="1" spans="2:10" x14ac:dyDescent="0.2">
      <c r="B1" s="142"/>
      <c r="C1" s="143"/>
      <c r="D1" s="143"/>
      <c r="E1" s="143"/>
      <c r="F1" s="143"/>
      <c r="G1" s="143"/>
      <c r="H1" s="143"/>
      <c r="I1" s="143"/>
      <c r="J1" s="143"/>
    </row>
    <row r="2" spans="2:10" ht="16" customHeight="1" thickBot="1" x14ac:dyDescent="0.25">
      <c r="B2" s="144"/>
      <c r="C2" s="144"/>
      <c r="D2" s="144"/>
      <c r="E2" s="144"/>
      <c r="F2" s="144"/>
      <c r="G2" s="144"/>
      <c r="H2" s="144"/>
      <c r="I2" s="144"/>
      <c r="J2" s="144"/>
    </row>
    <row r="3" spans="2:10" ht="16" customHeight="1" thickBot="1" x14ac:dyDescent="0.25">
      <c r="B3" s="145" t="s">
        <v>0</v>
      </c>
      <c r="C3" s="146"/>
      <c r="D3" s="146"/>
      <c r="E3" s="146"/>
      <c r="F3" s="146"/>
      <c r="G3" s="146"/>
      <c r="H3" s="146"/>
      <c r="I3" s="146"/>
      <c r="J3" s="147"/>
    </row>
    <row r="6" spans="2:10" x14ac:dyDescent="0.2">
      <c r="B6" s="139" t="s">
        <v>1</v>
      </c>
      <c r="C6" s="140"/>
      <c r="D6" s="140"/>
      <c r="E6" s="140"/>
      <c r="F6" s="141"/>
      <c r="G6" s="139" t="s">
        <v>2</v>
      </c>
      <c r="H6" s="140"/>
      <c r="I6" s="140"/>
      <c r="J6" s="141"/>
    </row>
    <row r="8" spans="2:10" ht="64.5" customHeight="1" x14ac:dyDescent="0.2">
      <c r="B8" s="148" t="s">
        <v>3</v>
      </c>
      <c r="C8" s="143"/>
      <c r="D8" s="143"/>
      <c r="E8" s="143"/>
      <c r="F8" s="143"/>
      <c r="G8" s="110" t="s">
        <v>4</v>
      </c>
    </row>
    <row r="9" spans="2:10" x14ac:dyDescent="0.2">
      <c r="G9" s="110" t="s">
        <v>5</v>
      </c>
    </row>
    <row r="10" spans="2:10" x14ac:dyDescent="0.2">
      <c r="G10" s="110" t="s">
        <v>6</v>
      </c>
    </row>
    <row r="11" spans="2:10" x14ac:dyDescent="0.2">
      <c r="G11" s="110" t="s">
        <v>7</v>
      </c>
    </row>
    <row r="12" spans="2:10" x14ac:dyDescent="0.2">
      <c r="G12" s="110" t="s">
        <v>8</v>
      </c>
    </row>
    <row r="13" spans="2:10" x14ac:dyDescent="0.2">
      <c r="G13" s="110" t="s">
        <v>9</v>
      </c>
    </row>
    <row r="15" spans="2:10" x14ac:dyDescent="0.2">
      <c r="B15" s="136"/>
    </row>
    <row r="16" spans="2:10" ht="30" customHeight="1" x14ac:dyDescent="0.2">
      <c r="B16" s="148"/>
      <c r="C16" s="143"/>
      <c r="D16" s="143"/>
      <c r="E16" s="143"/>
      <c r="F16" s="143"/>
      <c r="G16" s="143"/>
      <c r="H16" s="143"/>
      <c r="I16" s="143"/>
      <c r="J16" s="143"/>
    </row>
    <row r="17" spans="2:2" x14ac:dyDescent="0.2">
      <c r="B17" s="1"/>
    </row>
  </sheetData>
  <mergeCells count="6">
    <mergeCell ref="B6:F6"/>
    <mergeCell ref="G6:J6"/>
    <mergeCell ref="B1:J2"/>
    <mergeCell ref="B3:J3"/>
    <mergeCell ref="B16:J16"/>
    <mergeCell ref="B8:F8"/>
  </mergeCells>
  <hyperlinks>
    <hyperlink ref="G8" r:id="rId1" xr:uid="{00000000-0004-0000-0000-000000000000}"/>
    <hyperlink ref="G9" r:id="rId2" display="https://www.reuters.com/" xr:uid="{00000000-0004-0000-0000-000001000000}"/>
    <hyperlink ref="G10" r:id="rId3" xr:uid="{00000000-0004-0000-0000-000002000000}"/>
    <hyperlink ref="G11" r:id="rId4" xr:uid="{00000000-0004-0000-0000-000003000000}"/>
    <hyperlink ref="G12" r:id="rId5" xr:uid="{00000000-0004-0000-0000-000004000000}"/>
    <hyperlink ref="G13" r:id="rId6" xr:uid="{00000000-0004-0000-0000-00000500000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
  <sheetViews>
    <sheetView zoomScale="120" zoomScaleNormal="120" workbookViewId="0">
      <selection activeCell="L21" sqref="L21"/>
    </sheetView>
  </sheetViews>
  <sheetFormatPr baseColWidth="10" defaultRowHeight="15" x14ac:dyDescent="0.2"/>
  <sheetData>
    <row r="1" spans="1:1" x14ac:dyDescent="0.2">
      <c r="A1" t="s">
        <v>10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
  <sheetViews>
    <sheetView zoomScale="130" zoomScaleNormal="130" workbookViewId="0"/>
  </sheetViews>
  <sheetFormatPr baseColWidth="10" defaultRowHeight="15" x14ac:dyDescent="0.2"/>
  <sheetData>
    <row r="1" spans="1:1" x14ac:dyDescent="0.2">
      <c r="A1" t="s">
        <v>10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
  <sheetViews>
    <sheetView zoomScale="120" zoomScaleNormal="120" workbookViewId="0">
      <selection activeCell="J18" sqref="J18"/>
    </sheetView>
  </sheetViews>
  <sheetFormatPr baseColWidth="10" defaultRowHeight="15" x14ac:dyDescent="0.2"/>
  <sheetData>
    <row r="1" spans="1:1" x14ac:dyDescent="0.2">
      <c r="A1" t="s">
        <v>10</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C4:I18"/>
  <sheetViews>
    <sheetView tabSelected="1" zoomScale="170" zoomScaleNormal="170" workbookViewId="0">
      <selection activeCell="G33" sqref="G33"/>
    </sheetView>
  </sheetViews>
  <sheetFormatPr baseColWidth="10" defaultColWidth="9.1640625" defaultRowHeight="15" x14ac:dyDescent="0.2"/>
  <cols>
    <col min="1" max="2" width="9.1640625" style="2" customWidth="1"/>
    <col min="3" max="3" width="21.83203125" style="136" customWidth="1"/>
    <col min="4" max="4" width="10.83203125" style="111" customWidth="1"/>
    <col min="5" max="9" width="10.83203125" style="3" customWidth="1"/>
    <col min="10" max="10" width="9.1640625" style="2" customWidth="1"/>
    <col min="11" max="16384" width="9.1640625" style="2"/>
  </cols>
  <sheetData>
    <row r="4" spans="3:9" x14ac:dyDescent="0.2">
      <c r="C4" s="136" t="s">
        <v>11</v>
      </c>
      <c r="D4" s="111">
        <v>4158.24</v>
      </c>
    </row>
    <row r="6" spans="3:9" x14ac:dyDescent="0.2">
      <c r="D6" s="126" t="s">
        <v>12</v>
      </c>
      <c r="E6" s="126" t="s">
        <v>13</v>
      </c>
      <c r="F6" s="126" t="s">
        <v>14</v>
      </c>
      <c r="G6" s="126" t="s">
        <v>15</v>
      </c>
      <c r="H6" s="126" t="s">
        <v>16</v>
      </c>
      <c r="I6" s="126" t="s">
        <v>17</v>
      </c>
    </row>
    <row r="7" spans="3:9" x14ac:dyDescent="0.2">
      <c r="C7" s="137" t="s">
        <v>18</v>
      </c>
      <c r="D7" s="132">
        <v>151.6</v>
      </c>
      <c r="E7" s="128">
        <v>16.54</v>
      </c>
      <c r="F7" s="127">
        <v>161.96</v>
      </c>
      <c r="G7" s="128">
        <f>2985/F7</f>
        <v>18.430476660903928</v>
      </c>
      <c r="H7" s="127">
        <v>181.42</v>
      </c>
      <c r="I7" s="128">
        <f>D4/H7</f>
        <v>22.920515929886452</v>
      </c>
    </row>
    <row r="8" spans="3:9" x14ac:dyDescent="0.2">
      <c r="C8" s="137" t="s">
        <v>19</v>
      </c>
      <c r="G8" s="94">
        <f>(F7-D7)/D7</f>
        <v>6.8337730870712488E-2</v>
      </c>
      <c r="I8" s="94">
        <f>(H7-F7)/F7</f>
        <v>0.12015312422820436</v>
      </c>
    </row>
    <row r="9" spans="3:9" x14ac:dyDescent="0.2">
      <c r="C9" s="137"/>
      <c r="D9" s="130">
        <v>2016</v>
      </c>
      <c r="E9" s="130"/>
      <c r="F9" s="130">
        <v>2017</v>
      </c>
      <c r="G9" s="130"/>
      <c r="H9" s="130">
        <v>2018</v>
      </c>
      <c r="I9" s="131"/>
    </row>
    <row r="10" spans="3:9" x14ac:dyDescent="0.2">
      <c r="C10" s="137" t="s">
        <v>20</v>
      </c>
      <c r="D10" s="133">
        <v>1150.68</v>
      </c>
      <c r="E10" s="118"/>
      <c r="F10" s="129">
        <v>1231.57</v>
      </c>
      <c r="G10" s="119">
        <f>(F10-D10)/D10</f>
        <v>7.0297563180032566E-2</v>
      </c>
      <c r="H10" s="129">
        <v>1343</v>
      </c>
      <c r="I10" s="119">
        <f>(H10-F10)/F10</f>
        <v>9.0478007746210176E-2</v>
      </c>
    </row>
    <row r="12" spans="3:9" x14ac:dyDescent="0.2">
      <c r="C12" s="136" t="s">
        <v>21</v>
      </c>
      <c r="D12" s="134">
        <v>1.8800000000000001E-2</v>
      </c>
    </row>
    <row r="14" spans="3:9" x14ac:dyDescent="0.2">
      <c r="C14" s="136" t="s">
        <v>22</v>
      </c>
      <c r="D14" s="111">
        <v>868.42</v>
      </c>
    </row>
    <row r="16" spans="3:9" x14ac:dyDescent="0.2">
      <c r="C16" s="136" t="s">
        <v>23</v>
      </c>
      <c r="D16" s="135">
        <f>D4/D14</f>
        <v>4.7882821676147485</v>
      </c>
    </row>
    <row r="18" spans="3:4" x14ac:dyDescent="0.2">
      <c r="C18" s="136" t="s">
        <v>24</v>
      </c>
      <c r="D18" s="135">
        <f>D4/H10</f>
        <v>3.0962323157110943</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B2:J1634"/>
  <sheetViews>
    <sheetView zoomScale="140" zoomScaleNormal="140" workbookViewId="0">
      <selection activeCell="M34" sqref="M34"/>
    </sheetView>
  </sheetViews>
  <sheetFormatPr baseColWidth="10" defaultColWidth="9.1640625" defaultRowHeight="15" x14ac:dyDescent="0.2"/>
  <cols>
    <col min="1" max="1" width="9.1640625" style="2" customWidth="1"/>
    <col min="2" max="2" width="29" style="2" customWidth="1"/>
    <col min="3" max="3" width="29" style="3" customWidth="1"/>
    <col min="4" max="5" width="33" style="3" customWidth="1"/>
    <col min="6" max="6" width="20.33203125" style="51" customWidth="1"/>
    <col min="7" max="7" width="20.33203125" style="3" customWidth="1"/>
    <col min="8" max="8" width="9.1640625" style="2" customWidth="1"/>
    <col min="9" max="16384" width="9.1640625" style="2"/>
  </cols>
  <sheetData>
    <row r="2" spans="2:10" ht="16" customHeight="1" thickBot="1" x14ac:dyDescent="0.25"/>
    <row r="3" spans="2:10" ht="32" customHeight="1" x14ac:dyDescent="0.2">
      <c r="B3" s="121" t="s">
        <v>25</v>
      </c>
      <c r="C3" s="122" t="s">
        <v>26</v>
      </c>
      <c r="D3" s="122" t="s">
        <v>27</v>
      </c>
      <c r="E3" s="122" t="s">
        <v>28</v>
      </c>
      <c r="F3" s="123" t="s">
        <v>29</v>
      </c>
      <c r="G3" s="124" t="s">
        <v>30</v>
      </c>
      <c r="J3" s="2" t="s">
        <v>31</v>
      </c>
    </row>
    <row r="4" spans="2:10" x14ac:dyDescent="0.2">
      <c r="B4" s="116" t="s">
        <v>32</v>
      </c>
      <c r="C4" s="117" t="s">
        <v>33</v>
      </c>
      <c r="D4" s="118" t="s">
        <v>34</v>
      </c>
      <c r="E4" s="118" t="s">
        <v>35</v>
      </c>
      <c r="F4" s="120">
        <v>-1.96</v>
      </c>
      <c r="G4" s="119">
        <v>4.2523394383394413E-2</v>
      </c>
      <c r="J4" s="2" t="s">
        <v>36</v>
      </c>
    </row>
    <row r="5" spans="2:10" x14ac:dyDescent="0.2">
      <c r="B5" s="116" t="s">
        <v>37</v>
      </c>
      <c r="C5" s="117" t="s">
        <v>38</v>
      </c>
      <c r="D5" s="118" t="s">
        <v>39</v>
      </c>
      <c r="E5" s="118" t="s">
        <v>40</v>
      </c>
      <c r="F5" s="120">
        <v>14.33</v>
      </c>
      <c r="G5" s="119">
        <v>-0.18291205849436701</v>
      </c>
      <c r="J5" s="2" t="s">
        <v>41</v>
      </c>
    </row>
    <row r="6" spans="2:10" x14ac:dyDescent="0.2">
      <c r="B6" s="116" t="s">
        <v>42</v>
      </c>
      <c r="C6" s="117" t="s">
        <v>43</v>
      </c>
      <c r="D6" s="118" t="s">
        <v>34</v>
      </c>
      <c r="E6" s="118" t="s">
        <v>44</v>
      </c>
      <c r="F6" s="120">
        <v>21.74</v>
      </c>
      <c r="G6" s="119">
        <v>-6.3366382105447774E-2</v>
      </c>
      <c r="J6" s="2" t="s">
        <v>45</v>
      </c>
    </row>
    <row r="7" spans="2:10" x14ac:dyDescent="0.2">
      <c r="B7" s="116" t="s">
        <v>46</v>
      </c>
      <c r="C7" s="117" t="s">
        <v>47</v>
      </c>
      <c r="D7" s="118" t="s">
        <v>48</v>
      </c>
      <c r="E7" s="118" t="s">
        <v>49</v>
      </c>
      <c r="F7" s="120">
        <v>1.81</v>
      </c>
      <c r="G7" s="119">
        <v>3.2904286836846958E-2</v>
      </c>
    </row>
    <row r="8" spans="2:10" x14ac:dyDescent="0.2">
      <c r="B8" s="116" t="s">
        <v>50</v>
      </c>
      <c r="C8" s="117" t="s">
        <v>51</v>
      </c>
      <c r="D8" s="118" t="s">
        <v>52</v>
      </c>
      <c r="E8" s="118" t="s">
        <v>53</v>
      </c>
      <c r="F8" s="120">
        <v>7.41</v>
      </c>
      <c r="G8" s="119">
        <v>4.126385769355323E-2</v>
      </c>
    </row>
    <row r="9" spans="2:10" x14ac:dyDescent="0.2">
      <c r="B9" s="116" t="s">
        <v>54</v>
      </c>
      <c r="C9" s="117" t="s">
        <v>55</v>
      </c>
      <c r="D9" s="118" t="s">
        <v>52</v>
      </c>
      <c r="E9" s="118" t="s">
        <v>56</v>
      </c>
      <c r="F9" s="120">
        <v>-0.4</v>
      </c>
      <c r="G9" s="119">
        <v>1.465736100745792E-2</v>
      </c>
    </row>
    <row r="10" spans="2:10" x14ac:dyDescent="0.2">
      <c r="B10" s="116" t="s">
        <v>57</v>
      </c>
      <c r="C10" s="117" t="s">
        <v>58</v>
      </c>
      <c r="D10" s="118" t="s">
        <v>34</v>
      </c>
      <c r="E10" s="118" t="s">
        <v>59</v>
      </c>
      <c r="F10" s="120">
        <v>5.7</v>
      </c>
      <c r="G10" s="119">
        <v>-2.755999503002695E-2</v>
      </c>
    </row>
    <row r="11" spans="2:10" x14ac:dyDescent="0.2">
      <c r="B11" s="116" t="s">
        <v>60</v>
      </c>
      <c r="C11" s="117" t="s">
        <v>61</v>
      </c>
      <c r="D11" s="118" t="s">
        <v>39</v>
      </c>
      <c r="E11" s="118" t="s">
        <v>62</v>
      </c>
      <c r="F11" s="120">
        <v>26.48</v>
      </c>
      <c r="G11" s="119">
        <v>0.16556050182112511</v>
      </c>
    </row>
    <row r="12" spans="2:10" x14ac:dyDescent="0.2">
      <c r="B12" s="116" t="s">
        <v>63</v>
      </c>
      <c r="C12" s="117" t="s">
        <v>64</v>
      </c>
      <c r="D12" s="118" t="s">
        <v>39</v>
      </c>
      <c r="E12" s="118" t="s">
        <v>65</v>
      </c>
      <c r="F12" s="120">
        <v>-3.6</v>
      </c>
      <c r="G12" s="119">
        <v>2.8795284144313489E-2</v>
      </c>
    </row>
    <row r="13" spans="2:10" x14ac:dyDescent="0.2">
      <c r="B13" s="116" t="s">
        <v>66</v>
      </c>
      <c r="C13" s="117" t="s">
        <v>67</v>
      </c>
      <c r="D13" s="118" t="s">
        <v>68</v>
      </c>
      <c r="E13" s="118" t="s">
        <v>69</v>
      </c>
      <c r="F13" s="120">
        <v>12.33</v>
      </c>
      <c r="G13" s="119">
        <v>7.3507101639545321E-3</v>
      </c>
    </row>
    <row r="14" spans="2:10" x14ac:dyDescent="0.2">
      <c r="B14" s="116" t="s">
        <v>70</v>
      </c>
      <c r="C14" s="117" t="s">
        <v>71</v>
      </c>
      <c r="D14" s="118" t="s">
        <v>68</v>
      </c>
      <c r="E14" s="118" t="s">
        <v>72</v>
      </c>
      <c r="F14" s="120">
        <v>7.89</v>
      </c>
      <c r="G14" s="119">
        <v>6.8076957017699072E-2</v>
      </c>
    </row>
    <row r="15" spans="2:10" x14ac:dyDescent="0.2">
      <c r="B15" s="116" t="s">
        <v>73</v>
      </c>
      <c r="C15" s="117" t="s">
        <v>74</v>
      </c>
      <c r="D15" s="118" t="s">
        <v>68</v>
      </c>
      <c r="E15" s="118" t="s">
        <v>75</v>
      </c>
      <c r="F15" s="120"/>
      <c r="G15" s="119"/>
    </row>
    <row r="16" spans="2:10" x14ac:dyDescent="0.2">
      <c r="B16" s="116" t="s">
        <v>76</v>
      </c>
      <c r="C16" s="117" t="s">
        <v>77</v>
      </c>
      <c r="D16" s="118" t="s">
        <v>78</v>
      </c>
      <c r="E16" s="118" t="s">
        <v>79</v>
      </c>
      <c r="F16" s="120">
        <v>-1.29</v>
      </c>
      <c r="G16" s="119">
        <v>6.3400155016265336E-2</v>
      </c>
    </row>
    <row r="17" spans="2:7" x14ac:dyDescent="0.2">
      <c r="B17" s="116" t="s">
        <v>80</v>
      </c>
      <c r="C17" s="117" t="s">
        <v>81</v>
      </c>
      <c r="D17" s="118" t="s">
        <v>68</v>
      </c>
      <c r="E17" s="118" t="s">
        <v>82</v>
      </c>
      <c r="F17" s="120">
        <v>35.020000000000003</v>
      </c>
      <c r="G17" s="119">
        <v>0.16163910947064719</v>
      </c>
    </row>
    <row r="18" spans="2:7" x14ac:dyDescent="0.2">
      <c r="B18" s="116" t="s">
        <v>83</v>
      </c>
      <c r="C18" s="117" t="s">
        <v>84</v>
      </c>
      <c r="D18" s="118" t="s">
        <v>68</v>
      </c>
      <c r="E18" s="118" t="s">
        <v>75</v>
      </c>
      <c r="F18" s="120">
        <v>10.92</v>
      </c>
      <c r="G18" s="119">
        <v>4.426934266466083E-2</v>
      </c>
    </row>
    <row r="19" spans="2:7" x14ac:dyDescent="0.2">
      <c r="B19" s="116" t="s">
        <v>85</v>
      </c>
      <c r="C19" s="117" t="s">
        <v>86</v>
      </c>
      <c r="D19" s="118" t="s">
        <v>68</v>
      </c>
      <c r="E19" s="118" t="s">
        <v>87</v>
      </c>
      <c r="F19" s="120">
        <v>842.64</v>
      </c>
      <c r="G19" s="119">
        <v>0.46193650864572627</v>
      </c>
    </row>
    <row r="20" spans="2:7" x14ac:dyDescent="0.2">
      <c r="B20" s="116" t="s">
        <v>88</v>
      </c>
      <c r="C20" s="117" t="s">
        <v>89</v>
      </c>
      <c r="D20" s="118" t="s">
        <v>68</v>
      </c>
      <c r="E20" s="118" t="s">
        <v>75</v>
      </c>
      <c r="F20" s="120"/>
      <c r="G20" s="119">
        <v>1.132031613203162</v>
      </c>
    </row>
    <row r="21" spans="2:7" x14ac:dyDescent="0.2">
      <c r="B21" s="116" t="s">
        <v>90</v>
      </c>
      <c r="C21" s="117" t="s">
        <v>91</v>
      </c>
      <c r="D21" s="118" t="s">
        <v>92</v>
      </c>
      <c r="E21" s="118" t="s">
        <v>93</v>
      </c>
      <c r="F21" s="120">
        <v>4.6100000000000003</v>
      </c>
      <c r="G21" s="119">
        <v>7.1383147330298283E-2</v>
      </c>
    </row>
    <row r="22" spans="2:7" x14ac:dyDescent="0.2">
      <c r="B22" s="116" t="s">
        <v>94</v>
      </c>
      <c r="C22" s="117" t="s">
        <v>95</v>
      </c>
      <c r="D22" s="118" t="s">
        <v>92</v>
      </c>
      <c r="E22" s="118" t="s">
        <v>96</v>
      </c>
      <c r="F22" s="120">
        <v>10.69</v>
      </c>
      <c r="G22" s="119">
        <v>0.14712773159504419</v>
      </c>
    </row>
    <row r="23" spans="2:7" x14ac:dyDescent="0.2">
      <c r="B23" s="116" t="s">
        <v>97</v>
      </c>
      <c r="C23" s="117" t="s">
        <v>98</v>
      </c>
      <c r="D23" s="118" t="s">
        <v>34</v>
      </c>
      <c r="E23" s="118" t="s">
        <v>99</v>
      </c>
      <c r="F23" s="120">
        <v>-0.01</v>
      </c>
      <c r="G23" s="119">
        <v>0.30478618114836897</v>
      </c>
    </row>
    <row r="24" spans="2:7" x14ac:dyDescent="0.2">
      <c r="B24" s="116" t="s">
        <v>100</v>
      </c>
      <c r="C24" s="117" t="s">
        <v>101</v>
      </c>
      <c r="D24" s="118" t="s">
        <v>102</v>
      </c>
      <c r="E24" s="118" t="s">
        <v>103</v>
      </c>
      <c r="F24" s="120">
        <v>12.7</v>
      </c>
      <c r="G24" s="119">
        <v>9.8498653718015958E-3</v>
      </c>
    </row>
    <row r="25" spans="2:7" x14ac:dyDescent="0.2">
      <c r="B25" s="116" t="s">
        <v>104</v>
      </c>
      <c r="C25" s="117" t="s">
        <v>105</v>
      </c>
      <c r="D25" s="118" t="s">
        <v>106</v>
      </c>
      <c r="E25" s="118" t="s">
        <v>107</v>
      </c>
      <c r="F25" s="120">
        <v>6.92</v>
      </c>
      <c r="G25" s="119">
        <v>0.10680580807880501</v>
      </c>
    </row>
    <row r="26" spans="2:7" x14ac:dyDescent="0.2">
      <c r="B26" s="116" t="s">
        <v>108</v>
      </c>
      <c r="C26" s="117" t="s">
        <v>109</v>
      </c>
      <c r="D26" s="118" t="s">
        <v>34</v>
      </c>
      <c r="E26" s="118" t="s">
        <v>99</v>
      </c>
      <c r="F26" s="120">
        <v>22.09</v>
      </c>
      <c r="G26" s="119">
        <v>0.23675122951137359</v>
      </c>
    </row>
    <row r="27" spans="2:7" x14ac:dyDescent="0.2">
      <c r="B27" s="116" t="s">
        <v>110</v>
      </c>
      <c r="C27" s="117" t="s">
        <v>111</v>
      </c>
      <c r="D27" s="118" t="s">
        <v>92</v>
      </c>
      <c r="E27" s="118" t="s">
        <v>112</v>
      </c>
      <c r="F27" s="120">
        <v>29.14</v>
      </c>
      <c r="G27" s="119">
        <v>0.24479075573549269</v>
      </c>
    </row>
    <row r="28" spans="2:7" x14ac:dyDescent="0.2">
      <c r="B28" s="116" t="s">
        <v>113</v>
      </c>
      <c r="C28" s="117" t="s">
        <v>114</v>
      </c>
      <c r="D28" s="118" t="s">
        <v>115</v>
      </c>
      <c r="E28" s="118" t="s">
        <v>116</v>
      </c>
      <c r="F28" s="120">
        <v>9.07</v>
      </c>
      <c r="G28" s="119">
        <v>2.636500650472812E-2</v>
      </c>
    </row>
    <row r="29" spans="2:7" x14ac:dyDescent="0.2">
      <c r="B29" s="116" t="s">
        <v>117</v>
      </c>
      <c r="C29" s="117" t="s">
        <v>118</v>
      </c>
      <c r="D29" s="118" t="s">
        <v>34</v>
      </c>
      <c r="E29" s="118" t="s">
        <v>119</v>
      </c>
      <c r="F29" s="120">
        <v>21.04</v>
      </c>
      <c r="G29" s="119">
        <v>-3.2537526568552508E-2</v>
      </c>
    </row>
    <row r="30" spans="2:7" x14ac:dyDescent="0.2">
      <c r="B30" s="116" t="s">
        <v>120</v>
      </c>
      <c r="C30" s="117" t="s">
        <v>121</v>
      </c>
      <c r="D30" s="118" t="s">
        <v>78</v>
      </c>
      <c r="E30" s="118" t="s">
        <v>122</v>
      </c>
      <c r="F30" s="120">
        <v>-4.97</v>
      </c>
      <c r="G30" s="119">
        <v>3.2019338369002663E-2</v>
      </c>
    </row>
    <row r="31" spans="2:7" x14ac:dyDescent="0.2">
      <c r="B31" s="116" t="s">
        <v>123</v>
      </c>
      <c r="C31" s="117" t="s">
        <v>124</v>
      </c>
      <c r="D31" s="118" t="s">
        <v>106</v>
      </c>
      <c r="E31" s="118" t="s">
        <v>125</v>
      </c>
      <c r="F31" s="120">
        <v>5.18</v>
      </c>
      <c r="G31" s="119">
        <v>6.342332242225851E-2</v>
      </c>
    </row>
    <row r="32" spans="2:7" x14ac:dyDescent="0.2">
      <c r="B32" s="116" t="s">
        <v>126</v>
      </c>
      <c r="C32" s="117" t="s">
        <v>127</v>
      </c>
      <c r="D32" s="118" t="s">
        <v>78</v>
      </c>
      <c r="E32" s="118" t="s">
        <v>128</v>
      </c>
      <c r="F32" s="120">
        <v>17.72</v>
      </c>
      <c r="G32" s="119">
        <v>-1.101519387417435E-2</v>
      </c>
    </row>
    <row r="33" spans="2:7" x14ac:dyDescent="0.2">
      <c r="B33" s="116" t="s">
        <v>129</v>
      </c>
      <c r="C33" s="117" t="s">
        <v>130</v>
      </c>
      <c r="D33" s="118" t="s">
        <v>106</v>
      </c>
      <c r="E33" s="118" t="s">
        <v>131</v>
      </c>
      <c r="F33" s="120">
        <v>7.96</v>
      </c>
      <c r="G33" s="119">
        <v>-0.2595222866824109</v>
      </c>
    </row>
    <row r="34" spans="2:7" x14ac:dyDescent="0.2">
      <c r="B34" s="116" t="s">
        <v>132</v>
      </c>
      <c r="C34" s="117" t="s">
        <v>133</v>
      </c>
      <c r="D34" s="118" t="s">
        <v>34</v>
      </c>
      <c r="E34" s="118" t="s">
        <v>99</v>
      </c>
      <c r="F34" s="120">
        <v>-0.19</v>
      </c>
      <c r="G34" s="119">
        <v>0.26656941007082252</v>
      </c>
    </row>
    <row r="35" spans="2:7" x14ac:dyDescent="0.2">
      <c r="B35" s="116" t="s">
        <v>134</v>
      </c>
      <c r="C35" s="117" t="s">
        <v>135</v>
      </c>
      <c r="D35" s="118" t="s">
        <v>39</v>
      </c>
      <c r="E35" s="118" t="s">
        <v>62</v>
      </c>
      <c r="F35" s="120"/>
      <c r="G35" s="119">
        <v>0.1144100938454824</v>
      </c>
    </row>
    <row r="36" spans="2:7" x14ac:dyDescent="0.2">
      <c r="B36" s="116" t="s">
        <v>136</v>
      </c>
      <c r="C36" s="117" t="s">
        <v>137</v>
      </c>
      <c r="D36" s="118" t="s">
        <v>138</v>
      </c>
      <c r="E36" s="118" t="s">
        <v>139</v>
      </c>
      <c r="F36" s="120">
        <v>0.89</v>
      </c>
      <c r="G36" s="119">
        <v>-5.1554776665077E-3</v>
      </c>
    </row>
    <row r="37" spans="2:7" x14ac:dyDescent="0.2">
      <c r="B37" s="116" t="s">
        <v>140</v>
      </c>
      <c r="C37" s="117" t="s">
        <v>141</v>
      </c>
      <c r="D37" s="118" t="s">
        <v>92</v>
      </c>
      <c r="E37" s="118" t="s">
        <v>142</v>
      </c>
      <c r="F37" s="120"/>
      <c r="G37" s="119">
        <v>-0.35491049056173529</v>
      </c>
    </row>
    <row r="38" spans="2:7" x14ac:dyDescent="0.2">
      <c r="B38" s="116" t="s">
        <v>143</v>
      </c>
      <c r="C38" s="117" t="s">
        <v>144</v>
      </c>
      <c r="D38" s="118" t="s">
        <v>145</v>
      </c>
      <c r="E38" s="118" t="s">
        <v>146</v>
      </c>
      <c r="F38" s="120">
        <v>3.88</v>
      </c>
      <c r="G38" s="119">
        <v>0.10122349193599919</v>
      </c>
    </row>
    <row r="39" spans="2:7" x14ac:dyDescent="0.2">
      <c r="B39" s="116" t="s">
        <v>147</v>
      </c>
      <c r="C39" s="117" t="s">
        <v>148</v>
      </c>
      <c r="D39" s="118" t="s">
        <v>138</v>
      </c>
      <c r="E39" s="118" t="s">
        <v>139</v>
      </c>
      <c r="F39" s="120">
        <v>-1.49</v>
      </c>
      <c r="G39" s="119">
        <v>-5.6881154320987583E-3</v>
      </c>
    </row>
    <row r="40" spans="2:7" x14ac:dyDescent="0.2">
      <c r="B40" s="116" t="s">
        <v>149</v>
      </c>
      <c r="C40" s="117" t="s">
        <v>150</v>
      </c>
      <c r="D40" s="118" t="s">
        <v>92</v>
      </c>
      <c r="E40" s="118" t="s">
        <v>151</v>
      </c>
      <c r="F40" s="120">
        <v>4.3600000000000003</v>
      </c>
      <c r="G40" s="119">
        <v>3.024029475122824E-2</v>
      </c>
    </row>
    <row r="41" spans="2:7" x14ac:dyDescent="0.2">
      <c r="B41" s="116" t="s">
        <v>152</v>
      </c>
      <c r="C41" s="117" t="s">
        <v>153</v>
      </c>
      <c r="D41" s="118" t="s">
        <v>138</v>
      </c>
      <c r="E41" s="118" t="s">
        <v>139</v>
      </c>
      <c r="F41" s="120">
        <v>-9.8699999999999992</v>
      </c>
      <c r="G41" s="119">
        <v>1.1444682377049171E-2</v>
      </c>
    </row>
    <row r="42" spans="2:7" x14ac:dyDescent="0.2">
      <c r="B42" s="116" t="s">
        <v>154</v>
      </c>
      <c r="C42" s="117" t="s">
        <v>155</v>
      </c>
      <c r="D42" s="118" t="s">
        <v>92</v>
      </c>
      <c r="E42" s="118" t="s">
        <v>96</v>
      </c>
      <c r="F42" s="120">
        <v>6.39</v>
      </c>
      <c r="G42" s="119">
        <v>-1</v>
      </c>
    </row>
    <row r="43" spans="2:7" x14ac:dyDescent="0.2">
      <c r="B43" s="116" t="s">
        <v>156</v>
      </c>
      <c r="C43" s="117" t="s">
        <v>157</v>
      </c>
      <c r="D43" s="118" t="s">
        <v>92</v>
      </c>
      <c r="E43" s="118" t="s">
        <v>158</v>
      </c>
      <c r="F43" s="120">
        <v>-0.13</v>
      </c>
      <c r="G43" s="119">
        <v>1.491091276771757E-2</v>
      </c>
    </row>
    <row r="44" spans="2:7" x14ac:dyDescent="0.2">
      <c r="B44" s="116" t="s">
        <v>159</v>
      </c>
      <c r="C44" s="117" t="s">
        <v>160</v>
      </c>
      <c r="D44" s="118" t="s">
        <v>48</v>
      </c>
      <c r="E44" s="118" t="s">
        <v>49</v>
      </c>
      <c r="F44" s="120">
        <v>-0.96</v>
      </c>
      <c r="G44" s="119">
        <v>-5.6923797952300927E-3</v>
      </c>
    </row>
    <row r="45" spans="2:7" x14ac:dyDescent="0.2">
      <c r="B45" s="116" t="s">
        <v>161</v>
      </c>
      <c r="C45" s="117" t="s">
        <v>162</v>
      </c>
      <c r="D45" s="118" t="s">
        <v>39</v>
      </c>
      <c r="E45" s="118" t="s">
        <v>163</v>
      </c>
      <c r="F45" s="120">
        <v>1.06</v>
      </c>
      <c r="G45" s="119">
        <v>7.2824486740804828E-3</v>
      </c>
    </row>
    <row r="46" spans="2:7" x14ac:dyDescent="0.2">
      <c r="B46" s="116" t="s">
        <v>164</v>
      </c>
      <c r="C46" s="117" t="s">
        <v>165</v>
      </c>
      <c r="D46" s="118" t="s">
        <v>92</v>
      </c>
      <c r="E46" s="118" t="s">
        <v>142</v>
      </c>
      <c r="F46" s="120">
        <v>-5.72</v>
      </c>
      <c r="G46" s="119">
        <v>-0.64431757957423896</v>
      </c>
    </row>
    <row r="47" spans="2:7" x14ac:dyDescent="0.2">
      <c r="B47" s="116" t="s">
        <v>166</v>
      </c>
      <c r="C47" s="117" t="s">
        <v>167</v>
      </c>
      <c r="D47" s="118" t="s">
        <v>68</v>
      </c>
      <c r="E47" s="118" t="s">
        <v>168</v>
      </c>
      <c r="F47" s="120">
        <v>1.52</v>
      </c>
      <c r="G47" s="119">
        <v>-1.9312313617188361E-2</v>
      </c>
    </row>
    <row r="48" spans="2:7" x14ac:dyDescent="0.2">
      <c r="B48" s="116" t="s">
        <v>169</v>
      </c>
      <c r="C48" s="117" t="s">
        <v>170</v>
      </c>
      <c r="D48" s="118" t="s">
        <v>92</v>
      </c>
      <c r="E48" s="118" t="s">
        <v>171</v>
      </c>
      <c r="F48" s="120">
        <v>0.31</v>
      </c>
      <c r="G48" s="119">
        <v>-1</v>
      </c>
    </row>
    <row r="49" spans="2:7" x14ac:dyDescent="0.2">
      <c r="B49" s="116" t="s">
        <v>172</v>
      </c>
      <c r="C49" s="117" t="s">
        <v>173</v>
      </c>
      <c r="D49" s="118" t="s">
        <v>138</v>
      </c>
      <c r="E49" s="118" t="s">
        <v>139</v>
      </c>
      <c r="F49" s="120">
        <v>8.92</v>
      </c>
      <c r="G49" s="119">
        <v>1.4509725223837701E-4</v>
      </c>
    </row>
    <row r="50" spans="2:7" x14ac:dyDescent="0.2">
      <c r="B50" s="116" t="s">
        <v>174</v>
      </c>
      <c r="C50" s="117" t="s">
        <v>175</v>
      </c>
      <c r="D50" s="118" t="s">
        <v>102</v>
      </c>
      <c r="E50" s="118" t="s">
        <v>176</v>
      </c>
      <c r="F50" s="120"/>
      <c r="G50" s="119">
        <v>0.1034551635841094</v>
      </c>
    </row>
    <row r="51" spans="2:7" x14ac:dyDescent="0.2">
      <c r="B51" s="116" t="s">
        <v>177</v>
      </c>
      <c r="C51" s="117" t="s">
        <v>178</v>
      </c>
      <c r="D51" s="118" t="s">
        <v>145</v>
      </c>
      <c r="E51" s="118" t="s">
        <v>179</v>
      </c>
      <c r="F51" s="120">
        <v>2.78</v>
      </c>
      <c r="G51" s="119">
        <v>8.1013503644787686E-3</v>
      </c>
    </row>
    <row r="52" spans="2:7" x14ac:dyDescent="0.2">
      <c r="B52" s="116" t="s">
        <v>180</v>
      </c>
      <c r="C52" s="117" t="s">
        <v>181</v>
      </c>
      <c r="D52" s="118" t="s">
        <v>92</v>
      </c>
      <c r="E52" s="118" t="s">
        <v>142</v>
      </c>
      <c r="F52" s="120">
        <v>-6.16</v>
      </c>
      <c r="G52" s="119">
        <v>3.9228512946042328E-2</v>
      </c>
    </row>
    <row r="53" spans="2:7" x14ac:dyDescent="0.2">
      <c r="B53" s="116" t="s">
        <v>182</v>
      </c>
      <c r="C53" s="117" t="s">
        <v>183</v>
      </c>
      <c r="D53" s="118" t="s">
        <v>145</v>
      </c>
      <c r="E53" s="118" t="s">
        <v>179</v>
      </c>
      <c r="F53" s="120"/>
      <c r="G53" s="119">
        <v>5.8746210842008217E-3</v>
      </c>
    </row>
    <row r="54" spans="2:7" x14ac:dyDescent="0.2">
      <c r="B54" s="116" t="s">
        <v>184</v>
      </c>
      <c r="C54" s="117" t="s">
        <v>185</v>
      </c>
      <c r="D54" s="118" t="s">
        <v>48</v>
      </c>
      <c r="E54" s="118" t="s">
        <v>49</v>
      </c>
      <c r="F54" s="120"/>
      <c r="G54" s="119">
        <v>7.7180828110344005E-2</v>
      </c>
    </row>
    <row r="55" spans="2:7" x14ac:dyDescent="0.2">
      <c r="B55" s="116" t="s">
        <v>186</v>
      </c>
      <c r="C55" s="117" t="s">
        <v>187</v>
      </c>
      <c r="D55" s="118" t="s">
        <v>92</v>
      </c>
      <c r="E55" s="118" t="s">
        <v>93</v>
      </c>
      <c r="F55" s="120">
        <v>-0.27</v>
      </c>
      <c r="G55" s="119">
        <v>-6.5245092090784745E-2</v>
      </c>
    </row>
    <row r="56" spans="2:7" x14ac:dyDescent="0.2">
      <c r="B56" s="116" t="s">
        <v>188</v>
      </c>
      <c r="C56" s="117" t="s">
        <v>189</v>
      </c>
      <c r="D56" s="118" t="s">
        <v>92</v>
      </c>
      <c r="E56" s="118" t="s">
        <v>142</v>
      </c>
      <c r="F56" s="120">
        <v>-7.74</v>
      </c>
      <c r="G56" s="119">
        <v>0.2318531907764097</v>
      </c>
    </row>
    <row r="57" spans="2:7" x14ac:dyDescent="0.2">
      <c r="B57" s="116" t="s">
        <v>190</v>
      </c>
      <c r="C57" s="117" t="s">
        <v>191</v>
      </c>
      <c r="D57" s="118" t="s">
        <v>92</v>
      </c>
      <c r="E57" s="118" t="s">
        <v>192</v>
      </c>
      <c r="F57" s="120">
        <v>9.8699999999999992</v>
      </c>
      <c r="G57" s="119">
        <v>4.7317578598211688E-2</v>
      </c>
    </row>
    <row r="58" spans="2:7" x14ac:dyDescent="0.2">
      <c r="B58" s="116" t="s">
        <v>193</v>
      </c>
      <c r="C58" s="117" t="s">
        <v>194</v>
      </c>
      <c r="D58" s="118" t="s">
        <v>92</v>
      </c>
      <c r="E58" s="118" t="s">
        <v>195</v>
      </c>
      <c r="F58" s="120"/>
      <c r="G58" s="119" t="e">
        <v>#DIV/0!</v>
      </c>
    </row>
    <row r="59" spans="2:7" x14ac:dyDescent="0.2">
      <c r="B59" s="116" t="s">
        <v>196</v>
      </c>
      <c r="C59" s="117" t="s">
        <v>197</v>
      </c>
      <c r="D59" s="118" t="s">
        <v>198</v>
      </c>
      <c r="E59" s="118" t="s">
        <v>199</v>
      </c>
      <c r="F59" s="120">
        <v>4.84</v>
      </c>
      <c r="G59" s="119">
        <v>4.7609557466111091E-2</v>
      </c>
    </row>
    <row r="60" spans="2:7" x14ac:dyDescent="0.2">
      <c r="B60" s="116" t="s">
        <v>200</v>
      </c>
      <c r="C60" s="117" t="s">
        <v>201</v>
      </c>
      <c r="D60" s="118" t="s">
        <v>34</v>
      </c>
      <c r="E60" s="118" t="s">
        <v>202</v>
      </c>
      <c r="F60" s="120">
        <v>8.0299999999999994</v>
      </c>
      <c r="G60" s="119">
        <v>5.3410757901174173E-2</v>
      </c>
    </row>
    <row r="61" spans="2:7" x14ac:dyDescent="0.2">
      <c r="B61" s="116" t="s">
        <v>203</v>
      </c>
      <c r="C61" s="117" t="s">
        <v>204</v>
      </c>
      <c r="D61" s="118" t="s">
        <v>145</v>
      </c>
      <c r="E61" s="118" t="s">
        <v>179</v>
      </c>
      <c r="F61" s="120">
        <v>-10.83</v>
      </c>
      <c r="G61" s="119">
        <v>-4.7261364114555032E-2</v>
      </c>
    </row>
    <row r="62" spans="2:7" x14ac:dyDescent="0.2">
      <c r="B62" s="116" t="s">
        <v>205</v>
      </c>
      <c r="C62" s="117" t="s">
        <v>206</v>
      </c>
      <c r="D62" s="118" t="s">
        <v>48</v>
      </c>
      <c r="E62" s="118" t="s">
        <v>207</v>
      </c>
      <c r="F62" s="120">
        <v>12.29</v>
      </c>
      <c r="G62" s="119">
        <v>0.20240340537000651</v>
      </c>
    </row>
    <row r="63" spans="2:7" x14ac:dyDescent="0.2">
      <c r="B63" s="116" t="s">
        <v>208</v>
      </c>
      <c r="C63" s="117" t="s">
        <v>209</v>
      </c>
      <c r="D63" s="118" t="s">
        <v>145</v>
      </c>
      <c r="E63" s="118" t="s">
        <v>179</v>
      </c>
      <c r="F63" s="120">
        <v>3.34</v>
      </c>
      <c r="G63" s="119">
        <v>7.723760055704533E-2</v>
      </c>
    </row>
    <row r="64" spans="2:7" x14ac:dyDescent="0.2">
      <c r="B64" s="116" t="s">
        <v>210</v>
      </c>
      <c r="C64" s="117" t="s">
        <v>211</v>
      </c>
      <c r="D64" s="118" t="s">
        <v>138</v>
      </c>
      <c r="E64" s="118" t="s">
        <v>139</v>
      </c>
      <c r="F64" s="120">
        <v>4.3499999999999996</v>
      </c>
      <c r="G64" s="119">
        <v>-6.9538229013746053E-2</v>
      </c>
    </row>
    <row r="65" spans="2:7" x14ac:dyDescent="0.2">
      <c r="B65" s="116" t="s">
        <v>212</v>
      </c>
      <c r="C65" s="117" t="s">
        <v>213</v>
      </c>
      <c r="D65" s="118" t="s">
        <v>68</v>
      </c>
      <c r="E65" s="118" t="s">
        <v>72</v>
      </c>
      <c r="F65" s="120">
        <v>28.18</v>
      </c>
      <c r="G65" s="119">
        <v>0.21588670677196431</v>
      </c>
    </row>
    <row r="66" spans="2:7" x14ac:dyDescent="0.2">
      <c r="B66" s="116" t="s">
        <v>214</v>
      </c>
      <c r="C66" s="117" t="s">
        <v>215</v>
      </c>
      <c r="D66" s="118" t="s">
        <v>48</v>
      </c>
      <c r="E66" s="118" t="s">
        <v>49</v>
      </c>
      <c r="F66" s="120">
        <v>12.64</v>
      </c>
      <c r="G66" s="119">
        <v>5.9163213939980717E-2</v>
      </c>
    </row>
    <row r="67" spans="2:7" x14ac:dyDescent="0.2">
      <c r="B67" s="116" t="s">
        <v>216</v>
      </c>
      <c r="C67" s="117" t="s">
        <v>217</v>
      </c>
      <c r="D67" s="118" t="s">
        <v>68</v>
      </c>
      <c r="E67" s="118" t="s">
        <v>87</v>
      </c>
      <c r="F67" s="120">
        <v>15.45</v>
      </c>
      <c r="G67" s="119">
        <v>7.8934805852303364E-2</v>
      </c>
    </row>
    <row r="68" spans="2:7" x14ac:dyDescent="0.2">
      <c r="B68" s="116" t="s">
        <v>218</v>
      </c>
      <c r="C68" s="117" t="s">
        <v>219</v>
      </c>
      <c r="D68" s="118" t="s">
        <v>92</v>
      </c>
      <c r="E68" s="118" t="s">
        <v>96</v>
      </c>
      <c r="F68" s="120">
        <v>3.7</v>
      </c>
      <c r="G68" s="119">
        <v>-9.1322365942483982E-2</v>
      </c>
    </row>
    <row r="69" spans="2:7" x14ac:dyDescent="0.2">
      <c r="B69" s="116" t="s">
        <v>220</v>
      </c>
      <c r="C69" s="117" t="s">
        <v>221</v>
      </c>
      <c r="D69" s="118" t="s">
        <v>39</v>
      </c>
      <c r="E69" s="118" t="s">
        <v>62</v>
      </c>
      <c r="F69" s="120">
        <v>6.89</v>
      </c>
      <c r="G69" s="119">
        <v>5.1963941867701459E-2</v>
      </c>
    </row>
    <row r="70" spans="2:7" x14ac:dyDescent="0.2">
      <c r="B70" s="116" t="s">
        <v>222</v>
      </c>
      <c r="C70" s="117" t="s">
        <v>223</v>
      </c>
      <c r="D70" s="118" t="s">
        <v>68</v>
      </c>
      <c r="E70" s="118" t="s">
        <v>87</v>
      </c>
      <c r="F70" s="120"/>
      <c r="G70" s="119" t="e">
        <v>#DIV/0!</v>
      </c>
    </row>
    <row r="71" spans="2:7" x14ac:dyDescent="0.2">
      <c r="B71" s="116" t="s">
        <v>224</v>
      </c>
      <c r="C71" s="117" t="s">
        <v>225</v>
      </c>
      <c r="D71" s="118" t="s">
        <v>68</v>
      </c>
      <c r="E71" s="118" t="s">
        <v>87</v>
      </c>
      <c r="F71" s="120"/>
      <c r="G71" s="119" t="e">
        <v>#DIV/0!</v>
      </c>
    </row>
    <row r="72" spans="2:7" x14ac:dyDescent="0.2">
      <c r="B72" s="116" t="s">
        <v>226</v>
      </c>
      <c r="C72" s="117" t="s">
        <v>227</v>
      </c>
      <c r="D72" s="118" t="s">
        <v>92</v>
      </c>
      <c r="E72" s="118" t="s">
        <v>228</v>
      </c>
      <c r="F72" s="120">
        <v>-9.51</v>
      </c>
      <c r="G72" s="119">
        <v>7.8540172294969027E-2</v>
      </c>
    </row>
    <row r="73" spans="2:7" x14ac:dyDescent="0.2">
      <c r="B73" s="116" t="s">
        <v>229</v>
      </c>
      <c r="C73" s="117" t="s">
        <v>230</v>
      </c>
      <c r="D73" s="118" t="s">
        <v>68</v>
      </c>
      <c r="E73" s="118" t="s">
        <v>87</v>
      </c>
      <c r="F73" s="120">
        <v>21.28</v>
      </c>
      <c r="G73" s="119">
        <v>1.769950473902016</v>
      </c>
    </row>
    <row r="74" spans="2:7" x14ac:dyDescent="0.2">
      <c r="B74" s="116" t="s">
        <v>231</v>
      </c>
      <c r="C74" s="117" t="s">
        <v>232</v>
      </c>
      <c r="D74" s="118" t="s">
        <v>233</v>
      </c>
      <c r="E74" s="118" t="s">
        <v>234</v>
      </c>
      <c r="F74" s="120">
        <v>6.91</v>
      </c>
      <c r="G74" s="119">
        <v>-1.016401032067819E-2</v>
      </c>
    </row>
    <row r="75" spans="2:7" x14ac:dyDescent="0.2">
      <c r="B75" s="116" t="s">
        <v>235</v>
      </c>
      <c r="C75" s="117" t="s">
        <v>236</v>
      </c>
      <c r="D75" s="118" t="s">
        <v>233</v>
      </c>
      <c r="E75" s="118" t="s">
        <v>234</v>
      </c>
      <c r="F75" s="120">
        <v>0.71</v>
      </c>
      <c r="G75" s="119">
        <v>-1.9692620589523051E-3</v>
      </c>
    </row>
    <row r="76" spans="2:7" x14ac:dyDescent="0.2">
      <c r="B76" s="116" t="s">
        <v>237</v>
      </c>
      <c r="C76" s="117" t="s">
        <v>238</v>
      </c>
      <c r="D76" s="118" t="s">
        <v>68</v>
      </c>
      <c r="E76" s="118" t="s">
        <v>87</v>
      </c>
      <c r="F76" s="120">
        <v>17</v>
      </c>
      <c r="G76" s="119">
        <v>0.17298968338497289</v>
      </c>
    </row>
    <row r="77" spans="2:7" x14ac:dyDescent="0.2">
      <c r="B77" s="116" t="s">
        <v>239</v>
      </c>
      <c r="C77" s="117" t="s">
        <v>240</v>
      </c>
      <c r="D77" s="118" t="s">
        <v>241</v>
      </c>
      <c r="E77" s="118" t="s">
        <v>242</v>
      </c>
      <c r="F77" s="120">
        <v>187.32</v>
      </c>
      <c r="G77" s="119">
        <v>6.6345041634595203</v>
      </c>
    </row>
    <row r="78" spans="2:7" x14ac:dyDescent="0.2">
      <c r="B78" s="116" t="s">
        <v>243</v>
      </c>
      <c r="C78" s="117" t="s">
        <v>244</v>
      </c>
      <c r="D78" s="118" t="s">
        <v>34</v>
      </c>
      <c r="E78" s="118" t="s">
        <v>245</v>
      </c>
      <c r="F78" s="120"/>
      <c r="G78" s="119">
        <v>7.8236803341798722E-2</v>
      </c>
    </row>
    <row r="79" spans="2:7" x14ac:dyDescent="0.2">
      <c r="B79" s="116" t="s">
        <v>246</v>
      </c>
      <c r="C79" s="117" t="s">
        <v>247</v>
      </c>
      <c r="D79" s="118" t="s">
        <v>34</v>
      </c>
      <c r="E79" s="118" t="s">
        <v>248</v>
      </c>
      <c r="F79" s="120">
        <v>17.05</v>
      </c>
      <c r="G79" s="119">
        <v>-0.1580330348345215</v>
      </c>
    </row>
    <row r="80" spans="2:7" x14ac:dyDescent="0.2">
      <c r="B80" s="116" t="s">
        <v>249</v>
      </c>
      <c r="C80" s="117" t="s">
        <v>250</v>
      </c>
      <c r="D80" s="118" t="s">
        <v>34</v>
      </c>
      <c r="E80" s="118" t="s">
        <v>251</v>
      </c>
      <c r="F80" s="120">
        <v>6.85</v>
      </c>
      <c r="G80" s="119">
        <v>4.6520948262548267E-2</v>
      </c>
    </row>
    <row r="81" spans="2:7" x14ac:dyDescent="0.2">
      <c r="B81" s="116" t="s">
        <v>252</v>
      </c>
      <c r="C81" s="117" t="s">
        <v>253</v>
      </c>
      <c r="D81" s="118" t="s">
        <v>34</v>
      </c>
      <c r="E81" s="118" t="s">
        <v>35</v>
      </c>
      <c r="F81" s="120">
        <v>5.12</v>
      </c>
      <c r="G81" s="119">
        <v>7.6533864920024702E-2</v>
      </c>
    </row>
    <row r="82" spans="2:7" x14ac:dyDescent="0.2">
      <c r="B82" s="116" t="s">
        <v>254</v>
      </c>
      <c r="C82" s="117" t="s">
        <v>255</v>
      </c>
      <c r="D82" s="118" t="s">
        <v>68</v>
      </c>
      <c r="E82" s="118" t="s">
        <v>256</v>
      </c>
      <c r="F82" s="120">
        <v>8.99</v>
      </c>
      <c r="G82" s="119">
        <v>0.18469730779872259</v>
      </c>
    </row>
    <row r="83" spans="2:7" x14ac:dyDescent="0.2">
      <c r="B83" s="116" t="s">
        <v>257</v>
      </c>
      <c r="C83" s="117" t="s">
        <v>258</v>
      </c>
      <c r="D83" s="118" t="s">
        <v>92</v>
      </c>
      <c r="E83" s="118" t="s">
        <v>195</v>
      </c>
      <c r="F83" s="120">
        <v>-1.78</v>
      </c>
      <c r="G83" s="119">
        <v>-6.6961028422468954E-2</v>
      </c>
    </row>
    <row r="84" spans="2:7" x14ac:dyDescent="0.2">
      <c r="B84" s="116" t="s">
        <v>259</v>
      </c>
      <c r="C84" s="117" t="s">
        <v>260</v>
      </c>
      <c r="D84" s="118" t="s">
        <v>68</v>
      </c>
      <c r="E84" s="118" t="s">
        <v>87</v>
      </c>
      <c r="F84" s="120">
        <v>3.57</v>
      </c>
      <c r="G84" s="119">
        <v>-3.9916966774750547E-2</v>
      </c>
    </row>
    <row r="85" spans="2:7" x14ac:dyDescent="0.2">
      <c r="B85" s="116" t="s">
        <v>261</v>
      </c>
      <c r="C85" s="117" t="s">
        <v>262</v>
      </c>
      <c r="D85" s="118" t="s">
        <v>92</v>
      </c>
      <c r="E85" s="118" t="s">
        <v>93</v>
      </c>
      <c r="F85" s="120">
        <v>25.48</v>
      </c>
      <c r="G85" s="119">
        <v>5.6677988535210021E-2</v>
      </c>
    </row>
    <row r="86" spans="2:7" x14ac:dyDescent="0.2">
      <c r="B86" s="116" t="s">
        <v>263</v>
      </c>
      <c r="C86" s="117" t="s">
        <v>264</v>
      </c>
      <c r="D86" s="118" t="s">
        <v>48</v>
      </c>
      <c r="E86" s="118" t="s">
        <v>265</v>
      </c>
      <c r="F86" s="120">
        <v>0.42</v>
      </c>
      <c r="G86" s="119">
        <v>1.2173556472487759E-2</v>
      </c>
    </row>
    <row r="87" spans="2:7" x14ac:dyDescent="0.2">
      <c r="B87" s="116" t="s">
        <v>266</v>
      </c>
      <c r="C87" s="117" t="s">
        <v>267</v>
      </c>
      <c r="D87" s="118" t="s">
        <v>92</v>
      </c>
      <c r="E87" s="118" t="s">
        <v>195</v>
      </c>
      <c r="F87" s="120">
        <v>1.06</v>
      </c>
      <c r="G87" s="119">
        <v>-4.9553985196727733E-2</v>
      </c>
    </row>
    <row r="88" spans="2:7" x14ac:dyDescent="0.2">
      <c r="B88" s="116" t="s">
        <v>268</v>
      </c>
      <c r="C88" s="117" t="s">
        <v>269</v>
      </c>
      <c r="D88" s="118" t="s">
        <v>68</v>
      </c>
      <c r="E88" s="118" t="s">
        <v>87</v>
      </c>
      <c r="F88" s="120">
        <v>45.16</v>
      </c>
      <c r="G88" s="119">
        <v>0.79605606212643421</v>
      </c>
    </row>
    <row r="89" spans="2:7" x14ac:dyDescent="0.2">
      <c r="B89" s="116" t="s">
        <v>270</v>
      </c>
      <c r="C89" s="117" t="s">
        <v>271</v>
      </c>
      <c r="D89" s="118" t="s">
        <v>92</v>
      </c>
      <c r="E89" s="118" t="s">
        <v>272</v>
      </c>
      <c r="F89" s="120">
        <v>15.8</v>
      </c>
      <c r="G89" s="119">
        <v>-2.6338490074059029E-3</v>
      </c>
    </row>
    <row r="90" spans="2:7" x14ac:dyDescent="0.2">
      <c r="B90" s="116" t="s">
        <v>273</v>
      </c>
      <c r="C90" s="117" t="s">
        <v>274</v>
      </c>
      <c r="D90" s="118" t="s">
        <v>92</v>
      </c>
      <c r="E90" s="118" t="s">
        <v>275</v>
      </c>
      <c r="F90" s="120">
        <v>15.46</v>
      </c>
      <c r="G90" s="119">
        <v>8.2424059060895088E-2</v>
      </c>
    </row>
    <row r="91" spans="2:7" x14ac:dyDescent="0.2">
      <c r="B91" s="116" t="s">
        <v>276</v>
      </c>
      <c r="C91" s="117" t="s">
        <v>277</v>
      </c>
      <c r="D91" s="118" t="s">
        <v>34</v>
      </c>
      <c r="E91" s="118" t="s">
        <v>278</v>
      </c>
      <c r="F91" s="120">
        <v>-3.14</v>
      </c>
      <c r="G91" s="119">
        <v>-3.4697560734696521E-2</v>
      </c>
    </row>
    <row r="92" spans="2:7" x14ac:dyDescent="0.2">
      <c r="B92" s="116" t="s">
        <v>279</v>
      </c>
      <c r="C92" s="117" t="s">
        <v>280</v>
      </c>
      <c r="D92" s="118" t="s">
        <v>52</v>
      </c>
      <c r="E92" s="118" t="s">
        <v>281</v>
      </c>
      <c r="F92" s="120">
        <v>27.51</v>
      </c>
      <c r="G92" s="119">
        <v>0.19319146732106129</v>
      </c>
    </row>
    <row r="93" spans="2:7" x14ac:dyDescent="0.2">
      <c r="B93" s="116" t="s">
        <v>282</v>
      </c>
      <c r="C93" s="117" t="s">
        <v>283</v>
      </c>
      <c r="D93" s="118" t="s">
        <v>52</v>
      </c>
      <c r="E93" s="118" t="s">
        <v>284</v>
      </c>
      <c r="F93" s="120">
        <v>2.2799999999999998</v>
      </c>
      <c r="G93" s="119">
        <v>-1.630172747141901E-2</v>
      </c>
    </row>
    <row r="94" spans="2:7" x14ac:dyDescent="0.2">
      <c r="B94" s="116" t="s">
        <v>285</v>
      </c>
      <c r="C94" s="117" t="s">
        <v>286</v>
      </c>
      <c r="D94" s="118" t="s">
        <v>34</v>
      </c>
      <c r="E94" s="118" t="s">
        <v>287</v>
      </c>
      <c r="F94" s="120">
        <v>38.17</v>
      </c>
      <c r="G94" s="119">
        <v>0.1832214402915352</v>
      </c>
    </row>
    <row r="95" spans="2:7" x14ac:dyDescent="0.2">
      <c r="B95" s="116" t="s">
        <v>288</v>
      </c>
      <c r="C95" s="117" t="s">
        <v>289</v>
      </c>
      <c r="D95" s="118" t="s">
        <v>34</v>
      </c>
      <c r="E95" s="118" t="s">
        <v>202</v>
      </c>
      <c r="F95" s="120">
        <v>37.15</v>
      </c>
      <c r="G95" s="119">
        <v>0.1828436815516146</v>
      </c>
    </row>
    <row r="96" spans="2:7" x14ac:dyDescent="0.2">
      <c r="B96" s="116" t="s">
        <v>290</v>
      </c>
      <c r="C96" s="117" t="s">
        <v>291</v>
      </c>
      <c r="D96" s="118" t="s">
        <v>115</v>
      </c>
      <c r="E96" s="118" t="s">
        <v>116</v>
      </c>
      <c r="F96" s="120"/>
      <c r="G96" s="119">
        <v>0.25717255448930482</v>
      </c>
    </row>
    <row r="97" spans="2:7" x14ac:dyDescent="0.2">
      <c r="B97" s="116" t="s">
        <v>292</v>
      </c>
      <c r="C97" s="117" t="s">
        <v>293</v>
      </c>
      <c r="D97" s="118" t="s">
        <v>34</v>
      </c>
      <c r="E97" s="118" t="s">
        <v>99</v>
      </c>
      <c r="F97" s="120">
        <v>8.5299999999999994</v>
      </c>
      <c r="G97" s="119">
        <v>0.14678190222936829</v>
      </c>
    </row>
    <row r="98" spans="2:7" x14ac:dyDescent="0.2">
      <c r="B98" s="116" t="s">
        <v>294</v>
      </c>
      <c r="C98" s="117" t="s">
        <v>295</v>
      </c>
      <c r="D98" s="118" t="s">
        <v>68</v>
      </c>
      <c r="E98" s="118" t="s">
        <v>296</v>
      </c>
      <c r="F98" s="120">
        <v>5.92</v>
      </c>
      <c r="G98" s="119">
        <v>9.5262624830356607E-2</v>
      </c>
    </row>
    <row r="99" spans="2:7" x14ac:dyDescent="0.2">
      <c r="B99" s="116" t="s">
        <v>297</v>
      </c>
      <c r="C99" s="117" t="s">
        <v>298</v>
      </c>
      <c r="D99" s="118" t="s">
        <v>92</v>
      </c>
      <c r="E99" s="118" t="s">
        <v>299</v>
      </c>
      <c r="F99" s="120"/>
      <c r="G99" s="119">
        <v>-0.51727383526920723</v>
      </c>
    </row>
    <row r="100" spans="2:7" x14ac:dyDescent="0.2">
      <c r="B100" s="116" t="s">
        <v>300</v>
      </c>
      <c r="C100" s="117" t="s">
        <v>301</v>
      </c>
      <c r="D100" s="118" t="s">
        <v>92</v>
      </c>
      <c r="E100" s="118" t="s">
        <v>192</v>
      </c>
      <c r="F100" s="120">
        <v>-2.85</v>
      </c>
      <c r="G100" s="119">
        <v>3.5999429897864421E-2</v>
      </c>
    </row>
    <row r="101" spans="2:7" x14ac:dyDescent="0.2">
      <c r="B101" s="116" t="s">
        <v>302</v>
      </c>
      <c r="C101" s="117" t="s">
        <v>303</v>
      </c>
      <c r="D101" s="118" t="s">
        <v>39</v>
      </c>
      <c r="E101" s="118" t="s">
        <v>65</v>
      </c>
      <c r="F101" s="120">
        <v>7.45</v>
      </c>
      <c r="G101" s="119">
        <v>-2.2575708146428761E-2</v>
      </c>
    </row>
    <row r="102" spans="2:7" x14ac:dyDescent="0.2">
      <c r="B102" s="116" t="s">
        <v>304</v>
      </c>
      <c r="C102" s="117" t="s">
        <v>305</v>
      </c>
      <c r="D102" s="118" t="s">
        <v>241</v>
      </c>
      <c r="E102" s="118" t="s">
        <v>306</v>
      </c>
      <c r="F102" s="120">
        <v>-10.44</v>
      </c>
      <c r="G102" s="119">
        <v>-0.1309457327586207</v>
      </c>
    </row>
    <row r="103" spans="2:7" x14ac:dyDescent="0.2">
      <c r="B103" s="116" t="s">
        <v>307</v>
      </c>
      <c r="C103" s="117" t="s">
        <v>308</v>
      </c>
      <c r="D103" s="118" t="s">
        <v>145</v>
      </c>
      <c r="E103" s="118" t="s">
        <v>179</v>
      </c>
      <c r="F103" s="120">
        <v>-3.97</v>
      </c>
      <c r="G103" s="119">
        <v>1.9686009271908719E-2</v>
      </c>
    </row>
    <row r="104" spans="2:7" x14ac:dyDescent="0.2">
      <c r="B104" s="116" t="s">
        <v>309</v>
      </c>
      <c r="C104" s="117" t="s">
        <v>310</v>
      </c>
      <c r="D104" s="118" t="s">
        <v>34</v>
      </c>
      <c r="E104" s="118" t="s">
        <v>311</v>
      </c>
      <c r="F104" s="120"/>
      <c r="G104" s="119">
        <v>-1.0929487909454539E-2</v>
      </c>
    </row>
    <row r="105" spans="2:7" x14ac:dyDescent="0.2">
      <c r="B105" s="116" t="s">
        <v>312</v>
      </c>
      <c r="C105" s="117" t="s">
        <v>313</v>
      </c>
      <c r="D105" s="118" t="s">
        <v>34</v>
      </c>
      <c r="E105" s="118" t="s">
        <v>314</v>
      </c>
      <c r="F105" s="120">
        <v>11.39</v>
      </c>
      <c r="G105" s="119">
        <v>-2.6947088514996331E-2</v>
      </c>
    </row>
    <row r="106" spans="2:7" x14ac:dyDescent="0.2">
      <c r="B106" s="116" t="s">
        <v>315</v>
      </c>
      <c r="C106" s="117" t="s">
        <v>316</v>
      </c>
      <c r="D106" s="118" t="s">
        <v>92</v>
      </c>
      <c r="E106" s="118" t="s">
        <v>195</v>
      </c>
      <c r="F106" s="120"/>
      <c r="G106" s="119">
        <v>0.46159403875359079</v>
      </c>
    </row>
    <row r="107" spans="2:7" x14ac:dyDescent="0.2">
      <c r="B107" s="116" t="s">
        <v>317</v>
      </c>
      <c r="C107" s="117" t="s">
        <v>318</v>
      </c>
      <c r="D107" s="118" t="s">
        <v>34</v>
      </c>
      <c r="E107" s="118" t="s">
        <v>319</v>
      </c>
      <c r="F107" s="120">
        <v>39.04</v>
      </c>
      <c r="G107" s="119">
        <v>0.339927342558005</v>
      </c>
    </row>
    <row r="108" spans="2:7" x14ac:dyDescent="0.2">
      <c r="B108" s="116" t="s">
        <v>320</v>
      </c>
      <c r="C108" s="117" t="s">
        <v>321</v>
      </c>
      <c r="D108" s="118" t="s">
        <v>34</v>
      </c>
      <c r="E108" s="118" t="s">
        <v>319</v>
      </c>
      <c r="F108" s="120"/>
      <c r="G108" s="119">
        <v>0.15417654582341001</v>
      </c>
    </row>
    <row r="109" spans="2:7" x14ac:dyDescent="0.2">
      <c r="B109" s="116" t="s">
        <v>322</v>
      </c>
      <c r="C109" s="117" t="s">
        <v>323</v>
      </c>
      <c r="D109" s="118" t="s">
        <v>106</v>
      </c>
      <c r="E109" s="118" t="s">
        <v>324</v>
      </c>
      <c r="F109" s="120">
        <v>-2.5499999999999998</v>
      </c>
      <c r="G109" s="119">
        <v>1.5844667128507049E-2</v>
      </c>
    </row>
    <row r="110" spans="2:7" x14ac:dyDescent="0.2">
      <c r="B110" s="116" t="s">
        <v>325</v>
      </c>
      <c r="C110" s="117" t="s">
        <v>326</v>
      </c>
      <c r="D110" s="118" t="s">
        <v>138</v>
      </c>
      <c r="E110" s="118" t="s">
        <v>139</v>
      </c>
      <c r="F110" s="120">
        <v>21.9</v>
      </c>
      <c r="G110" s="119">
        <v>-8.1249180526890945E-3</v>
      </c>
    </row>
    <row r="111" spans="2:7" x14ac:dyDescent="0.2">
      <c r="B111" s="116" t="s">
        <v>327</v>
      </c>
      <c r="C111" s="117" t="s">
        <v>328</v>
      </c>
      <c r="D111" s="118" t="s">
        <v>92</v>
      </c>
      <c r="E111" s="118" t="s">
        <v>329</v>
      </c>
      <c r="F111" s="120">
        <v>8.19</v>
      </c>
      <c r="G111" s="119">
        <v>0.12121618548990271</v>
      </c>
    </row>
    <row r="112" spans="2:7" x14ac:dyDescent="0.2">
      <c r="B112" s="116" t="s">
        <v>330</v>
      </c>
      <c r="C112" s="117" t="s">
        <v>331</v>
      </c>
      <c r="D112" s="118" t="s">
        <v>92</v>
      </c>
      <c r="E112" s="118" t="s">
        <v>272</v>
      </c>
      <c r="F112" s="120">
        <v>16.239999999999998</v>
      </c>
      <c r="G112" s="119">
        <v>0.13174028595965229</v>
      </c>
    </row>
    <row r="113" spans="2:7" x14ac:dyDescent="0.2">
      <c r="B113" s="116" t="s">
        <v>332</v>
      </c>
      <c r="C113" s="117" t="s">
        <v>333</v>
      </c>
      <c r="D113" s="118" t="s">
        <v>92</v>
      </c>
      <c r="E113" s="118" t="s">
        <v>195</v>
      </c>
      <c r="F113" s="120">
        <v>19.649999999999999</v>
      </c>
      <c r="G113" s="119">
        <v>0.34012585814744478</v>
      </c>
    </row>
    <row r="114" spans="2:7" x14ac:dyDescent="0.2">
      <c r="B114" s="116" t="s">
        <v>334</v>
      </c>
      <c r="C114" s="117" t="s">
        <v>335</v>
      </c>
      <c r="D114" s="118" t="s">
        <v>68</v>
      </c>
      <c r="E114" s="118" t="s">
        <v>87</v>
      </c>
      <c r="F114" s="120"/>
      <c r="G114" s="119">
        <v>2.3330701616081981</v>
      </c>
    </row>
    <row r="115" spans="2:7" x14ac:dyDescent="0.2">
      <c r="B115" s="116" t="s">
        <v>336</v>
      </c>
      <c r="C115" s="117" t="s">
        <v>337</v>
      </c>
      <c r="D115" s="118" t="s">
        <v>145</v>
      </c>
      <c r="E115" s="118" t="s">
        <v>179</v>
      </c>
      <c r="F115" s="120">
        <v>6.8</v>
      </c>
      <c r="G115" s="119">
        <v>-4.8192526933409273E-2</v>
      </c>
    </row>
    <row r="116" spans="2:7" x14ac:dyDescent="0.2">
      <c r="B116" s="116" t="s">
        <v>338</v>
      </c>
      <c r="C116" s="117" t="s">
        <v>339</v>
      </c>
      <c r="D116" s="118" t="s">
        <v>78</v>
      </c>
      <c r="E116" s="118" t="s">
        <v>340</v>
      </c>
      <c r="F116" s="120">
        <v>2.12</v>
      </c>
      <c r="G116" s="119">
        <v>2.7428867554211318E-2</v>
      </c>
    </row>
    <row r="117" spans="2:7" x14ac:dyDescent="0.2">
      <c r="B117" s="116" t="s">
        <v>341</v>
      </c>
      <c r="C117" s="117" t="s">
        <v>342</v>
      </c>
      <c r="D117" s="118" t="s">
        <v>145</v>
      </c>
      <c r="E117" s="118" t="s">
        <v>343</v>
      </c>
      <c r="F117" s="120">
        <v>-14.48</v>
      </c>
      <c r="G117" s="119">
        <v>3.3184658198943957E-2</v>
      </c>
    </row>
    <row r="118" spans="2:7" x14ac:dyDescent="0.2">
      <c r="B118" s="116" t="s">
        <v>344</v>
      </c>
      <c r="C118" s="117" t="s">
        <v>345</v>
      </c>
      <c r="D118" s="118" t="s">
        <v>34</v>
      </c>
      <c r="E118" s="118" t="s">
        <v>346</v>
      </c>
      <c r="F118" s="120">
        <v>7.09</v>
      </c>
      <c r="G118" s="119">
        <v>-2.4104517439060891E-2</v>
      </c>
    </row>
    <row r="119" spans="2:7" x14ac:dyDescent="0.2">
      <c r="B119" s="116" t="s">
        <v>347</v>
      </c>
      <c r="C119" s="117" t="s">
        <v>348</v>
      </c>
      <c r="D119" s="118" t="s">
        <v>39</v>
      </c>
      <c r="E119" s="118" t="s">
        <v>62</v>
      </c>
      <c r="F119" s="120">
        <v>5.3</v>
      </c>
      <c r="G119" s="119">
        <v>3.1633007684566991E-2</v>
      </c>
    </row>
    <row r="120" spans="2:7" x14ac:dyDescent="0.2">
      <c r="B120" s="116" t="s">
        <v>349</v>
      </c>
      <c r="C120" s="117" t="s">
        <v>350</v>
      </c>
      <c r="D120" s="118" t="s">
        <v>92</v>
      </c>
      <c r="E120" s="118" t="s">
        <v>351</v>
      </c>
      <c r="F120" s="120">
        <v>9.7899999999999991</v>
      </c>
      <c r="G120" s="119">
        <v>-0.1739868980592171</v>
      </c>
    </row>
    <row r="121" spans="2:7" x14ac:dyDescent="0.2">
      <c r="B121" s="116" t="s">
        <v>352</v>
      </c>
      <c r="C121" s="117" t="s">
        <v>353</v>
      </c>
      <c r="D121" s="118" t="s">
        <v>78</v>
      </c>
      <c r="E121" s="118" t="s">
        <v>340</v>
      </c>
      <c r="F121" s="120"/>
      <c r="G121" s="119">
        <v>-5.3448554423864217E-2</v>
      </c>
    </row>
    <row r="122" spans="2:7" x14ac:dyDescent="0.2">
      <c r="B122" s="116" t="s">
        <v>354</v>
      </c>
      <c r="C122" s="117" t="s">
        <v>355</v>
      </c>
      <c r="D122" s="118" t="s">
        <v>233</v>
      </c>
      <c r="E122" s="118" t="s">
        <v>234</v>
      </c>
      <c r="F122" s="120"/>
      <c r="G122" s="119">
        <v>-6.0554248351675543E-3</v>
      </c>
    </row>
    <row r="123" spans="2:7" x14ac:dyDescent="0.2">
      <c r="B123" s="116" t="s">
        <v>356</v>
      </c>
      <c r="C123" s="117" t="s">
        <v>357</v>
      </c>
      <c r="D123" s="118" t="s">
        <v>34</v>
      </c>
      <c r="E123" s="118" t="s">
        <v>245</v>
      </c>
      <c r="F123" s="120">
        <v>16.07</v>
      </c>
      <c r="G123" s="119">
        <v>0.14643153086376171</v>
      </c>
    </row>
    <row r="124" spans="2:7" x14ac:dyDescent="0.2">
      <c r="B124" s="116" t="s">
        <v>358</v>
      </c>
      <c r="C124" s="117" t="s">
        <v>359</v>
      </c>
      <c r="D124" s="118" t="s">
        <v>145</v>
      </c>
      <c r="E124" s="118" t="s">
        <v>360</v>
      </c>
      <c r="F124" s="120">
        <v>-14.1</v>
      </c>
      <c r="G124" s="119">
        <v>-0.32659525781458731</v>
      </c>
    </row>
    <row r="125" spans="2:7" x14ac:dyDescent="0.2">
      <c r="B125" s="116" t="s">
        <v>361</v>
      </c>
      <c r="C125" s="117" t="s">
        <v>362</v>
      </c>
      <c r="D125" s="118" t="s">
        <v>39</v>
      </c>
      <c r="E125" s="118" t="s">
        <v>363</v>
      </c>
      <c r="F125" s="120">
        <v>14.16</v>
      </c>
      <c r="G125" s="119">
        <v>9.9173639076841291E-2</v>
      </c>
    </row>
    <row r="126" spans="2:7" x14ac:dyDescent="0.2">
      <c r="B126" s="116" t="s">
        <v>364</v>
      </c>
      <c r="C126" s="117" t="s">
        <v>365</v>
      </c>
      <c r="D126" s="118" t="s">
        <v>34</v>
      </c>
      <c r="E126" s="118" t="s">
        <v>248</v>
      </c>
      <c r="F126" s="120">
        <v>15.68</v>
      </c>
      <c r="G126" s="119">
        <v>6.8384020710283936E-3</v>
      </c>
    </row>
    <row r="127" spans="2:7" x14ac:dyDescent="0.2">
      <c r="B127" s="116" t="s">
        <v>366</v>
      </c>
      <c r="C127" s="117" t="s">
        <v>367</v>
      </c>
      <c r="D127" s="118" t="s">
        <v>68</v>
      </c>
      <c r="E127" s="118" t="s">
        <v>87</v>
      </c>
      <c r="F127" s="120">
        <v>-7.32</v>
      </c>
      <c r="G127" s="119">
        <v>0.15919920000000001</v>
      </c>
    </row>
    <row r="128" spans="2:7" x14ac:dyDescent="0.2">
      <c r="B128" s="116" t="s">
        <v>368</v>
      </c>
      <c r="C128" s="117" t="s">
        <v>369</v>
      </c>
      <c r="D128" s="118" t="s">
        <v>48</v>
      </c>
      <c r="E128" s="118" t="s">
        <v>370</v>
      </c>
      <c r="F128" s="120">
        <v>15.34</v>
      </c>
      <c r="G128" s="119">
        <v>0.11289033721306981</v>
      </c>
    </row>
    <row r="129" spans="2:7" x14ac:dyDescent="0.2">
      <c r="B129" s="116" t="s">
        <v>371</v>
      </c>
      <c r="C129" s="117" t="s">
        <v>372</v>
      </c>
      <c r="D129" s="118" t="s">
        <v>34</v>
      </c>
      <c r="E129" s="118" t="s">
        <v>251</v>
      </c>
      <c r="F129" s="120">
        <v>8.68</v>
      </c>
      <c r="G129" s="119">
        <v>-1</v>
      </c>
    </row>
    <row r="130" spans="2:7" x14ac:dyDescent="0.2">
      <c r="B130" s="116" t="s">
        <v>373</v>
      </c>
      <c r="C130" s="117" t="s">
        <v>374</v>
      </c>
      <c r="D130" s="118" t="s">
        <v>34</v>
      </c>
      <c r="E130" s="118" t="s">
        <v>375</v>
      </c>
      <c r="F130" s="120">
        <v>16.93</v>
      </c>
      <c r="G130" s="119">
        <v>-0.124899613252345</v>
      </c>
    </row>
    <row r="131" spans="2:7" x14ac:dyDescent="0.2">
      <c r="B131" s="116" t="s">
        <v>376</v>
      </c>
      <c r="C131" s="117" t="s">
        <v>377</v>
      </c>
      <c r="D131" s="118" t="s">
        <v>92</v>
      </c>
      <c r="E131" s="118" t="s">
        <v>378</v>
      </c>
      <c r="F131" s="120">
        <v>43.02</v>
      </c>
      <c r="G131" s="119">
        <v>-0.2118039141066789</v>
      </c>
    </row>
    <row r="132" spans="2:7" x14ac:dyDescent="0.2">
      <c r="B132" s="116" t="s">
        <v>379</v>
      </c>
      <c r="C132" s="117" t="s">
        <v>380</v>
      </c>
      <c r="D132" s="118" t="s">
        <v>34</v>
      </c>
      <c r="E132" s="118" t="s">
        <v>202</v>
      </c>
      <c r="F132" s="120">
        <v>31.15</v>
      </c>
      <c r="G132" s="119">
        <v>0.1828244520066159</v>
      </c>
    </row>
    <row r="133" spans="2:7" x14ac:dyDescent="0.2">
      <c r="B133" s="116" t="s">
        <v>381</v>
      </c>
      <c r="C133" s="117" t="s">
        <v>382</v>
      </c>
      <c r="D133" s="118" t="s">
        <v>39</v>
      </c>
      <c r="E133" s="118" t="s">
        <v>383</v>
      </c>
      <c r="F133" s="120">
        <v>-1.92</v>
      </c>
      <c r="G133" s="119">
        <v>-3.2252642687842739E-2</v>
      </c>
    </row>
    <row r="134" spans="2:7" x14ac:dyDescent="0.2">
      <c r="B134" s="116" t="s">
        <v>384</v>
      </c>
      <c r="C134" s="117" t="s">
        <v>385</v>
      </c>
      <c r="D134" s="118" t="s">
        <v>138</v>
      </c>
      <c r="E134" s="118" t="s">
        <v>386</v>
      </c>
      <c r="F134" s="120"/>
      <c r="G134" s="119">
        <v>1.033682014411573E-2</v>
      </c>
    </row>
    <row r="135" spans="2:7" x14ac:dyDescent="0.2">
      <c r="B135" s="116" t="s">
        <v>387</v>
      </c>
      <c r="C135" s="117" t="s">
        <v>388</v>
      </c>
      <c r="D135" s="118" t="s">
        <v>39</v>
      </c>
      <c r="E135" s="118" t="s">
        <v>389</v>
      </c>
      <c r="F135" s="120">
        <v>2.54</v>
      </c>
      <c r="G135" s="119">
        <v>5.1775553755117977E-2</v>
      </c>
    </row>
    <row r="136" spans="2:7" x14ac:dyDescent="0.2">
      <c r="B136" s="116" t="s">
        <v>390</v>
      </c>
      <c r="C136" s="117" t="s">
        <v>391</v>
      </c>
      <c r="D136" s="118" t="s">
        <v>34</v>
      </c>
      <c r="E136" s="118" t="s">
        <v>287</v>
      </c>
      <c r="F136" s="120"/>
      <c r="G136" s="119">
        <v>3.1697503086255123E-2</v>
      </c>
    </row>
    <row r="137" spans="2:7" x14ac:dyDescent="0.2">
      <c r="B137" s="116" t="s">
        <v>392</v>
      </c>
      <c r="C137" s="117" t="s">
        <v>393</v>
      </c>
      <c r="D137" s="118" t="s">
        <v>115</v>
      </c>
      <c r="E137" s="118" t="s">
        <v>394</v>
      </c>
      <c r="F137" s="120">
        <v>14.09</v>
      </c>
      <c r="G137" s="119">
        <v>-0.14636920666666661</v>
      </c>
    </row>
    <row r="138" spans="2:7" x14ac:dyDescent="0.2">
      <c r="B138" s="116" t="s">
        <v>395</v>
      </c>
      <c r="C138" s="117" t="s">
        <v>396</v>
      </c>
      <c r="D138" s="118" t="s">
        <v>145</v>
      </c>
      <c r="E138" s="118" t="s">
        <v>146</v>
      </c>
      <c r="F138" s="120"/>
      <c r="G138" s="119">
        <v>3.3842236875475579E-2</v>
      </c>
    </row>
    <row r="139" spans="2:7" x14ac:dyDescent="0.2">
      <c r="B139" s="116" t="s">
        <v>397</v>
      </c>
      <c r="C139" s="117" t="s">
        <v>398</v>
      </c>
      <c r="D139" s="118" t="s">
        <v>92</v>
      </c>
      <c r="E139" s="118" t="s">
        <v>399</v>
      </c>
      <c r="F139" s="120">
        <v>17.54</v>
      </c>
      <c r="G139" s="119">
        <v>4.2637773881174693E-2</v>
      </c>
    </row>
    <row r="140" spans="2:7" x14ac:dyDescent="0.2">
      <c r="B140" s="116" t="s">
        <v>400</v>
      </c>
      <c r="C140" s="117" t="s">
        <v>401</v>
      </c>
      <c r="D140" s="118" t="s">
        <v>145</v>
      </c>
      <c r="E140" s="118" t="s">
        <v>402</v>
      </c>
      <c r="F140" s="120"/>
      <c r="G140" s="119">
        <v>0.14647451115834231</v>
      </c>
    </row>
    <row r="141" spans="2:7" x14ac:dyDescent="0.2">
      <c r="B141" s="116" t="s">
        <v>403</v>
      </c>
      <c r="C141" s="117" t="s">
        <v>404</v>
      </c>
      <c r="D141" s="118" t="s">
        <v>145</v>
      </c>
      <c r="E141" s="118" t="s">
        <v>146</v>
      </c>
      <c r="F141" s="120">
        <v>-1.03</v>
      </c>
      <c r="G141" s="119">
        <v>-0.14734500973033079</v>
      </c>
    </row>
    <row r="142" spans="2:7" x14ac:dyDescent="0.2">
      <c r="B142" s="116" t="s">
        <v>405</v>
      </c>
      <c r="C142" s="117" t="s">
        <v>406</v>
      </c>
      <c r="D142" s="118" t="s">
        <v>138</v>
      </c>
      <c r="E142" s="118" t="s">
        <v>139</v>
      </c>
      <c r="F142" s="120">
        <v>-1.92</v>
      </c>
      <c r="G142" s="119">
        <v>-1.8176091173965091E-2</v>
      </c>
    </row>
    <row r="143" spans="2:7" x14ac:dyDescent="0.2">
      <c r="B143" s="116" t="s">
        <v>407</v>
      </c>
      <c r="C143" s="117" t="s">
        <v>408</v>
      </c>
      <c r="D143" s="118" t="s">
        <v>92</v>
      </c>
      <c r="E143" s="118" t="s">
        <v>195</v>
      </c>
      <c r="F143" s="120">
        <v>1.29</v>
      </c>
      <c r="G143" s="119">
        <v>-0.32448257692933907</v>
      </c>
    </row>
    <row r="144" spans="2:7" x14ac:dyDescent="0.2">
      <c r="B144" s="116" t="s">
        <v>409</v>
      </c>
      <c r="C144" s="117" t="s">
        <v>410</v>
      </c>
      <c r="D144" s="118" t="s">
        <v>92</v>
      </c>
      <c r="E144" s="118" t="s">
        <v>93</v>
      </c>
      <c r="F144" s="120">
        <v>7.51</v>
      </c>
      <c r="G144" s="119">
        <v>1.346139030785308E-2</v>
      </c>
    </row>
    <row r="145" spans="2:7" x14ac:dyDescent="0.2">
      <c r="B145" s="116" t="s">
        <v>411</v>
      </c>
      <c r="C145" s="117" t="s">
        <v>412</v>
      </c>
      <c r="D145" s="118" t="s">
        <v>34</v>
      </c>
      <c r="E145" s="118" t="s">
        <v>251</v>
      </c>
      <c r="F145" s="120">
        <v>43.13</v>
      </c>
      <c r="G145" s="119">
        <v>8.1666163181120507E-2</v>
      </c>
    </row>
    <row r="146" spans="2:7" x14ac:dyDescent="0.2">
      <c r="B146" s="116" t="s">
        <v>413</v>
      </c>
      <c r="C146" s="117" t="s">
        <v>414</v>
      </c>
      <c r="D146" s="118" t="s">
        <v>34</v>
      </c>
      <c r="E146" s="118" t="s">
        <v>319</v>
      </c>
      <c r="F146" s="120"/>
      <c r="G146" s="119">
        <v>0.34102164645350969</v>
      </c>
    </row>
    <row r="147" spans="2:7" x14ac:dyDescent="0.2">
      <c r="B147" s="116" t="s">
        <v>415</v>
      </c>
      <c r="C147" s="117" t="s">
        <v>416</v>
      </c>
      <c r="D147" s="118" t="s">
        <v>34</v>
      </c>
      <c r="E147" s="118" t="s">
        <v>346</v>
      </c>
      <c r="F147" s="120">
        <v>-10.220000000000001</v>
      </c>
      <c r="G147" s="119">
        <v>-4.618114269524598E-2</v>
      </c>
    </row>
    <row r="148" spans="2:7" x14ac:dyDescent="0.2">
      <c r="B148" s="116" t="s">
        <v>417</v>
      </c>
      <c r="C148" s="117" t="s">
        <v>418</v>
      </c>
      <c r="D148" s="118" t="s">
        <v>92</v>
      </c>
      <c r="E148" s="118" t="s">
        <v>378</v>
      </c>
      <c r="F148" s="120"/>
      <c r="G148" s="119">
        <v>1.110964687426736</v>
      </c>
    </row>
    <row r="149" spans="2:7" x14ac:dyDescent="0.2">
      <c r="B149" s="116" t="s">
        <v>419</v>
      </c>
      <c r="C149" s="117" t="s">
        <v>420</v>
      </c>
      <c r="D149" s="118" t="s">
        <v>39</v>
      </c>
      <c r="E149" s="118" t="s">
        <v>421</v>
      </c>
      <c r="F149" s="120">
        <v>3.64</v>
      </c>
      <c r="G149" s="119">
        <v>-1.23495125017461E-2</v>
      </c>
    </row>
    <row r="150" spans="2:7" x14ac:dyDescent="0.2">
      <c r="B150" s="116" t="s">
        <v>422</v>
      </c>
      <c r="C150" s="117" t="s">
        <v>423</v>
      </c>
      <c r="D150" s="118" t="s">
        <v>102</v>
      </c>
      <c r="E150" s="118" t="s">
        <v>424</v>
      </c>
      <c r="F150" s="120">
        <v>-23.16</v>
      </c>
      <c r="G150" s="119">
        <v>9.2758084691889647E-2</v>
      </c>
    </row>
    <row r="151" spans="2:7" x14ac:dyDescent="0.2">
      <c r="B151" s="116" t="s">
        <v>425</v>
      </c>
      <c r="C151" s="117" t="s">
        <v>426</v>
      </c>
      <c r="D151" s="118" t="s">
        <v>138</v>
      </c>
      <c r="E151" s="118" t="s">
        <v>427</v>
      </c>
      <c r="F151" s="120">
        <v>3.3</v>
      </c>
      <c r="G151" s="119">
        <v>4.7480523255813978E-2</v>
      </c>
    </row>
    <row r="152" spans="2:7" x14ac:dyDescent="0.2">
      <c r="B152" s="116" t="s">
        <v>428</v>
      </c>
      <c r="C152" s="117" t="s">
        <v>429</v>
      </c>
      <c r="D152" s="118" t="s">
        <v>138</v>
      </c>
      <c r="E152" s="118" t="s">
        <v>427</v>
      </c>
      <c r="F152" s="120">
        <v>-1.27</v>
      </c>
      <c r="G152" s="119">
        <v>6.222242571310839E-2</v>
      </c>
    </row>
    <row r="153" spans="2:7" x14ac:dyDescent="0.2">
      <c r="B153" s="116" t="s">
        <v>430</v>
      </c>
      <c r="C153" s="117" t="s">
        <v>431</v>
      </c>
      <c r="D153" s="118" t="s">
        <v>92</v>
      </c>
      <c r="E153" s="118" t="s">
        <v>142</v>
      </c>
      <c r="F153" s="120"/>
      <c r="G153" s="119">
        <v>-7.4344777036814566E-2</v>
      </c>
    </row>
    <row r="154" spans="2:7" x14ac:dyDescent="0.2">
      <c r="B154" s="116" t="s">
        <v>432</v>
      </c>
      <c r="C154" s="117" t="s">
        <v>433</v>
      </c>
      <c r="D154" s="118" t="s">
        <v>92</v>
      </c>
      <c r="E154" s="118" t="s">
        <v>434</v>
      </c>
      <c r="F154" s="120">
        <v>4.0599999999999996</v>
      </c>
      <c r="G154" s="119">
        <v>8.1577079924636822E-2</v>
      </c>
    </row>
    <row r="155" spans="2:7" x14ac:dyDescent="0.2">
      <c r="B155" s="116" t="s">
        <v>435</v>
      </c>
      <c r="C155" s="117" t="s">
        <v>436</v>
      </c>
      <c r="D155" s="118" t="s">
        <v>92</v>
      </c>
      <c r="E155" s="118" t="s">
        <v>96</v>
      </c>
      <c r="F155" s="120">
        <v>4.87</v>
      </c>
      <c r="G155" s="119">
        <v>-4.8956726471934539E-2</v>
      </c>
    </row>
    <row r="156" spans="2:7" x14ac:dyDescent="0.2">
      <c r="B156" s="116" t="s">
        <v>437</v>
      </c>
      <c r="C156" s="117" t="s">
        <v>438</v>
      </c>
      <c r="D156" s="118" t="s">
        <v>145</v>
      </c>
      <c r="E156" s="118" t="s">
        <v>360</v>
      </c>
      <c r="F156" s="120">
        <v>2.1</v>
      </c>
      <c r="G156" s="119">
        <v>-2.4936137137989711E-2</v>
      </c>
    </row>
    <row r="157" spans="2:7" x14ac:dyDescent="0.2">
      <c r="B157" s="116" t="s">
        <v>439</v>
      </c>
      <c r="C157" s="117" t="s">
        <v>440</v>
      </c>
      <c r="D157" s="118" t="s">
        <v>102</v>
      </c>
      <c r="E157" s="118" t="s">
        <v>441</v>
      </c>
      <c r="F157" s="120">
        <v>10.61</v>
      </c>
      <c r="G157" s="119">
        <v>5.7416890845357463E-2</v>
      </c>
    </row>
    <row r="158" spans="2:7" x14ac:dyDescent="0.2">
      <c r="B158" s="116" t="s">
        <v>442</v>
      </c>
      <c r="C158" s="117" t="s">
        <v>443</v>
      </c>
      <c r="D158" s="118" t="s">
        <v>34</v>
      </c>
      <c r="E158" s="118" t="s">
        <v>319</v>
      </c>
      <c r="F158" s="120">
        <v>57.26</v>
      </c>
      <c r="G158" s="119">
        <v>0.83255022026431713</v>
      </c>
    </row>
    <row r="159" spans="2:7" x14ac:dyDescent="0.2">
      <c r="B159" s="116" t="s">
        <v>444</v>
      </c>
      <c r="C159" s="117" t="s">
        <v>445</v>
      </c>
      <c r="D159" s="118" t="s">
        <v>68</v>
      </c>
      <c r="E159" s="118" t="s">
        <v>69</v>
      </c>
      <c r="F159" s="120">
        <v>-3.89</v>
      </c>
      <c r="G159" s="119">
        <v>7.3408764146672759E-2</v>
      </c>
    </row>
    <row r="160" spans="2:7" x14ac:dyDescent="0.2">
      <c r="B160" s="116" t="s">
        <v>446</v>
      </c>
      <c r="C160" s="117" t="s">
        <v>447</v>
      </c>
      <c r="D160" s="118" t="s">
        <v>52</v>
      </c>
      <c r="E160" s="118" t="s">
        <v>56</v>
      </c>
      <c r="F160" s="120">
        <v>3.76</v>
      </c>
      <c r="G160" s="119">
        <v>7.8218180424700676E-2</v>
      </c>
    </row>
    <row r="161" spans="2:7" x14ac:dyDescent="0.2">
      <c r="B161" s="116" t="s">
        <v>448</v>
      </c>
      <c r="C161" s="117" t="s">
        <v>449</v>
      </c>
      <c r="D161" s="118" t="s">
        <v>34</v>
      </c>
      <c r="E161" s="118" t="s">
        <v>99</v>
      </c>
      <c r="F161" s="120">
        <v>5.28</v>
      </c>
      <c r="G161" s="119">
        <v>-2.774359060066278E-3</v>
      </c>
    </row>
    <row r="162" spans="2:7" x14ac:dyDescent="0.2">
      <c r="B162" s="116" t="s">
        <v>450</v>
      </c>
      <c r="C162" s="117" t="s">
        <v>451</v>
      </c>
      <c r="D162" s="118" t="s">
        <v>92</v>
      </c>
      <c r="E162" s="118" t="s">
        <v>142</v>
      </c>
      <c r="F162" s="120">
        <v>3.03</v>
      </c>
      <c r="G162" s="119">
        <v>-0.44395278239151481</v>
      </c>
    </row>
    <row r="163" spans="2:7" x14ac:dyDescent="0.2">
      <c r="B163" s="116" t="s">
        <v>452</v>
      </c>
      <c r="C163" s="117" t="s">
        <v>453</v>
      </c>
      <c r="D163" s="118" t="s">
        <v>48</v>
      </c>
      <c r="E163" s="118" t="s">
        <v>49</v>
      </c>
      <c r="F163" s="120"/>
      <c r="G163" s="119">
        <v>0.22591628195582031</v>
      </c>
    </row>
    <row r="164" spans="2:7" x14ac:dyDescent="0.2">
      <c r="B164" s="116" t="s">
        <v>454</v>
      </c>
      <c r="C164" s="117" t="s">
        <v>455</v>
      </c>
      <c r="D164" s="118" t="s">
        <v>198</v>
      </c>
      <c r="E164" s="118" t="s">
        <v>456</v>
      </c>
      <c r="F164" s="120">
        <v>1</v>
      </c>
      <c r="G164" s="119">
        <v>-0.1534615817734136</v>
      </c>
    </row>
    <row r="165" spans="2:7" x14ac:dyDescent="0.2">
      <c r="B165" s="116" t="s">
        <v>457</v>
      </c>
      <c r="C165" s="117" t="s">
        <v>458</v>
      </c>
      <c r="D165" s="118" t="s">
        <v>52</v>
      </c>
      <c r="E165" s="118" t="s">
        <v>281</v>
      </c>
      <c r="F165" s="120">
        <v>47.19</v>
      </c>
      <c r="G165" s="119">
        <v>0.30826456528707802</v>
      </c>
    </row>
    <row r="166" spans="2:7" x14ac:dyDescent="0.2">
      <c r="B166" s="116" t="s">
        <v>459</v>
      </c>
      <c r="C166" s="117" t="s">
        <v>460</v>
      </c>
      <c r="D166" s="118" t="s">
        <v>92</v>
      </c>
      <c r="E166" s="118" t="s">
        <v>461</v>
      </c>
      <c r="F166" s="120">
        <v>4</v>
      </c>
      <c r="G166" s="119">
        <v>-0.1770132038088692</v>
      </c>
    </row>
    <row r="167" spans="2:7" x14ac:dyDescent="0.2">
      <c r="B167" s="116" t="s">
        <v>462</v>
      </c>
      <c r="C167" s="117" t="s">
        <v>463</v>
      </c>
      <c r="D167" s="118" t="s">
        <v>198</v>
      </c>
      <c r="E167" s="118" t="s">
        <v>199</v>
      </c>
      <c r="F167" s="120"/>
      <c r="G167" s="119">
        <v>-2.9902202794452838E-3</v>
      </c>
    </row>
    <row r="168" spans="2:7" x14ac:dyDescent="0.2">
      <c r="B168" s="116" t="s">
        <v>464</v>
      </c>
      <c r="C168" s="117" t="s">
        <v>465</v>
      </c>
      <c r="D168" s="118" t="s">
        <v>106</v>
      </c>
      <c r="E168" s="118" t="s">
        <v>466</v>
      </c>
      <c r="F168" s="120">
        <v>5.99</v>
      </c>
      <c r="G168" s="119">
        <v>8.2879571124277268E-2</v>
      </c>
    </row>
    <row r="169" spans="2:7" x14ac:dyDescent="0.2">
      <c r="B169" s="116" t="s">
        <v>467</v>
      </c>
      <c r="C169" s="117" t="s">
        <v>468</v>
      </c>
      <c r="D169" s="118" t="s">
        <v>233</v>
      </c>
      <c r="E169" s="118" t="s">
        <v>469</v>
      </c>
      <c r="F169" s="120">
        <v>2.71</v>
      </c>
      <c r="G169" s="119">
        <v>-2.9704668838219331E-2</v>
      </c>
    </row>
    <row r="170" spans="2:7" x14ac:dyDescent="0.2">
      <c r="B170" s="116" t="s">
        <v>470</v>
      </c>
      <c r="C170" s="117" t="s">
        <v>471</v>
      </c>
      <c r="D170" s="118" t="s">
        <v>92</v>
      </c>
      <c r="E170" s="118" t="s">
        <v>299</v>
      </c>
      <c r="F170" s="120">
        <v>4.72</v>
      </c>
      <c r="G170" s="119">
        <v>-8.3783992746977121E-2</v>
      </c>
    </row>
    <row r="171" spans="2:7" x14ac:dyDescent="0.2">
      <c r="B171" s="116" t="s">
        <v>472</v>
      </c>
      <c r="C171" s="117" t="s">
        <v>473</v>
      </c>
      <c r="D171" s="118" t="s">
        <v>145</v>
      </c>
      <c r="E171" s="118" t="s">
        <v>179</v>
      </c>
      <c r="F171" s="120">
        <v>-4.41</v>
      </c>
      <c r="G171" s="119">
        <v>-4.2156811404397032E-2</v>
      </c>
    </row>
    <row r="172" spans="2:7" x14ac:dyDescent="0.2">
      <c r="B172" s="116" t="s">
        <v>474</v>
      </c>
      <c r="C172" s="117" t="s">
        <v>475</v>
      </c>
      <c r="D172" s="118" t="s">
        <v>68</v>
      </c>
      <c r="E172" s="118" t="s">
        <v>75</v>
      </c>
      <c r="F172" s="120">
        <v>-8.93</v>
      </c>
      <c r="G172" s="119">
        <v>1.4583140109643291E-2</v>
      </c>
    </row>
    <row r="173" spans="2:7" x14ac:dyDescent="0.2">
      <c r="B173" s="116" t="s">
        <v>476</v>
      </c>
      <c r="C173" s="117" t="s">
        <v>477</v>
      </c>
      <c r="D173" s="118" t="s">
        <v>68</v>
      </c>
      <c r="E173" s="118" t="s">
        <v>69</v>
      </c>
      <c r="F173" s="120">
        <v>-3.14</v>
      </c>
      <c r="G173" s="119">
        <v>0.1081173530261061</v>
      </c>
    </row>
    <row r="174" spans="2:7" x14ac:dyDescent="0.2">
      <c r="B174" s="116" t="s">
        <v>478</v>
      </c>
      <c r="C174" s="117" t="s">
        <v>479</v>
      </c>
      <c r="D174" s="118" t="s">
        <v>34</v>
      </c>
      <c r="E174" s="118" t="s">
        <v>278</v>
      </c>
      <c r="F174" s="120">
        <v>-29.7</v>
      </c>
      <c r="G174" s="119">
        <v>0.2458628318584071</v>
      </c>
    </row>
    <row r="175" spans="2:7" x14ac:dyDescent="0.2">
      <c r="B175" s="116" t="s">
        <v>480</v>
      </c>
      <c r="C175" s="117" t="s">
        <v>481</v>
      </c>
      <c r="D175" s="118" t="s">
        <v>48</v>
      </c>
      <c r="E175" s="118" t="s">
        <v>49</v>
      </c>
      <c r="F175" s="120"/>
      <c r="G175" s="119">
        <v>-3.076193204066538E-2</v>
      </c>
    </row>
    <row r="176" spans="2:7" x14ac:dyDescent="0.2">
      <c r="B176" s="116" t="s">
        <v>482</v>
      </c>
      <c r="C176" s="117" t="s">
        <v>483</v>
      </c>
      <c r="D176" s="118" t="s">
        <v>92</v>
      </c>
      <c r="E176" s="118" t="s">
        <v>299</v>
      </c>
      <c r="F176" s="120">
        <v>-4.5</v>
      </c>
      <c r="G176" s="119">
        <v>-0.17006019226239791</v>
      </c>
    </row>
    <row r="177" spans="2:7" x14ac:dyDescent="0.2">
      <c r="B177" s="116" t="s">
        <v>484</v>
      </c>
      <c r="C177" s="117" t="s">
        <v>485</v>
      </c>
      <c r="D177" s="118" t="s">
        <v>145</v>
      </c>
      <c r="E177" s="118" t="s">
        <v>402</v>
      </c>
      <c r="F177" s="120"/>
      <c r="G177" s="119">
        <v>4.1623506819002849E-2</v>
      </c>
    </row>
    <row r="178" spans="2:7" x14ac:dyDescent="0.2">
      <c r="B178" s="116" t="s">
        <v>486</v>
      </c>
      <c r="C178" s="117" t="s">
        <v>487</v>
      </c>
      <c r="D178" s="118" t="s">
        <v>92</v>
      </c>
      <c r="E178" s="118" t="s">
        <v>461</v>
      </c>
      <c r="F178" s="120">
        <v>7.16</v>
      </c>
      <c r="G178" s="119">
        <v>-8.4805541705140097E-2</v>
      </c>
    </row>
    <row r="179" spans="2:7" x14ac:dyDescent="0.2">
      <c r="B179" s="116" t="s">
        <v>488</v>
      </c>
      <c r="C179" s="117" t="s">
        <v>489</v>
      </c>
      <c r="D179" s="118" t="s">
        <v>92</v>
      </c>
      <c r="E179" s="118" t="s">
        <v>299</v>
      </c>
      <c r="F179" s="120">
        <v>2.72</v>
      </c>
      <c r="G179" s="119">
        <v>0.33116220594611739</v>
      </c>
    </row>
    <row r="180" spans="2:7" x14ac:dyDescent="0.2">
      <c r="B180" s="116" t="s">
        <v>490</v>
      </c>
      <c r="C180" s="117" t="s">
        <v>491</v>
      </c>
      <c r="D180" s="118" t="s">
        <v>52</v>
      </c>
      <c r="E180" s="118" t="s">
        <v>53</v>
      </c>
      <c r="F180" s="120">
        <v>1.44</v>
      </c>
      <c r="G180" s="119">
        <v>1.398839968282844E-2</v>
      </c>
    </row>
    <row r="181" spans="2:7" x14ac:dyDescent="0.2">
      <c r="B181" s="116" t="s">
        <v>492</v>
      </c>
      <c r="C181" s="117" t="s">
        <v>493</v>
      </c>
      <c r="D181" s="118" t="s">
        <v>115</v>
      </c>
      <c r="E181" s="118" t="s">
        <v>494</v>
      </c>
      <c r="F181" s="120">
        <v>6.27</v>
      </c>
      <c r="G181" s="119">
        <v>-0.19502730462087151</v>
      </c>
    </row>
    <row r="182" spans="2:7" x14ac:dyDescent="0.2">
      <c r="B182" s="116" t="s">
        <v>495</v>
      </c>
      <c r="C182" s="117" t="s">
        <v>496</v>
      </c>
      <c r="D182" s="118" t="s">
        <v>233</v>
      </c>
      <c r="E182" s="118" t="s">
        <v>234</v>
      </c>
      <c r="F182" s="120"/>
      <c r="G182" s="119">
        <v>-0.1101603114605382</v>
      </c>
    </row>
    <row r="183" spans="2:7" x14ac:dyDescent="0.2">
      <c r="B183" s="116" t="s">
        <v>497</v>
      </c>
      <c r="C183" s="117" t="s">
        <v>498</v>
      </c>
      <c r="D183" s="118" t="s">
        <v>138</v>
      </c>
      <c r="E183" s="118" t="s">
        <v>499</v>
      </c>
      <c r="F183" s="120">
        <v>0.31</v>
      </c>
      <c r="G183" s="119">
        <v>4.4165641776422312E-3</v>
      </c>
    </row>
    <row r="184" spans="2:7" x14ac:dyDescent="0.2">
      <c r="B184" s="116" t="s">
        <v>500</v>
      </c>
      <c r="C184" s="117" t="s">
        <v>501</v>
      </c>
      <c r="D184" s="118" t="s">
        <v>92</v>
      </c>
      <c r="E184" s="118" t="s">
        <v>299</v>
      </c>
      <c r="F184" s="120">
        <v>-1.7</v>
      </c>
      <c r="G184" s="119">
        <v>-0.189806446789067</v>
      </c>
    </row>
    <row r="185" spans="2:7" x14ac:dyDescent="0.2">
      <c r="B185" s="116" t="s">
        <v>502</v>
      </c>
      <c r="C185" s="117" t="s">
        <v>503</v>
      </c>
      <c r="D185" s="118" t="s">
        <v>102</v>
      </c>
      <c r="E185" s="118" t="s">
        <v>103</v>
      </c>
      <c r="F185" s="120"/>
      <c r="G185" s="119">
        <v>7.875710185683242E-2</v>
      </c>
    </row>
    <row r="186" spans="2:7" x14ac:dyDescent="0.2">
      <c r="B186" s="116" t="s">
        <v>504</v>
      </c>
      <c r="C186" s="117" t="s">
        <v>505</v>
      </c>
      <c r="D186" s="118" t="s">
        <v>106</v>
      </c>
      <c r="E186" s="118" t="s">
        <v>125</v>
      </c>
      <c r="F186" s="120">
        <v>0.56999999999999995</v>
      </c>
      <c r="G186" s="119">
        <v>7.4158918283699679E-2</v>
      </c>
    </row>
    <row r="187" spans="2:7" x14ac:dyDescent="0.2">
      <c r="B187" s="116" t="s">
        <v>506</v>
      </c>
      <c r="C187" s="117" t="s">
        <v>507</v>
      </c>
      <c r="D187" s="118" t="s">
        <v>145</v>
      </c>
      <c r="E187" s="118" t="s">
        <v>360</v>
      </c>
      <c r="F187" s="120">
        <v>4.24</v>
      </c>
      <c r="G187" s="119">
        <v>3.6928302883420437E-2</v>
      </c>
    </row>
    <row r="188" spans="2:7" x14ac:dyDescent="0.2">
      <c r="B188" s="116" t="s">
        <v>508</v>
      </c>
      <c r="C188" s="117" t="s">
        <v>509</v>
      </c>
      <c r="D188" s="118" t="s">
        <v>92</v>
      </c>
      <c r="E188" s="118" t="s">
        <v>299</v>
      </c>
      <c r="F188" s="120">
        <v>-10.79</v>
      </c>
      <c r="G188" s="119">
        <v>-8.2769962799979377E-2</v>
      </c>
    </row>
    <row r="189" spans="2:7" x14ac:dyDescent="0.2">
      <c r="B189" s="116" t="s">
        <v>510</v>
      </c>
      <c r="C189" s="117" t="s">
        <v>511</v>
      </c>
      <c r="D189" s="118" t="s">
        <v>68</v>
      </c>
      <c r="E189" s="118" t="s">
        <v>72</v>
      </c>
      <c r="F189" s="120">
        <v>15.57</v>
      </c>
      <c r="G189" s="119">
        <v>8.1371613589438785E-2</v>
      </c>
    </row>
    <row r="190" spans="2:7" x14ac:dyDescent="0.2">
      <c r="B190" s="116" t="s">
        <v>512</v>
      </c>
      <c r="C190" s="117" t="s">
        <v>513</v>
      </c>
      <c r="D190" s="118" t="s">
        <v>92</v>
      </c>
      <c r="E190" s="118" t="s">
        <v>195</v>
      </c>
      <c r="F190" s="120">
        <v>-7.63</v>
      </c>
      <c r="G190" s="119">
        <v>-7.891075153107252E-2</v>
      </c>
    </row>
    <row r="191" spans="2:7" x14ac:dyDescent="0.2">
      <c r="B191" s="116" t="s">
        <v>514</v>
      </c>
      <c r="C191" s="117" t="s">
        <v>515</v>
      </c>
      <c r="D191" s="118" t="s">
        <v>39</v>
      </c>
      <c r="E191" s="118" t="s">
        <v>389</v>
      </c>
      <c r="F191" s="120">
        <v>13.05</v>
      </c>
      <c r="G191" s="119">
        <v>0.14409366374380489</v>
      </c>
    </row>
    <row r="192" spans="2:7" x14ac:dyDescent="0.2">
      <c r="B192" s="116" t="s">
        <v>516</v>
      </c>
      <c r="C192" s="117" t="s">
        <v>517</v>
      </c>
      <c r="D192" s="118" t="s">
        <v>78</v>
      </c>
      <c r="E192" s="118" t="s">
        <v>79</v>
      </c>
      <c r="F192" s="120">
        <v>-3.63</v>
      </c>
      <c r="G192" s="119">
        <v>-1</v>
      </c>
    </row>
    <row r="193" spans="2:7" x14ac:dyDescent="0.2">
      <c r="B193" s="116" t="s">
        <v>518</v>
      </c>
      <c r="C193" s="117" t="s">
        <v>519</v>
      </c>
      <c r="D193" s="118" t="s">
        <v>78</v>
      </c>
      <c r="E193" s="118" t="s">
        <v>79</v>
      </c>
      <c r="F193" s="120">
        <v>-3.63</v>
      </c>
      <c r="G193" s="119">
        <v>4.9882686522262347E-2</v>
      </c>
    </row>
    <row r="194" spans="2:7" x14ac:dyDescent="0.2">
      <c r="B194" s="116" t="s">
        <v>520</v>
      </c>
      <c r="C194" s="117" t="s">
        <v>521</v>
      </c>
      <c r="D194" s="118" t="s">
        <v>115</v>
      </c>
      <c r="E194" s="118" t="s">
        <v>522</v>
      </c>
      <c r="F194" s="120">
        <v>9.02</v>
      </c>
      <c r="G194" s="119">
        <v>8.2917054613856844E-2</v>
      </c>
    </row>
    <row r="195" spans="2:7" x14ac:dyDescent="0.2">
      <c r="B195" s="116" t="s">
        <v>523</v>
      </c>
      <c r="C195" s="117" t="s">
        <v>524</v>
      </c>
      <c r="D195" s="118" t="s">
        <v>145</v>
      </c>
      <c r="E195" s="118" t="s">
        <v>525</v>
      </c>
      <c r="F195" s="120">
        <v>-3.72</v>
      </c>
      <c r="G195" s="119">
        <v>-3.8596581772074347E-2</v>
      </c>
    </row>
    <row r="196" spans="2:7" x14ac:dyDescent="0.2">
      <c r="B196" s="116" t="s">
        <v>526</v>
      </c>
      <c r="C196" s="117" t="s">
        <v>527</v>
      </c>
      <c r="D196" s="118" t="s">
        <v>68</v>
      </c>
      <c r="E196" s="118" t="s">
        <v>87</v>
      </c>
      <c r="F196" s="120"/>
      <c r="G196" s="119">
        <v>1.036812581979619</v>
      </c>
    </row>
    <row r="197" spans="2:7" x14ac:dyDescent="0.2">
      <c r="B197" s="116" t="s">
        <v>528</v>
      </c>
      <c r="C197" s="117" t="s">
        <v>529</v>
      </c>
      <c r="D197" s="118" t="s">
        <v>68</v>
      </c>
      <c r="E197" s="118" t="s">
        <v>168</v>
      </c>
      <c r="F197" s="120">
        <v>-1.91</v>
      </c>
      <c r="G197" s="119">
        <v>1.6947437947493978E-2</v>
      </c>
    </row>
    <row r="198" spans="2:7" x14ac:dyDescent="0.2">
      <c r="B198" s="116" t="s">
        <v>530</v>
      </c>
      <c r="C198" s="117" t="s">
        <v>531</v>
      </c>
      <c r="D198" s="118" t="s">
        <v>92</v>
      </c>
      <c r="E198" s="118" t="s">
        <v>378</v>
      </c>
      <c r="F198" s="120"/>
      <c r="G198" s="119">
        <v>-9.3564981595091995E-2</v>
      </c>
    </row>
    <row r="199" spans="2:7" x14ac:dyDescent="0.2">
      <c r="B199" s="116" t="s">
        <v>532</v>
      </c>
      <c r="C199" s="117" t="s">
        <v>533</v>
      </c>
      <c r="D199" s="118" t="s">
        <v>241</v>
      </c>
      <c r="E199" s="118" t="s">
        <v>534</v>
      </c>
      <c r="F199" s="120">
        <v>0.86</v>
      </c>
      <c r="G199" s="119">
        <v>6.6227132928268498E-2</v>
      </c>
    </row>
    <row r="200" spans="2:7" x14ac:dyDescent="0.2">
      <c r="B200" s="116" t="s">
        <v>535</v>
      </c>
      <c r="C200" s="117" t="s">
        <v>536</v>
      </c>
      <c r="D200" s="118" t="s">
        <v>52</v>
      </c>
      <c r="E200" s="118" t="s">
        <v>281</v>
      </c>
      <c r="F200" s="120"/>
      <c r="G200" s="119" t="e">
        <v>#DIV/0!</v>
      </c>
    </row>
    <row r="201" spans="2:7" x14ac:dyDescent="0.2">
      <c r="B201" s="116" t="s">
        <v>537</v>
      </c>
      <c r="C201" s="117" t="s">
        <v>538</v>
      </c>
      <c r="D201" s="118" t="s">
        <v>145</v>
      </c>
      <c r="E201" s="118" t="s">
        <v>402</v>
      </c>
      <c r="F201" s="120"/>
      <c r="G201" s="119">
        <v>2.2232408327312211E-2</v>
      </c>
    </row>
    <row r="202" spans="2:7" x14ac:dyDescent="0.2">
      <c r="B202" s="116" t="s">
        <v>539</v>
      </c>
      <c r="C202" s="117" t="s">
        <v>540</v>
      </c>
      <c r="D202" s="118" t="s">
        <v>34</v>
      </c>
      <c r="E202" s="118" t="s">
        <v>202</v>
      </c>
      <c r="F202" s="120">
        <v>15.94</v>
      </c>
      <c r="G202" s="119">
        <v>5.334429954288792E-2</v>
      </c>
    </row>
    <row r="203" spans="2:7" x14ac:dyDescent="0.2">
      <c r="B203" s="116" t="s">
        <v>541</v>
      </c>
      <c r="C203" s="117" t="s">
        <v>542</v>
      </c>
      <c r="D203" s="118" t="s">
        <v>68</v>
      </c>
      <c r="E203" s="118" t="s">
        <v>87</v>
      </c>
      <c r="F203" s="120">
        <v>8.36</v>
      </c>
      <c r="G203" s="119">
        <v>5.0325565491455462E-2</v>
      </c>
    </row>
    <row r="204" spans="2:7" x14ac:dyDescent="0.2">
      <c r="B204" s="116" t="s">
        <v>543</v>
      </c>
      <c r="C204" s="117" t="s">
        <v>544</v>
      </c>
      <c r="D204" s="118" t="s">
        <v>34</v>
      </c>
      <c r="E204" s="118" t="s">
        <v>202</v>
      </c>
      <c r="F204" s="120"/>
      <c r="G204" s="119">
        <v>0.54896400395303258</v>
      </c>
    </row>
    <row r="205" spans="2:7" x14ac:dyDescent="0.2">
      <c r="B205" s="116" t="s">
        <v>545</v>
      </c>
      <c r="C205" s="117" t="s">
        <v>546</v>
      </c>
      <c r="D205" s="118" t="s">
        <v>68</v>
      </c>
      <c r="E205" s="118" t="s">
        <v>75</v>
      </c>
      <c r="F205" s="120">
        <v>2.0299999999999998</v>
      </c>
      <c r="G205" s="119">
        <v>2.484160149512463E-2</v>
      </c>
    </row>
    <row r="206" spans="2:7" x14ac:dyDescent="0.2">
      <c r="B206" s="116" t="s">
        <v>547</v>
      </c>
      <c r="C206" s="117" t="s">
        <v>548</v>
      </c>
      <c r="D206" s="118" t="s">
        <v>138</v>
      </c>
      <c r="E206" s="118" t="s">
        <v>139</v>
      </c>
      <c r="F206" s="120">
        <v>29.37</v>
      </c>
      <c r="G206" s="119">
        <v>2.160361134995701E-2</v>
      </c>
    </row>
    <row r="207" spans="2:7" x14ac:dyDescent="0.2">
      <c r="B207" s="116" t="s">
        <v>549</v>
      </c>
      <c r="C207" s="117" t="s">
        <v>550</v>
      </c>
      <c r="D207" s="118" t="s">
        <v>115</v>
      </c>
      <c r="E207" s="118" t="s">
        <v>551</v>
      </c>
      <c r="F207" s="120"/>
      <c r="G207" s="119">
        <v>3.320280149300206E-2</v>
      </c>
    </row>
    <row r="208" spans="2:7" x14ac:dyDescent="0.2">
      <c r="B208" s="116" t="s">
        <v>552</v>
      </c>
      <c r="C208" s="117" t="s">
        <v>553</v>
      </c>
      <c r="D208" s="118" t="s">
        <v>92</v>
      </c>
      <c r="E208" s="118" t="s">
        <v>461</v>
      </c>
      <c r="F208" s="120">
        <v>4.83</v>
      </c>
      <c r="G208" s="119">
        <v>-0.187370323520233</v>
      </c>
    </row>
    <row r="209" spans="2:7" x14ac:dyDescent="0.2">
      <c r="B209" s="116" t="s">
        <v>554</v>
      </c>
      <c r="C209" s="117" t="s">
        <v>555</v>
      </c>
      <c r="D209" s="118" t="s">
        <v>92</v>
      </c>
      <c r="E209" s="118" t="s">
        <v>299</v>
      </c>
      <c r="F209" s="120"/>
      <c r="G209" s="119">
        <v>-1</v>
      </c>
    </row>
    <row r="210" spans="2:7" x14ac:dyDescent="0.2">
      <c r="B210" s="116" t="s">
        <v>556</v>
      </c>
      <c r="C210" s="117" t="s">
        <v>557</v>
      </c>
      <c r="D210" s="118" t="s">
        <v>92</v>
      </c>
      <c r="E210" s="118" t="s">
        <v>558</v>
      </c>
      <c r="F210" s="120"/>
      <c r="G210" s="119">
        <v>-0.33899293629706428</v>
      </c>
    </row>
    <row r="211" spans="2:7" x14ac:dyDescent="0.2">
      <c r="B211" s="116" t="s">
        <v>559</v>
      </c>
      <c r="C211" s="117" t="s">
        <v>560</v>
      </c>
      <c r="D211" s="118" t="s">
        <v>138</v>
      </c>
      <c r="E211" s="118" t="s">
        <v>139</v>
      </c>
      <c r="F211" s="120">
        <v>7.48</v>
      </c>
      <c r="G211" s="119">
        <v>3.801515704269514E-2</v>
      </c>
    </row>
    <row r="212" spans="2:7" x14ac:dyDescent="0.2">
      <c r="B212" s="116" t="s">
        <v>561</v>
      </c>
      <c r="C212" s="117" t="s">
        <v>562</v>
      </c>
      <c r="D212" s="118" t="s">
        <v>106</v>
      </c>
      <c r="E212" s="118" t="s">
        <v>563</v>
      </c>
      <c r="F212" s="120">
        <v>6.43</v>
      </c>
      <c r="G212" s="119">
        <v>6.0557495511669557E-2</v>
      </c>
    </row>
    <row r="213" spans="2:7" x14ac:dyDescent="0.2">
      <c r="B213" s="116" t="s">
        <v>564</v>
      </c>
      <c r="C213" s="117" t="s">
        <v>565</v>
      </c>
      <c r="D213" s="118" t="s">
        <v>52</v>
      </c>
      <c r="E213" s="118" t="s">
        <v>281</v>
      </c>
      <c r="F213" s="120">
        <v>14.68</v>
      </c>
      <c r="G213" s="119">
        <v>4.4681548840090853E-2</v>
      </c>
    </row>
    <row r="214" spans="2:7" x14ac:dyDescent="0.2">
      <c r="B214" s="116" t="s">
        <v>566</v>
      </c>
      <c r="C214" s="117" t="s">
        <v>567</v>
      </c>
      <c r="D214" s="118" t="s">
        <v>92</v>
      </c>
      <c r="E214" s="118" t="s">
        <v>299</v>
      </c>
      <c r="F214" s="120">
        <v>-4.84</v>
      </c>
      <c r="G214" s="119">
        <v>-9.0551399389314169E-2</v>
      </c>
    </row>
    <row r="215" spans="2:7" x14ac:dyDescent="0.2">
      <c r="B215" s="116" t="s">
        <v>568</v>
      </c>
      <c r="C215" s="117" t="s">
        <v>569</v>
      </c>
      <c r="D215" s="118" t="s">
        <v>92</v>
      </c>
      <c r="E215" s="118" t="s">
        <v>461</v>
      </c>
      <c r="F215" s="120">
        <v>15.87</v>
      </c>
      <c r="G215" s="119">
        <v>-0.42979375399229691</v>
      </c>
    </row>
    <row r="216" spans="2:7" x14ac:dyDescent="0.2">
      <c r="B216" s="116" t="s">
        <v>570</v>
      </c>
      <c r="C216" s="117" t="s">
        <v>571</v>
      </c>
      <c r="D216" s="118" t="s">
        <v>102</v>
      </c>
      <c r="E216" s="118" t="s">
        <v>424</v>
      </c>
      <c r="F216" s="120">
        <v>12.46</v>
      </c>
      <c r="G216" s="119">
        <v>9.9469397085037159E-2</v>
      </c>
    </row>
    <row r="217" spans="2:7" x14ac:dyDescent="0.2">
      <c r="B217" s="116" t="s">
        <v>572</v>
      </c>
      <c r="C217" s="117" t="s">
        <v>573</v>
      </c>
      <c r="D217" s="118" t="s">
        <v>92</v>
      </c>
      <c r="E217" s="118" t="s">
        <v>195</v>
      </c>
      <c r="F217" s="120">
        <v>6.08</v>
      </c>
      <c r="G217" s="119">
        <v>1.7762253134244201E-2</v>
      </c>
    </row>
    <row r="218" spans="2:7" x14ac:dyDescent="0.2">
      <c r="B218" s="116" t="s">
        <v>574</v>
      </c>
      <c r="C218" s="117" t="s">
        <v>575</v>
      </c>
      <c r="D218" s="118" t="s">
        <v>34</v>
      </c>
      <c r="E218" s="118" t="s">
        <v>99</v>
      </c>
      <c r="F218" s="120">
        <v>10.63</v>
      </c>
      <c r="G218" s="119">
        <v>5.3480409139651887E-2</v>
      </c>
    </row>
    <row r="219" spans="2:7" x14ac:dyDescent="0.2">
      <c r="B219" s="116" t="s">
        <v>576</v>
      </c>
      <c r="C219" s="117" t="s">
        <v>577</v>
      </c>
      <c r="D219" s="118" t="s">
        <v>39</v>
      </c>
      <c r="E219" s="118" t="s">
        <v>578</v>
      </c>
      <c r="F219" s="120">
        <v>9.9600000000000009</v>
      </c>
      <c r="G219" s="119">
        <v>1.004629737859908E-2</v>
      </c>
    </row>
    <row r="220" spans="2:7" x14ac:dyDescent="0.2">
      <c r="B220" s="116" t="s">
        <v>579</v>
      </c>
      <c r="C220" s="117" t="s">
        <v>580</v>
      </c>
      <c r="D220" s="118" t="s">
        <v>68</v>
      </c>
      <c r="E220" s="118" t="s">
        <v>87</v>
      </c>
      <c r="F220" s="120">
        <v>29.29</v>
      </c>
      <c r="G220" s="119">
        <v>-5.1429278123854859E-2</v>
      </c>
    </row>
    <row r="221" spans="2:7" x14ac:dyDescent="0.2">
      <c r="B221" s="116" t="s">
        <v>581</v>
      </c>
      <c r="C221" s="117" t="s">
        <v>582</v>
      </c>
      <c r="D221" s="118" t="s">
        <v>92</v>
      </c>
      <c r="E221" s="118" t="s">
        <v>299</v>
      </c>
      <c r="F221" s="120">
        <v>9.17</v>
      </c>
      <c r="G221" s="119">
        <v>-0.31217422040813719</v>
      </c>
    </row>
    <row r="222" spans="2:7" x14ac:dyDescent="0.2">
      <c r="B222" s="116" t="s">
        <v>583</v>
      </c>
      <c r="C222" s="117" t="s">
        <v>584</v>
      </c>
      <c r="D222" s="118" t="s">
        <v>68</v>
      </c>
      <c r="E222" s="118" t="s">
        <v>87</v>
      </c>
      <c r="F222" s="120">
        <v>18.940000000000001</v>
      </c>
      <c r="G222" s="119">
        <v>0.13899784738568</v>
      </c>
    </row>
    <row r="223" spans="2:7" x14ac:dyDescent="0.2">
      <c r="B223" s="116" t="s">
        <v>585</v>
      </c>
      <c r="C223" s="117" t="s">
        <v>586</v>
      </c>
      <c r="D223" s="118" t="s">
        <v>115</v>
      </c>
      <c r="E223" s="118" t="s">
        <v>587</v>
      </c>
      <c r="F223" s="120"/>
      <c r="G223" s="119">
        <v>0.11879778710499229</v>
      </c>
    </row>
    <row r="224" spans="2:7" x14ac:dyDescent="0.2">
      <c r="B224" s="116" t="s">
        <v>588</v>
      </c>
      <c r="C224" s="117" t="s">
        <v>589</v>
      </c>
      <c r="D224" s="118" t="s">
        <v>68</v>
      </c>
      <c r="E224" s="118" t="s">
        <v>69</v>
      </c>
      <c r="F224" s="120">
        <v>9.6199999999999992</v>
      </c>
      <c r="G224" s="119">
        <v>6.6851830149372765E-2</v>
      </c>
    </row>
    <row r="225" spans="2:7" x14ac:dyDescent="0.2">
      <c r="B225" s="116" t="s">
        <v>590</v>
      </c>
      <c r="C225" s="117" t="s">
        <v>591</v>
      </c>
      <c r="D225" s="118" t="s">
        <v>92</v>
      </c>
      <c r="E225" s="118" t="s">
        <v>299</v>
      </c>
      <c r="F225" s="120">
        <v>0.84</v>
      </c>
      <c r="G225" s="119">
        <v>-2.3181864603302921E-2</v>
      </c>
    </row>
    <row r="226" spans="2:7" x14ac:dyDescent="0.2">
      <c r="B226" s="116" t="s">
        <v>592</v>
      </c>
      <c r="C226" s="117" t="s">
        <v>593</v>
      </c>
      <c r="D226" s="118" t="s">
        <v>92</v>
      </c>
      <c r="E226" s="118" t="s">
        <v>299</v>
      </c>
      <c r="F226" s="120">
        <v>5.82</v>
      </c>
      <c r="G226" s="119">
        <v>-0.2488724004127835</v>
      </c>
    </row>
    <row r="227" spans="2:7" x14ac:dyDescent="0.2">
      <c r="B227" s="116" t="s">
        <v>594</v>
      </c>
      <c r="C227" s="117" t="s">
        <v>595</v>
      </c>
      <c r="D227" s="118" t="s">
        <v>145</v>
      </c>
      <c r="E227" s="118" t="s">
        <v>179</v>
      </c>
      <c r="F227" s="120">
        <v>12.09</v>
      </c>
      <c r="G227" s="119">
        <v>-3.1711638821214062E-2</v>
      </c>
    </row>
    <row r="228" spans="2:7" x14ac:dyDescent="0.2">
      <c r="B228" s="116" t="s">
        <v>596</v>
      </c>
      <c r="C228" s="117" t="s">
        <v>597</v>
      </c>
      <c r="D228" s="118" t="s">
        <v>92</v>
      </c>
      <c r="E228" s="118" t="s">
        <v>598</v>
      </c>
      <c r="F228" s="120">
        <v>4.84</v>
      </c>
      <c r="G228" s="119">
        <v>-5.7128382700597918E-2</v>
      </c>
    </row>
    <row r="229" spans="2:7" x14ac:dyDescent="0.2">
      <c r="B229" s="116" t="s">
        <v>599</v>
      </c>
      <c r="C229" s="117" t="s">
        <v>600</v>
      </c>
      <c r="D229" s="118" t="s">
        <v>92</v>
      </c>
      <c r="E229" s="118" t="s">
        <v>601</v>
      </c>
      <c r="F229" s="120">
        <v>8.64</v>
      </c>
      <c r="G229" s="119">
        <v>-1.3953419935942299E-2</v>
      </c>
    </row>
    <row r="230" spans="2:7" x14ac:dyDescent="0.2">
      <c r="B230" s="116" t="s">
        <v>602</v>
      </c>
      <c r="C230" s="117" t="s">
        <v>603</v>
      </c>
      <c r="D230" s="118" t="s">
        <v>39</v>
      </c>
      <c r="E230" s="118" t="s">
        <v>363</v>
      </c>
      <c r="F230" s="120">
        <v>8.9700000000000006</v>
      </c>
      <c r="G230" s="119">
        <v>-5.8052116384546453E-3</v>
      </c>
    </row>
    <row r="231" spans="2:7" x14ac:dyDescent="0.2">
      <c r="B231" s="116" t="s">
        <v>604</v>
      </c>
      <c r="C231" s="117" t="s">
        <v>605</v>
      </c>
      <c r="D231" s="118" t="s">
        <v>241</v>
      </c>
      <c r="E231" s="118" t="s">
        <v>606</v>
      </c>
      <c r="F231" s="120">
        <v>-0.66</v>
      </c>
      <c r="G231" s="119">
        <v>-3.2553446555913322E-2</v>
      </c>
    </row>
    <row r="232" spans="2:7" x14ac:dyDescent="0.2">
      <c r="B232" s="116" t="s">
        <v>607</v>
      </c>
      <c r="C232" s="117" t="s">
        <v>608</v>
      </c>
      <c r="D232" s="118" t="s">
        <v>241</v>
      </c>
      <c r="E232" s="118" t="s">
        <v>609</v>
      </c>
      <c r="F232" s="120">
        <v>-7.1</v>
      </c>
      <c r="G232" s="119">
        <v>-1.437832713039802E-2</v>
      </c>
    </row>
    <row r="233" spans="2:7" x14ac:dyDescent="0.2">
      <c r="B233" s="116" t="s">
        <v>610</v>
      </c>
      <c r="C233" s="117" t="s">
        <v>611</v>
      </c>
      <c r="D233" s="118" t="s">
        <v>68</v>
      </c>
      <c r="E233" s="118" t="s">
        <v>87</v>
      </c>
      <c r="F233" s="120">
        <v>14.88</v>
      </c>
      <c r="G233" s="119">
        <v>-0.786136567834681</v>
      </c>
    </row>
    <row r="234" spans="2:7" x14ac:dyDescent="0.2">
      <c r="B234" s="116" t="s">
        <v>612</v>
      </c>
      <c r="C234" s="117" t="s">
        <v>613</v>
      </c>
      <c r="D234" s="118" t="s">
        <v>92</v>
      </c>
      <c r="E234" s="118" t="s">
        <v>614</v>
      </c>
      <c r="F234" s="120">
        <v>5.43</v>
      </c>
      <c r="G234" s="119">
        <v>-7.7716371142038831E-2</v>
      </c>
    </row>
    <row r="235" spans="2:7" x14ac:dyDescent="0.2">
      <c r="B235" s="116" t="s">
        <v>615</v>
      </c>
      <c r="C235" s="117" t="s">
        <v>616</v>
      </c>
      <c r="D235" s="118" t="s">
        <v>106</v>
      </c>
      <c r="E235" s="118" t="s">
        <v>125</v>
      </c>
      <c r="F235" s="120">
        <v>15.31</v>
      </c>
      <c r="G235" s="119">
        <v>5.1584111228279453E-2</v>
      </c>
    </row>
    <row r="236" spans="2:7" x14ac:dyDescent="0.2">
      <c r="B236" s="116" t="s">
        <v>617</v>
      </c>
      <c r="C236" s="117" t="s">
        <v>618</v>
      </c>
      <c r="D236" s="118" t="s">
        <v>233</v>
      </c>
      <c r="E236" s="118" t="s">
        <v>619</v>
      </c>
      <c r="F236" s="120">
        <v>0.22</v>
      </c>
      <c r="G236" s="119">
        <v>-5.1645475477864024E-3</v>
      </c>
    </row>
    <row r="237" spans="2:7" x14ac:dyDescent="0.2">
      <c r="B237" s="116" t="s">
        <v>620</v>
      </c>
      <c r="C237" s="117" t="s">
        <v>621</v>
      </c>
      <c r="D237" s="118" t="s">
        <v>78</v>
      </c>
      <c r="E237" s="118" t="s">
        <v>340</v>
      </c>
      <c r="F237" s="120">
        <v>-6.98</v>
      </c>
      <c r="G237" s="119">
        <v>-2.832606370308945E-2</v>
      </c>
    </row>
    <row r="238" spans="2:7" x14ac:dyDescent="0.2">
      <c r="B238" s="116" t="s">
        <v>622</v>
      </c>
      <c r="C238" s="117" t="s">
        <v>623</v>
      </c>
      <c r="D238" s="118" t="s">
        <v>92</v>
      </c>
      <c r="E238" s="118" t="s">
        <v>96</v>
      </c>
      <c r="F238" s="120">
        <v>6.04</v>
      </c>
      <c r="G238" s="119">
        <v>0.20113257403051199</v>
      </c>
    </row>
    <row r="239" spans="2:7" x14ac:dyDescent="0.2">
      <c r="B239" s="116" t="s">
        <v>624</v>
      </c>
      <c r="C239" s="117" t="s">
        <v>625</v>
      </c>
      <c r="D239" s="118" t="s">
        <v>241</v>
      </c>
      <c r="E239" s="118" t="s">
        <v>606</v>
      </c>
      <c r="F239" s="120">
        <v>-3.67</v>
      </c>
      <c r="G239" s="119">
        <v>-0.27241966336992057</v>
      </c>
    </row>
    <row r="240" spans="2:7" x14ac:dyDescent="0.2">
      <c r="B240" s="116" t="s">
        <v>626</v>
      </c>
      <c r="C240" s="117" t="s">
        <v>627</v>
      </c>
      <c r="D240" s="118" t="s">
        <v>34</v>
      </c>
      <c r="E240" s="118" t="s">
        <v>628</v>
      </c>
      <c r="F240" s="120">
        <v>2.4300000000000002</v>
      </c>
      <c r="G240" s="119">
        <v>7.7015171977210445E-2</v>
      </c>
    </row>
    <row r="241" spans="2:7" x14ac:dyDescent="0.2">
      <c r="B241" s="116" t="s">
        <v>629</v>
      </c>
      <c r="C241" s="117" t="s">
        <v>630</v>
      </c>
      <c r="D241" s="118" t="s">
        <v>92</v>
      </c>
      <c r="E241" s="118" t="s">
        <v>192</v>
      </c>
      <c r="F241" s="120">
        <v>6.99</v>
      </c>
      <c r="G241" s="119">
        <v>0.1778130622579685</v>
      </c>
    </row>
    <row r="242" spans="2:7" x14ac:dyDescent="0.2">
      <c r="B242" s="116" t="s">
        <v>631</v>
      </c>
      <c r="C242" s="117" t="s">
        <v>632</v>
      </c>
      <c r="D242" s="118" t="s">
        <v>92</v>
      </c>
      <c r="E242" s="118" t="s">
        <v>112</v>
      </c>
      <c r="F242" s="120">
        <v>-0.27</v>
      </c>
      <c r="G242" s="119">
        <v>-5.1728057099340453E-2</v>
      </c>
    </row>
    <row r="243" spans="2:7" x14ac:dyDescent="0.2">
      <c r="B243" s="116" t="s">
        <v>633</v>
      </c>
      <c r="C243" s="117" t="s">
        <v>634</v>
      </c>
      <c r="D243" s="118" t="s">
        <v>92</v>
      </c>
      <c r="E243" s="118" t="s">
        <v>299</v>
      </c>
      <c r="F243" s="120">
        <v>-1.52</v>
      </c>
      <c r="G243" s="119">
        <v>-0.27700298652030031</v>
      </c>
    </row>
    <row r="244" spans="2:7" x14ac:dyDescent="0.2">
      <c r="B244" s="116" t="s">
        <v>635</v>
      </c>
      <c r="C244" s="117" t="s">
        <v>636</v>
      </c>
      <c r="D244" s="118" t="s">
        <v>92</v>
      </c>
      <c r="E244" s="118" t="s">
        <v>299</v>
      </c>
      <c r="F244" s="120">
        <v>-2.1</v>
      </c>
      <c r="G244" s="119">
        <v>-0.30569191490030989</v>
      </c>
    </row>
    <row r="245" spans="2:7" x14ac:dyDescent="0.2">
      <c r="B245" s="116" t="s">
        <v>637</v>
      </c>
      <c r="C245" s="117" t="s">
        <v>638</v>
      </c>
      <c r="D245" s="118" t="s">
        <v>241</v>
      </c>
      <c r="E245" s="118" t="s">
        <v>639</v>
      </c>
      <c r="F245" s="120">
        <v>4.74</v>
      </c>
      <c r="G245" s="119">
        <v>-0.13694576504749259</v>
      </c>
    </row>
    <row r="246" spans="2:7" x14ac:dyDescent="0.2">
      <c r="B246" s="116" t="s">
        <v>640</v>
      </c>
      <c r="C246" s="117" t="s">
        <v>641</v>
      </c>
      <c r="D246" s="118" t="s">
        <v>92</v>
      </c>
      <c r="E246" s="118" t="s">
        <v>299</v>
      </c>
      <c r="F246" s="120">
        <v>9.3000000000000007</v>
      </c>
      <c r="G246" s="119">
        <v>-0.36084660056841977</v>
      </c>
    </row>
    <row r="247" spans="2:7" x14ac:dyDescent="0.2">
      <c r="B247" s="116" t="s">
        <v>642</v>
      </c>
      <c r="C247" s="117" t="s">
        <v>643</v>
      </c>
      <c r="D247" s="118" t="s">
        <v>68</v>
      </c>
      <c r="E247" s="118" t="s">
        <v>75</v>
      </c>
      <c r="F247" s="120">
        <v>7.99</v>
      </c>
      <c r="G247" s="119">
        <v>8.4914808103430717E-2</v>
      </c>
    </row>
    <row r="248" spans="2:7" x14ac:dyDescent="0.2">
      <c r="B248" s="116" t="s">
        <v>644</v>
      </c>
      <c r="C248" s="117" t="s">
        <v>645</v>
      </c>
      <c r="D248" s="118" t="s">
        <v>92</v>
      </c>
      <c r="E248" s="118" t="s">
        <v>558</v>
      </c>
      <c r="F248" s="120"/>
      <c r="G248" s="119">
        <v>2.8576895500113459E-2</v>
      </c>
    </row>
    <row r="249" spans="2:7" x14ac:dyDescent="0.2">
      <c r="B249" s="116" t="s">
        <v>646</v>
      </c>
      <c r="C249" s="117" t="s">
        <v>647</v>
      </c>
      <c r="D249" s="118" t="s">
        <v>145</v>
      </c>
      <c r="E249" s="118" t="s">
        <v>146</v>
      </c>
      <c r="F249" s="120">
        <v>22.16</v>
      </c>
      <c r="G249" s="119">
        <v>-2.2303348407424959E-2</v>
      </c>
    </row>
    <row r="250" spans="2:7" x14ac:dyDescent="0.2">
      <c r="B250" s="116" t="s">
        <v>648</v>
      </c>
      <c r="C250" s="117" t="s">
        <v>649</v>
      </c>
      <c r="D250" s="118" t="s">
        <v>78</v>
      </c>
      <c r="E250" s="118" t="s">
        <v>650</v>
      </c>
      <c r="F250" s="120"/>
      <c r="G250" s="119">
        <v>-3.691875522873371E-2</v>
      </c>
    </row>
    <row r="251" spans="2:7" x14ac:dyDescent="0.2">
      <c r="B251" s="116" t="s">
        <v>651</v>
      </c>
      <c r="C251" s="117" t="s">
        <v>652</v>
      </c>
      <c r="D251" s="118" t="s">
        <v>138</v>
      </c>
      <c r="E251" s="118" t="s">
        <v>499</v>
      </c>
      <c r="F251" s="120"/>
      <c r="G251" s="119">
        <v>1.646286275497787E-2</v>
      </c>
    </row>
    <row r="252" spans="2:7" x14ac:dyDescent="0.2">
      <c r="B252" s="116" t="s">
        <v>653</v>
      </c>
      <c r="C252" s="117" t="s">
        <v>654</v>
      </c>
      <c r="D252" s="118" t="s">
        <v>78</v>
      </c>
      <c r="E252" s="118" t="s">
        <v>79</v>
      </c>
      <c r="F252" s="120">
        <v>5.81</v>
      </c>
      <c r="G252" s="119">
        <v>1.07321569417236E-2</v>
      </c>
    </row>
    <row r="253" spans="2:7" x14ac:dyDescent="0.2">
      <c r="B253" s="116" t="s">
        <v>655</v>
      </c>
      <c r="C253" s="117" t="s">
        <v>656</v>
      </c>
      <c r="D253" s="118" t="s">
        <v>52</v>
      </c>
      <c r="E253" s="118" t="s">
        <v>657</v>
      </c>
      <c r="F253" s="120"/>
      <c r="G253" s="119">
        <v>1.775621970601593E-3</v>
      </c>
    </row>
    <row r="254" spans="2:7" x14ac:dyDescent="0.2">
      <c r="B254" s="116" t="s">
        <v>658</v>
      </c>
      <c r="C254" s="117" t="s">
        <v>659</v>
      </c>
      <c r="D254" s="118" t="s">
        <v>52</v>
      </c>
      <c r="E254" s="118" t="s">
        <v>660</v>
      </c>
      <c r="F254" s="120">
        <v>8.6</v>
      </c>
      <c r="G254" s="119">
        <v>8.9300560247612765E-2</v>
      </c>
    </row>
    <row r="255" spans="2:7" x14ac:dyDescent="0.2">
      <c r="B255" s="116" t="s">
        <v>661</v>
      </c>
      <c r="C255" s="117" t="s">
        <v>662</v>
      </c>
      <c r="D255" s="118" t="s">
        <v>145</v>
      </c>
      <c r="E255" s="118" t="s">
        <v>663</v>
      </c>
      <c r="F255" s="120">
        <v>1.91</v>
      </c>
      <c r="G255" s="119">
        <v>-0.18360347102057609</v>
      </c>
    </row>
    <row r="256" spans="2:7" x14ac:dyDescent="0.2">
      <c r="B256" s="116" t="s">
        <v>664</v>
      </c>
      <c r="C256" s="117" t="s">
        <v>665</v>
      </c>
      <c r="D256" s="118" t="s">
        <v>106</v>
      </c>
      <c r="E256" s="118" t="s">
        <v>107</v>
      </c>
      <c r="F256" s="120"/>
      <c r="G256" s="119">
        <v>8.4918469170854396E-2</v>
      </c>
    </row>
    <row r="257" spans="2:7" x14ac:dyDescent="0.2">
      <c r="B257" s="116" t="s">
        <v>666</v>
      </c>
      <c r="C257" s="117" t="s">
        <v>667</v>
      </c>
      <c r="D257" s="118" t="s">
        <v>233</v>
      </c>
      <c r="E257" s="118" t="s">
        <v>234</v>
      </c>
      <c r="F257" s="120">
        <v>6.86</v>
      </c>
      <c r="G257" s="119">
        <v>-4.4843859215924708E-2</v>
      </c>
    </row>
    <row r="258" spans="2:7" x14ac:dyDescent="0.2">
      <c r="B258" s="116" t="s">
        <v>668</v>
      </c>
      <c r="C258" s="117" t="s">
        <v>669</v>
      </c>
      <c r="D258" s="118" t="s">
        <v>34</v>
      </c>
      <c r="E258" s="118" t="s">
        <v>44</v>
      </c>
      <c r="F258" s="120">
        <v>-9.26</v>
      </c>
      <c r="G258" s="119">
        <v>4.9704715288156447E-2</v>
      </c>
    </row>
    <row r="259" spans="2:7" x14ac:dyDescent="0.2">
      <c r="B259" s="116" t="s">
        <v>670</v>
      </c>
      <c r="C259" s="117" t="s">
        <v>671</v>
      </c>
      <c r="D259" s="118" t="s">
        <v>92</v>
      </c>
      <c r="E259" s="118" t="s">
        <v>195</v>
      </c>
      <c r="F259" s="120">
        <v>2.97</v>
      </c>
      <c r="G259" s="119">
        <v>-0.19090988195970879</v>
      </c>
    </row>
    <row r="260" spans="2:7" x14ac:dyDescent="0.2">
      <c r="B260" s="116" t="s">
        <v>672</v>
      </c>
      <c r="C260" s="117" t="s">
        <v>673</v>
      </c>
      <c r="D260" s="118" t="s">
        <v>92</v>
      </c>
      <c r="E260" s="118" t="s">
        <v>171</v>
      </c>
      <c r="F260" s="120">
        <v>29.99</v>
      </c>
      <c r="G260" s="119">
        <v>7.6069436037126709E-2</v>
      </c>
    </row>
    <row r="261" spans="2:7" x14ac:dyDescent="0.2">
      <c r="B261" s="116" t="s">
        <v>674</v>
      </c>
      <c r="C261" s="117" t="s">
        <v>675</v>
      </c>
      <c r="D261" s="118" t="s">
        <v>92</v>
      </c>
      <c r="E261" s="118" t="s">
        <v>272</v>
      </c>
      <c r="F261" s="120">
        <v>3.1</v>
      </c>
      <c r="G261" s="119">
        <v>2.547926450454156E-3</v>
      </c>
    </row>
    <row r="262" spans="2:7" x14ac:dyDescent="0.2">
      <c r="B262" s="116" t="s">
        <v>676</v>
      </c>
      <c r="C262" s="117" t="s">
        <v>677</v>
      </c>
      <c r="D262" s="118" t="s">
        <v>678</v>
      </c>
      <c r="E262" s="118" t="s">
        <v>679</v>
      </c>
      <c r="F262" s="120"/>
      <c r="G262" s="119">
        <v>-4.7585669504315142E-2</v>
      </c>
    </row>
    <row r="263" spans="2:7" x14ac:dyDescent="0.2">
      <c r="B263" s="116" t="s">
        <v>680</v>
      </c>
      <c r="C263" s="117" t="s">
        <v>681</v>
      </c>
      <c r="D263" s="118" t="s">
        <v>92</v>
      </c>
      <c r="E263" s="118" t="s">
        <v>461</v>
      </c>
      <c r="F263" s="120">
        <v>2.0299999999999998</v>
      </c>
      <c r="G263" s="119">
        <v>-0.23806944697281721</v>
      </c>
    </row>
    <row r="264" spans="2:7" x14ac:dyDescent="0.2">
      <c r="B264" s="116" t="s">
        <v>682</v>
      </c>
      <c r="C264" s="117" t="s">
        <v>683</v>
      </c>
      <c r="D264" s="118" t="s">
        <v>78</v>
      </c>
      <c r="E264" s="118" t="s">
        <v>79</v>
      </c>
      <c r="F264" s="120"/>
      <c r="G264" s="119">
        <v>-9.9451291130189644E-3</v>
      </c>
    </row>
    <row r="265" spans="2:7" x14ac:dyDescent="0.2">
      <c r="B265" s="116" t="s">
        <v>684</v>
      </c>
      <c r="C265" s="117" t="s">
        <v>685</v>
      </c>
      <c r="D265" s="118" t="s">
        <v>115</v>
      </c>
      <c r="E265" s="118" t="s">
        <v>686</v>
      </c>
      <c r="F265" s="120">
        <v>8.57</v>
      </c>
      <c r="G265" s="119">
        <v>7.797625664459569E-2</v>
      </c>
    </row>
    <row r="266" spans="2:7" x14ac:dyDescent="0.2">
      <c r="B266" s="116" t="s">
        <v>687</v>
      </c>
      <c r="C266" s="117" t="s">
        <v>688</v>
      </c>
      <c r="D266" s="118" t="s">
        <v>92</v>
      </c>
      <c r="E266" s="118" t="s">
        <v>228</v>
      </c>
      <c r="F266" s="120">
        <v>15.6</v>
      </c>
      <c r="G266" s="119">
        <v>0.16261472235184329</v>
      </c>
    </row>
    <row r="267" spans="2:7" x14ac:dyDescent="0.2">
      <c r="B267" s="116" t="s">
        <v>689</v>
      </c>
      <c r="C267" s="117" t="s">
        <v>690</v>
      </c>
      <c r="D267" s="118" t="s">
        <v>34</v>
      </c>
      <c r="E267" s="118" t="s">
        <v>691</v>
      </c>
      <c r="F267" s="120">
        <v>9.36</v>
      </c>
      <c r="G267" s="119">
        <v>0.12787294889638481</v>
      </c>
    </row>
    <row r="268" spans="2:7" x14ac:dyDescent="0.2">
      <c r="B268" s="116" t="s">
        <v>692</v>
      </c>
      <c r="C268" s="117" t="s">
        <v>693</v>
      </c>
      <c r="D268" s="118" t="s">
        <v>198</v>
      </c>
      <c r="E268" s="118" t="s">
        <v>199</v>
      </c>
      <c r="F268" s="120">
        <v>6.3</v>
      </c>
      <c r="G268" s="119">
        <v>0.1113441277859855</v>
      </c>
    </row>
    <row r="269" spans="2:7" x14ac:dyDescent="0.2">
      <c r="B269" s="116" t="s">
        <v>694</v>
      </c>
      <c r="C269" s="117" t="s">
        <v>695</v>
      </c>
      <c r="D269" s="118" t="s">
        <v>78</v>
      </c>
      <c r="E269" s="118" t="s">
        <v>340</v>
      </c>
      <c r="F269" s="120">
        <v>-16.43</v>
      </c>
      <c r="G269" s="119">
        <v>0.1353796307556823</v>
      </c>
    </row>
    <row r="270" spans="2:7" x14ac:dyDescent="0.2">
      <c r="B270" s="116" t="s">
        <v>696</v>
      </c>
      <c r="C270" s="117" t="s">
        <v>697</v>
      </c>
      <c r="D270" s="118" t="s">
        <v>68</v>
      </c>
      <c r="E270" s="118" t="s">
        <v>72</v>
      </c>
      <c r="F270" s="120">
        <v>9.92</v>
      </c>
      <c r="G270" s="119">
        <v>4.9300657372160397E-2</v>
      </c>
    </row>
    <row r="271" spans="2:7" x14ac:dyDescent="0.2">
      <c r="B271" s="116" t="s">
        <v>698</v>
      </c>
      <c r="C271" s="117" t="s">
        <v>699</v>
      </c>
      <c r="D271" s="118" t="s">
        <v>34</v>
      </c>
      <c r="E271" s="118" t="s">
        <v>700</v>
      </c>
      <c r="F271" s="120">
        <v>3.31</v>
      </c>
      <c r="G271" s="119">
        <v>-5.6503923556632682E-2</v>
      </c>
    </row>
    <row r="272" spans="2:7" x14ac:dyDescent="0.2">
      <c r="B272" s="116" t="s">
        <v>701</v>
      </c>
      <c r="C272" s="117" t="s">
        <v>702</v>
      </c>
      <c r="D272" s="118" t="s">
        <v>233</v>
      </c>
      <c r="E272" s="118" t="s">
        <v>703</v>
      </c>
      <c r="F272" s="120"/>
      <c r="G272" s="119">
        <v>0.28120854896606412</v>
      </c>
    </row>
    <row r="273" spans="2:7" x14ac:dyDescent="0.2">
      <c r="B273" s="116" t="s">
        <v>704</v>
      </c>
      <c r="C273" s="117" t="s">
        <v>705</v>
      </c>
      <c r="D273" s="118" t="s">
        <v>52</v>
      </c>
      <c r="E273" s="118" t="s">
        <v>706</v>
      </c>
      <c r="F273" s="120">
        <v>4.91</v>
      </c>
      <c r="G273" s="119">
        <v>7.0975064445183325E-2</v>
      </c>
    </row>
    <row r="274" spans="2:7" x14ac:dyDescent="0.2">
      <c r="B274" s="116" t="s">
        <v>707</v>
      </c>
      <c r="C274" s="117" t="s">
        <v>708</v>
      </c>
      <c r="D274" s="118" t="s">
        <v>39</v>
      </c>
      <c r="E274" s="118" t="s">
        <v>709</v>
      </c>
      <c r="F274" s="120">
        <v>0.34</v>
      </c>
      <c r="G274" s="119">
        <v>2.322092229816167E-2</v>
      </c>
    </row>
    <row r="275" spans="2:7" x14ac:dyDescent="0.2">
      <c r="B275" s="116" t="s">
        <v>710</v>
      </c>
      <c r="C275" s="117" t="s">
        <v>711</v>
      </c>
      <c r="D275" s="118" t="s">
        <v>92</v>
      </c>
      <c r="E275" s="118" t="s">
        <v>96</v>
      </c>
      <c r="F275" s="120">
        <v>16.05</v>
      </c>
      <c r="G275" s="119">
        <v>-4.9196816850575392E-2</v>
      </c>
    </row>
    <row r="276" spans="2:7" x14ac:dyDescent="0.2">
      <c r="B276" s="116" t="s">
        <v>712</v>
      </c>
      <c r="C276" s="117" t="s">
        <v>713</v>
      </c>
      <c r="D276" s="118" t="s">
        <v>52</v>
      </c>
      <c r="E276" s="118" t="s">
        <v>714</v>
      </c>
      <c r="F276" s="120">
        <v>-15.9</v>
      </c>
      <c r="G276" s="119">
        <v>6.8505893775864871E-2</v>
      </c>
    </row>
    <row r="277" spans="2:7" x14ac:dyDescent="0.2">
      <c r="B277" s="116" t="s">
        <v>715</v>
      </c>
      <c r="C277" s="117" t="s">
        <v>716</v>
      </c>
      <c r="D277" s="118" t="s">
        <v>92</v>
      </c>
      <c r="E277" s="118" t="s">
        <v>717</v>
      </c>
      <c r="F277" s="120">
        <v>51.68</v>
      </c>
      <c r="G277" s="119">
        <v>-0.58662163753250507</v>
      </c>
    </row>
    <row r="278" spans="2:7" x14ac:dyDescent="0.2">
      <c r="B278" s="116" t="s">
        <v>718</v>
      </c>
      <c r="C278" s="117" t="s">
        <v>719</v>
      </c>
      <c r="D278" s="118" t="s">
        <v>68</v>
      </c>
      <c r="E278" s="118" t="s">
        <v>87</v>
      </c>
      <c r="F278" s="120">
        <v>16.329999999999998</v>
      </c>
      <c r="G278" s="119">
        <v>5.3471984235778001E-2</v>
      </c>
    </row>
    <row r="279" spans="2:7" x14ac:dyDescent="0.2">
      <c r="B279" s="116" t="s">
        <v>720</v>
      </c>
      <c r="C279" s="117" t="s">
        <v>721</v>
      </c>
      <c r="D279" s="118" t="s">
        <v>92</v>
      </c>
      <c r="E279" s="118" t="s">
        <v>722</v>
      </c>
      <c r="F279" s="120">
        <v>22.29</v>
      </c>
      <c r="G279" s="119">
        <v>4.7186341763319713E-2</v>
      </c>
    </row>
    <row r="280" spans="2:7" x14ac:dyDescent="0.2">
      <c r="B280" s="116" t="s">
        <v>723</v>
      </c>
      <c r="C280" s="117" t="s">
        <v>724</v>
      </c>
      <c r="D280" s="118" t="s">
        <v>52</v>
      </c>
      <c r="E280" s="118" t="s">
        <v>725</v>
      </c>
      <c r="F280" s="120">
        <v>2.48</v>
      </c>
      <c r="G280" s="119">
        <v>2.6025781669623549E-2</v>
      </c>
    </row>
    <row r="281" spans="2:7" x14ac:dyDescent="0.2">
      <c r="B281" s="116" t="s">
        <v>726</v>
      </c>
      <c r="C281" s="117" t="s">
        <v>727</v>
      </c>
      <c r="D281" s="118" t="s">
        <v>115</v>
      </c>
      <c r="E281" s="118" t="s">
        <v>728</v>
      </c>
      <c r="F281" s="120">
        <v>1.02</v>
      </c>
      <c r="G281" s="119">
        <v>7.5969753341601207E-2</v>
      </c>
    </row>
    <row r="282" spans="2:7" x14ac:dyDescent="0.2">
      <c r="B282" s="116" t="s">
        <v>729</v>
      </c>
      <c r="C282" s="117" t="s">
        <v>730</v>
      </c>
      <c r="D282" s="118" t="s">
        <v>92</v>
      </c>
      <c r="E282" s="118" t="s">
        <v>399</v>
      </c>
      <c r="F282" s="120">
        <v>13.03</v>
      </c>
      <c r="G282" s="119">
        <v>7.0894357436221767E-3</v>
      </c>
    </row>
    <row r="283" spans="2:7" x14ac:dyDescent="0.2">
      <c r="B283" s="116" t="s">
        <v>731</v>
      </c>
      <c r="C283" s="117" t="s">
        <v>732</v>
      </c>
      <c r="D283" s="118" t="s">
        <v>102</v>
      </c>
      <c r="E283" s="118" t="s">
        <v>733</v>
      </c>
      <c r="F283" s="120"/>
      <c r="G283" s="119">
        <v>3.5748400235490418E-2</v>
      </c>
    </row>
    <row r="284" spans="2:7" x14ac:dyDescent="0.2">
      <c r="B284" s="116" t="s">
        <v>734</v>
      </c>
      <c r="C284" s="117" t="s">
        <v>735</v>
      </c>
      <c r="D284" s="118" t="s">
        <v>78</v>
      </c>
      <c r="E284" s="118" t="s">
        <v>736</v>
      </c>
      <c r="F284" s="120"/>
      <c r="G284" s="119">
        <v>-1.847502881742686E-2</v>
      </c>
    </row>
    <row r="285" spans="2:7" x14ac:dyDescent="0.2">
      <c r="B285" s="116" t="s">
        <v>737</v>
      </c>
      <c r="C285" s="117" t="s">
        <v>738</v>
      </c>
      <c r="D285" s="118" t="s">
        <v>78</v>
      </c>
      <c r="E285" s="118" t="s">
        <v>736</v>
      </c>
      <c r="F285" s="120"/>
      <c r="G285" s="119">
        <v>-8.6389099109525896E-3</v>
      </c>
    </row>
    <row r="286" spans="2:7" x14ac:dyDescent="0.2">
      <c r="B286" s="116" t="s">
        <v>739</v>
      </c>
      <c r="C286" s="117" t="s">
        <v>740</v>
      </c>
      <c r="D286" s="118" t="s">
        <v>92</v>
      </c>
      <c r="E286" s="118" t="s">
        <v>272</v>
      </c>
      <c r="F286" s="120">
        <v>10.63</v>
      </c>
      <c r="G286" s="119">
        <v>7.9130555043333953E-2</v>
      </c>
    </row>
    <row r="287" spans="2:7" x14ac:dyDescent="0.2">
      <c r="B287" s="116" t="s">
        <v>741</v>
      </c>
      <c r="C287" s="117" t="s">
        <v>742</v>
      </c>
      <c r="D287" s="118" t="s">
        <v>145</v>
      </c>
      <c r="E287" s="118" t="s">
        <v>402</v>
      </c>
      <c r="F287" s="120">
        <v>-8.16</v>
      </c>
      <c r="G287" s="119">
        <v>-0.227755650306361</v>
      </c>
    </row>
    <row r="288" spans="2:7" x14ac:dyDescent="0.2">
      <c r="B288" s="116" t="s">
        <v>743</v>
      </c>
      <c r="C288" s="117" t="s">
        <v>744</v>
      </c>
      <c r="D288" s="118" t="s">
        <v>39</v>
      </c>
      <c r="E288" s="118" t="s">
        <v>578</v>
      </c>
      <c r="F288" s="120">
        <v>4.8499999999999996</v>
      </c>
      <c r="G288" s="119">
        <v>5.5366215586046118E-2</v>
      </c>
    </row>
    <row r="289" spans="2:7" x14ac:dyDescent="0.2">
      <c r="B289" s="116" t="s">
        <v>745</v>
      </c>
      <c r="C289" s="117" t="s">
        <v>746</v>
      </c>
      <c r="D289" s="118" t="s">
        <v>115</v>
      </c>
      <c r="E289" s="118" t="s">
        <v>747</v>
      </c>
      <c r="F289" s="120">
        <v>5.0999999999999996</v>
      </c>
      <c r="G289" s="119">
        <v>7.4416948254859366E-2</v>
      </c>
    </row>
    <row r="290" spans="2:7" x14ac:dyDescent="0.2">
      <c r="B290" s="116" t="s">
        <v>748</v>
      </c>
      <c r="C290" s="117" t="s">
        <v>749</v>
      </c>
      <c r="D290" s="118" t="s">
        <v>78</v>
      </c>
      <c r="E290" s="118" t="s">
        <v>736</v>
      </c>
      <c r="F290" s="120"/>
      <c r="G290" s="119">
        <v>-1</v>
      </c>
    </row>
    <row r="291" spans="2:7" x14ac:dyDescent="0.2">
      <c r="B291" s="116" t="s">
        <v>750</v>
      </c>
      <c r="C291" s="117" t="s">
        <v>751</v>
      </c>
      <c r="D291" s="118" t="s">
        <v>34</v>
      </c>
      <c r="E291" s="118" t="s">
        <v>251</v>
      </c>
      <c r="F291" s="120">
        <v>14.48</v>
      </c>
      <c r="G291" s="119">
        <v>0.85097952958720269</v>
      </c>
    </row>
    <row r="292" spans="2:7" x14ac:dyDescent="0.2">
      <c r="B292" s="116" t="s">
        <v>752</v>
      </c>
      <c r="C292" s="117" t="s">
        <v>753</v>
      </c>
      <c r="D292" s="118" t="s">
        <v>241</v>
      </c>
      <c r="E292" s="118" t="s">
        <v>754</v>
      </c>
      <c r="F292" s="120"/>
      <c r="G292" s="119">
        <v>-1.043339035916095E-2</v>
      </c>
    </row>
    <row r="293" spans="2:7" x14ac:dyDescent="0.2">
      <c r="B293" s="116" t="s">
        <v>755</v>
      </c>
      <c r="C293" s="117" t="s">
        <v>756</v>
      </c>
      <c r="D293" s="118" t="s">
        <v>78</v>
      </c>
      <c r="E293" s="118" t="s">
        <v>79</v>
      </c>
      <c r="F293" s="120">
        <v>5.58</v>
      </c>
      <c r="G293" s="119">
        <v>-1</v>
      </c>
    </row>
    <row r="294" spans="2:7" x14ac:dyDescent="0.2">
      <c r="B294" s="116" t="s">
        <v>757</v>
      </c>
      <c r="C294" s="117" t="s">
        <v>758</v>
      </c>
      <c r="D294" s="118" t="s">
        <v>34</v>
      </c>
      <c r="E294" s="118" t="s">
        <v>319</v>
      </c>
      <c r="F294" s="120"/>
      <c r="G294" s="119">
        <v>9.0726125401929272E-2</v>
      </c>
    </row>
    <row r="295" spans="2:7" x14ac:dyDescent="0.2">
      <c r="B295" s="116" t="s">
        <v>759</v>
      </c>
      <c r="C295" s="117" t="s">
        <v>760</v>
      </c>
      <c r="D295" s="118" t="s">
        <v>92</v>
      </c>
      <c r="E295" s="118" t="s">
        <v>722</v>
      </c>
      <c r="F295" s="120">
        <v>2.2999999999999998</v>
      </c>
      <c r="G295" s="119">
        <v>-0.2272013039700489</v>
      </c>
    </row>
    <row r="296" spans="2:7" x14ac:dyDescent="0.2">
      <c r="B296" s="116" t="s">
        <v>761</v>
      </c>
      <c r="C296" s="117" t="s">
        <v>762</v>
      </c>
      <c r="D296" s="118" t="s">
        <v>34</v>
      </c>
      <c r="E296" s="118" t="s">
        <v>245</v>
      </c>
      <c r="F296" s="120">
        <v>3.63</v>
      </c>
      <c r="G296" s="119">
        <v>5.4745639231251371E-2</v>
      </c>
    </row>
    <row r="297" spans="2:7" x14ac:dyDescent="0.2">
      <c r="B297" s="116" t="s">
        <v>763</v>
      </c>
      <c r="C297" s="117" t="s">
        <v>764</v>
      </c>
      <c r="D297" s="118" t="s">
        <v>34</v>
      </c>
      <c r="E297" s="118" t="s">
        <v>99</v>
      </c>
      <c r="F297" s="120">
        <v>7.74</v>
      </c>
      <c r="G297" s="119">
        <v>8.8323734109129096E-2</v>
      </c>
    </row>
    <row r="298" spans="2:7" x14ac:dyDescent="0.2">
      <c r="B298" s="116" t="s">
        <v>765</v>
      </c>
      <c r="C298" s="117" t="s">
        <v>766</v>
      </c>
      <c r="D298" s="118" t="s">
        <v>34</v>
      </c>
      <c r="E298" s="118" t="s">
        <v>245</v>
      </c>
      <c r="F298" s="120">
        <v>7.98</v>
      </c>
      <c r="G298" s="119">
        <v>7.868554354853606E-2</v>
      </c>
    </row>
    <row r="299" spans="2:7" x14ac:dyDescent="0.2">
      <c r="B299" s="116" t="s">
        <v>767</v>
      </c>
      <c r="C299" s="117" t="s">
        <v>768</v>
      </c>
      <c r="D299" s="118" t="s">
        <v>145</v>
      </c>
      <c r="E299" s="118" t="s">
        <v>360</v>
      </c>
      <c r="F299" s="120">
        <v>2.12</v>
      </c>
      <c r="G299" s="119">
        <v>-7.4186470999301132E-2</v>
      </c>
    </row>
    <row r="300" spans="2:7" x14ac:dyDescent="0.2">
      <c r="B300" s="116" t="s">
        <v>769</v>
      </c>
      <c r="C300" s="117" t="s">
        <v>770</v>
      </c>
      <c r="D300" s="118" t="s">
        <v>48</v>
      </c>
      <c r="E300" s="118" t="s">
        <v>49</v>
      </c>
      <c r="F300" s="120">
        <v>3.71</v>
      </c>
      <c r="G300" s="119">
        <v>0.16747540383744999</v>
      </c>
    </row>
    <row r="301" spans="2:7" x14ac:dyDescent="0.2">
      <c r="B301" s="116" t="s">
        <v>771</v>
      </c>
      <c r="C301" s="117" t="s">
        <v>772</v>
      </c>
      <c r="D301" s="118" t="s">
        <v>68</v>
      </c>
      <c r="E301" s="118" t="s">
        <v>87</v>
      </c>
      <c r="F301" s="120">
        <v>18.54</v>
      </c>
      <c r="G301" s="119">
        <v>0.14099872783194811</v>
      </c>
    </row>
    <row r="302" spans="2:7" x14ac:dyDescent="0.2">
      <c r="B302" s="116" t="s">
        <v>773</v>
      </c>
      <c r="C302" s="117" t="s">
        <v>774</v>
      </c>
      <c r="D302" s="118" t="s">
        <v>241</v>
      </c>
      <c r="E302" s="118" t="s">
        <v>775</v>
      </c>
      <c r="F302" s="120"/>
      <c r="G302" s="119">
        <v>0.18573459428727071</v>
      </c>
    </row>
    <row r="303" spans="2:7" x14ac:dyDescent="0.2">
      <c r="B303" s="116" t="s">
        <v>776</v>
      </c>
      <c r="C303" s="117" t="s">
        <v>777</v>
      </c>
      <c r="D303" s="118" t="s">
        <v>68</v>
      </c>
      <c r="E303" s="118" t="s">
        <v>778</v>
      </c>
      <c r="F303" s="120">
        <v>10.57</v>
      </c>
      <c r="G303" s="119">
        <v>6.7778765003270361E-2</v>
      </c>
    </row>
    <row r="304" spans="2:7" x14ac:dyDescent="0.2">
      <c r="B304" s="116" t="s">
        <v>779</v>
      </c>
      <c r="C304" s="117" t="s">
        <v>780</v>
      </c>
      <c r="D304" s="118" t="s">
        <v>145</v>
      </c>
      <c r="E304" s="118" t="s">
        <v>781</v>
      </c>
      <c r="F304" s="120">
        <v>-1.22</v>
      </c>
      <c r="G304" s="119">
        <v>7.7083501919169115E-2</v>
      </c>
    </row>
    <row r="305" spans="2:7" x14ac:dyDescent="0.2">
      <c r="B305" s="116" t="s">
        <v>782</v>
      </c>
      <c r="C305" s="117" t="s">
        <v>783</v>
      </c>
      <c r="D305" s="118" t="s">
        <v>92</v>
      </c>
      <c r="E305" s="118" t="s">
        <v>784</v>
      </c>
      <c r="F305" s="120">
        <v>9.4</v>
      </c>
      <c r="G305" s="119">
        <v>-0.1185654310579277</v>
      </c>
    </row>
    <row r="306" spans="2:7" x14ac:dyDescent="0.2">
      <c r="B306" s="116" t="s">
        <v>785</v>
      </c>
      <c r="C306" s="117" t="s">
        <v>786</v>
      </c>
      <c r="D306" s="118" t="s">
        <v>39</v>
      </c>
      <c r="E306" s="118" t="s">
        <v>383</v>
      </c>
      <c r="F306" s="120">
        <v>-4.84</v>
      </c>
      <c r="G306" s="119">
        <v>-4.5466757208581843E-2</v>
      </c>
    </row>
    <row r="307" spans="2:7" x14ac:dyDescent="0.2">
      <c r="B307" s="116" t="s">
        <v>787</v>
      </c>
      <c r="C307" s="117" t="s">
        <v>788</v>
      </c>
      <c r="D307" s="118" t="s">
        <v>68</v>
      </c>
      <c r="E307" s="118" t="s">
        <v>75</v>
      </c>
      <c r="F307" s="120"/>
      <c r="G307" s="119">
        <v>1.6473420851688689</v>
      </c>
    </row>
    <row r="308" spans="2:7" x14ac:dyDescent="0.2">
      <c r="B308" s="116" t="s">
        <v>789</v>
      </c>
      <c r="C308" s="117" t="s">
        <v>790</v>
      </c>
      <c r="D308" s="118" t="s">
        <v>34</v>
      </c>
      <c r="E308" s="118" t="s">
        <v>35</v>
      </c>
      <c r="F308" s="120">
        <v>15.46</v>
      </c>
      <c r="G308" s="119">
        <v>-8.0190725996478016E-2</v>
      </c>
    </row>
    <row r="309" spans="2:7" x14ac:dyDescent="0.2">
      <c r="B309" s="116" t="s">
        <v>791</v>
      </c>
      <c r="C309" s="117" t="s">
        <v>792</v>
      </c>
      <c r="D309" s="118" t="s">
        <v>138</v>
      </c>
      <c r="E309" s="118" t="s">
        <v>793</v>
      </c>
      <c r="F309" s="120"/>
      <c r="G309" s="119">
        <v>-2.2991614102499041E-2</v>
      </c>
    </row>
    <row r="310" spans="2:7" x14ac:dyDescent="0.2">
      <c r="B310" s="116" t="s">
        <v>794</v>
      </c>
      <c r="C310" s="117" t="s">
        <v>795</v>
      </c>
      <c r="D310" s="118" t="s">
        <v>78</v>
      </c>
      <c r="E310" s="118" t="s">
        <v>796</v>
      </c>
      <c r="F310" s="120">
        <v>5.91</v>
      </c>
      <c r="G310" s="119">
        <v>5.9496348199426091E-2</v>
      </c>
    </row>
    <row r="311" spans="2:7" x14ac:dyDescent="0.2">
      <c r="B311" s="116" t="s">
        <v>797</v>
      </c>
      <c r="C311" s="117" t="s">
        <v>798</v>
      </c>
      <c r="D311" s="118" t="s">
        <v>115</v>
      </c>
      <c r="E311" s="118" t="s">
        <v>799</v>
      </c>
      <c r="F311" s="120">
        <v>3.83</v>
      </c>
      <c r="G311" s="119">
        <v>0.29106546085232909</v>
      </c>
    </row>
    <row r="312" spans="2:7" x14ac:dyDescent="0.2">
      <c r="B312" s="116" t="s">
        <v>800</v>
      </c>
      <c r="C312" s="117" t="s">
        <v>801</v>
      </c>
      <c r="D312" s="118" t="s">
        <v>68</v>
      </c>
      <c r="E312" s="118" t="s">
        <v>256</v>
      </c>
      <c r="F312" s="120">
        <v>5.07</v>
      </c>
      <c r="G312" s="119">
        <v>8.8727422657279884E-2</v>
      </c>
    </row>
    <row r="313" spans="2:7" x14ac:dyDescent="0.2">
      <c r="B313" s="116" t="s">
        <v>802</v>
      </c>
      <c r="C313" s="117" t="s">
        <v>803</v>
      </c>
      <c r="D313" s="118" t="s">
        <v>34</v>
      </c>
      <c r="E313" s="118" t="s">
        <v>319</v>
      </c>
      <c r="F313" s="120">
        <v>0.51</v>
      </c>
      <c r="G313" s="119">
        <v>0.25228606577799922</v>
      </c>
    </row>
    <row r="314" spans="2:7" x14ac:dyDescent="0.2">
      <c r="B314" s="116" t="s">
        <v>804</v>
      </c>
      <c r="C314" s="117" t="s">
        <v>805</v>
      </c>
      <c r="D314" s="118" t="s">
        <v>115</v>
      </c>
      <c r="E314" s="118" t="s">
        <v>806</v>
      </c>
      <c r="F314" s="120">
        <v>8.06</v>
      </c>
      <c r="G314" s="119">
        <v>5.7939066551426111E-2</v>
      </c>
    </row>
    <row r="315" spans="2:7" x14ac:dyDescent="0.2">
      <c r="B315" s="116" t="s">
        <v>807</v>
      </c>
      <c r="C315" s="117" t="s">
        <v>808</v>
      </c>
      <c r="D315" s="118" t="s">
        <v>34</v>
      </c>
      <c r="E315" s="118" t="s">
        <v>809</v>
      </c>
      <c r="F315" s="120">
        <v>6.3</v>
      </c>
      <c r="G315" s="119">
        <v>3.996253528622936E-2</v>
      </c>
    </row>
    <row r="316" spans="2:7" x14ac:dyDescent="0.2">
      <c r="B316" s="116" t="s">
        <v>810</v>
      </c>
      <c r="C316" s="117" t="s">
        <v>811</v>
      </c>
      <c r="D316" s="118" t="s">
        <v>34</v>
      </c>
      <c r="E316" s="118" t="s">
        <v>278</v>
      </c>
      <c r="F316" s="120"/>
      <c r="G316" s="119">
        <v>1.487365000459938E-2</v>
      </c>
    </row>
    <row r="317" spans="2:7" x14ac:dyDescent="0.2">
      <c r="B317" s="116" t="s">
        <v>812</v>
      </c>
      <c r="C317" s="117" t="s">
        <v>813</v>
      </c>
      <c r="D317" s="118" t="s">
        <v>48</v>
      </c>
      <c r="E317" s="118" t="s">
        <v>370</v>
      </c>
      <c r="F317" s="120">
        <v>5.22</v>
      </c>
      <c r="G317" s="119">
        <v>-6.2045704541532423E-2</v>
      </c>
    </row>
    <row r="318" spans="2:7" x14ac:dyDescent="0.2">
      <c r="B318" s="116" t="s">
        <v>814</v>
      </c>
      <c r="C318" s="117" t="s">
        <v>815</v>
      </c>
      <c r="D318" s="118" t="s">
        <v>115</v>
      </c>
      <c r="E318" s="118" t="s">
        <v>686</v>
      </c>
      <c r="F318" s="120">
        <v>55.95</v>
      </c>
      <c r="G318" s="119">
        <v>4.6437948159692009E-2</v>
      </c>
    </row>
    <row r="319" spans="2:7" x14ac:dyDescent="0.2">
      <c r="B319" s="116" t="s">
        <v>816</v>
      </c>
      <c r="C319" s="117" t="s">
        <v>817</v>
      </c>
      <c r="D319" s="118" t="s">
        <v>34</v>
      </c>
      <c r="E319" s="118" t="s">
        <v>278</v>
      </c>
      <c r="F319" s="120"/>
      <c r="G319" s="119">
        <v>-6.3249209811173684E-2</v>
      </c>
    </row>
    <row r="320" spans="2:7" x14ac:dyDescent="0.2">
      <c r="B320" s="116" t="s">
        <v>818</v>
      </c>
      <c r="C320" s="117" t="s">
        <v>819</v>
      </c>
      <c r="D320" s="118" t="s">
        <v>92</v>
      </c>
      <c r="E320" s="118" t="s">
        <v>142</v>
      </c>
      <c r="F320" s="120">
        <v>14.46</v>
      </c>
      <c r="G320" s="119">
        <v>1.808857271325796</v>
      </c>
    </row>
    <row r="321" spans="2:7" x14ac:dyDescent="0.2">
      <c r="B321" s="116" t="s">
        <v>820</v>
      </c>
      <c r="C321" s="117" t="s">
        <v>821</v>
      </c>
      <c r="D321" s="118" t="s">
        <v>92</v>
      </c>
      <c r="E321" s="118" t="s">
        <v>299</v>
      </c>
      <c r="F321" s="120">
        <v>2.6</v>
      </c>
      <c r="G321" s="119">
        <v>-0.1539125592758771</v>
      </c>
    </row>
    <row r="322" spans="2:7" x14ac:dyDescent="0.2">
      <c r="B322" s="116" t="s">
        <v>822</v>
      </c>
      <c r="C322" s="117" t="s">
        <v>823</v>
      </c>
      <c r="D322" s="118" t="s">
        <v>48</v>
      </c>
      <c r="E322" s="118" t="s">
        <v>265</v>
      </c>
      <c r="F322" s="120"/>
      <c r="G322" s="119">
        <v>0.57452134605725769</v>
      </c>
    </row>
    <row r="323" spans="2:7" x14ac:dyDescent="0.2">
      <c r="B323" s="116" t="s">
        <v>824</v>
      </c>
      <c r="C323" s="117" t="s">
        <v>825</v>
      </c>
      <c r="D323" s="118" t="s">
        <v>34</v>
      </c>
      <c r="E323" s="118" t="s">
        <v>826</v>
      </c>
      <c r="F323" s="120">
        <v>8.7100000000000009</v>
      </c>
      <c r="G323" s="119">
        <v>0.15310909772516479</v>
      </c>
    </row>
    <row r="324" spans="2:7" x14ac:dyDescent="0.2">
      <c r="B324" s="116" t="s">
        <v>827</v>
      </c>
      <c r="C324" s="117" t="s">
        <v>828</v>
      </c>
      <c r="D324" s="118" t="s">
        <v>92</v>
      </c>
      <c r="E324" s="118" t="s">
        <v>171</v>
      </c>
      <c r="F324" s="120">
        <v>17.41</v>
      </c>
      <c r="G324" s="119">
        <v>-0.5486601875412308</v>
      </c>
    </row>
    <row r="325" spans="2:7" x14ac:dyDescent="0.2">
      <c r="B325" s="116" t="s">
        <v>829</v>
      </c>
      <c r="C325" s="117" t="s">
        <v>830</v>
      </c>
      <c r="D325" s="118" t="s">
        <v>92</v>
      </c>
      <c r="E325" s="118" t="s">
        <v>96</v>
      </c>
      <c r="F325" s="120">
        <v>4.99</v>
      </c>
      <c r="G325" s="119">
        <v>-1</v>
      </c>
    </row>
    <row r="326" spans="2:7" x14ac:dyDescent="0.2">
      <c r="B326" s="116" t="s">
        <v>831</v>
      </c>
      <c r="C326" s="117" t="s">
        <v>832</v>
      </c>
      <c r="D326" s="118" t="s">
        <v>92</v>
      </c>
      <c r="E326" s="118" t="s">
        <v>434</v>
      </c>
      <c r="F326" s="120">
        <v>-4.18</v>
      </c>
      <c r="G326" s="119">
        <v>-0.42823536600268852</v>
      </c>
    </row>
    <row r="327" spans="2:7" x14ac:dyDescent="0.2">
      <c r="B327" s="116" t="s">
        <v>833</v>
      </c>
      <c r="C327" s="117" t="s">
        <v>834</v>
      </c>
      <c r="D327" s="118" t="s">
        <v>48</v>
      </c>
      <c r="E327" s="118" t="s">
        <v>835</v>
      </c>
      <c r="F327" s="120">
        <v>3.09</v>
      </c>
      <c r="G327" s="119">
        <v>5.30870356545321E-2</v>
      </c>
    </row>
    <row r="328" spans="2:7" x14ac:dyDescent="0.2">
      <c r="B328" s="116" t="s">
        <v>836</v>
      </c>
      <c r="C328" s="117" t="s">
        <v>837</v>
      </c>
      <c r="D328" s="118" t="s">
        <v>78</v>
      </c>
      <c r="E328" s="118" t="s">
        <v>796</v>
      </c>
      <c r="F328" s="120">
        <v>-2.19</v>
      </c>
      <c r="G328" s="119">
        <v>1.05035750128667E-2</v>
      </c>
    </row>
    <row r="329" spans="2:7" x14ac:dyDescent="0.2">
      <c r="B329" s="116" t="s">
        <v>838</v>
      </c>
      <c r="C329" s="117" t="s">
        <v>839</v>
      </c>
      <c r="D329" s="118" t="s">
        <v>106</v>
      </c>
      <c r="E329" s="118" t="s">
        <v>107</v>
      </c>
      <c r="F329" s="120">
        <v>6.58</v>
      </c>
      <c r="G329" s="119">
        <v>-3.5113901967143459E-2</v>
      </c>
    </row>
    <row r="330" spans="2:7" x14ac:dyDescent="0.2">
      <c r="B330" s="116" t="s">
        <v>840</v>
      </c>
      <c r="C330" s="117" t="s">
        <v>841</v>
      </c>
      <c r="D330" s="118" t="s">
        <v>106</v>
      </c>
      <c r="E330" s="118" t="s">
        <v>842</v>
      </c>
      <c r="F330" s="120">
        <v>-1.1299999999999999</v>
      </c>
      <c r="G330" s="119">
        <v>3.1391055358603683E-2</v>
      </c>
    </row>
    <row r="331" spans="2:7" x14ac:dyDescent="0.2">
      <c r="B331" s="116" t="s">
        <v>843</v>
      </c>
      <c r="C331" s="117" t="s">
        <v>844</v>
      </c>
      <c r="D331" s="118" t="s">
        <v>138</v>
      </c>
      <c r="E331" s="118" t="s">
        <v>139</v>
      </c>
      <c r="F331" s="120"/>
      <c r="G331" s="119">
        <v>-1</v>
      </c>
    </row>
    <row r="332" spans="2:7" x14ac:dyDescent="0.2">
      <c r="B332" s="116" t="s">
        <v>845</v>
      </c>
      <c r="C332" s="117" t="s">
        <v>846</v>
      </c>
      <c r="D332" s="118" t="s">
        <v>241</v>
      </c>
      <c r="E332" s="118" t="s">
        <v>306</v>
      </c>
      <c r="F332" s="120">
        <v>3.19</v>
      </c>
      <c r="G332" s="119">
        <v>-4.4543558993457629E-3</v>
      </c>
    </row>
    <row r="333" spans="2:7" x14ac:dyDescent="0.2">
      <c r="B333" s="116" t="s">
        <v>847</v>
      </c>
      <c r="C333" s="117" t="s">
        <v>848</v>
      </c>
      <c r="D333" s="118" t="s">
        <v>78</v>
      </c>
      <c r="E333" s="118" t="s">
        <v>796</v>
      </c>
      <c r="F333" s="120">
        <v>2.71</v>
      </c>
      <c r="G333" s="119">
        <v>1.4611190859349791E-2</v>
      </c>
    </row>
    <row r="334" spans="2:7" x14ac:dyDescent="0.2">
      <c r="B334" s="116" t="s">
        <v>849</v>
      </c>
      <c r="C334" s="117" t="s">
        <v>850</v>
      </c>
      <c r="D334" s="118" t="s">
        <v>92</v>
      </c>
      <c r="E334" s="118" t="s">
        <v>299</v>
      </c>
      <c r="F334" s="120">
        <v>8.94</v>
      </c>
      <c r="G334" s="119">
        <v>-0.27869165247723438</v>
      </c>
    </row>
    <row r="335" spans="2:7" x14ac:dyDescent="0.2">
      <c r="B335" s="116" t="s">
        <v>851</v>
      </c>
      <c r="C335" s="117" t="s">
        <v>852</v>
      </c>
      <c r="D335" s="118" t="s">
        <v>92</v>
      </c>
      <c r="E335" s="118" t="s">
        <v>461</v>
      </c>
      <c r="F335" s="120">
        <v>8.23</v>
      </c>
      <c r="G335" s="119">
        <v>-6.1865098748261453E-2</v>
      </c>
    </row>
    <row r="336" spans="2:7" x14ac:dyDescent="0.2">
      <c r="B336" s="116" t="s">
        <v>853</v>
      </c>
      <c r="C336" s="117" t="s">
        <v>854</v>
      </c>
      <c r="D336" s="118" t="s">
        <v>115</v>
      </c>
      <c r="E336" s="118" t="s">
        <v>686</v>
      </c>
      <c r="F336" s="120">
        <v>8.31</v>
      </c>
      <c r="G336" s="119">
        <v>0.16445450135968759</v>
      </c>
    </row>
    <row r="337" spans="2:7" x14ac:dyDescent="0.2">
      <c r="B337" s="116" t="s">
        <v>855</v>
      </c>
      <c r="C337" s="117" t="s">
        <v>856</v>
      </c>
      <c r="D337" s="118" t="s">
        <v>68</v>
      </c>
      <c r="E337" s="118" t="s">
        <v>82</v>
      </c>
      <c r="F337" s="120">
        <v>14.92</v>
      </c>
      <c r="G337" s="119">
        <v>0.12992018763189289</v>
      </c>
    </row>
    <row r="338" spans="2:7" x14ac:dyDescent="0.2">
      <c r="B338" s="116" t="s">
        <v>857</v>
      </c>
      <c r="C338" s="117" t="s">
        <v>858</v>
      </c>
      <c r="D338" s="118" t="s">
        <v>92</v>
      </c>
      <c r="E338" s="118" t="s">
        <v>717</v>
      </c>
      <c r="F338" s="120">
        <v>7.85</v>
      </c>
      <c r="G338" s="119">
        <v>0.12667844711560791</v>
      </c>
    </row>
    <row r="339" spans="2:7" x14ac:dyDescent="0.2">
      <c r="B339" s="116" t="s">
        <v>859</v>
      </c>
      <c r="C339" s="117" t="s">
        <v>860</v>
      </c>
      <c r="D339" s="118" t="s">
        <v>52</v>
      </c>
      <c r="E339" s="118" t="s">
        <v>725</v>
      </c>
      <c r="F339" s="120">
        <v>4.04</v>
      </c>
      <c r="G339" s="119">
        <v>0.12814609720903281</v>
      </c>
    </row>
    <row r="340" spans="2:7" x14ac:dyDescent="0.2">
      <c r="B340" s="116" t="s">
        <v>861</v>
      </c>
      <c r="C340" s="117" t="s">
        <v>862</v>
      </c>
      <c r="D340" s="118" t="s">
        <v>233</v>
      </c>
      <c r="E340" s="118" t="s">
        <v>863</v>
      </c>
      <c r="F340" s="120">
        <v>5.43</v>
      </c>
      <c r="G340" s="119">
        <v>1.1315241260359319E-2</v>
      </c>
    </row>
    <row r="341" spans="2:7" x14ac:dyDescent="0.2">
      <c r="B341" s="116" t="s">
        <v>864</v>
      </c>
      <c r="C341" s="117" t="s">
        <v>865</v>
      </c>
      <c r="D341" s="118" t="s">
        <v>52</v>
      </c>
      <c r="E341" s="118" t="s">
        <v>725</v>
      </c>
      <c r="F341" s="120"/>
      <c r="G341" s="119">
        <v>0.16663597705599931</v>
      </c>
    </row>
    <row r="342" spans="2:7" x14ac:dyDescent="0.2">
      <c r="B342" s="116" t="s">
        <v>866</v>
      </c>
      <c r="C342" s="117" t="s">
        <v>867</v>
      </c>
      <c r="D342" s="118" t="s">
        <v>39</v>
      </c>
      <c r="E342" s="118" t="s">
        <v>868</v>
      </c>
      <c r="F342" s="120">
        <v>18.23</v>
      </c>
      <c r="G342" s="119">
        <v>3.8583061924771359E-2</v>
      </c>
    </row>
    <row r="343" spans="2:7" x14ac:dyDescent="0.2">
      <c r="B343" s="116" t="s">
        <v>869</v>
      </c>
      <c r="C343" s="117" t="s">
        <v>870</v>
      </c>
      <c r="D343" s="118" t="s">
        <v>138</v>
      </c>
      <c r="E343" s="118" t="s">
        <v>139</v>
      </c>
      <c r="F343" s="120">
        <v>0.21</v>
      </c>
      <c r="G343" s="119">
        <v>1.6327191910373989E-2</v>
      </c>
    </row>
    <row r="344" spans="2:7" x14ac:dyDescent="0.2">
      <c r="B344" s="116" t="s">
        <v>871</v>
      </c>
      <c r="C344" s="117" t="s">
        <v>872</v>
      </c>
      <c r="D344" s="118" t="s">
        <v>92</v>
      </c>
      <c r="E344" s="118" t="s">
        <v>96</v>
      </c>
      <c r="F344" s="120">
        <v>1.78</v>
      </c>
      <c r="G344" s="119">
        <v>-6.4633905664101043E-2</v>
      </c>
    </row>
    <row r="345" spans="2:7" x14ac:dyDescent="0.2">
      <c r="B345" s="116" t="s">
        <v>873</v>
      </c>
      <c r="C345" s="117" t="s">
        <v>874</v>
      </c>
      <c r="D345" s="118" t="s">
        <v>68</v>
      </c>
      <c r="E345" s="118" t="s">
        <v>296</v>
      </c>
      <c r="F345" s="120">
        <v>38.909999999999997</v>
      </c>
      <c r="G345" s="119">
        <v>0.22669960459777769</v>
      </c>
    </row>
    <row r="346" spans="2:7" x14ac:dyDescent="0.2">
      <c r="B346" s="116" t="s">
        <v>875</v>
      </c>
      <c r="C346" s="117" t="s">
        <v>876</v>
      </c>
      <c r="D346" s="118" t="s">
        <v>233</v>
      </c>
      <c r="E346" s="118" t="s">
        <v>469</v>
      </c>
      <c r="F346" s="120">
        <v>-0.72</v>
      </c>
      <c r="G346" s="119">
        <v>-3.6975774254359398E-2</v>
      </c>
    </row>
    <row r="347" spans="2:7" x14ac:dyDescent="0.2">
      <c r="B347" s="116" t="s">
        <v>877</v>
      </c>
      <c r="C347" s="117" t="s">
        <v>878</v>
      </c>
      <c r="D347" s="118" t="s">
        <v>48</v>
      </c>
      <c r="E347" s="118" t="s">
        <v>835</v>
      </c>
      <c r="F347" s="120">
        <v>0.37</v>
      </c>
      <c r="G347" s="119">
        <v>8.7204379339777163E-2</v>
      </c>
    </row>
    <row r="348" spans="2:7" x14ac:dyDescent="0.2">
      <c r="B348" s="116" t="s">
        <v>879</v>
      </c>
      <c r="C348" s="117" t="s">
        <v>880</v>
      </c>
      <c r="D348" s="118" t="s">
        <v>115</v>
      </c>
      <c r="E348" s="118" t="s">
        <v>747</v>
      </c>
      <c r="F348" s="120">
        <v>4.24</v>
      </c>
      <c r="G348" s="119">
        <v>3.8555274479008299E-2</v>
      </c>
    </row>
    <row r="349" spans="2:7" x14ac:dyDescent="0.2">
      <c r="B349" s="116" t="s">
        <v>881</v>
      </c>
      <c r="C349" s="117" t="s">
        <v>882</v>
      </c>
      <c r="D349" s="118" t="s">
        <v>138</v>
      </c>
      <c r="E349" s="118" t="s">
        <v>139</v>
      </c>
      <c r="F349" s="120">
        <v>7.32</v>
      </c>
      <c r="G349" s="119">
        <v>0.1844655453772783</v>
      </c>
    </row>
    <row r="350" spans="2:7" x14ac:dyDescent="0.2">
      <c r="B350" s="116" t="s">
        <v>883</v>
      </c>
      <c r="C350" s="117" t="s">
        <v>884</v>
      </c>
      <c r="D350" s="118" t="s">
        <v>241</v>
      </c>
      <c r="E350" s="118" t="s">
        <v>885</v>
      </c>
      <c r="F350" s="120">
        <v>4.0999999999999996</v>
      </c>
      <c r="G350" s="119">
        <v>6.2392866199951326E-3</v>
      </c>
    </row>
    <row r="351" spans="2:7" x14ac:dyDescent="0.2">
      <c r="B351" s="116" t="s">
        <v>886</v>
      </c>
      <c r="C351" s="117" t="s">
        <v>887</v>
      </c>
      <c r="D351" s="118" t="s">
        <v>92</v>
      </c>
      <c r="E351" s="118" t="s">
        <v>228</v>
      </c>
      <c r="F351" s="120">
        <v>8.93</v>
      </c>
      <c r="G351" s="119">
        <v>-0.10851815146554659</v>
      </c>
    </row>
    <row r="352" spans="2:7" x14ac:dyDescent="0.2">
      <c r="B352" s="116" t="s">
        <v>888</v>
      </c>
      <c r="C352" s="117" t="s">
        <v>889</v>
      </c>
      <c r="D352" s="118" t="s">
        <v>241</v>
      </c>
      <c r="E352" s="118" t="s">
        <v>306</v>
      </c>
      <c r="F352" s="120">
        <v>4.0999999999999996</v>
      </c>
      <c r="G352" s="119">
        <v>-1.7393652171926122E-2</v>
      </c>
    </row>
    <row r="353" spans="2:7" x14ac:dyDescent="0.2">
      <c r="B353" s="116" t="s">
        <v>890</v>
      </c>
      <c r="C353" s="117" t="s">
        <v>891</v>
      </c>
      <c r="D353" s="118" t="s">
        <v>34</v>
      </c>
      <c r="E353" s="118" t="s">
        <v>892</v>
      </c>
      <c r="F353" s="120">
        <v>26.48</v>
      </c>
      <c r="G353" s="119">
        <v>-0.25161756466253538</v>
      </c>
    </row>
    <row r="354" spans="2:7" x14ac:dyDescent="0.2">
      <c r="B354" s="116" t="s">
        <v>893</v>
      </c>
      <c r="C354" s="117" t="s">
        <v>894</v>
      </c>
      <c r="D354" s="118" t="s">
        <v>145</v>
      </c>
      <c r="E354" s="118" t="s">
        <v>360</v>
      </c>
      <c r="F354" s="120"/>
      <c r="G354" s="119">
        <v>-3.3955807760245947E-2</v>
      </c>
    </row>
    <row r="355" spans="2:7" x14ac:dyDescent="0.2">
      <c r="B355" s="116" t="s">
        <v>895</v>
      </c>
      <c r="C355" s="117" t="s">
        <v>896</v>
      </c>
      <c r="D355" s="118" t="s">
        <v>92</v>
      </c>
      <c r="E355" s="118" t="s">
        <v>272</v>
      </c>
      <c r="F355" s="120"/>
      <c r="G355" s="119">
        <v>0.1174783305480032</v>
      </c>
    </row>
    <row r="356" spans="2:7" x14ac:dyDescent="0.2">
      <c r="B356" s="116" t="s">
        <v>897</v>
      </c>
      <c r="C356" s="117" t="s">
        <v>898</v>
      </c>
      <c r="D356" s="118" t="s">
        <v>115</v>
      </c>
      <c r="E356" s="118" t="s">
        <v>899</v>
      </c>
      <c r="F356" s="120">
        <v>6.68</v>
      </c>
      <c r="G356" s="119">
        <v>8.1673482423554628E-2</v>
      </c>
    </row>
    <row r="357" spans="2:7" x14ac:dyDescent="0.2">
      <c r="B357" s="116" t="s">
        <v>900</v>
      </c>
      <c r="C357" s="117" t="s">
        <v>901</v>
      </c>
      <c r="D357" s="118" t="s">
        <v>92</v>
      </c>
      <c r="E357" s="118" t="s">
        <v>272</v>
      </c>
      <c r="F357" s="120">
        <v>26.4</v>
      </c>
      <c r="G357" s="119">
        <v>0.19051375700024359</v>
      </c>
    </row>
    <row r="358" spans="2:7" x14ac:dyDescent="0.2">
      <c r="B358" s="116" t="s">
        <v>902</v>
      </c>
      <c r="C358" s="117" t="s">
        <v>903</v>
      </c>
      <c r="D358" s="118" t="s">
        <v>68</v>
      </c>
      <c r="E358" s="118" t="s">
        <v>72</v>
      </c>
      <c r="F358" s="120">
        <v>10.199999999999999</v>
      </c>
      <c r="G358" s="119">
        <v>4.5110510107390887E-2</v>
      </c>
    </row>
    <row r="359" spans="2:7" x14ac:dyDescent="0.2">
      <c r="B359" s="116" t="s">
        <v>904</v>
      </c>
      <c r="C359" s="117" t="s">
        <v>905</v>
      </c>
      <c r="D359" s="118" t="s">
        <v>241</v>
      </c>
      <c r="E359" s="118" t="s">
        <v>242</v>
      </c>
      <c r="F359" s="120">
        <v>-4.2300000000000004</v>
      </c>
      <c r="G359" s="119">
        <v>-3.2139338446045378E-2</v>
      </c>
    </row>
    <row r="360" spans="2:7" x14ac:dyDescent="0.2">
      <c r="B360" s="116" t="s">
        <v>906</v>
      </c>
      <c r="C360" s="117" t="s">
        <v>907</v>
      </c>
      <c r="D360" s="118" t="s">
        <v>92</v>
      </c>
      <c r="E360" s="118" t="s">
        <v>272</v>
      </c>
      <c r="F360" s="120">
        <v>18.59</v>
      </c>
      <c r="G360" s="119">
        <v>5.8487444662833572E-2</v>
      </c>
    </row>
    <row r="361" spans="2:7" x14ac:dyDescent="0.2">
      <c r="B361" s="116" t="s">
        <v>908</v>
      </c>
      <c r="C361" s="117" t="s">
        <v>909</v>
      </c>
      <c r="D361" s="118" t="s">
        <v>52</v>
      </c>
      <c r="E361" s="118" t="s">
        <v>660</v>
      </c>
      <c r="F361" s="120">
        <v>6.35</v>
      </c>
      <c r="G361" s="119">
        <v>0.14886229389162001</v>
      </c>
    </row>
    <row r="362" spans="2:7" x14ac:dyDescent="0.2">
      <c r="B362" s="116" t="s">
        <v>910</v>
      </c>
      <c r="C362" s="117" t="s">
        <v>911</v>
      </c>
      <c r="D362" s="118" t="s">
        <v>78</v>
      </c>
      <c r="E362" s="118" t="s">
        <v>912</v>
      </c>
      <c r="F362" s="120">
        <v>23.56</v>
      </c>
      <c r="G362" s="119">
        <v>-4.5420064751112967E-2</v>
      </c>
    </row>
    <row r="363" spans="2:7" x14ac:dyDescent="0.2">
      <c r="B363" s="116" t="s">
        <v>913</v>
      </c>
      <c r="C363" s="117" t="s">
        <v>914</v>
      </c>
      <c r="D363" s="118" t="s">
        <v>34</v>
      </c>
      <c r="E363" s="118" t="s">
        <v>319</v>
      </c>
      <c r="F363" s="120">
        <v>42.47</v>
      </c>
      <c r="G363" s="119">
        <v>0.43138994507815792</v>
      </c>
    </row>
    <row r="364" spans="2:7" x14ac:dyDescent="0.2">
      <c r="B364" s="116" t="s">
        <v>915</v>
      </c>
      <c r="C364" s="117" t="s">
        <v>916</v>
      </c>
      <c r="D364" s="118" t="s">
        <v>145</v>
      </c>
      <c r="E364" s="118" t="s">
        <v>917</v>
      </c>
      <c r="F364" s="120"/>
      <c r="G364" s="119">
        <v>-0.17683976131854121</v>
      </c>
    </row>
    <row r="365" spans="2:7" x14ac:dyDescent="0.2">
      <c r="B365" s="116" t="s">
        <v>918</v>
      </c>
      <c r="C365" s="117" t="s">
        <v>919</v>
      </c>
      <c r="D365" s="118" t="s">
        <v>48</v>
      </c>
      <c r="E365" s="118" t="s">
        <v>835</v>
      </c>
      <c r="F365" s="120">
        <v>-0.67</v>
      </c>
      <c r="G365" s="119">
        <v>6.8250668740500453E-2</v>
      </c>
    </row>
    <row r="366" spans="2:7" x14ac:dyDescent="0.2">
      <c r="B366" s="116" t="s">
        <v>920</v>
      </c>
      <c r="C366" s="117" t="s">
        <v>921</v>
      </c>
      <c r="D366" s="118" t="s">
        <v>48</v>
      </c>
      <c r="E366" s="118" t="s">
        <v>49</v>
      </c>
      <c r="F366" s="120">
        <v>1.4</v>
      </c>
      <c r="G366" s="119">
        <v>1.2579766435243051E-2</v>
      </c>
    </row>
    <row r="367" spans="2:7" x14ac:dyDescent="0.2">
      <c r="B367" s="116" t="s">
        <v>922</v>
      </c>
      <c r="C367" s="117" t="s">
        <v>923</v>
      </c>
      <c r="D367" s="118" t="s">
        <v>78</v>
      </c>
      <c r="E367" s="118" t="s">
        <v>340</v>
      </c>
      <c r="F367" s="120">
        <v>3.06</v>
      </c>
      <c r="G367" s="119">
        <v>5.9784488713457609E-2</v>
      </c>
    </row>
    <row r="368" spans="2:7" x14ac:dyDescent="0.2">
      <c r="B368" s="116" t="s">
        <v>924</v>
      </c>
      <c r="C368" s="117" t="s">
        <v>925</v>
      </c>
      <c r="D368" s="118" t="s">
        <v>48</v>
      </c>
      <c r="E368" s="118" t="s">
        <v>49</v>
      </c>
      <c r="F368" s="120"/>
      <c r="G368" s="119">
        <v>-5.2925309894390593E-2</v>
      </c>
    </row>
    <row r="369" spans="2:7" x14ac:dyDescent="0.2">
      <c r="B369" s="116" t="s">
        <v>926</v>
      </c>
      <c r="C369" s="117" t="s">
        <v>927</v>
      </c>
      <c r="D369" s="118" t="s">
        <v>52</v>
      </c>
      <c r="E369" s="118" t="s">
        <v>657</v>
      </c>
      <c r="F369" s="120">
        <v>4.49</v>
      </c>
      <c r="G369" s="119">
        <v>0.11650112829324159</v>
      </c>
    </row>
    <row r="370" spans="2:7" x14ac:dyDescent="0.2">
      <c r="B370" s="116" t="s">
        <v>928</v>
      </c>
      <c r="C370" s="117" t="s">
        <v>929</v>
      </c>
      <c r="D370" s="118" t="s">
        <v>106</v>
      </c>
      <c r="E370" s="118" t="s">
        <v>930</v>
      </c>
      <c r="F370" s="120">
        <v>14.36</v>
      </c>
      <c r="G370" s="119">
        <v>0.12048227193480771</v>
      </c>
    </row>
    <row r="371" spans="2:7" x14ac:dyDescent="0.2">
      <c r="B371" s="116" t="s">
        <v>931</v>
      </c>
      <c r="C371" s="117" t="s">
        <v>932</v>
      </c>
      <c r="D371" s="118" t="s">
        <v>92</v>
      </c>
      <c r="E371" s="118" t="s">
        <v>93</v>
      </c>
      <c r="F371" s="120">
        <v>2.81</v>
      </c>
      <c r="G371" s="119">
        <v>7.2115504290159352E-2</v>
      </c>
    </row>
    <row r="372" spans="2:7" x14ac:dyDescent="0.2">
      <c r="B372" s="116" t="s">
        <v>933</v>
      </c>
      <c r="C372" s="117" t="s">
        <v>934</v>
      </c>
      <c r="D372" s="118" t="s">
        <v>138</v>
      </c>
      <c r="E372" s="118" t="s">
        <v>386</v>
      </c>
      <c r="F372" s="120"/>
      <c r="G372" s="119">
        <v>-5.6874591481618907E-2</v>
      </c>
    </row>
    <row r="373" spans="2:7" x14ac:dyDescent="0.2">
      <c r="B373" s="116" t="s">
        <v>935</v>
      </c>
      <c r="C373" s="117" t="s">
        <v>936</v>
      </c>
      <c r="D373" s="118" t="s">
        <v>241</v>
      </c>
      <c r="E373" s="118" t="s">
        <v>937</v>
      </c>
      <c r="F373" s="120">
        <v>145.77000000000001</v>
      </c>
      <c r="G373" s="119">
        <v>0.1284839993775288</v>
      </c>
    </row>
    <row r="374" spans="2:7" x14ac:dyDescent="0.2">
      <c r="B374" s="116" t="s">
        <v>938</v>
      </c>
      <c r="C374" s="117" t="s">
        <v>939</v>
      </c>
      <c r="D374" s="118" t="s">
        <v>678</v>
      </c>
      <c r="E374" s="118" t="s">
        <v>679</v>
      </c>
      <c r="F374" s="120">
        <v>3.38</v>
      </c>
      <c r="G374" s="119">
        <v>-6.3467105066507016E-3</v>
      </c>
    </row>
    <row r="375" spans="2:7" x14ac:dyDescent="0.2">
      <c r="B375" s="116" t="s">
        <v>940</v>
      </c>
      <c r="C375" s="117" t="s">
        <v>941</v>
      </c>
      <c r="D375" s="118" t="s">
        <v>92</v>
      </c>
      <c r="E375" s="118" t="s">
        <v>299</v>
      </c>
      <c r="F375" s="120"/>
      <c r="G375" s="119">
        <v>-3.9391300523110587E-2</v>
      </c>
    </row>
    <row r="376" spans="2:7" x14ac:dyDescent="0.2">
      <c r="B376" s="116" t="s">
        <v>942</v>
      </c>
      <c r="C376" s="117" t="s">
        <v>943</v>
      </c>
      <c r="D376" s="118" t="s">
        <v>34</v>
      </c>
      <c r="E376" s="118" t="s">
        <v>944</v>
      </c>
      <c r="F376" s="120">
        <v>-3.5</v>
      </c>
      <c r="G376" s="119">
        <v>-5.4418499999999988E-2</v>
      </c>
    </row>
    <row r="377" spans="2:7" x14ac:dyDescent="0.2">
      <c r="B377" s="116" t="s">
        <v>945</v>
      </c>
      <c r="C377" s="117" t="s">
        <v>946</v>
      </c>
      <c r="D377" s="118" t="s">
        <v>115</v>
      </c>
      <c r="E377" s="118" t="s">
        <v>116</v>
      </c>
      <c r="F377" s="120">
        <v>4.7</v>
      </c>
      <c r="G377" s="119">
        <v>1.8222460986578211E-2</v>
      </c>
    </row>
    <row r="378" spans="2:7" x14ac:dyDescent="0.2">
      <c r="B378" s="116" t="s">
        <v>947</v>
      </c>
      <c r="C378" s="117" t="s">
        <v>948</v>
      </c>
      <c r="D378" s="118" t="s">
        <v>68</v>
      </c>
      <c r="E378" s="118" t="s">
        <v>949</v>
      </c>
      <c r="F378" s="120">
        <v>15.7</v>
      </c>
      <c r="G378" s="119">
        <v>0.1653307885794979</v>
      </c>
    </row>
    <row r="379" spans="2:7" x14ac:dyDescent="0.2">
      <c r="B379" s="116" t="s">
        <v>950</v>
      </c>
      <c r="C379" s="117" t="s">
        <v>951</v>
      </c>
      <c r="D379" s="118" t="s">
        <v>34</v>
      </c>
      <c r="E379" s="118" t="s">
        <v>99</v>
      </c>
      <c r="F379" s="120">
        <v>25.38</v>
      </c>
      <c r="G379" s="119">
        <v>0.26959904005420882</v>
      </c>
    </row>
    <row r="380" spans="2:7" x14ac:dyDescent="0.2">
      <c r="B380" s="116" t="s">
        <v>952</v>
      </c>
      <c r="C380" s="117" t="s">
        <v>953</v>
      </c>
      <c r="D380" s="118" t="s">
        <v>92</v>
      </c>
      <c r="E380" s="118" t="s">
        <v>195</v>
      </c>
      <c r="F380" s="120"/>
      <c r="G380" s="119">
        <v>2.4188118811881192</v>
      </c>
    </row>
    <row r="381" spans="2:7" x14ac:dyDescent="0.2">
      <c r="B381" s="116" t="s">
        <v>954</v>
      </c>
      <c r="C381" s="117" t="s">
        <v>955</v>
      </c>
      <c r="D381" s="118" t="s">
        <v>138</v>
      </c>
      <c r="E381" s="118" t="s">
        <v>139</v>
      </c>
      <c r="F381" s="120"/>
      <c r="G381" s="119">
        <v>-6.3085943961636026E-2</v>
      </c>
    </row>
    <row r="382" spans="2:7" x14ac:dyDescent="0.2">
      <c r="B382" s="116" t="s">
        <v>956</v>
      </c>
      <c r="C382" s="117" t="s">
        <v>957</v>
      </c>
      <c r="D382" s="118" t="s">
        <v>52</v>
      </c>
      <c r="E382" s="118" t="s">
        <v>714</v>
      </c>
      <c r="F382" s="120"/>
      <c r="G382" s="119">
        <v>-8.3184927012590046E-2</v>
      </c>
    </row>
    <row r="383" spans="2:7" x14ac:dyDescent="0.2">
      <c r="B383" s="116" t="s">
        <v>958</v>
      </c>
      <c r="C383" s="117" t="s">
        <v>959</v>
      </c>
      <c r="D383" s="118" t="s">
        <v>34</v>
      </c>
      <c r="E383" s="118" t="s">
        <v>251</v>
      </c>
      <c r="F383" s="120">
        <v>10.52</v>
      </c>
      <c r="G383" s="119">
        <v>-3.2106560834064338E-2</v>
      </c>
    </row>
    <row r="384" spans="2:7" x14ac:dyDescent="0.2">
      <c r="B384" s="116" t="s">
        <v>960</v>
      </c>
      <c r="C384" s="117" t="s">
        <v>961</v>
      </c>
      <c r="D384" s="118" t="s">
        <v>92</v>
      </c>
      <c r="E384" s="118" t="s">
        <v>299</v>
      </c>
      <c r="F384" s="120">
        <v>3.08</v>
      </c>
      <c r="G384" s="119">
        <v>-0.35542989875460762</v>
      </c>
    </row>
    <row r="385" spans="2:7" x14ac:dyDescent="0.2">
      <c r="B385" s="116" t="s">
        <v>962</v>
      </c>
      <c r="C385" s="117" t="s">
        <v>963</v>
      </c>
      <c r="D385" s="118" t="s">
        <v>34</v>
      </c>
      <c r="E385" s="118" t="s">
        <v>964</v>
      </c>
      <c r="F385" s="120">
        <v>0.96</v>
      </c>
      <c r="G385" s="119">
        <v>1.9207033561960511E-2</v>
      </c>
    </row>
    <row r="386" spans="2:7" x14ac:dyDescent="0.2">
      <c r="B386" s="116" t="s">
        <v>965</v>
      </c>
      <c r="C386" s="117" t="s">
        <v>966</v>
      </c>
      <c r="D386" s="118" t="s">
        <v>92</v>
      </c>
      <c r="E386" s="118" t="s">
        <v>614</v>
      </c>
      <c r="F386" s="120">
        <v>35.03</v>
      </c>
      <c r="G386" s="119">
        <v>0.28847385817307691</v>
      </c>
    </row>
    <row r="387" spans="2:7" x14ac:dyDescent="0.2">
      <c r="B387" s="116" t="s">
        <v>967</v>
      </c>
      <c r="C387" s="117" t="s">
        <v>968</v>
      </c>
      <c r="D387" s="118" t="s">
        <v>34</v>
      </c>
      <c r="E387" s="118" t="s">
        <v>245</v>
      </c>
      <c r="F387" s="120">
        <v>19.18</v>
      </c>
      <c r="G387" s="119">
        <v>0.1648994067945932</v>
      </c>
    </row>
    <row r="388" spans="2:7" x14ac:dyDescent="0.2">
      <c r="B388" s="116" t="s">
        <v>969</v>
      </c>
      <c r="C388" s="117" t="s">
        <v>970</v>
      </c>
      <c r="D388" s="118" t="s">
        <v>678</v>
      </c>
      <c r="E388" s="118" t="s">
        <v>679</v>
      </c>
      <c r="F388" s="120">
        <v>8.58</v>
      </c>
      <c r="G388" s="119">
        <v>8.2323268221899684E-2</v>
      </c>
    </row>
    <row r="389" spans="2:7" x14ac:dyDescent="0.2">
      <c r="B389" s="116" t="s">
        <v>971</v>
      </c>
      <c r="C389" s="117" t="s">
        <v>972</v>
      </c>
      <c r="D389" s="118" t="s">
        <v>68</v>
      </c>
      <c r="E389" s="118" t="s">
        <v>87</v>
      </c>
      <c r="F389" s="120"/>
      <c r="G389" s="119">
        <v>6.0919767877637927E-2</v>
      </c>
    </row>
    <row r="390" spans="2:7" x14ac:dyDescent="0.2">
      <c r="B390" s="116" t="s">
        <v>973</v>
      </c>
      <c r="C390" s="117" t="s">
        <v>974</v>
      </c>
      <c r="D390" s="118" t="s">
        <v>34</v>
      </c>
      <c r="E390" s="118" t="s">
        <v>99</v>
      </c>
      <c r="F390" s="120">
        <v>18.760000000000002</v>
      </c>
      <c r="G390" s="119">
        <v>5.7454126308352997E-2</v>
      </c>
    </row>
    <row r="391" spans="2:7" x14ac:dyDescent="0.2">
      <c r="B391" s="116" t="s">
        <v>975</v>
      </c>
      <c r="C391" s="117" t="s">
        <v>976</v>
      </c>
      <c r="D391" s="118" t="s">
        <v>48</v>
      </c>
      <c r="E391" s="118" t="s">
        <v>835</v>
      </c>
      <c r="F391" s="120">
        <v>-0.65</v>
      </c>
      <c r="G391" s="119">
        <v>-1.2116311020408201E-2</v>
      </c>
    </row>
    <row r="392" spans="2:7" x14ac:dyDescent="0.2">
      <c r="B392" s="116" t="s">
        <v>977</v>
      </c>
      <c r="C392" s="117" t="s">
        <v>978</v>
      </c>
      <c r="D392" s="118" t="s">
        <v>39</v>
      </c>
      <c r="E392" s="118" t="s">
        <v>979</v>
      </c>
      <c r="F392" s="120">
        <v>11.09</v>
      </c>
      <c r="G392" s="119">
        <v>5.7866432105392947E-2</v>
      </c>
    </row>
    <row r="393" spans="2:7" x14ac:dyDescent="0.2">
      <c r="B393" s="116" t="s">
        <v>980</v>
      </c>
      <c r="C393" s="117" t="s">
        <v>981</v>
      </c>
      <c r="D393" s="118" t="s">
        <v>34</v>
      </c>
      <c r="E393" s="118" t="s">
        <v>982</v>
      </c>
      <c r="F393" s="120">
        <v>5.56</v>
      </c>
      <c r="G393" s="119">
        <v>-4.8729398541142388E-2</v>
      </c>
    </row>
    <row r="394" spans="2:7" x14ac:dyDescent="0.2">
      <c r="B394" s="116" t="s">
        <v>983</v>
      </c>
      <c r="C394" s="117" t="s">
        <v>984</v>
      </c>
      <c r="D394" s="118" t="s">
        <v>68</v>
      </c>
      <c r="E394" s="118" t="s">
        <v>985</v>
      </c>
      <c r="F394" s="120">
        <v>8.75</v>
      </c>
      <c r="G394" s="119">
        <v>0.1276795353455123</v>
      </c>
    </row>
    <row r="395" spans="2:7" x14ac:dyDescent="0.2">
      <c r="B395" s="116" t="s">
        <v>986</v>
      </c>
      <c r="C395" s="117" t="s">
        <v>987</v>
      </c>
      <c r="D395" s="118" t="s">
        <v>52</v>
      </c>
      <c r="E395" s="118" t="s">
        <v>281</v>
      </c>
      <c r="F395" s="120">
        <v>38.479999999999997</v>
      </c>
      <c r="G395" s="119">
        <v>0.1294080216622458</v>
      </c>
    </row>
    <row r="396" spans="2:7" x14ac:dyDescent="0.2">
      <c r="B396" s="116" t="s">
        <v>988</v>
      </c>
      <c r="C396" s="117" t="s">
        <v>989</v>
      </c>
      <c r="D396" s="118" t="s">
        <v>34</v>
      </c>
      <c r="E396" s="118" t="s">
        <v>990</v>
      </c>
      <c r="F396" s="120">
        <v>10.95</v>
      </c>
      <c r="G396" s="119">
        <v>3.3950460155038782E-2</v>
      </c>
    </row>
    <row r="397" spans="2:7" x14ac:dyDescent="0.2">
      <c r="B397" s="116" t="s">
        <v>991</v>
      </c>
      <c r="C397" s="117" t="s">
        <v>992</v>
      </c>
      <c r="D397" s="118" t="s">
        <v>233</v>
      </c>
      <c r="E397" s="118" t="s">
        <v>234</v>
      </c>
      <c r="F397" s="120">
        <v>4.84</v>
      </c>
      <c r="G397" s="119">
        <v>-3.3855934601537713E-2</v>
      </c>
    </row>
    <row r="398" spans="2:7" x14ac:dyDescent="0.2">
      <c r="B398" s="116" t="s">
        <v>993</v>
      </c>
      <c r="C398" s="117" t="s">
        <v>994</v>
      </c>
      <c r="D398" s="118" t="s">
        <v>34</v>
      </c>
      <c r="E398" s="118" t="s">
        <v>99</v>
      </c>
      <c r="F398" s="120">
        <v>-2.2999999999999998</v>
      </c>
      <c r="G398" s="119">
        <v>5.4601466088300809E-3</v>
      </c>
    </row>
    <row r="399" spans="2:7" x14ac:dyDescent="0.2">
      <c r="B399" s="116" t="s">
        <v>995</v>
      </c>
      <c r="C399" s="117" t="s">
        <v>996</v>
      </c>
      <c r="D399" s="118" t="s">
        <v>92</v>
      </c>
      <c r="E399" s="118" t="s">
        <v>272</v>
      </c>
      <c r="F399" s="120">
        <v>11.29</v>
      </c>
      <c r="G399" s="119">
        <v>7.3636100612101435E-2</v>
      </c>
    </row>
    <row r="400" spans="2:7" x14ac:dyDescent="0.2">
      <c r="B400" s="116" t="s">
        <v>997</v>
      </c>
      <c r="C400" s="117" t="s">
        <v>998</v>
      </c>
      <c r="D400" s="118" t="s">
        <v>115</v>
      </c>
      <c r="E400" s="118" t="s">
        <v>587</v>
      </c>
      <c r="F400" s="120"/>
      <c r="G400" s="119">
        <v>-1</v>
      </c>
    </row>
    <row r="401" spans="2:7" x14ac:dyDescent="0.2">
      <c r="B401" s="116" t="s">
        <v>999</v>
      </c>
      <c r="C401" s="117" t="s">
        <v>1000</v>
      </c>
      <c r="D401" s="118" t="s">
        <v>92</v>
      </c>
      <c r="E401" s="118" t="s">
        <v>272</v>
      </c>
      <c r="F401" s="120">
        <v>8</v>
      </c>
      <c r="G401" s="119">
        <v>0.28947835693693319</v>
      </c>
    </row>
    <row r="402" spans="2:7" x14ac:dyDescent="0.2">
      <c r="B402" s="116" t="s">
        <v>1001</v>
      </c>
      <c r="C402" s="117" t="s">
        <v>1002</v>
      </c>
      <c r="D402" s="118" t="s">
        <v>92</v>
      </c>
      <c r="E402" s="118" t="s">
        <v>598</v>
      </c>
      <c r="F402" s="120">
        <v>9.57</v>
      </c>
      <c r="G402" s="119">
        <v>0.22065424088419611</v>
      </c>
    </row>
    <row r="403" spans="2:7" x14ac:dyDescent="0.2">
      <c r="B403" s="116" t="s">
        <v>1003</v>
      </c>
      <c r="C403" s="117" t="s">
        <v>1004</v>
      </c>
      <c r="D403" s="118" t="s">
        <v>241</v>
      </c>
      <c r="E403" s="118" t="s">
        <v>1005</v>
      </c>
      <c r="F403" s="120">
        <v>4.08</v>
      </c>
      <c r="G403" s="119">
        <v>-1.3154465776864729E-2</v>
      </c>
    </row>
    <row r="404" spans="2:7" x14ac:dyDescent="0.2">
      <c r="B404" s="116" t="s">
        <v>1006</v>
      </c>
      <c r="C404" s="117" t="s">
        <v>1007</v>
      </c>
      <c r="D404" s="118" t="s">
        <v>52</v>
      </c>
      <c r="E404" s="118" t="s">
        <v>281</v>
      </c>
      <c r="F404" s="120">
        <v>128.30000000000001</v>
      </c>
      <c r="G404" s="119">
        <v>0.92082215528747557</v>
      </c>
    </row>
    <row r="405" spans="2:7" x14ac:dyDescent="0.2">
      <c r="B405" s="116" t="s">
        <v>1008</v>
      </c>
      <c r="C405" s="117" t="s">
        <v>1009</v>
      </c>
      <c r="D405" s="118" t="s">
        <v>52</v>
      </c>
      <c r="E405" s="118" t="s">
        <v>1010</v>
      </c>
      <c r="F405" s="120">
        <v>9.6199999999999992</v>
      </c>
      <c r="G405" s="119">
        <v>0.29728783039279683</v>
      </c>
    </row>
    <row r="406" spans="2:7" x14ac:dyDescent="0.2">
      <c r="B406" s="116" t="s">
        <v>1011</v>
      </c>
      <c r="C406" s="117" t="s">
        <v>1012</v>
      </c>
      <c r="D406" s="118" t="s">
        <v>241</v>
      </c>
      <c r="E406" s="118" t="s">
        <v>606</v>
      </c>
      <c r="F406" s="120">
        <v>-3.4</v>
      </c>
      <c r="G406" s="119">
        <v>-5.8422859341465322E-2</v>
      </c>
    </row>
    <row r="407" spans="2:7" x14ac:dyDescent="0.2">
      <c r="B407" s="116" t="s">
        <v>1013</v>
      </c>
      <c r="C407" s="117" t="s">
        <v>1014</v>
      </c>
      <c r="D407" s="118" t="s">
        <v>198</v>
      </c>
      <c r="E407" s="118" t="s">
        <v>199</v>
      </c>
      <c r="F407" s="120">
        <v>0.75</v>
      </c>
      <c r="G407" s="119">
        <v>4.8731079719549139E-2</v>
      </c>
    </row>
    <row r="408" spans="2:7" x14ac:dyDescent="0.2">
      <c r="B408" s="116" t="s">
        <v>1015</v>
      </c>
      <c r="C408" s="117" t="s">
        <v>1016</v>
      </c>
      <c r="D408" s="118" t="s">
        <v>241</v>
      </c>
      <c r="E408" s="118" t="s">
        <v>1017</v>
      </c>
      <c r="F408" s="120">
        <v>9.51</v>
      </c>
      <c r="G408" s="119">
        <v>-1.913583095916431E-2</v>
      </c>
    </row>
    <row r="409" spans="2:7" x14ac:dyDescent="0.2">
      <c r="B409" s="116" t="s">
        <v>1018</v>
      </c>
      <c r="C409" s="117" t="s">
        <v>1019</v>
      </c>
      <c r="D409" s="118" t="s">
        <v>92</v>
      </c>
      <c r="E409" s="118" t="s">
        <v>722</v>
      </c>
      <c r="F409" s="120"/>
      <c r="G409" s="119">
        <v>7.5923120719230297E-2</v>
      </c>
    </row>
    <row r="410" spans="2:7" x14ac:dyDescent="0.2">
      <c r="B410" s="116" t="s">
        <v>1020</v>
      </c>
      <c r="C410" s="117" t="s">
        <v>1021</v>
      </c>
      <c r="D410" s="118" t="s">
        <v>102</v>
      </c>
      <c r="E410" s="118" t="s">
        <v>176</v>
      </c>
      <c r="F410" s="120">
        <v>-2.09</v>
      </c>
      <c r="G410" s="119">
        <v>-3.6758590847745347E-2</v>
      </c>
    </row>
    <row r="411" spans="2:7" x14ac:dyDescent="0.2">
      <c r="B411" s="116" t="s">
        <v>1022</v>
      </c>
      <c r="C411" s="117" t="s">
        <v>1023</v>
      </c>
      <c r="D411" s="118" t="s">
        <v>241</v>
      </c>
      <c r="E411" s="118" t="s">
        <v>306</v>
      </c>
      <c r="F411" s="120">
        <v>15.97</v>
      </c>
      <c r="G411" s="119">
        <v>9.8584700072271714E-2</v>
      </c>
    </row>
    <row r="412" spans="2:7" x14ac:dyDescent="0.2">
      <c r="B412" s="116" t="s">
        <v>1024</v>
      </c>
      <c r="C412" s="117" t="s">
        <v>1025</v>
      </c>
      <c r="D412" s="118" t="s">
        <v>34</v>
      </c>
      <c r="E412" s="118" t="s">
        <v>1026</v>
      </c>
      <c r="F412" s="120">
        <v>29.31</v>
      </c>
      <c r="G412" s="119">
        <v>-0.1132669898222109</v>
      </c>
    </row>
    <row r="413" spans="2:7" x14ac:dyDescent="0.2">
      <c r="B413" s="116" t="s">
        <v>1027</v>
      </c>
      <c r="C413" s="117" t="s">
        <v>1028</v>
      </c>
      <c r="D413" s="118" t="s">
        <v>34</v>
      </c>
      <c r="E413" s="118" t="s">
        <v>809</v>
      </c>
      <c r="F413" s="120">
        <v>28.6</v>
      </c>
      <c r="G413" s="119">
        <v>0.22868295454545459</v>
      </c>
    </row>
    <row r="414" spans="2:7" x14ac:dyDescent="0.2">
      <c r="B414" s="116" t="s">
        <v>1029</v>
      </c>
      <c r="C414" s="117" t="s">
        <v>1030</v>
      </c>
      <c r="D414" s="118" t="s">
        <v>34</v>
      </c>
      <c r="E414" s="118" t="s">
        <v>202</v>
      </c>
      <c r="F414" s="120"/>
      <c r="G414" s="119">
        <v>0.48990059395577418</v>
      </c>
    </row>
    <row r="415" spans="2:7" x14ac:dyDescent="0.2">
      <c r="B415" s="116" t="s">
        <v>1031</v>
      </c>
      <c r="C415" s="117" t="s">
        <v>1032</v>
      </c>
      <c r="D415" s="118" t="s">
        <v>115</v>
      </c>
      <c r="E415" s="118" t="s">
        <v>799</v>
      </c>
      <c r="F415" s="120">
        <v>2.13</v>
      </c>
      <c r="G415" s="119">
        <v>3.3692744607317297E-2</v>
      </c>
    </row>
    <row r="416" spans="2:7" x14ac:dyDescent="0.2">
      <c r="B416" s="116" t="s">
        <v>1033</v>
      </c>
      <c r="C416" s="117" t="s">
        <v>1034</v>
      </c>
      <c r="D416" s="118" t="s">
        <v>145</v>
      </c>
      <c r="E416" s="118" t="s">
        <v>525</v>
      </c>
      <c r="F416" s="120">
        <v>10.06</v>
      </c>
      <c r="G416" s="119">
        <v>3.4092455678906921</v>
      </c>
    </row>
    <row r="417" spans="2:7" x14ac:dyDescent="0.2">
      <c r="B417" s="116" t="s">
        <v>1035</v>
      </c>
      <c r="C417" s="117" t="s">
        <v>1036</v>
      </c>
      <c r="D417" s="118" t="s">
        <v>138</v>
      </c>
      <c r="E417" s="118" t="s">
        <v>139</v>
      </c>
      <c r="F417" s="120">
        <v>3.1</v>
      </c>
      <c r="G417" s="119">
        <v>0.30427630031423031</v>
      </c>
    </row>
    <row r="418" spans="2:7" x14ac:dyDescent="0.2">
      <c r="B418" s="116" t="s">
        <v>1037</v>
      </c>
      <c r="C418" s="117" t="s">
        <v>1038</v>
      </c>
      <c r="D418" s="118" t="s">
        <v>48</v>
      </c>
      <c r="E418" s="118" t="s">
        <v>49</v>
      </c>
      <c r="F418" s="120">
        <v>2.33</v>
      </c>
      <c r="G418" s="119">
        <v>5.3581499617444552E-2</v>
      </c>
    </row>
    <row r="419" spans="2:7" x14ac:dyDescent="0.2">
      <c r="B419" s="116" t="s">
        <v>1039</v>
      </c>
      <c r="C419" s="117" t="s">
        <v>1040</v>
      </c>
      <c r="D419" s="118" t="s">
        <v>78</v>
      </c>
      <c r="E419" s="118" t="s">
        <v>340</v>
      </c>
      <c r="F419" s="120"/>
      <c r="G419" s="119">
        <v>-2.8876686096636871E-2</v>
      </c>
    </row>
    <row r="420" spans="2:7" x14ac:dyDescent="0.2">
      <c r="B420" s="116" t="s">
        <v>1041</v>
      </c>
      <c r="C420" s="117" t="s">
        <v>1042</v>
      </c>
      <c r="D420" s="118" t="s">
        <v>78</v>
      </c>
      <c r="E420" s="118" t="s">
        <v>340</v>
      </c>
      <c r="F420" s="120">
        <v>-0.92</v>
      </c>
      <c r="G420" s="119">
        <v>-2.5474019476168729E-3</v>
      </c>
    </row>
    <row r="421" spans="2:7" x14ac:dyDescent="0.2">
      <c r="B421" s="116" t="s">
        <v>1043</v>
      </c>
      <c r="C421" s="117" t="s">
        <v>1044</v>
      </c>
      <c r="D421" s="118" t="s">
        <v>34</v>
      </c>
      <c r="E421" s="118" t="s">
        <v>99</v>
      </c>
      <c r="F421" s="120">
        <v>8.42</v>
      </c>
      <c r="G421" s="119">
        <v>7.2188390128687357E-2</v>
      </c>
    </row>
    <row r="422" spans="2:7" x14ac:dyDescent="0.2">
      <c r="B422" s="116" t="s">
        <v>1045</v>
      </c>
      <c r="C422" s="117" t="s">
        <v>1046</v>
      </c>
      <c r="D422" s="118" t="s">
        <v>92</v>
      </c>
      <c r="E422" s="118" t="s">
        <v>299</v>
      </c>
      <c r="F422" s="120">
        <v>-5.26</v>
      </c>
      <c r="G422" s="119">
        <v>-0.38419422478026061</v>
      </c>
    </row>
    <row r="423" spans="2:7" x14ac:dyDescent="0.2">
      <c r="B423" s="116" t="s">
        <v>1047</v>
      </c>
      <c r="C423" s="117" t="s">
        <v>1048</v>
      </c>
      <c r="D423" s="118" t="s">
        <v>92</v>
      </c>
      <c r="E423" s="118" t="s">
        <v>299</v>
      </c>
      <c r="F423" s="120">
        <v>8.18</v>
      </c>
      <c r="G423" s="119">
        <v>-0.21342118598536031</v>
      </c>
    </row>
    <row r="424" spans="2:7" x14ac:dyDescent="0.2">
      <c r="B424" s="116" t="s">
        <v>1049</v>
      </c>
      <c r="C424" s="117" t="s">
        <v>1050</v>
      </c>
      <c r="D424" s="118" t="s">
        <v>34</v>
      </c>
      <c r="E424" s="118" t="s">
        <v>202</v>
      </c>
      <c r="F424" s="120"/>
      <c r="G424" s="119">
        <v>0.1868089387080549</v>
      </c>
    </row>
    <row r="425" spans="2:7" x14ac:dyDescent="0.2">
      <c r="B425" s="116" t="s">
        <v>1051</v>
      </c>
      <c r="C425" s="117" t="s">
        <v>1052</v>
      </c>
      <c r="D425" s="118" t="s">
        <v>106</v>
      </c>
      <c r="E425" s="118" t="s">
        <v>1053</v>
      </c>
      <c r="F425" s="120"/>
      <c r="G425" s="119" t="e">
        <v>#DIV/0!</v>
      </c>
    </row>
    <row r="426" spans="2:7" x14ac:dyDescent="0.2">
      <c r="B426" s="116" t="s">
        <v>1054</v>
      </c>
      <c r="C426" s="117" t="s">
        <v>1055</v>
      </c>
      <c r="D426" s="118" t="s">
        <v>39</v>
      </c>
      <c r="E426" s="118" t="s">
        <v>1056</v>
      </c>
      <c r="F426" s="120">
        <v>4.46</v>
      </c>
      <c r="G426" s="119">
        <v>-3.6630110021438939E-4</v>
      </c>
    </row>
    <row r="427" spans="2:7" x14ac:dyDescent="0.2">
      <c r="B427" s="116" t="s">
        <v>1057</v>
      </c>
      <c r="C427" s="117" t="s">
        <v>1058</v>
      </c>
      <c r="D427" s="118" t="s">
        <v>241</v>
      </c>
      <c r="E427" s="118" t="s">
        <v>937</v>
      </c>
      <c r="F427" s="120">
        <v>43.09</v>
      </c>
      <c r="G427" s="119">
        <v>-1.1424350437792699E-2</v>
      </c>
    </row>
    <row r="428" spans="2:7" x14ac:dyDescent="0.2">
      <c r="B428" s="116" t="s">
        <v>1059</v>
      </c>
      <c r="C428" s="117" t="s">
        <v>1060</v>
      </c>
      <c r="D428" s="118" t="s">
        <v>145</v>
      </c>
      <c r="E428" s="118" t="s">
        <v>179</v>
      </c>
      <c r="F428" s="120">
        <v>10.28</v>
      </c>
      <c r="G428" s="119">
        <v>-0.74643627446875327</v>
      </c>
    </row>
    <row r="429" spans="2:7" x14ac:dyDescent="0.2">
      <c r="B429" s="116" t="s">
        <v>1061</v>
      </c>
      <c r="C429" s="117" t="s">
        <v>1062</v>
      </c>
      <c r="D429" s="118" t="s">
        <v>233</v>
      </c>
      <c r="E429" s="118" t="s">
        <v>469</v>
      </c>
      <c r="F429" s="120">
        <v>4.9000000000000004</v>
      </c>
      <c r="G429" s="119">
        <v>-3.4168212657510078E-2</v>
      </c>
    </row>
    <row r="430" spans="2:7" x14ac:dyDescent="0.2">
      <c r="B430" s="116" t="s">
        <v>1063</v>
      </c>
      <c r="C430" s="117" t="s">
        <v>1064</v>
      </c>
      <c r="D430" s="118" t="s">
        <v>39</v>
      </c>
      <c r="E430" s="118" t="s">
        <v>163</v>
      </c>
      <c r="F430" s="120">
        <v>4.1500000000000004</v>
      </c>
      <c r="G430" s="119">
        <v>-6.9808880632372963E-2</v>
      </c>
    </row>
    <row r="431" spans="2:7" x14ac:dyDescent="0.2">
      <c r="B431" s="116" t="s">
        <v>1065</v>
      </c>
      <c r="C431" s="117" t="s">
        <v>1066</v>
      </c>
      <c r="D431" s="118" t="s">
        <v>115</v>
      </c>
      <c r="E431" s="118" t="s">
        <v>116</v>
      </c>
      <c r="F431" s="120">
        <v>2.77</v>
      </c>
      <c r="G431" s="119">
        <v>5.4037788798479432E-2</v>
      </c>
    </row>
    <row r="432" spans="2:7" x14ac:dyDescent="0.2">
      <c r="B432" s="116" t="s">
        <v>1067</v>
      </c>
      <c r="C432" s="117" t="s">
        <v>1068</v>
      </c>
      <c r="D432" s="118" t="s">
        <v>92</v>
      </c>
      <c r="E432" s="118" t="s">
        <v>272</v>
      </c>
      <c r="F432" s="120">
        <v>10.3</v>
      </c>
      <c r="G432" s="119">
        <v>4.327144510506966E-2</v>
      </c>
    </row>
    <row r="433" spans="2:7" x14ac:dyDescent="0.2">
      <c r="B433" s="116" t="s">
        <v>1069</v>
      </c>
      <c r="C433" s="117" t="s">
        <v>1070</v>
      </c>
      <c r="D433" s="118" t="s">
        <v>34</v>
      </c>
      <c r="E433" s="118" t="s">
        <v>245</v>
      </c>
      <c r="F433" s="120">
        <v>22.06</v>
      </c>
      <c r="G433" s="119">
        <v>3.0786186424780131E-2</v>
      </c>
    </row>
    <row r="434" spans="2:7" x14ac:dyDescent="0.2">
      <c r="B434" s="116" t="s">
        <v>1071</v>
      </c>
      <c r="C434" s="117" t="s">
        <v>1072</v>
      </c>
      <c r="D434" s="118" t="s">
        <v>78</v>
      </c>
      <c r="E434" s="118" t="s">
        <v>79</v>
      </c>
      <c r="F434" s="120"/>
      <c r="G434" s="119">
        <v>3.7578509577853858E-2</v>
      </c>
    </row>
    <row r="435" spans="2:7" x14ac:dyDescent="0.2">
      <c r="B435" s="116" t="s">
        <v>1073</v>
      </c>
      <c r="C435" s="117" t="s">
        <v>1074</v>
      </c>
      <c r="D435" s="118" t="s">
        <v>92</v>
      </c>
      <c r="E435" s="118" t="s">
        <v>228</v>
      </c>
      <c r="F435" s="120">
        <v>9.15</v>
      </c>
      <c r="G435" s="119">
        <v>-0.1088962204234122</v>
      </c>
    </row>
    <row r="436" spans="2:7" x14ac:dyDescent="0.2">
      <c r="B436" s="116" t="s">
        <v>1075</v>
      </c>
      <c r="C436" s="117" t="s">
        <v>1076</v>
      </c>
      <c r="D436" s="118" t="s">
        <v>52</v>
      </c>
      <c r="E436" s="118" t="s">
        <v>660</v>
      </c>
      <c r="F436" s="120">
        <v>7.89</v>
      </c>
      <c r="G436" s="119">
        <v>7.8905785122676833E-2</v>
      </c>
    </row>
    <row r="437" spans="2:7" x14ac:dyDescent="0.2">
      <c r="B437" s="116" t="s">
        <v>1077</v>
      </c>
      <c r="C437" s="117" t="s">
        <v>1078</v>
      </c>
      <c r="D437" s="118" t="s">
        <v>68</v>
      </c>
      <c r="E437" s="118" t="s">
        <v>256</v>
      </c>
      <c r="F437" s="120">
        <v>0.54</v>
      </c>
      <c r="G437" s="119">
        <v>2.3470176603372691E-2</v>
      </c>
    </row>
    <row r="438" spans="2:7" x14ac:dyDescent="0.2">
      <c r="B438" s="116" t="s">
        <v>1079</v>
      </c>
      <c r="C438" s="117" t="s">
        <v>1080</v>
      </c>
      <c r="D438" s="118" t="s">
        <v>102</v>
      </c>
      <c r="E438" s="118" t="s">
        <v>1081</v>
      </c>
      <c r="F438" s="120">
        <v>16.45</v>
      </c>
      <c r="G438" s="119">
        <v>7.8258708613393152E-2</v>
      </c>
    </row>
    <row r="439" spans="2:7" x14ac:dyDescent="0.2">
      <c r="B439" s="116" t="s">
        <v>1082</v>
      </c>
      <c r="C439" s="117" t="s">
        <v>1083</v>
      </c>
      <c r="D439" s="118" t="s">
        <v>678</v>
      </c>
      <c r="E439" s="118" t="s">
        <v>679</v>
      </c>
      <c r="F439" s="120">
        <v>-1.31</v>
      </c>
      <c r="G439" s="119">
        <v>4.0491728246116812E-2</v>
      </c>
    </row>
    <row r="440" spans="2:7" x14ac:dyDescent="0.2">
      <c r="B440" s="116" t="s">
        <v>1084</v>
      </c>
      <c r="C440" s="117" t="s">
        <v>1085</v>
      </c>
      <c r="D440" s="118" t="s">
        <v>115</v>
      </c>
      <c r="E440" s="118" t="s">
        <v>1086</v>
      </c>
      <c r="F440" s="120">
        <v>4.38</v>
      </c>
      <c r="G440" s="119">
        <v>0.1785866201164317</v>
      </c>
    </row>
    <row r="441" spans="2:7" x14ac:dyDescent="0.2">
      <c r="B441" s="116" t="s">
        <v>1087</v>
      </c>
      <c r="C441" s="117" t="s">
        <v>1088</v>
      </c>
      <c r="D441" s="118" t="s">
        <v>115</v>
      </c>
      <c r="E441" s="118" t="s">
        <v>728</v>
      </c>
      <c r="F441" s="120">
        <v>12.39</v>
      </c>
      <c r="G441" s="119">
        <v>5.9519230550554303E-2</v>
      </c>
    </row>
    <row r="442" spans="2:7" x14ac:dyDescent="0.2">
      <c r="B442" s="116" t="s">
        <v>1089</v>
      </c>
      <c r="C442" s="117" t="s">
        <v>1090</v>
      </c>
      <c r="D442" s="118" t="s">
        <v>115</v>
      </c>
      <c r="E442" s="118" t="s">
        <v>686</v>
      </c>
      <c r="F442" s="120">
        <v>-2.27</v>
      </c>
      <c r="G442" s="119">
        <v>-7.6438346560166681E-2</v>
      </c>
    </row>
    <row r="443" spans="2:7" x14ac:dyDescent="0.2">
      <c r="B443" s="116" t="s">
        <v>1091</v>
      </c>
      <c r="C443" s="117" t="s">
        <v>1092</v>
      </c>
      <c r="D443" s="118" t="s">
        <v>145</v>
      </c>
      <c r="E443" s="118" t="s">
        <v>1093</v>
      </c>
      <c r="F443" s="120"/>
      <c r="G443" s="119">
        <v>0.44537122626639808</v>
      </c>
    </row>
    <row r="444" spans="2:7" x14ac:dyDescent="0.2">
      <c r="B444" s="116" t="s">
        <v>1094</v>
      </c>
      <c r="C444" s="117" t="s">
        <v>1095</v>
      </c>
      <c r="D444" s="118" t="s">
        <v>34</v>
      </c>
      <c r="E444" s="118" t="s">
        <v>1096</v>
      </c>
      <c r="F444" s="120"/>
      <c r="G444" s="119">
        <v>8.3779458971563525E-2</v>
      </c>
    </row>
    <row r="445" spans="2:7" x14ac:dyDescent="0.2">
      <c r="B445" s="116" t="s">
        <v>1097</v>
      </c>
      <c r="C445" s="117" t="s">
        <v>1098</v>
      </c>
      <c r="D445" s="118" t="s">
        <v>52</v>
      </c>
      <c r="E445" s="118" t="s">
        <v>1099</v>
      </c>
      <c r="F445" s="120">
        <v>6.06</v>
      </c>
      <c r="G445" s="119">
        <v>2.296738247889836E-2</v>
      </c>
    </row>
    <row r="446" spans="2:7" x14ac:dyDescent="0.2">
      <c r="B446" s="116" t="s">
        <v>1100</v>
      </c>
      <c r="C446" s="117" t="s">
        <v>1101</v>
      </c>
      <c r="D446" s="118" t="s">
        <v>115</v>
      </c>
      <c r="E446" s="118" t="s">
        <v>1102</v>
      </c>
      <c r="F446" s="120">
        <v>5.8</v>
      </c>
      <c r="G446" s="119">
        <v>5.8348726875554653E-2</v>
      </c>
    </row>
    <row r="447" spans="2:7" x14ac:dyDescent="0.2">
      <c r="B447" s="116" t="s">
        <v>1103</v>
      </c>
      <c r="C447" s="117" t="s">
        <v>1104</v>
      </c>
      <c r="D447" s="118" t="s">
        <v>92</v>
      </c>
      <c r="E447" s="118" t="s">
        <v>272</v>
      </c>
      <c r="F447" s="120">
        <v>17.63</v>
      </c>
      <c r="G447" s="119">
        <v>6.9273715895065771E-2</v>
      </c>
    </row>
    <row r="448" spans="2:7" x14ac:dyDescent="0.2">
      <c r="B448" s="116" t="s">
        <v>1105</v>
      </c>
      <c r="C448" s="117" t="s">
        <v>1106</v>
      </c>
      <c r="D448" s="118" t="s">
        <v>52</v>
      </c>
      <c r="E448" s="118" t="s">
        <v>660</v>
      </c>
      <c r="F448" s="120">
        <v>24.66</v>
      </c>
      <c r="G448" s="119">
        <v>3.885107587421633E-2</v>
      </c>
    </row>
    <row r="449" spans="2:7" x14ac:dyDescent="0.2">
      <c r="B449" s="116" t="s">
        <v>1107</v>
      </c>
      <c r="C449" s="117" t="s">
        <v>1108</v>
      </c>
      <c r="D449" s="118" t="s">
        <v>233</v>
      </c>
      <c r="E449" s="118" t="s">
        <v>469</v>
      </c>
      <c r="F449" s="120"/>
      <c r="G449" s="119">
        <v>-0.28642656048927778</v>
      </c>
    </row>
    <row r="450" spans="2:7" x14ac:dyDescent="0.2">
      <c r="B450" s="116" t="s">
        <v>1109</v>
      </c>
      <c r="C450" s="117" t="s">
        <v>1110</v>
      </c>
      <c r="D450" s="118" t="s">
        <v>52</v>
      </c>
      <c r="E450" s="118" t="s">
        <v>725</v>
      </c>
      <c r="F450" s="120">
        <v>13.19</v>
      </c>
      <c r="G450" s="119">
        <v>3.787021988166045E-2</v>
      </c>
    </row>
    <row r="451" spans="2:7" x14ac:dyDescent="0.2">
      <c r="B451" s="116" t="s">
        <v>1111</v>
      </c>
      <c r="C451" s="117" t="s">
        <v>1112</v>
      </c>
      <c r="D451" s="118" t="s">
        <v>233</v>
      </c>
      <c r="E451" s="118" t="s">
        <v>234</v>
      </c>
      <c r="F451" s="120"/>
      <c r="G451" s="119">
        <v>9.0345943352684574E-2</v>
      </c>
    </row>
    <row r="452" spans="2:7" x14ac:dyDescent="0.2">
      <c r="B452" s="116" t="s">
        <v>1113</v>
      </c>
      <c r="C452" s="117" t="s">
        <v>1114</v>
      </c>
      <c r="D452" s="118" t="s">
        <v>92</v>
      </c>
      <c r="E452" s="118" t="s">
        <v>272</v>
      </c>
      <c r="F452" s="120">
        <v>62.1</v>
      </c>
      <c r="G452" s="119">
        <v>-1.7209773991243679E-2</v>
      </c>
    </row>
    <row r="453" spans="2:7" x14ac:dyDescent="0.2">
      <c r="B453" s="116" t="s">
        <v>1115</v>
      </c>
      <c r="C453" s="117" t="s">
        <v>1116</v>
      </c>
      <c r="D453" s="118" t="s">
        <v>106</v>
      </c>
      <c r="E453" s="118" t="s">
        <v>324</v>
      </c>
      <c r="F453" s="120"/>
      <c r="G453" s="119">
        <v>0.3582178980555516</v>
      </c>
    </row>
    <row r="454" spans="2:7" x14ac:dyDescent="0.2">
      <c r="B454" s="116" t="s">
        <v>1117</v>
      </c>
      <c r="C454" s="117" t="s">
        <v>1118</v>
      </c>
      <c r="D454" s="118" t="s">
        <v>233</v>
      </c>
      <c r="E454" s="118" t="s">
        <v>234</v>
      </c>
      <c r="F454" s="120"/>
      <c r="G454" s="119">
        <v>9.7683842990096928E-2</v>
      </c>
    </row>
    <row r="455" spans="2:7" x14ac:dyDescent="0.2">
      <c r="B455" s="116" t="s">
        <v>1119</v>
      </c>
      <c r="C455" s="117" t="s">
        <v>1120</v>
      </c>
      <c r="D455" s="118" t="s">
        <v>39</v>
      </c>
      <c r="E455" s="118" t="s">
        <v>383</v>
      </c>
      <c r="F455" s="120">
        <v>-0.73</v>
      </c>
      <c r="G455" s="119">
        <v>2.871230470872933E-2</v>
      </c>
    </row>
    <row r="456" spans="2:7" x14ac:dyDescent="0.2">
      <c r="B456" s="116" t="s">
        <v>1121</v>
      </c>
      <c r="C456" s="117" t="s">
        <v>1122</v>
      </c>
      <c r="D456" s="118" t="s">
        <v>34</v>
      </c>
      <c r="E456" s="118" t="s">
        <v>245</v>
      </c>
      <c r="F456" s="120">
        <v>2.86</v>
      </c>
      <c r="G456" s="119">
        <v>2.8257718549677398E-2</v>
      </c>
    </row>
    <row r="457" spans="2:7" x14ac:dyDescent="0.2">
      <c r="B457" s="116" t="s">
        <v>1123</v>
      </c>
      <c r="C457" s="117" t="s">
        <v>1124</v>
      </c>
      <c r="D457" s="118" t="s">
        <v>48</v>
      </c>
      <c r="E457" s="118" t="s">
        <v>370</v>
      </c>
      <c r="F457" s="120">
        <v>1.1299999999999999</v>
      </c>
      <c r="G457" s="119">
        <v>4.5162728708814694E-3</v>
      </c>
    </row>
    <row r="458" spans="2:7" x14ac:dyDescent="0.2">
      <c r="B458" s="116" t="s">
        <v>1125</v>
      </c>
      <c r="C458" s="117" t="s">
        <v>1126</v>
      </c>
      <c r="D458" s="118" t="s">
        <v>52</v>
      </c>
      <c r="E458" s="118" t="s">
        <v>725</v>
      </c>
      <c r="F458" s="120">
        <v>14.13</v>
      </c>
      <c r="G458" s="119">
        <v>5.072083417082502E-2</v>
      </c>
    </row>
    <row r="459" spans="2:7" x14ac:dyDescent="0.2">
      <c r="B459" s="116" t="s">
        <v>1127</v>
      </c>
      <c r="C459" s="117" t="s">
        <v>1128</v>
      </c>
      <c r="D459" s="118" t="s">
        <v>92</v>
      </c>
      <c r="E459" s="118" t="s">
        <v>272</v>
      </c>
      <c r="F459" s="120">
        <v>-4.3499999999999996</v>
      </c>
      <c r="G459" s="119">
        <v>-9.6089157795900243E-2</v>
      </c>
    </row>
    <row r="460" spans="2:7" x14ac:dyDescent="0.2">
      <c r="B460" s="116" t="s">
        <v>1129</v>
      </c>
      <c r="C460" s="117" t="s">
        <v>1130</v>
      </c>
      <c r="D460" s="118" t="s">
        <v>52</v>
      </c>
      <c r="E460" s="118" t="s">
        <v>725</v>
      </c>
      <c r="F460" s="120">
        <v>4.76</v>
      </c>
      <c r="G460" s="119">
        <v>6.2114074544087287E-2</v>
      </c>
    </row>
    <row r="461" spans="2:7" x14ac:dyDescent="0.2">
      <c r="B461" s="116" t="s">
        <v>1131</v>
      </c>
      <c r="C461" s="117" t="s">
        <v>1132</v>
      </c>
      <c r="D461" s="118" t="s">
        <v>39</v>
      </c>
      <c r="E461" s="118" t="s">
        <v>1133</v>
      </c>
      <c r="F461" s="120"/>
      <c r="G461" s="119">
        <v>-4.6619881294561148E-2</v>
      </c>
    </row>
    <row r="462" spans="2:7" x14ac:dyDescent="0.2">
      <c r="B462" s="116" t="s">
        <v>1134</v>
      </c>
      <c r="C462" s="117" t="s">
        <v>1135</v>
      </c>
      <c r="D462" s="118" t="s">
        <v>48</v>
      </c>
      <c r="E462" s="118" t="s">
        <v>370</v>
      </c>
      <c r="F462" s="120"/>
      <c r="G462" s="119">
        <v>8.4439404295549456E-2</v>
      </c>
    </row>
    <row r="463" spans="2:7" x14ac:dyDescent="0.2">
      <c r="B463" s="116" t="s">
        <v>1136</v>
      </c>
      <c r="C463" s="117" t="s">
        <v>1137</v>
      </c>
      <c r="D463" s="118" t="s">
        <v>34</v>
      </c>
      <c r="E463" s="118" t="s">
        <v>99</v>
      </c>
      <c r="F463" s="120">
        <v>13.25</v>
      </c>
      <c r="G463" s="119">
        <v>0.18672820438274521</v>
      </c>
    </row>
    <row r="464" spans="2:7" x14ac:dyDescent="0.2">
      <c r="B464" s="116" t="s">
        <v>1138</v>
      </c>
      <c r="C464" s="117" t="s">
        <v>1139</v>
      </c>
      <c r="D464" s="118" t="s">
        <v>138</v>
      </c>
      <c r="E464" s="118" t="s">
        <v>139</v>
      </c>
      <c r="F464" s="120">
        <v>5.9</v>
      </c>
      <c r="G464" s="119">
        <v>6.6035462989023049E-3</v>
      </c>
    </row>
    <row r="465" spans="2:7" x14ac:dyDescent="0.2">
      <c r="B465" s="116" t="s">
        <v>1140</v>
      </c>
      <c r="C465" s="117" t="s">
        <v>1141</v>
      </c>
      <c r="D465" s="118" t="s">
        <v>138</v>
      </c>
      <c r="E465" s="118" t="s">
        <v>499</v>
      </c>
      <c r="F465" s="120">
        <v>3.31</v>
      </c>
      <c r="G465" s="119">
        <v>1.390756376819972E-2</v>
      </c>
    </row>
    <row r="466" spans="2:7" x14ac:dyDescent="0.2">
      <c r="B466" s="116" t="s">
        <v>1142</v>
      </c>
      <c r="C466" s="117" t="s">
        <v>1143</v>
      </c>
      <c r="D466" s="118" t="s">
        <v>138</v>
      </c>
      <c r="E466" s="118" t="s">
        <v>139</v>
      </c>
      <c r="F466" s="120">
        <v>1.39</v>
      </c>
      <c r="G466" s="119">
        <v>1.8090998327963719E-2</v>
      </c>
    </row>
    <row r="467" spans="2:7" x14ac:dyDescent="0.2">
      <c r="B467" s="116" t="s">
        <v>1144</v>
      </c>
      <c r="C467" s="117" t="s">
        <v>1145</v>
      </c>
      <c r="D467" s="118" t="s">
        <v>68</v>
      </c>
      <c r="E467" s="118" t="s">
        <v>256</v>
      </c>
      <c r="F467" s="120">
        <v>-2.65</v>
      </c>
      <c r="G467" s="119">
        <v>-4.8552536859319687E-3</v>
      </c>
    </row>
    <row r="468" spans="2:7" x14ac:dyDescent="0.2">
      <c r="B468" s="116" t="s">
        <v>1146</v>
      </c>
      <c r="C468" s="117" t="s">
        <v>1147</v>
      </c>
      <c r="D468" s="118" t="s">
        <v>78</v>
      </c>
      <c r="E468" s="118" t="s">
        <v>79</v>
      </c>
      <c r="F468" s="120"/>
      <c r="G468" s="119">
        <v>1.7553563655071418E-2</v>
      </c>
    </row>
    <row r="469" spans="2:7" x14ac:dyDescent="0.2">
      <c r="B469" s="116" t="s">
        <v>1148</v>
      </c>
      <c r="C469" s="117" t="s">
        <v>1149</v>
      </c>
      <c r="D469" s="118" t="s">
        <v>241</v>
      </c>
      <c r="E469" s="118" t="s">
        <v>306</v>
      </c>
      <c r="F469" s="120">
        <v>-8.93</v>
      </c>
      <c r="G469" s="119">
        <v>-0.32988170299981368</v>
      </c>
    </row>
    <row r="470" spans="2:7" x14ac:dyDescent="0.2">
      <c r="B470" s="116" t="s">
        <v>1150</v>
      </c>
      <c r="C470" s="117" t="s">
        <v>1151</v>
      </c>
      <c r="D470" s="118" t="s">
        <v>92</v>
      </c>
      <c r="E470" s="118" t="s">
        <v>272</v>
      </c>
      <c r="F470" s="120"/>
      <c r="G470" s="119" t="e">
        <v>#DIV/0!</v>
      </c>
    </row>
    <row r="471" spans="2:7" x14ac:dyDescent="0.2">
      <c r="B471" s="116" t="s">
        <v>1152</v>
      </c>
      <c r="C471" s="117" t="s">
        <v>1153</v>
      </c>
      <c r="D471" s="118" t="s">
        <v>34</v>
      </c>
      <c r="E471" s="118" t="s">
        <v>245</v>
      </c>
      <c r="F471" s="120">
        <v>20.16</v>
      </c>
      <c r="G471" s="119">
        <v>-2.1332853563340311E-2</v>
      </c>
    </row>
    <row r="472" spans="2:7" x14ac:dyDescent="0.2">
      <c r="B472" s="116" t="s">
        <v>1154</v>
      </c>
      <c r="C472" s="117" t="s">
        <v>1155</v>
      </c>
      <c r="D472" s="118" t="s">
        <v>68</v>
      </c>
      <c r="E472" s="118" t="s">
        <v>82</v>
      </c>
      <c r="F472" s="120">
        <v>39.44</v>
      </c>
      <c r="G472" s="119">
        <v>0.32168187281892219</v>
      </c>
    </row>
    <row r="473" spans="2:7" x14ac:dyDescent="0.2">
      <c r="B473" s="116" t="s">
        <v>1156</v>
      </c>
      <c r="C473" s="117" t="s">
        <v>1157</v>
      </c>
      <c r="D473" s="118" t="s">
        <v>241</v>
      </c>
      <c r="E473" s="118" t="s">
        <v>606</v>
      </c>
      <c r="F473" s="120">
        <v>-7.65</v>
      </c>
      <c r="G473" s="119">
        <v>-1</v>
      </c>
    </row>
    <row r="474" spans="2:7" x14ac:dyDescent="0.2">
      <c r="B474" s="116" t="s">
        <v>1158</v>
      </c>
      <c r="C474" s="117" t="s">
        <v>1159</v>
      </c>
      <c r="D474" s="118" t="s">
        <v>115</v>
      </c>
      <c r="E474" s="118" t="s">
        <v>394</v>
      </c>
      <c r="F474" s="120">
        <v>4.49</v>
      </c>
      <c r="G474" s="119">
        <v>4.5245224242424213E-2</v>
      </c>
    </row>
    <row r="475" spans="2:7" x14ac:dyDescent="0.2">
      <c r="B475" s="116" t="s">
        <v>1160</v>
      </c>
      <c r="C475" s="117" t="s">
        <v>1161</v>
      </c>
      <c r="D475" s="118" t="s">
        <v>39</v>
      </c>
      <c r="E475" s="118" t="s">
        <v>1162</v>
      </c>
      <c r="F475" s="120">
        <v>67.209999999999994</v>
      </c>
      <c r="G475" s="119">
        <v>1.2168288579099211E-2</v>
      </c>
    </row>
    <row r="476" spans="2:7" x14ac:dyDescent="0.2">
      <c r="B476" s="116" t="s">
        <v>1163</v>
      </c>
      <c r="C476" s="117" t="s">
        <v>1164</v>
      </c>
      <c r="D476" s="118" t="s">
        <v>52</v>
      </c>
      <c r="E476" s="118" t="s">
        <v>281</v>
      </c>
      <c r="F476" s="120">
        <v>-11.47</v>
      </c>
      <c r="G476" s="119">
        <v>9.7290917550716532E-3</v>
      </c>
    </row>
    <row r="477" spans="2:7" x14ac:dyDescent="0.2">
      <c r="B477" s="116" t="s">
        <v>1165</v>
      </c>
      <c r="C477" s="117" t="s">
        <v>1166</v>
      </c>
      <c r="D477" s="118" t="s">
        <v>92</v>
      </c>
      <c r="E477" s="118" t="s">
        <v>299</v>
      </c>
      <c r="F477" s="120">
        <v>-5.93</v>
      </c>
      <c r="G477" s="119">
        <v>-1</v>
      </c>
    </row>
    <row r="478" spans="2:7" x14ac:dyDescent="0.2">
      <c r="B478" s="116" t="s">
        <v>1167</v>
      </c>
      <c r="C478" s="117" t="s">
        <v>1168</v>
      </c>
      <c r="D478" s="118" t="s">
        <v>241</v>
      </c>
      <c r="E478" s="118" t="s">
        <v>775</v>
      </c>
      <c r="F478" s="120">
        <v>-3.12</v>
      </c>
      <c r="G478" s="119">
        <v>2.552515476473621E-2</v>
      </c>
    </row>
    <row r="479" spans="2:7" x14ac:dyDescent="0.2">
      <c r="B479" s="116" t="s">
        <v>1169</v>
      </c>
      <c r="C479" s="117" t="s">
        <v>1170</v>
      </c>
      <c r="D479" s="118" t="s">
        <v>241</v>
      </c>
      <c r="E479" s="118" t="s">
        <v>885</v>
      </c>
      <c r="F479" s="120">
        <v>-3.99</v>
      </c>
      <c r="G479" s="119">
        <v>8.9938708536790701E-2</v>
      </c>
    </row>
    <row r="480" spans="2:7" x14ac:dyDescent="0.2">
      <c r="B480" s="116" t="s">
        <v>1171</v>
      </c>
      <c r="C480" s="117" t="s">
        <v>1172</v>
      </c>
      <c r="D480" s="118" t="s">
        <v>138</v>
      </c>
      <c r="E480" s="118" t="s">
        <v>139</v>
      </c>
      <c r="F480" s="120"/>
      <c r="G480" s="119">
        <v>-2.6187388236957869E-2</v>
      </c>
    </row>
    <row r="481" spans="2:7" x14ac:dyDescent="0.2">
      <c r="B481" s="116" t="s">
        <v>1173</v>
      </c>
      <c r="C481" s="117" t="s">
        <v>1174</v>
      </c>
      <c r="D481" s="118" t="s">
        <v>145</v>
      </c>
      <c r="E481" s="118" t="s">
        <v>360</v>
      </c>
      <c r="F481" s="120">
        <v>1.03</v>
      </c>
      <c r="G481" s="119">
        <v>3.7274857855769568E-2</v>
      </c>
    </row>
    <row r="482" spans="2:7" x14ac:dyDescent="0.2">
      <c r="B482" s="116" t="s">
        <v>1175</v>
      </c>
      <c r="C482" s="117" t="s">
        <v>1176</v>
      </c>
      <c r="D482" s="118" t="s">
        <v>138</v>
      </c>
      <c r="E482" s="118" t="s">
        <v>139</v>
      </c>
      <c r="F482" s="120">
        <v>-0.85</v>
      </c>
      <c r="G482" s="119">
        <v>1.9747111129123762E-2</v>
      </c>
    </row>
    <row r="483" spans="2:7" x14ac:dyDescent="0.2">
      <c r="B483" s="116" t="s">
        <v>1177</v>
      </c>
      <c r="C483" s="117" t="s">
        <v>1178</v>
      </c>
      <c r="D483" s="118" t="s">
        <v>115</v>
      </c>
      <c r="E483" s="118" t="s">
        <v>522</v>
      </c>
      <c r="F483" s="120">
        <v>24.45</v>
      </c>
      <c r="G483" s="119">
        <v>0.26124550055062351</v>
      </c>
    </row>
    <row r="484" spans="2:7" x14ac:dyDescent="0.2">
      <c r="B484" s="116" t="s">
        <v>1179</v>
      </c>
      <c r="C484" s="117" t="s">
        <v>1180</v>
      </c>
      <c r="D484" s="118" t="s">
        <v>92</v>
      </c>
      <c r="E484" s="118" t="s">
        <v>434</v>
      </c>
      <c r="F484" s="120">
        <v>11.48</v>
      </c>
      <c r="G484" s="119">
        <v>0.1118954821414492</v>
      </c>
    </row>
    <row r="485" spans="2:7" x14ac:dyDescent="0.2">
      <c r="B485" s="116" t="s">
        <v>1181</v>
      </c>
      <c r="C485" s="117" t="s">
        <v>1182</v>
      </c>
      <c r="D485" s="118" t="s">
        <v>106</v>
      </c>
      <c r="E485" s="118" t="s">
        <v>131</v>
      </c>
      <c r="F485" s="120">
        <v>8.85</v>
      </c>
      <c r="G485" s="119">
        <v>1.9177954925119461E-2</v>
      </c>
    </row>
    <row r="486" spans="2:7" x14ac:dyDescent="0.2">
      <c r="B486" s="116" t="s">
        <v>1183</v>
      </c>
      <c r="C486" s="117" t="s">
        <v>1184</v>
      </c>
      <c r="D486" s="118" t="s">
        <v>92</v>
      </c>
      <c r="E486" s="118" t="s">
        <v>272</v>
      </c>
      <c r="F486" s="120">
        <v>8.14</v>
      </c>
      <c r="G486" s="119">
        <v>9.2263424215186948E-2</v>
      </c>
    </row>
    <row r="487" spans="2:7" x14ac:dyDescent="0.2">
      <c r="B487" s="116" t="s">
        <v>1185</v>
      </c>
      <c r="C487" s="117" t="s">
        <v>1186</v>
      </c>
      <c r="D487" s="118" t="s">
        <v>68</v>
      </c>
      <c r="E487" s="118" t="s">
        <v>256</v>
      </c>
      <c r="F487" s="120">
        <v>13.96</v>
      </c>
      <c r="G487" s="119">
        <v>7.2852067893297054E-2</v>
      </c>
    </row>
    <row r="488" spans="2:7" x14ac:dyDescent="0.2">
      <c r="B488" s="116" t="s">
        <v>1187</v>
      </c>
      <c r="C488" s="117" t="s">
        <v>1188</v>
      </c>
      <c r="D488" s="118" t="s">
        <v>138</v>
      </c>
      <c r="E488" s="118" t="s">
        <v>139</v>
      </c>
      <c r="F488" s="120">
        <v>0.03</v>
      </c>
      <c r="G488" s="119">
        <v>5.0247716678517892E-2</v>
      </c>
    </row>
    <row r="489" spans="2:7" x14ac:dyDescent="0.2">
      <c r="B489" s="116" t="s">
        <v>1189</v>
      </c>
      <c r="C489" s="117" t="s">
        <v>1190</v>
      </c>
      <c r="D489" s="118" t="s">
        <v>48</v>
      </c>
      <c r="E489" s="118" t="s">
        <v>49</v>
      </c>
      <c r="F489" s="120"/>
      <c r="G489" s="119">
        <v>-3.3677872041683438E-3</v>
      </c>
    </row>
    <row r="490" spans="2:7" x14ac:dyDescent="0.2">
      <c r="B490" s="116" t="s">
        <v>1191</v>
      </c>
      <c r="C490" s="117" t="s">
        <v>1192</v>
      </c>
      <c r="D490" s="118" t="s">
        <v>68</v>
      </c>
      <c r="E490" s="118" t="s">
        <v>82</v>
      </c>
      <c r="F490" s="120">
        <v>-0.72</v>
      </c>
      <c r="G490" s="119">
        <v>0.1048027880535875</v>
      </c>
    </row>
    <row r="491" spans="2:7" x14ac:dyDescent="0.2">
      <c r="B491" s="116" t="s">
        <v>1193</v>
      </c>
      <c r="C491" s="117" t="s">
        <v>1194</v>
      </c>
      <c r="D491" s="118" t="s">
        <v>78</v>
      </c>
      <c r="E491" s="118" t="s">
        <v>912</v>
      </c>
      <c r="F491" s="120">
        <v>7.31</v>
      </c>
      <c r="G491" s="119">
        <v>7.4582225661037491E-2</v>
      </c>
    </row>
    <row r="492" spans="2:7" x14ac:dyDescent="0.2">
      <c r="B492" s="116" t="s">
        <v>1195</v>
      </c>
      <c r="C492" s="117" t="s">
        <v>1196</v>
      </c>
      <c r="D492" s="118" t="s">
        <v>68</v>
      </c>
      <c r="E492" s="118" t="s">
        <v>256</v>
      </c>
      <c r="F492" s="120"/>
      <c r="G492" s="119">
        <v>1.005278466153638E-2</v>
      </c>
    </row>
    <row r="493" spans="2:7" x14ac:dyDescent="0.2">
      <c r="B493" s="116" t="s">
        <v>1197</v>
      </c>
      <c r="C493" s="117" t="s">
        <v>1198</v>
      </c>
      <c r="D493" s="118" t="s">
        <v>92</v>
      </c>
      <c r="E493" s="118" t="s">
        <v>93</v>
      </c>
      <c r="F493" s="120">
        <v>6.11</v>
      </c>
      <c r="G493" s="119">
        <v>4.1301393604621768E-2</v>
      </c>
    </row>
    <row r="494" spans="2:7" x14ac:dyDescent="0.2">
      <c r="B494" s="116" t="s">
        <v>1199</v>
      </c>
      <c r="C494" s="117" t="s">
        <v>1200</v>
      </c>
      <c r="D494" s="118" t="s">
        <v>115</v>
      </c>
      <c r="E494" s="118" t="s">
        <v>1201</v>
      </c>
      <c r="F494" s="120">
        <v>-1.92</v>
      </c>
      <c r="G494" s="119">
        <v>-4.8934803503897201E-2</v>
      </c>
    </row>
    <row r="495" spans="2:7" x14ac:dyDescent="0.2">
      <c r="B495" s="116" t="s">
        <v>1202</v>
      </c>
      <c r="C495" s="117" t="s">
        <v>1203</v>
      </c>
      <c r="D495" s="118" t="s">
        <v>102</v>
      </c>
      <c r="E495" s="118" t="s">
        <v>733</v>
      </c>
      <c r="F495" s="120">
        <v>6.41</v>
      </c>
      <c r="G495" s="119">
        <v>8.6313133176641854E-2</v>
      </c>
    </row>
    <row r="496" spans="2:7" x14ac:dyDescent="0.2">
      <c r="B496" s="116" t="s">
        <v>1204</v>
      </c>
      <c r="C496" s="117" t="s">
        <v>1205</v>
      </c>
      <c r="D496" s="118" t="s">
        <v>145</v>
      </c>
      <c r="E496" s="118" t="s">
        <v>179</v>
      </c>
      <c r="F496" s="120">
        <v>0.94</v>
      </c>
      <c r="G496" s="119">
        <v>-5.8786158013988697E-2</v>
      </c>
    </row>
    <row r="497" spans="2:7" x14ac:dyDescent="0.2">
      <c r="B497" s="116" t="s">
        <v>1206</v>
      </c>
      <c r="C497" s="117" t="s">
        <v>1207</v>
      </c>
      <c r="D497" s="118" t="s">
        <v>39</v>
      </c>
      <c r="E497" s="118" t="s">
        <v>65</v>
      </c>
      <c r="F497" s="120">
        <v>-8.27</v>
      </c>
      <c r="G497" s="119">
        <v>6.4933327780330785E-2</v>
      </c>
    </row>
    <row r="498" spans="2:7" x14ac:dyDescent="0.2">
      <c r="B498" s="116" t="s">
        <v>1208</v>
      </c>
      <c r="C498" s="117" t="s">
        <v>1209</v>
      </c>
      <c r="D498" s="118" t="s">
        <v>241</v>
      </c>
      <c r="E498" s="118" t="s">
        <v>937</v>
      </c>
      <c r="F498" s="120">
        <v>6.42</v>
      </c>
      <c r="G498" s="119">
        <v>5.4589616347317092E-2</v>
      </c>
    </row>
    <row r="499" spans="2:7" x14ac:dyDescent="0.2">
      <c r="B499" s="116" t="s">
        <v>1210</v>
      </c>
      <c r="C499" s="117" t="s">
        <v>1211</v>
      </c>
      <c r="D499" s="118" t="s">
        <v>241</v>
      </c>
      <c r="E499" s="118" t="s">
        <v>609</v>
      </c>
      <c r="F499" s="120">
        <v>3.28</v>
      </c>
      <c r="G499" s="119">
        <v>5.9749344214514721E-2</v>
      </c>
    </row>
    <row r="500" spans="2:7" x14ac:dyDescent="0.2">
      <c r="B500" s="116" t="s">
        <v>1212</v>
      </c>
      <c r="C500" s="117" t="s">
        <v>1213</v>
      </c>
      <c r="D500" s="118" t="s">
        <v>241</v>
      </c>
      <c r="E500" s="118" t="s">
        <v>1017</v>
      </c>
      <c r="F500" s="120">
        <v>-1.74</v>
      </c>
      <c r="G500" s="119">
        <v>0.13000458586165051</v>
      </c>
    </row>
    <row r="501" spans="2:7" x14ac:dyDescent="0.2">
      <c r="B501" s="116" t="s">
        <v>1214</v>
      </c>
      <c r="C501" s="117" t="s">
        <v>1215</v>
      </c>
      <c r="D501" s="118" t="s">
        <v>241</v>
      </c>
      <c r="E501" s="118" t="s">
        <v>1216</v>
      </c>
      <c r="F501" s="120">
        <v>20.04</v>
      </c>
      <c r="G501" s="119">
        <v>-8.2467843875828034E-2</v>
      </c>
    </row>
    <row r="502" spans="2:7" x14ac:dyDescent="0.2">
      <c r="B502" s="116" t="s">
        <v>1217</v>
      </c>
      <c r="C502" s="117" t="s">
        <v>1218</v>
      </c>
      <c r="D502" s="118" t="s">
        <v>241</v>
      </c>
      <c r="E502" s="118" t="s">
        <v>1219</v>
      </c>
      <c r="F502" s="120">
        <v>-1.84</v>
      </c>
      <c r="G502" s="119">
        <v>0.90814457869433185</v>
      </c>
    </row>
    <row r="503" spans="2:7" x14ac:dyDescent="0.2">
      <c r="B503" s="116" t="s">
        <v>1220</v>
      </c>
      <c r="C503" s="117" t="s">
        <v>1221</v>
      </c>
      <c r="D503" s="118" t="s">
        <v>34</v>
      </c>
      <c r="E503" s="118" t="s">
        <v>1222</v>
      </c>
      <c r="F503" s="120">
        <v>11.9</v>
      </c>
      <c r="G503" s="119">
        <v>2.81811931634957E-2</v>
      </c>
    </row>
    <row r="504" spans="2:7" x14ac:dyDescent="0.2">
      <c r="B504" s="116" t="s">
        <v>1223</v>
      </c>
      <c r="C504" s="117" t="s">
        <v>1224</v>
      </c>
      <c r="D504" s="118" t="s">
        <v>106</v>
      </c>
      <c r="E504" s="118" t="s">
        <v>131</v>
      </c>
      <c r="F504" s="120">
        <v>23.5</v>
      </c>
      <c r="G504" s="119">
        <v>0.1094982643163129</v>
      </c>
    </row>
    <row r="505" spans="2:7" x14ac:dyDescent="0.2">
      <c r="B505" s="116" t="s">
        <v>1225</v>
      </c>
      <c r="C505" s="117" t="s">
        <v>1226</v>
      </c>
      <c r="D505" s="118" t="s">
        <v>241</v>
      </c>
      <c r="E505" s="118" t="s">
        <v>306</v>
      </c>
      <c r="F505" s="120">
        <v>4.1100000000000003</v>
      </c>
      <c r="G505" s="119">
        <v>2.6981918218970301E-2</v>
      </c>
    </row>
    <row r="506" spans="2:7" x14ac:dyDescent="0.2">
      <c r="B506" s="116" t="s">
        <v>1227</v>
      </c>
      <c r="C506" s="117" t="s">
        <v>1228</v>
      </c>
      <c r="D506" s="118" t="s">
        <v>138</v>
      </c>
      <c r="E506" s="118" t="s">
        <v>139</v>
      </c>
      <c r="F506" s="120">
        <v>-31.65</v>
      </c>
      <c r="G506" s="119">
        <v>-2.832894521665669E-2</v>
      </c>
    </row>
    <row r="507" spans="2:7" x14ac:dyDescent="0.2">
      <c r="B507" s="116" t="s">
        <v>1229</v>
      </c>
      <c r="C507" s="117" t="s">
        <v>1230</v>
      </c>
      <c r="D507" s="118" t="s">
        <v>34</v>
      </c>
      <c r="E507" s="118" t="s">
        <v>245</v>
      </c>
      <c r="F507" s="120">
        <v>26.02</v>
      </c>
      <c r="G507" s="119">
        <v>0.23140463180513421</v>
      </c>
    </row>
    <row r="508" spans="2:7" x14ac:dyDescent="0.2">
      <c r="B508" s="116" t="s">
        <v>1231</v>
      </c>
      <c r="C508" s="117" t="s">
        <v>1232</v>
      </c>
      <c r="D508" s="118" t="s">
        <v>241</v>
      </c>
      <c r="E508" s="118" t="s">
        <v>609</v>
      </c>
      <c r="F508" s="120">
        <v>-2.94</v>
      </c>
      <c r="G508" s="119">
        <v>-4.5814863333534031E-2</v>
      </c>
    </row>
    <row r="509" spans="2:7" x14ac:dyDescent="0.2">
      <c r="B509" s="116" t="s">
        <v>1233</v>
      </c>
      <c r="C509" s="117" t="s">
        <v>1234</v>
      </c>
      <c r="D509" s="118" t="s">
        <v>92</v>
      </c>
      <c r="E509" s="118" t="s">
        <v>112</v>
      </c>
      <c r="F509" s="120">
        <v>15.64</v>
      </c>
      <c r="G509" s="119">
        <v>-9.7563954732921399E-2</v>
      </c>
    </row>
    <row r="510" spans="2:7" x14ac:dyDescent="0.2">
      <c r="B510" s="116" t="s">
        <v>1235</v>
      </c>
      <c r="C510" s="117" t="s">
        <v>1236</v>
      </c>
      <c r="D510" s="118" t="s">
        <v>92</v>
      </c>
      <c r="E510" s="118" t="s">
        <v>272</v>
      </c>
      <c r="F510" s="120">
        <v>-31.26</v>
      </c>
      <c r="G510" s="119">
        <v>-0.34280788752410929</v>
      </c>
    </row>
    <row r="511" spans="2:7" x14ac:dyDescent="0.2">
      <c r="B511" s="116" t="s">
        <v>1237</v>
      </c>
      <c r="C511" s="117" t="s">
        <v>1238</v>
      </c>
      <c r="D511" s="118" t="s">
        <v>92</v>
      </c>
      <c r="E511" s="118" t="s">
        <v>434</v>
      </c>
      <c r="F511" s="120"/>
      <c r="G511" s="119">
        <v>8.8163023679417168E-2</v>
      </c>
    </row>
    <row r="512" spans="2:7" x14ac:dyDescent="0.2">
      <c r="B512" s="116" t="s">
        <v>1239</v>
      </c>
      <c r="C512" s="117" t="s">
        <v>1240</v>
      </c>
      <c r="D512" s="118" t="s">
        <v>92</v>
      </c>
      <c r="E512" s="118" t="s">
        <v>112</v>
      </c>
      <c r="F512" s="120">
        <v>20.45</v>
      </c>
      <c r="G512" s="119">
        <v>0.1011473149763885</v>
      </c>
    </row>
    <row r="513" spans="2:7" x14ac:dyDescent="0.2">
      <c r="B513" s="116" t="s">
        <v>1241</v>
      </c>
      <c r="C513" s="117" t="s">
        <v>1242</v>
      </c>
      <c r="D513" s="118" t="s">
        <v>241</v>
      </c>
      <c r="E513" s="118" t="s">
        <v>937</v>
      </c>
      <c r="F513" s="120">
        <v>31.56</v>
      </c>
      <c r="G513" s="119">
        <v>0.1032338572670726</v>
      </c>
    </row>
    <row r="514" spans="2:7" x14ac:dyDescent="0.2">
      <c r="B514" s="116" t="s">
        <v>1243</v>
      </c>
      <c r="C514" s="117" t="s">
        <v>1244</v>
      </c>
      <c r="D514" s="118" t="s">
        <v>241</v>
      </c>
      <c r="E514" s="118" t="s">
        <v>1017</v>
      </c>
      <c r="F514" s="120">
        <v>-2.02</v>
      </c>
      <c r="G514" s="119">
        <v>0.2110366371414571</v>
      </c>
    </row>
    <row r="515" spans="2:7" x14ac:dyDescent="0.2">
      <c r="B515" s="116" t="s">
        <v>1245</v>
      </c>
      <c r="C515" s="117" t="s">
        <v>1246</v>
      </c>
      <c r="D515" s="118" t="s">
        <v>92</v>
      </c>
      <c r="E515" s="118" t="s">
        <v>93</v>
      </c>
      <c r="F515" s="120">
        <v>-1</v>
      </c>
      <c r="G515" s="119">
        <v>4.3025372028715189E-2</v>
      </c>
    </row>
    <row r="516" spans="2:7" x14ac:dyDescent="0.2">
      <c r="B516" s="116" t="s">
        <v>1247</v>
      </c>
      <c r="C516" s="117" t="s">
        <v>1248</v>
      </c>
      <c r="D516" s="118" t="s">
        <v>241</v>
      </c>
      <c r="E516" s="118" t="s">
        <v>306</v>
      </c>
      <c r="F516" s="120">
        <v>20.11</v>
      </c>
      <c r="G516" s="119">
        <v>-0.1061794303040674</v>
      </c>
    </row>
    <row r="517" spans="2:7" x14ac:dyDescent="0.2">
      <c r="B517" s="116" t="s">
        <v>1249</v>
      </c>
      <c r="C517" s="117" t="s">
        <v>1250</v>
      </c>
      <c r="D517" s="118" t="s">
        <v>115</v>
      </c>
      <c r="E517" s="118" t="s">
        <v>799</v>
      </c>
      <c r="F517" s="120">
        <v>44.94</v>
      </c>
      <c r="G517" s="119">
        <v>0.26495790876503511</v>
      </c>
    </row>
    <row r="518" spans="2:7" x14ac:dyDescent="0.2">
      <c r="B518" s="116" t="s">
        <v>1251</v>
      </c>
      <c r="C518" s="117" t="s">
        <v>1252</v>
      </c>
      <c r="D518" s="118" t="s">
        <v>34</v>
      </c>
      <c r="E518" s="118" t="s">
        <v>1253</v>
      </c>
      <c r="F518" s="120">
        <v>-6.43</v>
      </c>
      <c r="G518" s="119">
        <v>-1.3689946224402739E-2</v>
      </c>
    </row>
    <row r="519" spans="2:7" x14ac:dyDescent="0.2">
      <c r="B519" s="116" t="s">
        <v>1254</v>
      </c>
      <c r="C519" s="117" t="s">
        <v>1255</v>
      </c>
      <c r="D519" s="118" t="s">
        <v>198</v>
      </c>
      <c r="E519" s="118" t="s">
        <v>456</v>
      </c>
      <c r="F519" s="120">
        <v>-4.54</v>
      </c>
      <c r="G519" s="119">
        <v>0.1128788645461536</v>
      </c>
    </row>
    <row r="520" spans="2:7" x14ac:dyDescent="0.2">
      <c r="B520" s="116" t="s">
        <v>1256</v>
      </c>
      <c r="C520" s="117" t="s">
        <v>1257</v>
      </c>
      <c r="D520" s="118" t="s">
        <v>138</v>
      </c>
      <c r="E520" s="118" t="s">
        <v>139</v>
      </c>
      <c r="F520" s="120">
        <v>1.65</v>
      </c>
      <c r="G520" s="119">
        <v>5.9874555526620861E-2</v>
      </c>
    </row>
    <row r="521" spans="2:7" x14ac:dyDescent="0.2">
      <c r="B521" s="116" t="s">
        <v>1258</v>
      </c>
      <c r="C521" s="117" t="s">
        <v>1259</v>
      </c>
      <c r="D521" s="118" t="s">
        <v>68</v>
      </c>
      <c r="E521" s="118" t="s">
        <v>985</v>
      </c>
      <c r="F521" s="120"/>
      <c r="G521" s="119">
        <v>7.3281349440239466E-2</v>
      </c>
    </row>
    <row r="522" spans="2:7" x14ac:dyDescent="0.2">
      <c r="B522" s="116" t="s">
        <v>1260</v>
      </c>
      <c r="C522" s="117" t="s">
        <v>1261</v>
      </c>
      <c r="D522" s="118" t="s">
        <v>92</v>
      </c>
      <c r="E522" s="118" t="s">
        <v>1262</v>
      </c>
      <c r="F522" s="120">
        <v>30.19</v>
      </c>
      <c r="G522" s="119">
        <v>-1</v>
      </c>
    </row>
    <row r="523" spans="2:7" x14ac:dyDescent="0.2">
      <c r="B523" s="116" t="s">
        <v>1263</v>
      </c>
      <c r="C523" s="117" t="s">
        <v>1264</v>
      </c>
      <c r="D523" s="118" t="s">
        <v>92</v>
      </c>
      <c r="E523" s="118" t="s">
        <v>93</v>
      </c>
      <c r="F523" s="120">
        <v>8.48</v>
      </c>
      <c r="G523" s="119">
        <v>3.4878025784793369E-2</v>
      </c>
    </row>
    <row r="524" spans="2:7" x14ac:dyDescent="0.2">
      <c r="B524" s="116" t="s">
        <v>1265</v>
      </c>
      <c r="C524" s="117" t="s">
        <v>1266</v>
      </c>
      <c r="D524" s="118" t="s">
        <v>106</v>
      </c>
      <c r="E524" s="118" t="s">
        <v>324</v>
      </c>
      <c r="F524" s="120"/>
      <c r="G524" s="119">
        <v>0.50874286766059285</v>
      </c>
    </row>
    <row r="525" spans="2:7" x14ac:dyDescent="0.2">
      <c r="B525" s="116" t="s">
        <v>1267</v>
      </c>
      <c r="C525" s="117" t="s">
        <v>1268</v>
      </c>
      <c r="D525" s="118" t="s">
        <v>241</v>
      </c>
      <c r="E525" s="118" t="s">
        <v>609</v>
      </c>
      <c r="F525" s="120">
        <v>0.55000000000000004</v>
      </c>
      <c r="G525" s="119">
        <v>2.945160962893115E-2</v>
      </c>
    </row>
    <row r="526" spans="2:7" x14ac:dyDescent="0.2">
      <c r="B526" s="116" t="s">
        <v>1269</v>
      </c>
      <c r="C526" s="117" t="s">
        <v>1270</v>
      </c>
      <c r="D526" s="118" t="s">
        <v>92</v>
      </c>
      <c r="E526" s="118" t="s">
        <v>275</v>
      </c>
      <c r="F526" s="120">
        <v>15.4</v>
      </c>
      <c r="G526" s="119">
        <v>1.520469892098858E-2</v>
      </c>
    </row>
    <row r="527" spans="2:7" x14ac:dyDescent="0.2">
      <c r="B527" s="116" t="s">
        <v>1271</v>
      </c>
      <c r="C527" s="117" t="s">
        <v>1272</v>
      </c>
      <c r="D527" s="118" t="s">
        <v>39</v>
      </c>
      <c r="E527" s="118" t="s">
        <v>65</v>
      </c>
      <c r="F527" s="120">
        <v>-0.7</v>
      </c>
      <c r="G527" s="119">
        <v>2.287792771530376E-2</v>
      </c>
    </row>
    <row r="528" spans="2:7" x14ac:dyDescent="0.2">
      <c r="B528" s="116" t="s">
        <v>1273</v>
      </c>
      <c r="C528" s="117" t="s">
        <v>1274</v>
      </c>
      <c r="D528" s="118" t="s">
        <v>138</v>
      </c>
      <c r="E528" s="118" t="s">
        <v>139</v>
      </c>
      <c r="F528" s="120">
        <v>-2.35</v>
      </c>
      <c r="G528" s="119">
        <v>8.040697037545004E-2</v>
      </c>
    </row>
    <row r="529" spans="2:7" x14ac:dyDescent="0.2">
      <c r="B529" s="116" t="s">
        <v>1275</v>
      </c>
      <c r="C529" s="117" t="s">
        <v>1276</v>
      </c>
      <c r="D529" s="118" t="s">
        <v>241</v>
      </c>
      <c r="E529" s="118" t="s">
        <v>242</v>
      </c>
      <c r="F529" s="120"/>
      <c r="G529" s="119">
        <v>0.14400375894588999</v>
      </c>
    </row>
    <row r="530" spans="2:7" x14ac:dyDescent="0.2">
      <c r="B530" s="116" t="s">
        <v>1277</v>
      </c>
      <c r="C530" s="117" t="s">
        <v>1278</v>
      </c>
      <c r="D530" s="118" t="s">
        <v>34</v>
      </c>
      <c r="E530" s="118" t="s">
        <v>202</v>
      </c>
      <c r="F530" s="120">
        <v>30.47</v>
      </c>
      <c r="G530" s="119">
        <v>0.3277394358031438</v>
      </c>
    </row>
    <row r="531" spans="2:7" x14ac:dyDescent="0.2">
      <c r="B531" s="116" t="s">
        <v>1279</v>
      </c>
      <c r="C531" s="117" t="s">
        <v>1280</v>
      </c>
      <c r="D531" s="118" t="s">
        <v>34</v>
      </c>
      <c r="E531" s="118" t="s">
        <v>1281</v>
      </c>
      <c r="F531" s="120"/>
      <c r="G531" s="119">
        <v>2.0772159657299821E-2</v>
      </c>
    </row>
    <row r="532" spans="2:7" x14ac:dyDescent="0.2">
      <c r="B532" s="116" t="s">
        <v>1282</v>
      </c>
      <c r="C532" s="117" t="s">
        <v>1283</v>
      </c>
      <c r="D532" s="118" t="s">
        <v>92</v>
      </c>
      <c r="E532" s="118" t="s">
        <v>195</v>
      </c>
      <c r="F532" s="120">
        <v>4.82</v>
      </c>
      <c r="G532" s="119">
        <v>-7.6016742546629176E-3</v>
      </c>
    </row>
    <row r="533" spans="2:7" x14ac:dyDescent="0.2">
      <c r="B533" s="116" t="s">
        <v>1284</v>
      </c>
      <c r="C533" s="117" t="s">
        <v>1285</v>
      </c>
      <c r="D533" s="118" t="s">
        <v>92</v>
      </c>
      <c r="E533" s="118" t="s">
        <v>275</v>
      </c>
      <c r="F533" s="120">
        <v>20.14</v>
      </c>
      <c r="G533" s="119">
        <v>-1</v>
      </c>
    </row>
    <row r="534" spans="2:7" x14ac:dyDescent="0.2">
      <c r="B534" s="116" t="s">
        <v>1286</v>
      </c>
      <c r="C534" s="117" t="s">
        <v>1287</v>
      </c>
      <c r="D534" s="118" t="s">
        <v>241</v>
      </c>
      <c r="E534" s="118" t="s">
        <v>1017</v>
      </c>
      <c r="F534" s="120">
        <v>12.57</v>
      </c>
      <c r="G534" s="119">
        <v>0.2540454290324845</v>
      </c>
    </row>
    <row r="535" spans="2:7" x14ac:dyDescent="0.2">
      <c r="B535" s="116" t="s">
        <v>1288</v>
      </c>
      <c r="C535" s="117" t="s">
        <v>1289</v>
      </c>
      <c r="D535" s="118" t="s">
        <v>68</v>
      </c>
      <c r="E535" s="118" t="s">
        <v>985</v>
      </c>
      <c r="F535" s="120">
        <v>41.43</v>
      </c>
      <c r="G535" s="119">
        <v>-1</v>
      </c>
    </row>
    <row r="536" spans="2:7" x14ac:dyDescent="0.2">
      <c r="B536" s="116" t="s">
        <v>1290</v>
      </c>
      <c r="C536" s="117" t="s">
        <v>1291</v>
      </c>
      <c r="D536" s="118" t="s">
        <v>68</v>
      </c>
      <c r="E536" s="118" t="s">
        <v>82</v>
      </c>
      <c r="F536" s="120">
        <v>13.3</v>
      </c>
      <c r="G536" s="119">
        <v>0.13898172612012469</v>
      </c>
    </row>
    <row r="537" spans="2:7" x14ac:dyDescent="0.2">
      <c r="B537" s="116" t="s">
        <v>1292</v>
      </c>
      <c r="C537" s="117" t="s">
        <v>1293</v>
      </c>
      <c r="D537" s="118" t="s">
        <v>92</v>
      </c>
      <c r="E537" s="118" t="s">
        <v>598</v>
      </c>
      <c r="F537" s="120">
        <v>13.18</v>
      </c>
      <c r="G537" s="119">
        <v>-0.1013958799748739</v>
      </c>
    </row>
    <row r="538" spans="2:7" x14ac:dyDescent="0.2">
      <c r="B538" s="116" t="s">
        <v>1294</v>
      </c>
      <c r="C538" s="117" t="s">
        <v>1295</v>
      </c>
      <c r="D538" s="118" t="s">
        <v>68</v>
      </c>
      <c r="E538" s="118" t="s">
        <v>87</v>
      </c>
      <c r="F538" s="120">
        <v>128.4</v>
      </c>
      <c r="G538" s="119">
        <v>0.78235708313162877</v>
      </c>
    </row>
    <row r="539" spans="2:7" x14ac:dyDescent="0.2">
      <c r="B539" s="116" t="s">
        <v>1296</v>
      </c>
      <c r="C539" s="117" t="s">
        <v>1297</v>
      </c>
      <c r="D539" s="118" t="s">
        <v>138</v>
      </c>
      <c r="E539" s="118" t="s">
        <v>139</v>
      </c>
      <c r="F539" s="120">
        <v>6.56</v>
      </c>
      <c r="G539" s="119">
        <v>-9.1309692927608682E-2</v>
      </c>
    </row>
    <row r="540" spans="2:7" x14ac:dyDescent="0.2">
      <c r="B540" s="116" t="s">
        <v>1298</v>
      </c>
      <c r="C540" s="117" t="s">
        <v>1299</v>
      </c>
      <c r="D540" s="118" t="s">
        <v>68</v>
      </c>
      <c r="E540" s="118" t="s">
        <v>87</v>
      </c>
      <c r="F540" s="120">
        <v>152.55000000000001</v>
      </c>
      <c r="G540" s="119">
        <v>9.6625756883688685E-2</v>
      </c>
    </row>
    <row r="541" spans="2:7" x14ac:dyDescent="0.2">
      <c r="B541" s="116" t="s">
        <v>1300</v>
      </c>
      <c r="C541" s="117" t="s">
        <v>1301</v>
      </c>
      <c r="D541" s="118" t="s">
        <v>102</v>
      </c>
      <c r="E541" s="118" t="s">
        <v>176</v>
      </c>
      <c r="F541" s="120">
        <v>8.1</v>
      </c>
      <c r="G541" s="119">
        <v>-5.6343415348396068E-3</v>
      </c>
    </row>
    <row r="542" spans="2:7" x14ac:dyDescent="0.2">
      <c r="B542" s="116" t="s">
        <v>1302</v>
      </c>
      <c r="C542" s="117" t="s">
        <v>1303</v>
      </c>
      <c r="D542" s="118" t="s">
        <v>48</v>
      </c>
      <c r="E542" s="118" t="s">
        <v>370</v>
      </c>
      <c r="F542" s="120">
        <v>5.15</v>
      </c>
      <c r="G542" s="119">
        <v>4.1938814529199418E-2</v>
      </c>
    </row>
    <row r="543" spans="2:7" x14ac:dyDescent="0.2">
      <c r="B543" s="116" t="s">
        <v>1304</v>
      </c>
      <c r="C543" s="117" t="s">
        <v>1305</v>
      </c>
      <c r="D543" s="118" t="s">
        <v>52</v>
      </c>
      <c r="E543" s="118" t="s">
        <v>281</v>
      </c>
      <c r="F543" s="120">
        <v>18.45</v>
      </c>
      <c r="G543" s="119">
        <v>8.3327416020671882E-2</v>
      </c>
    </row>
    <row r="544" spans="2:7" x14ac:dyDescent="0.2">
      <c r="B544" s="116" t="s">
        <v>1306</v>
      </c>
      <c r="C544" s="117" t="s">
        <v>1307</v>
      </c>
      <c r="D544" s="118" t="s">
        <v>106</v>
      </c>
      <c r="E544" s="118" t="s">
        <v>563</v>
      </c>
      <c r="F544" s="120"/>
      <c r="G544" s="119">
        <v>7.4036233285332195E-2</v>
      </c>
    </row>
    <row r="545" spans="2:7" x14ac:dyDescent="0.2">
      <c r="B545" s="116" t="s">
        <v>1308</v>
      </c>
      <c r="C545" s="117" t="s">
        <v>1309</v>
      </c>
      <c r="D545" s="118" t="s">
        <v>106</v>
      </c>
      <c r="E545" s="118" t="s">
        <v>107</v>
      </c>
      <c r="F545" s="120">
        <v>5.71</v>
      </c>
      <c r="G545" s="119">
        <v>1.6112457841484001E-2</v>
      </c>
    </row>
    <row r="546" spans="2:7" x14ac:dyDescent="0.2">
      <c r="B546" s="116" t="s">
        <v>1310</v>
      </c>
      <c r="C546" s="117" t="s">
        <v>1311</v>
      </c>
      <c r="D546" s="118" t="s">
        <v>92</v>
      </c>
      <c r="E546" s="118" t="s">
        <v>272</v>
      </c>
      <c r="F546" s="120">
        <v>16.649999999999999</v>
      </c>
      <c r="G546" s="119">
        <v>7.082401805114491E-2</v>
      </c>
    </row>
    <row r="547" spans="2:7" x14ac:dyDescent="0.2">
      <c r="B547" s="116" t="s">
        <v>1312</v>
      </c>
      <c r="C547" s="117" t="s">
        <v>1313</v>
      </c>
      <c r="D547" s="118" t="s">
        <v>233</v>
      </c>
      <c r="E547" s="118" t="s">
        <v>1314</v>
      </c>
      <c r="F547" s="120">
        <v>2.59</v>
      </c>
      <c r="G547" s="119">
        <v>-8.8117465167334069E-2</v>
      </c>
    </row>
    <row r="548" spans="2:7" x14ac:dyDescent="0.2">
      <c r="B548" s="116" t="s">
        <v>1315</v>
      </c>
      <c r="C548" s="117" t="s">
        <v>1316</v>
      </c>
      <c r="D548" s="118" t="s">
        <v>92</v>
      </c>
      <c r="E548" s="118" t="s">
        <v>96</v>
      </c>
      <c r="F548" s="120">
        <v>4.99</v>
      </c>
      <c r="G548" s="119">
        <v>3.2039861930742652E-2</v>
      </c>
    </row>
    <row r="549" spans="2:7" x14ac:dyDescent="0.2">
      <c r="B549" s="116" t="s">
        <v>1317</v>
      </c>
      <c r="C549" s="117" t="s">
        <v>1318</v>
      </c>
      <c r="D549" s="118" t="s">
        <v>241</v>
      </c>
      <c r="E549" s="118" t="s">
        <v>306</v>
      </c>
      <c r="F549" s="120">
        <v>53.77</v>
      </c>
      <c r="G549" s="119">
        <v>0.88502979423414474</v>
      </c>
    </row>
    <row r="550" spans="2:7" x14ac:dyDescent="0.2">
      <c r="B550" s="116" t="s">
        <v>1319</v>
      </c>
      <c r="C550" s="117" t="s">
        <v>1320</v>
      </c>
      <c r="D550" s="118" t="s">
        <v>39</v>
      </c>
      <c r="E550" s="118" t="s">
        <v>1321</v>
      </c>
      <c r="F550" s="120">
        <v>5.37</v>
      </c>
      <c r="G550" s="119">
        <v>-0.12213473023795909</v>
      </c>
    </row>
    <row r="551" spans="2:7" x14ac:dyDescent="0.2">
      <c r="B551" s="116" t="s">
        <v>1322</v>
      </c>
      <c r="C551" s="117" t="s">
        <v>1323</v>
      </c>
      <c r="D551" s="118" t="s">
        <v>52</v>
      </c>
      <c r="E551" s="118" t="s">
        <v>1324</v>
      </c>
      <c r="F551" s="120">
        <v>7.44</v>
      </c>
      <c r="G551" s="119">
        <v>8.0175267366216066E-2</v>
      </c>
    </row>
    <row r="552" spans="2:7" x14ac:dyDescent="0.2">
      <c r="B552" s="116" t="s">
        <v>1325</v>
      </c>
      <c r="C552" s="117" t="s">
        <v>1326</v>
      </c>
      <c r="D552" s="118" t="s">
        <v>34</v>
      </c>
      <c r="E552" s="118" t="s">
        <v>202</v>
      </c>
      <c r="F552" s="120">
        <v>45.99</v>
      </c>
      <c r="G552" s="119">
        <v>0.25910866023138368</v>
      </c>
    </row>
    <row r="553" spans="2:7" x14ac:dyDescent="0.2">
      <c r="B553" s="116" t="s">
        <v>1327</v>
      </c>
      <c r="C553" s="117" t="s">
        <v>1328</v>
      </c>
      <c r="D553" s="118" t="s">
        <v>39</v>
      </c>
      <c r="E553" s="118" t="s">
        <v>62</v>
      </c>
      <c r="F553" s="120">
        <v>6.76</v>
      </c>
      <c r="G553" s="119">
        <v>6.097441796867864E-2</v>
      </c>
    </row>
    <row r="554" spans="2:7" x14ac:dyDescent="0.2">
      <c r="B554" s="116" t="s">
        <v>1329</v>
      </c>
      <c r="C554" s="117" t="s">
        <v>1330</v>
      </c>
      <c r="D554" s="118" t="s">
        <v>233</v>
      </c>
      <c r="E554" s="118" t="s">
        <v>469</v>
      </c>
      <c r="F554" s="120">
        <v>1.67</v>
      </c>
      <c r="G554" s="119">
        <v>-0.1000876739263612</v>
      </c>
    </row>
    <row r="555" spans="2:7" x14ac:dyDescent="0.2">
      <c r="B555" s="116" t="s">
        <v>1331</v>
      </c>
      <c r="C555" s="117" t="s">
        <v>1332</v>
      </c>
      <c r="D555" s="118" t="s">
        <v>92</v>
      </c>
      <c r="E555" s="118" t="s">
        <v>228</v>
      </c>
      <c r="F555" s="120">
        <v>31.43</v>
      </c>
      <c r="G555" s="119">
        <v>5.1462186808620587E-2</v>
      </c>
    </row>
    <row r="556" spans="2:7" x14ac:dyDescent="0.2">
      <c r="B556" s="116" t="s">
        <v>1333</v>
      </c>
      <c r="C556" s="117" t="s">
        <v>1334</v>
      </c>
      <c r="D556" s="118" t="s">
        <v>106</v>
      </c>
      <c r="E556" s="118" t="s">
        <v>107</v>
      </c>
      <c r="F556" s="120">
        <v>3.64</v>
      </c>
      <c r="G556" s="119">
        <v>0.1072326567647001</v>
      </c>
    </row>
    <row r="557" spans="2:7" x14ac:dyDescent="0.2">
      <c r="B557" s="116" t="s">
        <v>1335</v>
      </c>
      <c r="C557" s="117" t="s">
        <v>1336</v>
      </c>
      <c r="D557" s="118" t="s">
        <v>145</v>
      </c>
      <c r="E557" s="118" t="s">
        <v>343</v>
      </c>
      <c r="F557" s="120">
        <v>-2.15</v>
      </c>
      <c r="G557" s="119">
        <v>-0.1985995651707107</v>
      </c>
    </row>
    <row r="558" spans="2:7" x14ac:dyDescent="0.2">
      <c r="B558" s="116" t="s">
        <v>1337</v>
      </c>
      <c r="C558" s="117" t="s">
        <v>1338</v>
      </c>
      <c r="D558" s="118" t="s">
        <v>106</v>
      </c>
      <c r="E558" s="118" t="s">
        <v>563</v>
      </c>
      <c r="F558" s="120">
        <v>9.8800000000000008</v>
      </c>
      <c r="G558" s="119">
        <v>0.1152738436470022</v>
      </c>
    </row>
    <row r="559" spans="2:7" x14ac:dyDescent="0.2">
      <c r="B559" s="116" t="s">
        <v>1339</v>
      </c>
      <c r="C559" s="117" t="s">
        <v>1340</v>
      </c>
      <c r="D559" s="118" t="s">
        <v>48</v>
      </c>
      <c r="E559" s="118" t="s">
        <v>1341</v>
      </c>
      <c r="F559" s="120">
        <v>10.6</v>
      </c>
      <c r="G559" s="119">
        <v>2.1112682765845291E-3</v>
      </c>
    </row>
    <row r="560" spans="2:7" x14ac:dyDescent="0.2">
      <c r="B560" s="116" t="s">
        <v>1342</v>
      </c>
      <c r="C560" s="117" t="s">
        <v>1343</v>
      </c>
      <c r="D560" s="118" t="s">
        <v>138</v>
      </c>
      <c r="E560" s="118" t="s">
        <v>139</v>
      </c>
      <c r="F560" s="120">
        <v>-6.02</v>
      </c>
      <c r="G560" s="119">
        <v>-1.0536399964479221E-2</v>
      </c>
    </row>
    <row r="561" spans="2:7" x14ac:dyDescent="0.2">
      <c r="B561" s="116" t="s">
        <v>1344</v>
      </c>
      <c r="C561" s="117" t="s">
        <v>1345</v>
      </c>
      <c r="D561" s="118" t="s">
        <v>39</v>
      </c>
      <c r="E561" s="118" t="s">
        <v>383</v>
      </c>
      <c r="F561" s="120"/>
      <c r="G561" s="119">
        <v>0.1046800457787201</v>
      </c>
    </row>
    <row r="562" spans="2:7" x14ac:dyDescent="0.2">
      <c r="B562" s="116" t="s">
        <v>1346</v>
      </c>
      <c r="C562" s="117" t="s">
        <v>1347</v>
      </c>
      <c r="D562" s="118" t="s">
        <v>34</v>
      </c>
      <c r="E562" s="118" t="s">
        <v>809</v>
      </c>
      <c r="F562" s="120">
        <v>16.13</v>
      </c>
      <c r="G562" s="119">
        <v>4.8288116011793697E-2</v>
      </c>
    </row>
    <row r="563" spans="2:7" x14ac:dyDescent="0.2">
      <c r="B563" s="116" t="s">
        <v>1348</v>
      </c>
      <c r="C563" s="117" t="s">
        <v>1349</v>
      </c>
      <c r="D563" s="118" t="s">
        <v>92</v>
      </c>
      <c r="E563" s="118" t="s">
        <v>601</v>
      </c>
      <c r="F563" s="120">
        <v>9.73</v>
      </c>
      <c r="G563" s="119">
        <v>1.9697572753844279E-2</v>
      </c>
    </row>
    <row r="564" spans="2:7" x14ac:dyDescent="0.2">
      <c r="B564" s="116" t="s">
        <v>1350</v>
      </c>
      <c r="C564" s="117" t="s">
        <v>1351</v>
      </c>
      <c r="D564" s="118" t="s">
        <v>34</v>
      </c>
      <c r="E564" s="118" t="s">
        <v>319</v>
      </c>
      <c r="F564" s="120">
        <v>4.71</v>
      </c>
      <c r="G564" s="119">
        <v>3.3845027088798663E-2</v>
      </c>
    </row>
    <row r="565" spans="2:7" x14ac:dyDescent="0.2">
      <c r="B565" s="116" t="s">
        <v>1352</v>
      </c>
      <c r="C565" s="117" t="s">
        <v>1353</v>
      </c>
      <c r="D565" s="118" t="s">
        <v>68</v>
      </c>
      <c r="E565" s="118" t="s">
        <v>985</v>
      </c>
      <c r="F565" s="120">
        <v>5.7</v>
      </c>
      <c r="G565" s="119">
        <v>0.33934076821938369</v>
      </c>
    </row>
    <row r="566" spans="2:7" x14ac:dyDescent="0.2">
      <c r="B566" s="116" t="s">
        <v>1354</v>
      </c>
      <c r="C566" s="117" t="s">
        <v>1355</v>
      </c>
      <c r="D566" s="118" t="s">
        <v>92</v>
      </c>
      <c r="E566" s="118" t="s">
        <v>598</v>
      </c>
      <c r="F566" s="120">
        <v>7.11</v>
      </c>
      <c r="G566" s="119">
        <v>-4.6501975661786113E-2</v>
      </c>
    </row>
    <row r="567" spans="2:7" x14ac:dyDescent="0.2">
      <c r="B567" s="116" t="s">
        <v>1356</v>
      </c>
      <c r="C567" s="117" t="s">
        <v>1357</v>
      </c>
      <c r="D567" s="118" t="s">
        <v>92</v>
      </c>
      <c r="E567" s="118" t="s">
        <v>614</v>
      </c>
      <c r="F567" s="120">
        <v>14.94</v>
      </c>
      <c r="G567" s="119">
        <v>-0.19784512145133351</v>
      </c>
    </row>
    <row r="568" spans="2:7" x14ac:dyDescent="0.2">
      <c r="B568" s="116" t="s">
        <v>1358</v>
      </c>
      <c r="C568" s="117" t="s">
        <v>1359</v>
      </c>
      <c r="D568" s="118" t="s">
        <v>34</v>
      </c>
      <c r="E568" s="118" t="s">
        <v>245</v>
      </c>
      <c r="F568" s="120">
        <v>7.29</v>
      </c>
      <c r="G568" s="119">
        <v>0.10671498445475409</v>
      </c>
    </row>
    <row r="569" spans="2:7" x14ac:dyDescent="0.2">
      <c r="B569" s="116" t="s">
        <v>1360</v>
      </c>
      <c r="C569" s="117" t="s">
        <v>1361</v>
      </c>
      <c r="D569" s="118" t="s">
        <v>92</v>
      </c>
      <c r="E569" s="118" t="s">
        <v>195</v>
      </c>
      <c r="F569" s="120">
        <v>7.54</v>
      </c>
      <c r="G569" s="119">
        <v>0.14704227423217811</v>
      </c>
    </row>
    <row r="570" spans="2:7" x14ac:dyDescent="0.2">
      <c r="B570" s="116" t="s">
        <v>1362</v>
      </c>
      <c r="C570" s="117" t="s">
        <v>1363</v>
      </c>
      <c r="D570" s="118" t="s">
        <v>106</v>
      </c>
      <c r="E570" s="118" t="s">
        <v>131</v>
      </c>
      <c r="F570" s="120">
        <v>8.32</v>
      </c>
      <c r="G570" s="119">
        <v>0.30860418378250032</v>
      </c>
    </row>
    <row r="571" spans="2:7" x14ac:dyDescent="0.2">
      <c r="B571" s="116" t="s">
        <v>1364</v>
      </c>
      <c r="C571" s="117" t="s">
        <v>1365</v>
      </c>
      <c r="D571" s="118" t="s">
        <v>106</v>
      </c>
      <c r="E571" s="118" t="s">
        <v>131</v>
      </c>
      <c r="F571" s="120">
        <v>3.71</v>
      </c>
      <c r="G571" s="119">
        <v>1.2919671990382959</v>
      </c>
    </row>
    <row r="572" spans="2:7" x14ac:dyDescent="0.2">
      <c r="B572" s="116" t="s">
        <v>1366</v>
      </c>
      <c r="C572" s="117" t="s">
        <v>1367</v>
      </c>
      <c r="D572" s="118" t="s">
        <v>92</v>
      </c>
      <c r="E572" s="118" t="s">
        <v>461</v>
      </c>
      <c r="F572" s="120">
        <v>6.5</v>
      </c>
      <c r="G572" s="119">
        <v>-2.229748400852875E-2</v>
      </c>
    </row>
    <row r="573" spans="2:7" x14ac:dyDescent="0.2">
      <c r="B573" s="116" t="s">
        <v>1368</v>
      </c>
      <c r="C573" s="117" t="s">
        <v>1369</v>
      </c>
      <c r="D573" s="118" t="s">
        <v>52</v>
      </c>
      <c r="E573" s="118" t="s">
        <v>1099</v>
      </c>
      <c r="F573" s="120">
        <v>23.37</v>
      </c>
      <c r="G573" s="119">
        <v>0.2130966234066019</v>
      </c>
    </row>
    <row r="574" spans="2:7" x14ac:dyDescent="0.2">
      <c r="B574" s="116" t="s">
        <v>1370</v>
      </c>
      <c r="C574" s="117" t="s">
        <v>1371</v>
      </c>
      <c r="D574" s="118" t="s">
        <v>34</v>
      </c>
      <c r="E574" s="118" t="s">
        <v>319</v>
      </c>
      <c r="F574" s="120">
        <v>25.47</v>
      </c>
      <c r="G574" s="119">
        <v>0.21393689358068771</v>
      </c>
    </row>
    <row r="575" spans="2:7" x14ac:dyDescent="0.2">
      <c r="B575" s="116" t="s">
        <v>1372</v>
      </c>
      <c r="C575" s="117" t="s">
        <v>1373</v>
      </c>
      <c r="D575" s="118" t="s">
        <v>34</v>
      </c>
      <c r="E575" s="118" t="s">
        <v>245</v>
      </c>
      <c r="F575" s="120">
        <v>-4.43</v>
      </c>
      <c r="G575" s="119">
        <v>-1</v>
      </c>
    </row>
    <row r="576" spans="2:7" x14ac:dyDescent="0.2">
      <c r="B576" s="116" t="s">
        <v>1374</v>
      </c>
      <c r="C576" s="117" t="s">
        <v>1375</v>
      </c>
      <c r="D576" s="118" t="s">
        <v>52</v>
      </c>
      <c r="E576" s="118" t="s">
        <v>657</v>
      </c>
      <c r="F576" s="120">
        <v>2.59</v>
      </c>
      <c r="G576" s="119">
        <v>2.1213018012344091E-2</v>
      </c>
    </row>
    <row r="577" spans="2:7" x14ac:dyDescent="0.2">
      <c r="B577" s="116" t="s">
        <v>1376</v>
      </c>
      <c r="C577" s="117" t="s">
        <v>1377</v>
      </c>
      <c r="D577" s="118" t="s">
        <v>34</v>
      </c>
      <c r="E577" s="118" t="s">
        <v>1096</v>
      </c>
      <c r="F577" s="120">
        <v>0.13</v>
      </c>
      <c r="G577" s="119">
        <v>-4.6871575954999543E-2</v>
      </c>
    </row>
    <row r="578" spans="2:7" x14ac:dyDescent="0.2">
      <c r="B578" s="116" t="s">
        <v>1378</v>
      </c>
      <c r="C578" s="117" t="s">
        <v>1379</v>
      </c>
      <c r="D578" s="118" t="s">
        <v>198</v>
      </c>
      <c r="E578" s="118" t="s">
        <v>1380</v>
      </c>
      <c r="F578" s="120">
        <v>4.8</v>
      </c>
      <c r="G578" s="119">
        <v>8.8233300857694735E-2</v>
      </c>
    </row>
    <row r="579" spans="2:7" x14ac:dyDescent="0.2">
      <c r="B579" s="116" t="s">
        <v>1381</v>
      </c>
      <c r="C579" s="117" t="s">
        <v>1382</v>
      </c>
      <c r="D579" s="118" t="s">
        <v>78</v>
      </c>
      <c r="E579" s="118" t="s">
        <v>340</v>
      </c>
      <c r="F579" s="120">
        <v>1.52</v>
      </c>
      <c r="G579" s="119">
        <v>3.2706223667396277E-2</v>
      </c>
    </row>
    <row r="580" spans="2:7" x14ac:dyDescent="0.2">
      <c r="B580" s="116" t="s">
        <v>1383</v>
      </c>
      <c r="C580" s="117" t="s">
        <v>1384</v>
      </c>
      <c r="D580" s="118" t="s">
        <v>39</v>
      </c>
      <c r="E580" s="118" t="s">
        <v>383</v>
      </c>
      <c r="F580" s="120">
        <v>-6.32</v>
      </c>
      <c r="G580" s="119">
        <v>3.9219421447711338E-2</v>
      </c>
    </row>
    <row r="581" spans="2:7" x14ac:dyDescent="0.2">
      <c r="B581" s="116" t="s">
        <v>1385</v>
      </c>
      <c r="C581" s="117" t="s">
        <v>1386</v>
      </c>
      <c r="D581" s="118" t="s">
        <v>106</v>
      </c>
      <c r="E581" s="118" t="s">
        <v>131</v>
      </c>
      <c r="F581" s="120">
        <v>17.54</v>
      </c>
      <c r="G581" s="119">
        <v>8.9874209468705585E-2</v>
      </c>
    </row>
    <row r="582" spans="2:7" x14ac:dyDescent="0.2">
      <c r="B582" s="116" t="s">
        <v>1387</v>
      </c>
      <c r="C582" s="117" t="s">
        <v>1388</v>
      </c>
      <c r="D582" s="118" t="s">
        <v>145</v>
      </c>
      <c r="E582" s="118" t="s">
        <v>179</v>
      </c>
      <c r="F582" s="120">
        <v>3.39</v>
      </c>
      <c r="G582" s="119">
        <v>-3.6930868480054238E-2</v>
      </c>
    </row>
    <row r="583" spans="2:7" x14ac:dyDescent="0.2">
      <c r="B583" s="116" t="s">
        <v>1389</v>
      </c>
      <c r="C583" s="117" t="s">
        <v>1390</v>
      </c>
      <c r="D583" s="118" t="s">
        <v>68</v>
      </c>
      <c r="E583" s="118" t="s">
        <v>82</v>
      </c>
      <c r="F583" s="120">
        <v>5.75</v>
      </c>
      <c r="G583" s="119">
        <v>-1.086640545882557E-2</v>
      </c>
    </row>
    <row r="584" spans="2:7" x14ac:dyDescent="0.2">
      <c r="B584" s="116" t="s">
        <v>1391</v>
      </c>
      <c r="C584" s="117" t="s">
        <v>1392</v>
      </c>
      <c r="D584" s="118" t="s">
        <v>78</v>
      </c>
      <c r="E584" s="118" t="s">
        <v>736</v>
      </c>
      <c r="F584" s="120">
        <v>7.09</v>
      </c>
      <c r="G584" s="119">
        <v>6.9653762441243119E-2</v>
      </c>
    </row>
    <row r="585" spans="2:7" x14ac:dyDescent="0.2">
      <c r="B585" s="116" t="s">
        <v>1393</v>
      </c>
      <c r="C585" s="117" t="s">
        <v>1394</v>
      </c>
      <c r="D585" s="118" t="s">
        <v>92</v>
      </c>
      <c r="E585" s="118" t="s">
        <v>614</v>
      </c>
      <c r="F585" s="120">
        <v>23.22</v>
      </c>
      <c r="G585" s="119">
        <v>-0.15682404813777359</v>
      </c>
    </row>
    <row r="586" spans="2:7" x14ac:dyDescent="0.2">
      <c r="B586" s="116" t="s">
        <v>1395</v>
      </c>
      <c r="C586" s="117" t="s">
        <v>1396</v>
      </c>
      <c r="D586" s="118" t="s">
        <v>102</v>
      </c>
      <c r="E586" s="118" t="s">
        <v>1397</v>
      </c>
      <c r="F586" s="120">
        <v>26.45</v>
      </c>
      <c r="G586" s="119">
        <v>0.20469694417638989</v>
      </c>
    </row>
    <row r="587" spans="2:7" x14ac:dyDescent="0.2">
      <c r="B587" s="116" t="s">
        <v>1398</v>
      </c>
      <c r="C587" s="117" t="s">
        <v>1399</v>
      </c>
      <c r="D587" s="118" t="s">
        <v>92</v>
      </c>
      <c r="E587" s="118" t="s">
        <v>96</v>
      </c>
      <c r="F587" s="120">
        <v>-1.77</v>
      </c>
      <c r="G587" s="119">
        <v>5.3924150645246249E-2</v>
      </c>
    </row>
    <row r="588" spans="2:7" x14ac:dyDescent="0.2">
      <c r="B588" s="116" t="s">
        <v>1400</v>
      </c>
      <c r="C588" s="117" t="s">
        <v>1401</v>
      </c>
      <c r="D588" s="118" t="s">
        <v>145</v>
      </c>
      <c r="E588" s="118" t="s">
        <v>663</v>
      </c>
      <c r="F588" s="120"/>
      <c r="G588" s="119">
        <v>3.9543093859624047E-2</v>
      </c>
    </row>
    <row r="589" spans="2:7" x14ac:dyDescent="0.2">
      <c r="B589" s="116" t="s">
        <v>1402</v>
      </c>
      <c r="C589" s="117" t="s">
        <v>1403</v>
      </c>
      <c r="D589" s="118" t="s">
        <v>145</v>
      </c>
      <c r="E589" s="118" t="s">
        <v>146</v>
      </c>
      <c r="F589" s="120">
        <v>12.55</v>
      </c>
      <c r="G589" s="119">
        <v>0.22321339559093681</v>
      </c>
    </row>
    <row r="590" spans="2:7" x14ac:dyDescent="0.2">
      <c r="B590" s="116" t="s">
        <v>1404</v>
      </c>
      <c r="C590" s="117" t="s">
        <v>1405</v>
      </c>
      <c r="D590" s="118" t="s">
        <v>115</v>
      </c>
      <c r="E590" s="118" t="s">
        <v>728</v>
      </c>
      <c r="F590" s="120"/>
      <c r="G590" s="119">
        <v>7.1566193695671299E-2</v>
      </c>
    </row>
    <row r="591" spans="2:7" x14ac:dyDescent="0.2">
      <c r="B591" s="116" t="s">
        <v>1406</v>
      </c>
      <c r="C591" s="117" t="s">
        <v>1407</v>
      </c>
      <c r="D591" s="118" t="s">
        <v>92</v>
      </c>
      <c r="E591" s="118" t="s">
        <v>272</v>
      </c>
      <c r="F591" s="120">
        <v>3.8</v>
      </c>
      <c r="G591" s="119">
        <v>4.5738309196682821E-2</v>
      </c>
    </row>
    <row r="592" spans="2:7" x14ac:dyDescent="0.2">
      <c r="B592" s="116" t="s">
        <v>1408</v>
      </c>
      <c r="C592" s="117" t="s">
        <v>1409</v>
      </c>
      <c r="D592" s="118" t="s">
        <v>92</v>
      </c>
      <c r="E592" s="118" t="s">
        <v>598</v>
      </c>
      <c r="F592" s="120">
        <v>19.37</v>
      </c>
      <c r="G592" s="119">
        <v>-5.8977664648046921E-2</v>
      </c>
    </row>
    <row r="593" spans="2:7" x14ac:dyDescent="0.2">
      <c r="B593" s="116" t="s">
        <v>1410</v>
      </c>
      <c r="C593" s="117" t="s">
        <v>1411</v>
      </c>
      <c r="D593" s="118" t="s">
        <v>92</v>
      </c>
      <c r="E593" s="118" t="s">
        <v>112</v>
      </c>
      <c r="F593" s="120">
        <v>7.26</v>
      </c>
      <c r="G593" s="119">
        <v>2.268195621777503E-2</v>
      </c>
    </row>
    <row r="594" spans="2:7" x14ac:dyDescent="0.2">
      <c r="B594" s="116" t="s">
        <v>1412</v>
      </c>
      <c r="C594" s="117" t="s">
        <v>1413</v>
      </c>
      <c r="D594" s="118" t="s">
        <v>241</v>
      </c>
      <c r="E594" s="118" t="s">
        <v>1219</v>
      </c>
      <c r="F594" s="120">
        <v>-9.92</v>
      </c>
      <c r="G594" s="119">
        <v>0.5841500106949965</v>
      </c>
    </row>
    <row r="595" spans="2:7" x14ac:dyDescent="0.2">
      <c r="B595" s="116" t="s">
        <v>1414</v>
      </c>
      <c r="C595" s="117" t="s">
        <v>1415</v>
      </c>
      <c r="D595" s="118" t="s">
        <v>145</v>
      </c>
      <c r="E595" s="118" t="s">
        <v>1416</v>
      </c>
      <c r="F595" s="120"/>
      <c r="G595" s="119">
        <v>0.70501530710033411</v>
      </c>
    </row>
    <row r="596" spans="2:7" x14ac:dyDescent="0.2">
      <c r="B596" s="116" t="s">
        <v>1417</v>
      </c>
      <c r="C596" s="117" t="s">
        <v>1418</v>
      </c>
      <c r="D596" s="118" t="s">
        <v>92</v>
      </c>
      <c r="E596" s="118" t="s">
        <v>722</v>
      </c>
      <c r="F596" s="120">
        <v>15.02</v>
      </c>
      <c r="G596" s="119">
        <v>0.24658938528685401</v>
      </c>
    </row>
    <row r="597" spans="2:7" x14ac:dyDescent="0.2">
      <c r="B597" s="116" t="s">
        <v>1419</v>
      </c>
      <c r="C597" s="117" t="s">
        <v>1420</v>
      </c>
      <c r="D597" s="118" t="s">
        <v>102</v>
      </c>
      <c r="E597" s="118" t="s">
        <v>424</v>
      </c>
      <c r="F597" s="120"/>
      <c r="G597" s="119">
        <v>9.0951502384737634E-2</v>
      </c>
    </row>
    <row r="598" spans="2:7" x14ac:dyDescent="0.2">
      <c r="B598" s="116" t="s">
        <v>1421</v>
      </c>
      <c r="C598" s="117" t="s">
        <v>1422</v>
      </c>
      <c r="D598" s="118" t="s">
        <v>241</v>
      </c>
      <c r="E598" s="118" t="s">
        <v>534</v>
      </c>
      <c r="F598" s="120">
        <v>19.7</v>
      </c>
      <c r="G598" s="119">
        <v>6.7522401198129536E-2</v>
      </c>
    </row>
    <row r="599" spans="2:7" x14ac:dyDescent="0.2">
      <c r="B599" s="116" t="s">
        <v>1423</v>
      </c>
      <c r="C599" s="117" t="s">
        <v>1424</v>
      </c>
      <c r="D599" s="118" t="s">
        <v>34</v>
      </c>
      <c r="E599" s="118" t="s">
        <v>809</v>
      </c>
      <c r="F599" s="120">
        <v>22.88</v>
      </c>
      <c r="G599" s="119">
        <v>0.17292030868310021</v>
      </c>
    </row>
    <row r="600" spans="2:7" x14ac:dyDescent="0.2">
      <c r="B600" s="116" t="s">
        <v>1425</v>
      </c>
      <c r="C600" s="117" t="s">
        <v>1426</v>
      </c>
      <c r="D600" s="118" t="s">
        <v>138</v>
      </c>
      <c r="E600" s="118" t="s">
        <v>139</v>
      </c>
      <c r="F600" s="120">
        <v>11.79</v>
      </c>
      <c r="G600" s="119">
        <v>5.036659925254222E-3</v>
      </c>
    </row>
    <row r="601" spans="2:7" x14ac:dyDescent="0.2">
      <c r="B601" s="116" t="s">
        <v>1427</v>
      </c>
      <c r="C601" s="117" t="s">
        <v>1428</v>
      </c>
      <c r="D601" s="118" t="s">
        <v>34</v>
      </c>
      <c r="E601" s="118" t="s">
        <v>35</v>
      </c>
      <c r="F601" s="120">
        <v>5.59</v>
      </c>
      <c r="G601" s="119">
        <v>0.15129775132890119</v>
      </c>
    </row>
    <row r="602" spans="2:7" x14ac:dyDescent="0.2">
      <c r="B602" s="116" t="s">
        <v>1429</v>
      </c>
      <c r="C602" s="117" t="s">
        <v>1430</v>
      </c>
      <c r="D602" s="118" t="s">
        <v>233</v>
      </c>
      <c r="E602" s="118" t="s">
        <v>469</v>
      </c>
      <c r="F602" s="120">
        <v>4.24</v>
      </c>
      <c r="G602" s="119">
        <v>6.8476041815109898E-2</v>
      </c>
    </row>
    <row r="603" spans="2:7" x14ac:dyDescent="0.2">
      <c r="B603" s="116" t="s">
        <v>1431</v>
      </c>
      <c r="C603" s="117" t="s">
        <v>1432</v>
      </c>
      <c r="D603" s="118" t="s">
        <v>34</v>
      </c>
      <c r="E603" s="118" t="s">
        <v>1433</v>
      </c>
      <c r="F603" s="120">
        <v>-0.33</v>
      </c>
      <c r="G603" s="119">
        <v>2.577505061109402E-2</v>
      </c>
    </row>
    <row r="604" spans="2:7" x14ac:dyDescent="0.2">
      <c r="B604" s="116" t="s">
        <v>1434</v>
      </c>
      <c r="C604" s="117" t="s">
        <v>1435</v>
      </c>
      <c r="D604" s="118" t="s">
        <v>115</v>
      </c>
      <c r="E604" s="118" t="s">
        <v>747</v>
      </c>
      <c r="F604" s="120">
        <v>3.84</v>
      </c>
      <c r="G604" s="119">
        <v>7.2196413872883863E-2</v>
      </c>
    </row>
    <row r="605" spans="2:7" x14ac:dyDescent="0.2">
      <c r="B605" s="116" t="s">
        <v>1436</v>
      </c>
      <c r="C605" s="117" t="s">
        <v>1437</v>
      </c>
      <c r="D605" s="118" t="s">
        <v>115</v>
      </c>
      <c r="E605" s="118" t="s">
        <v>1086</v>
      </c>
      <c r="F605" s="120">
        <v>-22.7</v>
      </c>
      <c r="G605" s="119">
        <v>0.1052391735084839</v>
      </c>
    </row>
    <row r="606" spans="2:7" x14ac:dyDescent="0.2">
      <c r="B606" s="116" t="s">
        <v>1438</v>
      </c>
      <c r="C606" s="117" t="s">
        <v>1439</v>
      </c>
      <c r="D606" s="118" t="s">
        <v>106</v>
      </c>
      <c r="E606" s="118" t="s">
        <v>125</v>
      </c>
      <c r="F606" s="120">
        <v>7.17</v>
      </c>
      <c r="G606" s="119">
        <v>0.15742519136627359</v>
      </c>
    </row>
    <row r="607" spans="2:7" x14ac:dyDescent="0.2">
      <c r="B607" s="116" t="s">
        <v>1440</v>
      </c>
      <c r="C607" s="117" t="s">
        <v>1441</v>
      </c>
      <c r="D607" s="118" t="s">
        <v>92</v>
      </c>
      <c r="E607" s="118" t="s">
        <v>598</v>
      </c>
      <c r="F607" s="120">
        <v>10.42</v>
      </c>
      <c r="G607" s="119">
        <v>4.6817086863325377E-2</v>
      </c>
    </row>
    <row r="608" spans="2:7" x14ac:dyDescent="0.2">
      <c r="B608" s="116" t="s">
        <v>1442</v>
      </c>
      <c r="C608" s="117" t="s">
        <v>1443</v>
      </c>
      <c r="D608" s="118" t="s">
        <v>68</v>
      </c>
      <c r="E608" s="118" t="s">
        <v>87</v>
      </c>
      <c r="F608" s="120"/>
      <c r="G608" s="119" t="e">
        <v>#DIV/0!</v>
      </c>
    </row>
    <row r="609" spans="2:7" x14ac:dyDescent="0.2">
      <c r="B609" s="116" t="s">
        <v>1444</v>
      </c>
      <c r="C609" s="117" t="s">
        <v>1445</v>
      </c>
      <c r="D609" s="118" t="s">
        <v>198</v>
      </c>
      <c r="E609" s="118" t="s">
        <v>456</v>
      </c>
      <c r="F609" s="120">
        <v>3.27</v>
      </c>
      <c r="G609" s="119">
        <v>8.4259754096095874E-2</v>
      </c>
    </row>
    <row r="610" spans="2:7" x14ac:dyDescent="0.2">
      <c r="B610" s="116" t="s">
        <v>1446</v>
      </c>
      <c r="C610" s="117" t="s">
        <v>1447</v>
      </c>
      <c r="D610" s="118" t="s">
        <v>34</v>
      </c>
      <c r="E610" s="118" t="s">
        <v>1448</v>
      </c>
      <c r="F610" s="120">
        <v>17.760000000000002</v>
      </c>
      <c r="G610" s="119">
        <v>0.1233908612458179</v>
      </c>
    </row>
    <row r="611" spans="2:7" x14ac:dyDescent="0.2">
      <c r="B611" s="116" t="s">
        <v>1449</v>
      </c>
      <c r="C611" s="117" t="s">
        <v>1450</v>
      </c>
      <c r="D611" s="118" t="s">
        <v>34</v>
      </c>
      <c r="E611" s="118" t="s">
        <v>44</v>
      </c>
      <c r="F611" s="120"/>
      <c r="G611" s="119">
        <v>-4.861590081046932E-2</v>
      </c>
    </row>
    <row r="612" spans="2:7" x14ac:dyDescent="0.2">
      <c r="B612" s="116" t="s">
        <v>1451</v>
      </c>
      <c r="C612" s="117" t="s">
        <v>1452</v>
      </c>
      <c r="D612" s="118" t="s">
        <v>106</v>
      </c>
      <c r="E612" s="118" t="s">
        <v>324</v>
      </c>
      <c r="F612" s="120">
        <v>60.09</v>
      </c>
      <c r="G612" s="119">
        <v>0.42893205939570073</v>
      </c>
    </row>
    <row r="613" spans="2:7" x14ac:dyDescent="0.2">
      <c r="B613" s="116" t="s">
        <v>1453</v>
      </c>
      <c r="C613" s="117" t="s">
        <v>1454</v>
      </c>
      <c r="D613" s="118" t="s">
        <v>678</v>
      </c>
      <c r="E613" s="118" t="s">
        <v>679</v>
      </c>
      <c r="F613" s="120">
        <v>-4.13</v>
      </c>
      <c r="G613" s="119">
        <v>-3.2323251161452161E-2</v>
      </c>
    </row>
    <row r="614" spans="2:7" x14ac:dyDescent="0.2">
      <c r="B614" s="116" t="s">
        <v>1455</v>
      </c>
      <c r="C614" s="117" t="s">
        <v>1456</v>
      </c>
      <c r="D614" s="118" t="s">
        <v>39</v>
      </c>
      <c r="E614" s="118" t="s">
        <v>383</v>
      </c>
      <c r="F614" s="120"/>
      <c r="G614" s="119">
        <v>-5.8374821996029537E-2</v>
      </c>
    </row>
    <row r="615" spans="2:7" x14ac:dyDescent="0.2">
      <c r="B615" s="116" t="s">
        <v>1457</v>
      </c>
      <c r="C615" s="117" t="s">
        <v>1458</v>
      </c>
      <c r="D615" s="118" t="s">
        <v>92</v>
      </c>
      <c r="E615" s="118" t="s">
        <v>272</v>
      </c>
      <c r="F615" s="120"/>
      <c r="G615" s="119">
        <v>0.30401309740970428</v>
      </c>
    </row>
    <row r="616" spans="2:7" x14ac:dyDescent="0.2">
      <c r="B616" s="116" t="s">
        <v>1459</v>
      </c>
      <c r="C616" s="117" t="s">
        <v>1460</v>
      </c>
      <c r="D616" s="118" t="s">
        <v>233</v>
      </c>
      <c r="E616" s="118" t="s">
        <v>469</v>
      </c>
      <c r="F616" s="120"/>
      <c r="G616" s="119">
        <v>-7.0912933489914245E-2</v>
      </c>
    </row>
    <row r="617" spans="2:7" x14ac:dyDescent="0.2">
      <c r="B617" s="116" t="s">
        <v>1461</v>
      </c>
      <c r="C617" s="117" t="s">
        <v>1462</v>
      </c>
      <c r="D617" s="118" t="s">
        <v>145</v>
      </c>
      <c r="E617" s="118" t="s">
        <v>146</v>
      </c>
      <c r="F617" s="120"/>
      <c r="G617" s="119">
        <v>0.13163545659089129</v>
      </c>
    </row>
    <row r="618" spans="2:7" x14ac:dyDescent="0.2">
      <c r="B618" s="116" t="s">
        <v>1463</v>
      </c>
      <c r="C618" s="117" t="s">
        <v>1464</v>
      </c>
      <c r="D618" s="118" t="s">
        <v>39</v>
      </c>
      <c r="E618" s="118" t="s">
        <v>62</v>
      </c>
      <c r="F618" s="120"/>
      <c r="G618" s="119">
        <v>-4.6950695372122868E-2</v>
      </c>
    </row>
    <row r="619" spans="2:7" x14ac:dyDescent="0.2">
      <c r="B619" s="116" t="s">
        <v>1465</v>
      </c>
      <c r="C619" s="117" t="s">
        <v>1466</v>
      </c>
      <c r="D619" s="118" t="s">
        <v>145</v>
      </c>
      <c r="E619" s="118" t="s">
        <v>1467</v>
      </c>
      <c r="F619" s="120">
        <v>-7.41</v>
      </c>
      <c r="G619" s="119">
        <v>-0.20799370349577931</v>
      </c>
    </row>
    <row r="620" spans="2:7" x14ac:dyDescent="0.2">
      <c r="B620" s="116" t="s">
        <v>1468</v>
      </c>
      <c r="C620" s="117" t="s">
        <v>1469</v>
      </c>
      <c r="D620" s="118" t="s">
        <v>39</v>
      </c>
      <c r="E620" s="118" t="s">
        <v>383</v>
      </c>
      <c r="F620" s="120">
        <v>7.81</v>
      </c>
      <c r="G620" s="119">
        <v>1.5195736985042041E-2</v>
      </c>
    </row>
    <row r="621" spans="2:7" x14ac:dyDescent="0.2">
      <c r="B621" s="116" t="s">
        <v>1470</v>
      </c>
      <c r="C621" s="117" t="s">
        <v>1471</v>
      </c>
      <c r="D621" s="118" t="s">
        <v>68</v>
      </c>
      <c r="E621" s="118" t="s">
        <v>87</v>
      </c>
      <c r="F621" s="120"/>
      <c r="G621" s="119">
        <v>1.051522396293028</v>
      </c>
    </row>
    <row r="622" spans="2:7" x14ac:dyDescent="0.2">
      <c r="B622" s="116" t="s">
        <v>1472</v>
      </c>
      <c r="C622" s="117" t="s">
        <v>1473</v>
      </c>
      <c r="D622" s="118" t="s">
        <v>34</v>
      </c>
      <c r="E622" s="118" t="s">
        <v>691</v>
      </c>
      <c r="F622" s="120">
        <v>0.46</v>
      </c>
      <c r="G622" s="119">
        <v>4.5416480502444623E-2</v>
      </c>
    </row>
    <row r="623" spans="2:7" x14ac:dyDescent="0.2">
      <c r="B623" s="116" t="s">
        <v>1474</v>
      </c>
      <c r="C623" s="117" t="s">
        <v>1475</v>
      </c>
      <c r="D623" s="118" t="s">
        <v>115</v>
      </c>
      <c r="E623" s="118" t="s">
        <v>899</v>
      </c>
      <c r="F623" s="120">
        <v>4.99</v>
      </c>
      <c r="G623" s="119">
        <v>4.8064326480093511E-2</v>
      </c>
    </row>
    <row r="624" spans="2:7" x14ac:dyDescent="0.2">
      <c r="B624" s="116" t="s">
        <v>1476</v>
      </c>
      <c r="C624" s="117" t="s">
        <v>1477</v>
      </c>
      <c r="D624" s="118" t="s">
        <v>68</v>
      </c>
      <c r="E624" s="118" t="s">
        <v>87</v>
      </c>
      <c r="F624" s="120">
        <v>-4.6399999999999997</v>
      </c>
      <c r="G624" s="119">
        <v>9.126646630812996E-3</v>
      </c>
    </row>
    <row r="625" spans="2:7" x14ac:dyDescent="0.2">
      <c r="B625" s="116" t="s">
        <v>1478</v>
      </c>
      <c r="C625" s="117" t="s">
        <v>1479</v>
      </c>
      <c r="D625" s="118" t="s">
        <v>78</v>
      </c>
      <c r="E625" s="118" t="s">
        <v>340</v>
      </c>
      <c r="F625" s="120">
        <v>-2.27</v>
      </c>
      <c r="G625" s="119">
        <v>3.2947212010530517E-2</v>
      </c>
    </row>
    <row r="626" spans="2:7" x14ac:dyDescent="0.2">
      <c r="B626" s="116" t="s">
        <v>1480</v>
      </c>
      <c r="C626" s="117" t="s">
        <v>1481</v>
      </c>
      <c r="D626" s="118" t="s">
        <v>52</v>
      </c>
      <c r="E626" s="118" t="s">
        <v>725</v>
      </c>
      <c r="F626" s="120"/>
      <c r="G626" s="119">
        <v>-6.4630776413626204E-2</v>
      </c>
    </row>
    <row r="627" spans="2:7" x14ac:dyDescent="0.2">
      <c r="B627" s="116" t="s">
        <v>1482</v>
      </c>
      <c r="C627" s="117" t="s">
        <v>1483</v>
      </c>
      <c r="D627" s="118" t="s">
        <v>92</v>
      </c>
      <c r="E627" s="118" t="s">
        <v>434</v>
      </c>
      <c r="F627" s="120">
        <v>2.33</v>
      </c>
      <c r="G627" s="119">
        <v>4.9649830390334541E-2</v>
      </c>
    </row>
    <row r="628" spans="2:7" x14ac:dyDescent="0.2">
      <c r="B628" s="116" t="s">
        <v>1484</v>
      </c>
      <c r="C628" s="117" t="s">
        <v>1485</v>
      </c>
      <c r="D628" s="118" t="s">
        <v>78</v>
      </c>
      <c r="E628" s="118" t="s">
        <v>1486</v>
      </c>
      <c r="F628" s="120"/>
      <c r="G628" s="119">
        <v>0.46087824359088081</v>
      </c>
    </row>
    <row r="629" spans="2:7" x14ac:dyDescent="0.2">
      <c r="B629" s="116" t="s">
        <v>1487</v>
      </c>
      <c r="C629" s="117" t="s">
        <v>1488</v>
      </c>
      <c r="D629" s="118" t="s">
        <v>34</v>
      </c>
      <c r="E629" s="118" t="s">
        <v>982</v>
      </c>
      <c r="F629" s="120">
        <v>-21</v>
      </c>
      <c r="G629" s="119">
        <v>0.18416783821780039</v>
      </c>
    </row>
    <row r="630" spans="2:7" x14ac:dyDescent="0.2">
      <c r="B630" s="116" t="s">
        <v>1489</v>
      </c>
      <c r="C630" s="117" t="s">
        <v>1490</v>
      </c>
      <c r="D630" s="118" t="s">
        <v>145</v>
      </c>
      <c r="E630" s="118" t="s">
        <v>402</v>
      </c>
      <c r="F630" s="120"/>
      <c r="G630" s="119">
        <v>2.0932070633526579E-2</v>
      </c>
    </row>
    <row r="631" spans="2:7" x14ac:dyDescent="0.2">
      <c r="B631" s="116" t="s">
        <v>1491</v>
      </c>
      <c r="C631" s="117" t="s">
        <v>1492</v>
      </c>
      <c r="D631" s="118" t="s">
        <v>34</v>
      </c>
      <c r="E631" s="118" t="s">
        <v>1493</v>
      </c>
      <c r="F631" s="120">
        <v>27.12</v>
      </c>
      <c r="G631" s="119">
        <v>0.26042007619995811</v>
      </c>
    </row>
    <row r="632" spans="2:7" x14ac:dyDescent="0.2">
      <c r="B632" s="116" t="s">
        <v>1494</v>
      </c>
      <c r="C632" s="117" t="s">
        <v>1495</v>
      </c>
      <c r="D632" s="118" t="s">
        <v>241</v>
      </c>
      <c r="E632" s="118" t="s">
        <v>1216</v>
      </c>
      <c r="F632" s="120">
        <v>8.61</v>
      </c>
      <c r="G632" s="119">
        <v>7.3902115461980292E-2</v>
      </c>
    </row>
    <row r="633" spans="2:7" x14ac:dyDescent="0.2">
      <c r="B633" s="116" t="s">
        <v>1496</v>
      </c>
      <c r="C633" s="117" t="s">
        <v>1497</v>
      </c>
      <c r="D633" s="118" t="s">
        <v>68</v>
      </c>
      <c r="E633" s="118" t="s">
        <v>87</v>
      </c>
      <c r="F633" s="120">
        <v>67.78</v>
      </c>
      <c r="G633" s="119">
        <v>1.4439660222612769</v>
      </c>
    </row>
    <row r="634" spans="2:7" x14ac:dyDescent="0.2">
      <c r="B634" s="116" t="s">
        <v>1498</v>
      </c>
      <c r="C634" s="117" t="s">
        <v>1499</v>
      </c>
      <c r="D634" s="118" t="s">
        <v>92</v>
      </c>
      <c r="E634" s="118" t="s">
        <v>272</v>
      </c>
      <c r="F634" s="120">
        <v>16.440000000000001</v>
      </c>
      <c r="G634" s="119">
        <v>9.1249599802979892E-2</v>
      </c>
    </row>
    <row r="635" spans="2:7" x14ac:dyDescent="0.2">
      <c r="B635" s="116" t="s">
        <v>1500</v>
      </c>
      <c r="C635" s="117" t="s">
        <v>1501</v>
      </c>
      <c r="D635" s="118" t="s">
        <v>34</v>
      </c>
      <c r="E635" s="118" t="s">
        <v>287</v>
      </c>
      <c r="F635" s="120">
        <v>4.4800000000000004</v>
      </c>
      <c r="G635" s="119">
        <v>2.3106731620903459E-2</v>
      </c>
    </row>
    <row r="636" spans="2:7" x14ac:dyDescent="0.2">
      <c r="B636" s="116" t="s">
        <v>1502</v>
      </c>
      <c r="C636" s="117" t="s">
        <v>1503</v>
      </c>
      <c r="D636" s="118" t="s">
        <v>233</v>
      </c>
      <c r="E636" s="118" t="s">
        <v>1314</v>
      </c>
      <c r="F636" s="120">
        <v>-1.55</v>
      </c>
      <c r="G636" s="119">
        <v>-8.0957282946500821E-3</v>
      </c>
    </row>
    <row r="637" spans="2:7" x14ac:dyDescent="0.2">
      <c r="B637" s="116" t="s">
        <v>1504</v>
      </c>
      <c r="C637" s="117" t="s">
        <v>1505</v>
      </c>
      <c r="D637" s="118" t="s">
        <v>68</v>
      </c>
      <c r="E637" s="118" t="s">
        <v>82</v>
      </c>
      <c r="F637" s="120">
        <v>10.01</v>
      </c>
      <c r="G637" s="119">
        <v>8.5810090186122859E-2</v>
      </c>
    </row>
    <row r="638" spans="2:7" x14ac:dyDescent="0.2">
      <c r="B638" s="116" t="s">
        <v>1506</v>
      </c>
      <c r="C638" s="117" t="s">
        <v>1507</v>
      </c>
      <c r="D638" s="118" t="s">
        <v>68</v>
      </c>
      <c r="E638" s="118" t="s">
        <v>75</v>
      </c>
      <c r="F638" s="120">
        <v>11.17</v>
      </c>
      <c r="G638" s="119">
        <v>0.1125119712570862</v>
      </c>
    </row>
    <row r="639" spans="2:7" x14ac:dyDescent="0.2">
      <c r="B639" s="116" t="s">
        <v>1508</v>
      </c>
      <c r="C639" s="117" t="s">
        <v>1509</v>
      </c>
      <c r="D639" s="118" t="s">
        <v>34</v>
      </c>
      <c r="E639" s="118" t="s">
        <v>1510</v>
      </c>
      <c r="F639" s="120">
        <v>10.14</v>
      </c>
      <c r="G639" s="119">
        <v>7.5822615717632241E-2</v>
      </c>
    </row>
    <row r="640" spans="2:7" x14ac:dyDescent="0.2">
      <c r="B640" s="116" t="s">
        <v>1511</v>
      </c>
      <c r="C640" s="117" t="s">
        <v>1512</v>
      </c>
      <c r="D640" s="118" t="s">
        <v>233</v>
      </c>
      <c r="E640" s="118" t="s">
        <v>234</v>
      </c>
      <c r="F640" s="120">
        <v>7.17</v>
      </c>
      <c r="G640" s="119">
        <v>2.8518156439811159E-2</v>
      </c>
    </row>
    <row r="641" spans="2:7" x14ac:dyDescent="0.2">
      <c r="B641" s="116" t="s">
        <v>1513</v>
      </c>
      <c r="C641" s="117" t="s">
        <v>1514</v>
      </c>
      <c r="D641" s="118" t="s">
        <v>145</v>
      </c>
      <c r="E641" s="118" t="s">
        <v>146</v>
      </c>
      <c r="F641" s="120">
        <v>-6.22</v>
      </c>
      <c r="G641" s="119">
        <v>0.22258910534309001</v>
      </c>
    </row>
    <row r="642" spans="2:7" x14ac:dyDescent="0.2">
      <c r="B642" s="116" t="s">
        <v>1515</v>
      </c>
      <c r="C642" s="117" t="s">
        <v>1516</v>
      </c>
      <c r="D642" s="118" t="s">
        <v>34</v>
      </c>
      <c r="E642" s="118" t="s">
        <v>202</v>
      </c>
      <c r="F642" s="120">
        <v>20.36</v>
      </c>
      <c r="G642" s="119">
        <v>-3.2261372689465648E-2</v>
      </c>
    </row>
    <row r="643" spans="2:7" x14ac:dyDescent="0.2">
      <c r="B643" s="116" t="s">
        <v>1517</v>
      </c>
      <c r="C643" s="117" t="s">
        <v>1518</v>
      </c>
      <c r="D643" s="118" t="s">
        <v>52</v>
      </c>
      <c r="E643" s="118" t="s">
        <v>657</v>
      </c>
      <c r="F643" s="120"/>
      <c r="G643" s="119">
        <v>0.20356610838995101</v>
      </c>
    </row>
    <row r="644" spans="2:7" x14ac:dyDescent="0.2">
      <c r="B644" s="116" t="s">
        <v>1519</v>
      </c>
      <c r="C644" s="117" t="s">
        <v>1520</v>
      </c>
      <c r="D644" s="118" t="s">
        <v>233</v>
      </c>
      <c r="E644" s="118" t="s">
        <v>703</v>
      </c>
      <c r="F644" s="120">
        <v>5.03</v>
      </c>
      <c r="G644" s="119">
        <v>4.8368426165474793E-2</v>
      </c>
    </row>
    <row r="645" spans="2:7" x14ac:dyDescent="0.2">
      <c r="B645" s="116" t="s">
        <v>1521</v>
      </c>
      <c r="C645" s="117" t="s">
        <v>1522</v>
      </c>
      <c r="D645" s="118" t="s">
        <v>39</v>
      </c>
      <c r="E645" s="118" t="s">
        <v>389</v>
      </c>
      <c r="F645" s="120">
        <v>8.33</v>
      </c>
      <c r="G645" s="119">
        <v>1.903737340195908E-2</v>
      </c>
    </row>
    <row r="646" spans="2:7" x14ac:dyDescent="0.2">
      <c r="B646" s="116" t="s">
        <v>1523</v>
      </c>
      <c r="C646" s="117" t="s">
        <v>1524</v>
      </c>
      <c r="D646" s="118" t="s">
        <v>106</v>
      </c>
      <c r="E646" s="118" t="s">
        <v>131</v>
      </c>
      <c r="F646" s="120">
        <v>8.27</v>
      </c>
      <c r="G646" s="119">
        <v>0.32848610818181001</v>
      </c>
    </row>
    <row r="647" spans="2:7" x14ac:dyDescent="0.2">
      <c r="B647" s="116" t="s">
        <v>1525</v>
      </c>
      <c r="C647" s="117" t="s">
        <v>1526</v>
      </c>
      <c r="D647" s="118" t="s">
        <v>52</v>
      </c>
      <c r="E647" s="118" t="s">
        <v>657</v>
      </c>
      <c r="F647" s="120">
        <v>0.43</v>
      </c>
      <c r="G647" s="119">
        <v>-1.0809333534378769E-2</v>
      </c>
    </row>
    <row r="648" spans="2:7" x14ac:dyDescent="0.2">
      <c r="B648" s="116" t="s">
        <v>1527</v>
      </c>
      <c r="C648" s="117" t="s">
        <v>1528</v>
      </c>
      <c r="D648" s="118" t="s">
        <v>145</v>
      </c>
      <c r="E648" s="118" t="s">
        <v>360</v>
      </c>
      <c r="F648" s="120">
        <v>-13.44</v>
      </c>
      <c r="G648" s="119">
        <v>3.5867719062160422E-2</v>
      </c>
    </row>
    <row r="649" spans="2:7" x14ac:dyDescent="0.2">
      <c r="B649" s="116" t="s">
        <v>1529</v>
      </c>
      <c r="C649" s="117" t="s">
        <v>1530</v>
      </c>
      <c r="D649" s="118" t="s">
        <v>68</v>
      </c>
      <c r="E649" s="118" t="s">
        <v>985</v>
      </c>
      <c r="F649" s="120">
        <v>6.39</v>
      </c>
      <c r="G649" s="119">
        <v>4.8754704304880048E-2</v>
      </c>
    </row>
    <row r="650" spans="2:7" x14ac:dyDescent="0.2">
      <c r="B650" s="116" t="s">
        <v>1531</v>
      </c>
      <c r="C650" s="117" t="s">
        <v>1532</v>
      </c>
      <c r="D650" s="118" t="s">
        <v>34</v>
      </c>
      <c r="E650" s="118" t="s">
        <v>1096</v>
      </c>
      <c r="F650" s="120">
        <v>4.38</v>
      </c>
      <c r="G650" s="119">
        <v>7.5807751595248898E-2</v>
      </c>
    </row>
    <row r="651" spans="2:7" x14ac:dyDescent="0.2">
      <c r="B651" s="116" t="s">
        <v>1533</v>
      </c>
      <c r="C651" s="117" t="s">
        <v>1534</v>
      </c>
      <c r="D651" s="118" t="s">
        <v>34</v>
      </c>
      <c r="E651" s="118" t="s">
        <v>1448</v>
      </c>
      <c r="F651" s="120">
        <v>40.36</v>
      </c>
      <c r="G651" s="119">
        <v>0.35903743819867773</v>
      </c>
    </row>
    <row r="652" spans="2:7" x14ac:dyDescent="0.2">
      <c r="B652" s="116" t="s">
        <v>1535</v>
      </c>
      <c r="C652" s="117" t="s">
        <v>1536</v>
      </c>
      <c r="D652" s="118" t="s">
        <v>92</v>
      </c>
      <c r="E652" s="118" t="s">
        <v>275</v>
      </c>
      <c r="F652" s="120">
        <v>2.58</v>
      </c>
      <c r="G652" s="119">
        <v>-3.2473850229407908E-2</v>
      </c>
    </row>
    <row r="653" spans="2:7" x14ac:dyDescent="0.2">
      <c r="B653" s="116" t="s">
        <v>1537</v>
      </c>
      <c r="C653" s="117" t="s">
        <v>1538</v>
      </c>
      <c r="D653" s="118" t="s">
        <v>68</v>
      </c>
      <c r="E653" s="118" t="s">
        <v>69</v>
      </c>
      <c r="F653" s="120">
        <v>1.97</v>
      </c>
      <c r="G653" s="119">
        <v>5.5562694610341006E-3</v>
      </c>
    </row>
    <row r="654" spans="2:7" x14ac:dyDescent="0.2">
      <c r="B654" s="116" t="s">
        <v>1539</v>
      </c>
      <c r="C654" s="117" t="s">
        <v>1540</v>
      </c>
      <c r="D654" s="118" t="s">
        <v>233</v>
      </c>
      <c r="E654" s="118" t="s">
        <v>619</v>
      </c>
      <c r="F654" s="120">
        <v>-3.58</v>
      </c>
      <c r="G654" s="119">
        <v>-2.133090210016152E-2</v>
      </c>
    </row>
    <row r="655" spans="2:7" x14ac:dyDescent="0.2">
      <c r="B655" s="116" t="s">
        <v>1541</v>
      </c>
      <c r="C655" s="117" t="s">
        <v>1542</v>
      </c>
      <c r="D655" s="118" t="s">
        <v>68</v>
      </c>
      <c r="E655" s="118" t="s">
        <v>75</v>
      </c>
      <c r="F655" s="120">
        <v>-11.04</v>
      </c>
      <c r="G655" s="119">
        <v>22.968524332810041</v>
      </c>
    </row>
    <row r="656" spans="2:7" x14ac:dyDescent="0.2">
      <c r="B656" s="116" t="s">
        <v>1543</v>
      </c>
      <c r="C656" s="117" t="s">
        <v>1544</v>
      </c>
      <c r="D656" s="118" t="s">
        <v>48</v>
      </c>
      <c r="E656" s="118" t="s">
        <v>835</v>
      </c>
      <c r="F656" s="120">
        <v>8</v>
      </c>
      <c r="G656" s="119">
        <v>3.4604330331480921E-3</v>
      </c>
    </row>
    <row r="657" spans="2:7" x14ac:dyDescent="0.2">
      <c r="B657" s="116" t="s">
        <v>1545</v>
      </c>
      <c r="C657" s="117" t="s">
        <v>1546</v>
      </c>
      <c r="D657" s="118" t="s">
        <v>34</v>
      </c>
      <c r="E657" s="118" t="s">
        <v>990</v>
      </c>
      <c r="F657" s="120">
        <v>18.95</v>
      </c>
      <c r="G657" s="119">
        <v>6.5926811302136262E-2</v>
      </c>
    </row>
    <row r="658" spans="2:7" x14ac:dyDescent="0.2">
      <c r="B658" s="116" t="s">
        <v>1547</v>
      </c>
      <c r="C658" s="117" t="s">
        <v>1548</v>
      </c>
      <c r="D658" s="118" t="s">
        <v>39</v>
      </c>
      <c r="E658" s="118" t="s">
        <v>363</v>
      </c>
      <c r="F658" s="120">
        <v>2.93</v>
      </c>
      <c r="G658" s="119">
        <v>2.684602530968724E-2</v>
      </c>
    </row>
    <row r="659" spans="2:7" x14ac:dyDescent="0.2">
      <c r="B659" s="116" t="s">
        <v>1549</v>
      </c>
      <c r="C659" s="117" t="s">
        <v>1550</v>
      </c>
      <c r="D659" s="118" t="s">
        <v>115</v>
      </c>
      <c r="E659" s="118" t="s">
        <v>806</v>
      </c>
      <c r="F659" s="120">
        <v>1.38</v>
      </c>
      <c r="G659" s="119">
        <v>0.10520564211944319</v>
      </c>
    </row>
    <row r="660" spans="2:7" x14ac:dyDescent="0.2">
      <c r="B660" s="116" t="s">
        <v>1551</v>
      </c>
      <c r="C660" s="117" t="s">
        <v>1552</v>
      </c>
      <c r="D660" s="118" t="s">
        <v>68</v>
      </c>
      <c r="E660" s="118" t="s">
        <v>75</v>
      </c>
      <c r="F660" s="120">
        <v>0.92</v>
      </c>
      <c r="G660" s="119">
        <v>4.0935095806031538E-2</v>
      </c>
    </row>
    <row r="661" spans="2:7" x14ac:dyDescent="0.2">
      <c r="B661" s="116" t="s">
        <v>1553</v>
      </c>
      <c r="C661" s="117" t="s">
        <v>1554</v>
      </c>
      <c r="D661" s="118" t="s">
        <v>241</v>
      </c>
      <c r="E661" s="118" t="s">
        <v>534</v>
      </c>
      <c r="F661" s="120">
        <v>-6.1</v>
      </c>
      <c r="G661" s="119">
        <v>-2.5043954573869591E-2</v>
      </c>
    </row>
    <row r="662" spans="2:7" x14ac:dyDescent="0.2">
      <c r="B662" s="116" t="s">
        <v>1555</v>
      </c>
      <c r="C662" s="117" t="s">
        <v>1556</v>
      </c>
      <c r="D662" s="118" t="s">
        <v>115</v>
      </c>
      <c r="E662" s="118" t="s">
        <v>394</v>
      </c>
      <c r="F662" s="120">
        <v>3.04</v>
      </c>
      <c r="G662" s="119">
        <v>8.8817448931686999E-2</v>
      </c>
    </row>
    <row r="663" spans="2:7" x14ac:dyDescent="0.2">
      <c r="B663" s="116" t="s">
        <v>1557</v>
      </c>
      <c r="C663" s="117" t="s">
        <v>1558</v>
      </c>
      <c r="D663" s="118" t="s">
        <v>92</v>
      </c>
      <c r="E663" s="118" t="s">
        <v>351</v>
      </c>
      <c r="F663" s="120">
        <v>17.079999999999998</v>
      </c>
      <c r="G663" s="119">
        <v>-0.11097076280834919</v>
      </c>
    </row>
    <row r="664" spans="2:7" x14ac:dyDescent="0.2">
      <c r="B664" s="116" t="s">
        <v>1559</v>
      </c>
      <c r="C664" s="117" t="s">
        <v>1560</v>
      </c>
      <c r="D664" s="118" t="s">
        <v>115</v>
      </c>
      <c r="E664" s="118" t="s">
        <v>899</v>
      </c>
      <c r="F664" s="120">
        <v>6.25</v>
      </c>
      <c r="G664" s="119">
        <v>1.9252051746335892E-2</v>
      </c>
    </row>
    <row r="665" spans="2:7" x14ac:dyDescent="0.2">
      <c r="B665" s="116" t="s">
        <v>1561</v>
      </c>
      <c r="C665" s="117" t="s">
        <v>1562</v>
      </c>
      <c r="D665" s="118" t="s">
        <v>68</v>
      </c>
      <c r="E665" s="118" t="s">
        <v>1563</v>
      </c>
      <c r="F665" s="120">
        <v>5.92</v>
      </c>
      <c r="G665" s="119">
        <v>9.1739758553463141E-2</v>
      </c>
    </row>
    <row r="666" spans="2:7" x14ac:dyDescent="0.2">
      <c r="B666" s="116" t="s">
        <v>1564</v>
      </c>
      <c r="C666" s="117" t="s">
        <v>1565</v>
      </c>
      <c r="D666" s="118" t="s">
        <v>145</v>
      </c>
      <c r="E666" s="118" t="s">
        <v>179</v>
      </c>
      <c r="F666" s="120">
        <v>11.63</v>
      </c>
      <c r="G666" s="119">
        <v>-2.8935578124924988E-3</v>
      </c>
    </row>
    <row r="667" spans="2:7" x14ac:dyDescent="0.2">
      <c r="B667" s="116" t="s">
        <v>1566</v>
      </c>
      <c r="C667" s="117" t="s">
        <v>1567</v>
      </c>
      <c r="D667" s="118" t="s">
        <v>92</v>
      </c>
      <c r="E667" s="118" t="s">
        <v>272</v>
      </c>
      <c r="F667" s="120">
        <v>-7.28</v>
      </c>
      <c r="G667" s="119">
        <v>4.8427180522989707E-2</v>
      </c>
    </row>
    <row r="668" spans="2:7" x14ac:dyDescent="0.2">
      <c r="B668" s="116" t="s">
        <v>1568</v>
      </c>
      <c r="C668" s="117" t="s">
        <v>1569</v>
      </c>
      <c r="D668" s="118" t="s">
        <v>52</v>
      </c>
      <c r="E668" s="118" t="s">
        <v>1324</v>
      </c>
      <c r="F668" s="120">
        <v>6.66</v>
      </c>
      <c r="G668" s="119">
        <v>2.3271723612099442E-2</v>
      </c>
    </row>
    <row r="669" spans="2:7" x14ac:dyDescent="0.2">
      <c r="B669" s="116" t="s">
        <v>1570</v>
      </c>
      <c r="C669" s="117" t="s">
        <v>1571</v>
      </c>
      <c r="D669" s="118" t="s">
        <v>92</v>
      </c>
      <c r="E669" s="118" t="s">
        <v>299</v>
      </c>
      <c r="F669" s="120">
        <v>15.82</v>
      </c>
      <c r="G669" s="119">
        <v>-0.32625198623656848</v>
      </c>
    </row>
    <row r="670" spans="2:7" x14ac:dyDescent="0.2">
      <c r="B670" s="116" t="s">
        <v>1572</v>
      </c>
      <c r="C670" s="117" t="s">
        <v>1573</v>
      </c>
      <c r="D670" s="118" t="s">
        <v>39</v>
      </c>
      <c r="E670" s="118" t="s">
        <v>363</v>
      </c>
      <c r="F670" s="120">
        <v>-10.34</v>
      </c>
      <c r="G670" s="119">
        <v>2.2200929386472661E-2</v>
      </c>
    </row>
    <row r="671" spans="2:7" x14ac:dyDescent="0.2">
      <c r="B671" s="116" t="s">
        <v>1574</v>
      </c>
      <c r="C671" s="117" t="s">
        <v>1575</v>
      </c>
      <c r="D671" s="118" t="s">
        <v>138</v>
      </c>
      <c r="E671" s="118" t="s">
        <v>139</v>
      </c>
      <c r="F671" s="120">
        <v>-1.86</v>
      </c>
      <c r="G671" s="119">
        <v>1.8249838334760699E-2</v>
      </c>
    </row>
    <row r="672" spans="2:7" x14ac:dyDescent="0.2">
      <c r="B672" s="116" t="s">
        <v>1576</v>
      </c>
      <c r="C672" s="117" t="s">
        <v>1577</v>
      </c>
      <c r="D672" s="118" t="s">
        <v>115</v>
      </c>
      <c r="E672" s="118" t="s">
        <v>587</v>
      </c>
      <c r="F672" s="120"/>
      <c r="G672" s="119">
        <v>-9.8237542948398111E-4</v>
      </c>
    </row>
    <row r="673" spans="2:7" x14ac:dyDescent="0.2">
      <c r="B673" s="116" t="s">
        <v>1578</v>
      </c>
      <c r="C673" s="117" t="s">
        <v>1579</v>
      </c>
      <c r="D673" s="118" t="s">
        <v>198</v>
      </c>
      <c r="E673" s="118" t="s">
        <v>199</v>
      </c>
      <c r="F673" s="120">
        <v>13.31</v>
      </c>
      <c r="G673" s="119">
        <v>0.14544755642058371</v>
      </c>
    </row>
    <row r="674" spans="2:7" x14ac:dyDescent="0.2">
      <c r="B674" s="116" t="s">
        <v>1580</v>
      </c>
      <c r="C674" s="117" t="s">
        <v>1581</v>
      </c>
      <c r="D674" s="118" t="s">
        <v>78</v>
      </c>
      <c r="E674" s="118" t="s">
        <v>79</v>
      </c>
      <c r="F674" s="120"/>
      <c r="G674" s="119">
        <v>9.40975186992489E-3</v>
      </c>
    </row>
    <row r="675" spans="2:7" x14ac:dyDescent="0.2">
      <c r="B675" s="116" t="s">
        <v>1582</v>
      </c>
      <c r="C675" s="117" t="s">
        <v>1583</v>
      </c>
      <c r="D675" s="118" t="s">
        <v>78</v>
      </c>
      <c r="E675" s="118" t="s">
        <v>912</v>
      </c>
      <c r="F675" s="120">
        <v>2.58</v>
      </c>
      <c r="G675" s="119">
        <v>1.2882421762618669E-2</v>
      </c>
    </row>
    <row r="676" spans="2:7" x14ac:dyDescent="0.2">
      <c r="B676" s="116" t="s">
        <v>1584</v>
      </c>
      <c r="C676" s="117" t="s">
        <v>1585</v>
      </c>
      <c r="D676" s="118" t="s">
        <v>78</v>
      </c>
      <c r="E676" s="118" t="s">
        <v>796</v>
      </c>
      <c r="F676" s="120">
        <v>3.17</v>
      </c>
      <c r="G676" s="119">
        <v>-3.604279701152379E-2</v>
      </c>
    </row>
    <row r="677" spans="2:7" x14ac:dyDescent="0.2">
      <c r="B677" s="116" t="s">
        <v>1586</v>
      </c>
      <c r="C677" s="117" t="s">
        <v>1587</v>
      </c>
      <c r="D677" s="118" t="s">
        <v>241</v>
      </c>
      <c r="E677" s="118" t="s">
        <v>242</v>
      </c>
      <c r="F677" s="120">
        <v>-13.37</v>
      </c>
      <c r="G677" s="119">
        <v>3.0791546551190849E-2</v>
      </c>
    </row>
    <row r="678" spans="2:7" x14ac:dyDescent="0.2">
      <c r="B678" s="116" t="s">
        <v>1588</v>
      </c>
      <c r="C678" s="117" t="s">
        <v>1589</v>
      </c>
      <c r="D678" s="118" t="s">
        <v>241</v>
      </c>
      <c r="E678" s="118" t="s">
        <v>1216</v>
      </c>
      <c r="F678" s="120">
        <v>0.28999999999999998</v>
      </c>
      <c r="G678" s="119">
        <v>-9.2040642021555975E-3</v>
      </c>
    </row>
    <row r="679" spans="2:7" x14ac:dyDescent="0.2">
      <c r="B679" s="116" t="s">
        <v>1590</v>
      </c>
      <c r="C679" s="117" t="s">
        <v>1591</v>
      </c>
      <c r="D679" s="118" t="s">
        <v>92</v>
      </c>
      <c r="E679" s="118" t="s">
        <v>558</v>
      </c>
      <c r="F679" s="120">
        <v>15.09</v>
      </c>
      <c r="G679" s="119">
        <v>0.230616068912394</v>
      </c>
    </row>
    <row r="680" spans="2:7" x14ac:dyDescent="0.2">
      <c r="B680" s="116" t="s">
        <v>1592</v>
      </c>
      <c r="C680" s="117" t="s">
        <v>1593</v>
      </c>
      <c r="D680" s="118" t="s">
        <v>92</v>
      </c>
      <c r="E680" s="118" t="s">
        <v>142</v>
      </c>
      <c r="F680" s="120">
        <v>0.4</v>
      </c>
      <c r="G680" s="119">
        <v>8.0648863624373457E-2</v>
      </c>
    </row>
    <row r="681" spans="2:7" x14ac:dyDescent="0.2">
      <c r="B681" s="116" t="s">
        <v>1594</v>
      </c>
      <c r="C681" s="117" t="s">
        <v>1595</v>
      </c>
      <c r="D681" s="118" t="s">
        <v>198</v>
      </c>
      <c r="E681" s="118" t="s">
        <v>456</v>
      </c>
      <c r="F681" s="120">
        <v>4.13</v>
      </c>
      <c r="G681" s="119">
        <v>7.130745596868894E-2</v>
      </c>
    </row>
    <row r="682" spans="2:7" x14ac:dyDescent="0.2">
      <c r="B682" s="116" t="s">
        <v>1596</v>
      </c>
      <c r="C682" s="117" t="s">
        <v>1597</v>
      </c>
      <c r="D682" s="118" t="s">
        <v>233</v>
      </c>
      <c r="E682" s="118" t="s">
        <v>469</v>
      </c>
      <c r="F682" s="120">
        <v>3.82</v>
      </c>
      <c r="G682" s="119">
        <v>-1</v>
      </c>
    </row>
    <row r="683" spans="2:7" x14ac:dyDescent="0.2">
      <c r="B683" s="116" t="s">
        <v>1598</v>
      </c>
      <c r="C683" s="117" t="s">
        <v>1599</v>
      </c>
      <c r="D683" s="118" t="s">
        <v>92</v>
      </c>
      <c r="E683" s="118" t="s">
        <v>272</v>
      </c>
      <c r="F683" s="120">
        <v>4.04</v>
      </c>
      <c r="G683" s="119">
        <v>1.374660778023136E-2</v>
      </c>
    </row>
    <row r="684" spans="2:7" x14ac:dyDescent="0.2">
      <c r="B684" s="116" t="s">
        <v>1600</v>
      </c>
      <c r="C684" s="117" t="s">
        <v>1601</v>
      </c>
      <c r="D684" s="118" t="s">
        <v>68</v>
      </c>
      <c r="E684" s="118" t="s">
        <v>985</v>
      </c>
      <c r="F684" s="120"/>
      <c r="G684" s="119">
        <v>4.415454106280188E-2</v>
      </c>
    </row>
    <row r="685" spans="2:7" x14ac:dyDescent="0.2">
      <c r="B685" s="116" t="s">
        <v>1602</v>
      </c>
      <c r="C685" s="117" t="s">
        <v>1603</v>
      </c>
      <c r="D685" s="118" t="s">
        <v>92</v>
      </c>
      <c r="E685" s="118" t="s">
        <v>722</v>
      </c>
      <c r="F685" s="120"/>
      <c r="G685" s="119">
        <v>-1</v>
      </c>
    </row>
    <row r="686" spans="2:7" x14ac:dyDescent="0.2">
      <c r="B686" s="116" t="s">
        <v>1604</v>
      </c>
      <c r="C686" s="117" t="s">
        <v>1605</v>
      </c>
      <c r="D686" s="118" t="s">
        <v>52</v>
      </c>
      <c r="E686" s="118" t="s">
        <v>1010</v>
      </c>
      <c r="F686" s="120">
        <v>-0.15</v>
      </c>
      <c r="G686" s="119">
        <v>-5.9896152745411053E-3</v>
      </c>
    </row>
    <row r="687" spans="2:7" x14ac:dyDescent="0.2">
      <c r="B687" s="116" t="s">
        <v>1606</v>
      </c>
      <c r="C687" s="117" t="s">
        <v>1607</v>
      </c>
      <c r="D687" s="118" t="s">
        <v>92</v>
      </c>
      <c r="E687" s="118" t="s">
        <v>434</v>
      </c>
      <c r="F687" s="120">
        <v>13.83</v>
      </c>
      <c r="G687" s="119">
        <v>1.6460858178330609E-2</v>
      </c>
    </row>
    <row r="688" spans="2:7" x14ac:dyDescent="0.2">
      <c r="B688" s="116" t="s">
        <v>1608</v>
      </c>
      <c r="C688" s="117" t="s">
        <v>1609</v>
      </c>
      <c r="D688" s="118" t="s">
        <v>39</v>
      </c>
      <c r="E688" s="118" t="s">
        <v>62</v>
      </c>
      <c r="F688" s="120"/>
      <c r="G688" s="119">
        <v>5.4742569234378959E-2</v>
      </c>
    </row>
    <row r="689" spans="2:7" x14ac:dyDescent="0.2">
      <c r="B689" s="116" t="s">
        <v>1610</v>
      </c>
      <c r="C689" s="117" t="s">
        <v>1611</v>
      </c>
      <c r="D689" s="118" t="s">
        <v>92</v>
      </c>
      <c r="E689" s="118" t="s">
        <v>195</v>
      </c>
      <c r="F689" s="120"/>
      <c r="G689" s="119">
        <v>0.18650170513125541</v>
      </c>
    </row>
    <row r="690" spans="2:7" x14ac:dyDescent="0.2">
      <c r="B690" s="116" t="s">
        <v>1612</v>
      </c>
      <c r="C690" s="117" t="s">
        <v>1613</v>
      </c>
      <c r="D690" s="118" t="s">
        <v>115</v>
      </c>
      <c r="E690" s="118" t="s">
        <v>806</v>
      </c>
      <c r="F690" s="120">
        <v>-5.1100000000000003</v>
      </c>
      <c r="G690" s="119">
        <v>6.33685549068045E-2</v>
      </c>
    </row>
    <row r="691" spans="2:7" x14ac:dyDescent="0.2">
      <c r="B691" s="116" t="s">
        <v>1614</v>
      </c>
      <c r="C691" s="117" t="s">
        <v>1615</v>
      </c>
      <c r="D691" s="118" t="s">
        <v>68</v>
      </c>
      <c r="E691" s="118" t="s">
        <v>69</v>
      </c>
      <c r="F691" s="120">
        <v>5.0599999999999996</v>
      </c>
      <c r="G691" s="119">
        <v>-0.12527991516244849</v>
      </c>
    </row>
    <row r="692" spans="2:7" x14ac:dyDescent="0.2">
      <c r="B692" s="116" t="s">
        <v>1616</v>
      </c>
      <c r="C692" s="117" t="s">
        <v>1617</v>
      </c>
      <c r="D692" s="118" t="s">
        <v>233</v>
      </c>
      <c r="E692" s="118" t="s">
        <v>469</v>
      </c>
      <c r="F692" s="120">
        <v>5.43</v>
      </c>
      <c r="G692" s="119">
        <v>-4.9483342354560568E-2</v>
      </c>
    </row>
    <row r="693" spans="2:7" x14ac:dyDescent="0.2">
      <c r="B693" s="116" t="s">
        <v>1618</v>
      </c>
      <c r="C693" s="117" t="s">
        <v>1619</v>
      </c>
      <c r="D693" s="118" t="s">
        <v>68</v>
      </c>
      <c r="E693" s="118" t="s">
        <v>778</v>
      </c>
      <c r="F693" s="120">
        <v>7.31</v>
      </c>
      <c r="G693" s="119">
        <v>7.5657273228701818E-2</v>
      </c>
    </row>
    <row r="694" spans="2:7" x14ac:dyDescent="0.2">
      <c r="B694" s="116" t="s">
        <v>1620</v>
      </c>
      <c r="C694" s="117" t="s">
        <v>1621</v>
      </c>
      <c r="D694" s="118" t="s">
        <v>138</v>
      </c>
      <c r="E694" s="118" t="s">
        <v>139</v>
      </c>
      <c r="F694" s="120">
        <v>0.43</v>
      </c>
      <c r="G694" s="119">
        <v>1.3704060951307559E-2</v>
      </c>
    </row>
    <row r="695" spans="2:7" x14ac:dyDescent="0.2">
      <c r="B695" s="116" t="s">
        <v>1622</v>
      </c>
      <c r="C695" s="117" t="s">
        <v>1623</v>
      </c>
      <c r="D695" s="118" t="s">
        <v>34</v>
      </c>
      <c r="E695" s="118" t="s">
        <v>1096</v>
      </c>
      <c r="F695" s="120">
        <v>4.25</v>
      </c>
      <c r="G695" s="119">
        <v>4.0808897289216141E-2</v>
      </c>
    </row>
    <row r="696" spans="2:7" x14ac:dyDescent="0.2">
      <c r="B696" s="116" t="s">
        <v>1624</v>
      </c>
      <c r="C696" s="117" t="s">
        <v>1625</v>
      </c>
      <c r="D696" s="118" t="s">
        <v>233</v>
      </c>
      <c r="E696" s="118" t="s">
        <v>1314</v>
      </c>
      <c r="F696" s="120">
        <v>-2.4900000000000002</v>
      </c>
      <c r="G696" s="119">
        <v>-0.19126398140244341</v>
      </c>
    </row>
    <row r="697" spans="2:7" x14ac:dyDescent="0.2">
      <c r="B697" s="116" t="s">
        <v>1626</v>
      </c>
      <c r="C697" s="117" t="s">
        <v>1627</v>
      </c>
      <c r="D697" s="118" t="s">
        <v>68</v>
      </c>
      <c r="E697" s="118" t="s">
        <v>82</v>
      </c>
      <c r="F697" s="120">
        <v>6.11</v>
      </c>
      <c r="G697" s="119">
        <v>3.9899310109077372E-2</v>
      </c>
    </row>
    <row r="698" spans="2:7" x14ac:dyDescent="0.2">
      <c r="B698" s="116" t="s">
        <v>1628</v>
      </c>
      <c r="C698" s="117" t="s">
        <v>1629</v>
      </c>
      <c r="D698" s="118" t="s">
        <v>92</v>
      </c>
      <c r="E698" s="118" t="s">
        <v>614</v>
      </c>
      <c r="F698" s="120">
        <v>19.7</v>
      </c>
      <c r="G698" s="119">
        <v>-0.16315659731032739</v>
      </c>
    </row>
    <row r="699" spans="2:7" x14ac:dyDescent="0.2">
      <c r="B699" s="116" t="s">
        <v>1630</v>
      </c>
      <c r="C699" s="117" t="s">
        <v>1631</v>
      </c>
      <c r="D699" s="118" t="s">
        <v>678</v>
      </c>
      <c r="E699" s="118" t="s">
        <v>679</v>
      </c>
      <c r="F699" s="120">
        <v>0.88</v>
      </c>
      <c r="G699" s="119">
        <v>-0.1140032175493995</v>
      </c>
    </row>
    <row r="700" spans="2:7" x14ac:dyDescent="0.2">
      <c r="B700" s="116" t="s">
        <v>1632</v>
      </c>
      <c r="C700" s="117" t="s">
        <v>1633</v>
      </c>
      <c r="D700" s="118" t="s">
        <v>241</v>
      </c>
      <c r="E700" s="118" t="s">
        <v>1634</v>
      </c>
      <c r="F700" s="120">
        <v>-7.71</v>
      </c>
      <c r="G700" s="119">
        <v>0.12937440647778489</v>
      </c>
    </row>
    <row r="701" spans="2:7" x14ac:dyDescent="0.2">
      <c r="B701" s="116" t="s">
        <v>1635</v>
      </c>
      <c r="C701" s="117" t="s">
        <v>1636</v>
      </c>
      <c r="D701" s="118" t="s">
        <v>34</v>
      </c>
      <c r="E701" s="118" t="s">
        <v>1637</v>
      </c>
      <c r="F701" s="120">
        <v>-13.5</v>
      </c>
      <c r="G701" s="119">
        <v>-4.5378250032412831E-2</v>
      </c>
    </row>
    <row r="702" spans="2:7" x14ac:dyDescent="0.2">
      <c r="B702" s="116" t="s">
        <v>1638</v>
      </c>
      <c r="C702" s="117" t="s">
        <v>1639</v>
      </c>
      <c r="D702" s="118" t="s">
        <v>92</v>
      </c>
      <c r="E702" s="118" t="s">
        <v>272</v>
      </c>
      <c r="F702" s="120">
        <v>27.35</v>
      </c>
      <c r="G702" s="119">
        <v>6.6233779962109871E-2</v>
      </c>
    </row>
    <row r="703" spans="2:7" x14ac:dyDescent="0.2">
      <c r="B703" s="116" t="s">
        <v>1640</v>
      </c>
      <c r="C703" s="117" t="s">
        <v>1641</v>
      </c>
      <c r="D703" s="118" t="s">
        <v>34</v>
      </c>
      <c r="E703" s="118" t="s">
        <v>59</v>
      </c>
      <c r="F703" s="120">
        <v>-14.87</v>
      </c>
      <c r="G703" s="119">
        <v>2.2960374196197039E-3</v>
      </c>
    </row>
    <row r="704" spans="2:7" x14ac:dyDescent="0.2">
      <c r="B704" s="116" t="s">
        <v>1642</v>
      </c>
      <c r="C704" s="117" t="s">
        <v>1643</v>
      </c>
      <c r="D704" s="118" t="s">
        <v>92</v>
      </c>
      <c r="E704" s="118" t="s">
        <v>272</v>
      </c>
      <c r="F704" s="120">
        <v>6.66</v>
      </c>
      <c r="G704" s="119">
        <v>-1.198580979194094E-2</v>
      </c>
    </row>
    <row r="705" spans="2:7" x14ac:dyDescent="0.2">
      <c r="B705" s="116" t="s">
        <v>1644</v>
      </c>
      <c r="C705" s="117" t="s">
        <v>1645</v>
      </c>
      <c r="D705" s="118" t="s">
        <v>68</v>
      </c>
      <c r="E705" s="118" t="s">
        <v>949</v>
      </c>
      <c r="F705" s="120">
        <v>33.54</v>
      </c>
      <c r="G705" s="119">
        <v>0.20112794179083701</v>
      </c>
    </row>
    <row r="706" spans="2:7" x14ac:dyDescent="0.2">
      <c r="B706" s="116" t="s">
        <v>1646</v>
      </c>
      <c r="C706" s="117" t="s">
        <v>1647</v>
      </c>
      <c r="D706" s="118" t="s">
        <v>115</v>
      </c>
      <c r="E706" s="118" t="s">
        <v>551</v>
      </c>
      <c r="F706" s="120">
        <v>0.23</v>
      </c>
      <c r="G706" s="119">
        <v>2.4379943648865209E-2</v>
      </c>
    </row>
    <row r="707" spans="2:7" x14ac:dyDescent="0.2">
      <c r="B707" s="116" t="s">
        <v>1648</v>
      </c>
      <c r="C707" s="117" t="s">
        <v>1649</v>
      </c>
      <c r="D707" s="118" t="s">
        <v>68</v>
      </c>
      <c r="E707" s="118" t="s">
        <v>75</v>
      </c>
      <c r="F707" s="120">
        <v>12.26</v>
      </c>
      <c r="G707" s="119">
        <v>0.16787736475542611</v>
      </c>
    </row>
    <row r="708" spans="2:7" x14ac:dyDescent="0.2">
      <c r="B708" s="116" t="s">
        <v>1650</v>
      </c>
      <c r="C708" s="117" t="s">
        <v>1651</v>
      </c>
      <c r="D708" s="118" t="s">
        <v>92</v>
      </c>
      <c r="E708" s="118" t="s">
        <v>195</v>
      </c>
      <c r="F708" s="120"/>
      <c r="G708" s="119">
        <v>0.25953707407407423</v>
      </c>
    </row>
    <row r="709" spans="2:7" x14ac:dyDescent="0.2">
      <c r="B709" s="116" t="s">
        <v>1652</v>
      </c>
      <c r="C709" s="117" t="s">
        <v>1653</v>
      </c>
      <c r="D709" s="118" t="s">
        <v>78</v>
      </c>
      <c r="E709" s="118" t="s">
        <v>1654</v>
      </c>
      <c r="F709" s="120">
        <v>0.39</v>
      </c>
      <c r="G709" s="119">
        <v>-3.8372974218759829E-3</v>
      </c>
    </row>
    <row r="710" spans="2:7" x14ac:dyDescent="0.2">
      <c r="B710" s="116" t="s">
        <v>1655</v>
      </c>
      <c r="C710" s="117" t="s">
        <v>1656</v>
      </c>
      <c r="D710" s="118" t="s">
        <v>92</v>
      </c>
      <c r="E710" s="118" t="s">
        <v>299</v>
      </c>
      <c r="F710" s="120">
        <v>-7.39</v>
      </c>
      <c r="G710" s="119">
        <v>3.8253721643733793E-2</v>
      </c>
    </row>
    <row r="711" spans="2:7" x14ac:dyDescent="0.2">
      <c r="B711" s="116" t="s">
        <v>1657</v>
      </c>
      <c r="C711" s="117" t="s">
        <v>1658</v>
      </c>
      <c r="D711" s="118" t="s">
        <v>68</v>
      </c>
      <c r="E711" s="118" t="s">
        <v>72</v>
      </c>
      <c r="F711" s="120">
        <v>5.39</v>
      </c>
      <c r="G711" s="119">
        <v>-0.2444558892592032</v>
      </c>
    </row>
    <row r="712" spans="2:7" x14ac:dyDescent="0.2">
      <c r="B712" s="116" t="s">
        <v>1659</v>
      </c>
      <c r="C712" s="117" t="s">
        <v>1660</v>
      </c>
      <c r="D712" s="118" t="s">
        <v>92</v>
      </c>
      <c r="E712" s="118" t="s">
        <v>299</v>
      </c>
      <c r="F712" s="120"/>
      <c r="G712" s="119">
        <v>-1</v>
      </c>
    </row>
    <row r="713" spans="2:7" x14ac:dyDescent="0.2">
      <c r="B713" s="116" t="s">
        <v>1661</v>
      </c>
      <c r="C713" s="117" t="s">
        <v>1662</v>
      </c>
      <c r="D713" s="118" t="s">
        <v>92</v>
      </c>
      <c r="E713" s="118" t="s">
        <v>272</v>
      </c>
      <c r="F713" s="120">
        <v>0.64</v>
      </c>
      <c r="G713" s="119">
        <v>-6.2751755973931593E-3</v>
      </c>
    </row>
    <row r="714" spans="2:7" x14ac:dyDescent="0.2">
      <c r="B714" s="116" t="s">
        <v>1663</v>
      </c>
      <c r="C714" s="117" t="s">
        <v>1664</v>
      </c>
      <c r="D714" s="118" t="s">
        <v>78</v>
      </c>
      <c r="E714" s="118" t="s">
        <v>1665</v>
      </c>
      <c r="F714" s="120">
        <v>1.26</v>
      </c>
      <c r="G714" s="119">
        <v>2.1106623352119831E-2</v>
      </c>
    </row>
    <row r="715" spans="2:7" x14ac:dyDescent="0.2">
      <c r="B715" s="116" t="s">
        <v>1666</v>
      </c>
      <c r="C715" s="117" t="s">
        <v>1667</v>
      </c>
      <c r="D715" s="118" t="s">
        <v>92</v>
      </c>
      <c r="E715" s="118" t="s">
        <v>272</v>
      </c>
      <c r="F715" s="120">
        <v>17.95</v>
      </c>
      <c r="G715" s="119">
        <v>-7.2971870826930643E-3</v>
      </c>
    </row>
    <row r="716" spans="2:7" x14ac:dyDescent="0.2">
      <c r="B716" s="116" t="s">
        <v>1668</v>
      </c>
      <c r="C716" s="117" t="s">
        <v>1669</v>
      </c>
      <c r="D716" s="118" t="s">
        <v>678</v>
      </c>
      <c r="E716" s="118" t="s">
        <v>679</v>
      </c>
      <c r="F716" s="120"/>
      <c r="G716" s="119">
        <v>-2.4325577267564999E-2</v>
      </c>
    </row>
    <row r="717" spans="2:7" x14ac:dyDescent="0.2">
      <c r="B717" s="116" t="s">
        <v>1670</v>
      </c>
      <c r="C717" s="117" t="s">
        <v>1671</v>
      </c>
      <c r="D717" s="118" t="s">
        <v>115</v>
      </c>
      <c r="E717" s="118" t="s">
        <v>806</v>
      </c>
      <c r="F717" s="120">
        <v>16.34</v>
      </c>
      <c r="G717" s="119">
        <v>9.1565015099134936E-2</v>
      </c>
    </row>
    <row r="718" spans="2:7" x14ac:dyDescent="0.2">
      <c r="B718" s="116" t="s">
        <v>1672</v>
      </c>
      <c r="C718" s="117" t="s">
        <v>1673</v>
      </c>
      <c r="D718" s="118" t="s">
        <v>39</v>
      </c>
      <c r="E718" s="118" t="s">
        <v>1674</v>
      </c>
      <c r="F718" s="120">
        <v>6.87</v>
      </c>
      <c r="G718" s="119">
        <v>4.5608150924872387E-2</v>
      </c>
    </row>
    <row r="719" spans="2:7" x14ac:dyDescent="0.2">
      <c r="B719" s="116" t="s">
        <v>1675</v>
      </c>
      <c r="C719" s="117" t="s">
        <v>1676</v>
      </c>
      <c r="D719" s="118" t="s">
        <v>34</v>
      </c>
      <c r="E719" s="118" t="s">
        <v>319</v>
      </c>
      <c r="F719" s="120">
        <v>43.89</v>
      </c>
      <c r="G719" s="119">
        <v>0.29605436859136802</v>
      </c>
    </row>
    <row r="720" spans="2:7" x14ac:dyDescent="0.2">
      <c r="B720" s="116" t="s">
        <v>1677</v>
      </c>
      <c r="C720" s="117" t="s">
        <v>1678</v>
      </c>
      <c r="D720" s="118" t="s">
        <v>68</v>
      </c>
      <c r="E720" s="118" t="s">
        <v>296</v>
      </c>
      <c r="F720" s="120">
        <v>3.42</v>
      </c>
      <c r="G720" s="119">
        <v>0.13296899160106829</v>
      </c>
    </row>
    <row r="721" spans="2:7" x14ac:dyDescent="0.2">
      <c r="B721" s="116" t="s">
        <v>1679</v>
      </c>
      <c r="C721" s="117" t="s">
        <v>1680</v>
      </c>
      <c r="D721" s="118" t="s">
        <v>145</v>
      </c>
      <c r="E721" s="118" t="s">
        <v>179</v>
      </c>
      <c r="F721" s="120">
        <v>-5.08</v>
      </c>
      <c r="G721" s="119">
        <v>-6.8898207698048816E-2</v>
      </c>
    </row>
    <row r="722" spans="2:7" x14ac:dyDescent="0.2">
      <c r="B722" s="116" t="s">
        <v>1681</v>
      </c>
      <c r="C722" s="117" t="s">
        <v>1682</v>
      </c>
      <c r="D722" s="118" t="s">
        <v>92</v>
      </c>
      <c r="E722" s="118" t="s">
        <v>192</v>
      </c>
      <c r="F722" s="120">
        <v>6.2</v>
      </c>
      <c r="G722" s="119">
        <v>-4.4939402883271723E-2</v>
      </c>
    </row>
    <row r="723" spans="2:7" x14ac:dyDescent="0.2">
      <c r="B723" s="116" t="s">
        <v>1683</v>
      </c>
      <c r="C723" s="117" t="s">
        <v>1684</v>
      </c>
      <c r="D723" s="118" t="s">
        <v>115</v>
      </c>
      <c r="E723" s="118" t="s">
        <v>1201</v>
      </c>
      <c r="F723" s="120"/>
      <c r="G723" s="119">
        <v>9.9558794258796435E-2</v>
      </c>
    </row>
    <row r="724" spans="2:7" x14ac:dyDescent="0.2">
      <c r="B724" s="116" t="s">
        <v>1685</v>
      </c>
      <c r="C724" s="117" t="s">
        <v>1686</v>
      </c>
      <c r="D724" s="118" t="s">
        <v>198</v>
      </c>
      <c r="E724" s="118" t="s">
        <v>199</v>
      </c>
      <c r="F724" s="120">
        <v>4.47</v>
      </c>
      <c r="G724" s="119">
        <v>0.10922294550271811</v>
      </c>
    </row>
    <row r="725" spans="2:7" x14ac:dyDescent="0.2">
      <c r="B725" s="116" t="s">
        <v>1687</v>
      </c>
      <c r="C725" s="117" t="s">
        <v>1688</v>
      </c>
      <c r="D725" s="118" t="s">
        <v>68</v>
      </c>
      <c r="E725" s="118" t="s">
        <v>87</v>
      </c>
      <c r="F725" s="120">
        <v>34.83</v>
      </c>
      <c r="G725" s="119">
        <v>6.1656897736777252E-2</v>
      </c>
    </row>
    <row r="726" spans="2:7" x14ac:dyDescent="0.2">
      <c r="B726" s="116" t="s">
        <v>1689</v>
      </c>
      <c r="C726" s="117" t="s">
        <v>1690</v>
      </c>
      <c r="D726" s="118" t="s">
        <v>34</v>
      </c>
      <c r="E726" s="118" t="s">
        <v>1281</v>
      </c>
      <c r="F726" s="120">
        <v>-3.44</v>
      </c>
      <c r="G726" s="119">
        <v>-5.403599405882871E-2</v>
      </c>
    </row>
    <row r="727" spans="2:7" x14ac:dyDescent="0.2">
      <c r="B727" s="116" t="s">
        <v>1691</v>
      </c>
      <c r="C727" s="117" t="s">
        <v>1692</v>
      </c>
      <c r="D727" s="118" t="s">
        <v>52</v>
      </c>
      <c r="E727" s="118" t="s">
        <v>281</v>
      </c>
      <c r="F727" s="120">
        <v>7.52</v>
      </c>
      <c r="G727" s="119">
        <v>0.1227434510390838</v>
      </c>
    </row>
    <row r="728" spans="2:7" x14ac:dyDescent="0.2">
      <c r="B728" s="116" t="s">
        <v>1693</v>
      </c>
      <c r="C728" s="117" t="s">
        <v>1694</v>
      </c>
      <c r="D728" s="118" t="s">
        <v>68</v>
      </c>
      <c r="E728" s="118" t="s">
        <v>82</v>
      </c>
      <c r="F728" s="120">
        <v>12.36</v>
      </c>
      <c r="G728" s="119">
        <v>3.3597314661378358E-2</v>
      </c>
    </row>
    <row r="729" spans="2:7" x14ac:dyDescent="0.2">
      <c r="B729" s="116" t="s">
        <v>1695</v>
      </c>
      <c r="C729" s="117" t="s">
        <v>1696</v>
      </c>
      <c r="D729" s="118" t="s">
        <v>92</v>
      </c>
      <c r="E729" s="118" t="s">
        <v>614</v>
      </c>
      <c r="F729" s="120">
        <v>18.16</v>
      </c>
      <c r="G729" s="119">
        <v>-9.7097199077274654E-2</v>
      </c>
    </row>
    <row r="730" spans="2:7" x14ac:dyDescent="0.2">
      <c r="B730" s="116" t="s">
        <v>1697</v>
      </c>
      <c r="C730" s="117" t="s">
        <v>1698</v>
      </c>
      <c r="D730" s="118" t="s">
        <v>92</v>
      </c>
      <c r="E730" s="118" t="s">
        <v>275</v>
      </c>
      <c r="F730" s="120">
        <v>23.15</v>
      </c>
      <c r="G730" s="119">
        <v>-0.17836010143702449</v>
      </c>
    </row>
    <row r="731" spans="2:7" x14ac:dyDescent="0.2">
      <c r="B731" s="116" t="s">
        <v>1699</v>
      </c>
      <c r="C731" s="117" t="s">
        <v>1700</v>
      </c>
      <c r="D731" s="118" t="s">
        <v>34</v>
      </c>
      <c r="E731" s="118" t="s">
        <v>1637</v>
      </c>
      <c r="F731" s="120">
        <v>-3.24</v>
      </c>
      <c r="G731" s="119">
        <v>-2.2379748589664648E-2</v>
      </c>
    </row>
    <row r="732" spans="2:7" x14ac:dyDescent="0.2">
      <c r="B732" s="116" t="s">
        <v>1701</v>
      </c>
      <c r="C732" s="117" t="s">
        <v>1702</v>
      </c>
      <c r="D732" s="118" t="s">
        <v>92</v>
      </c>
      <c r="E732" s="118" t="s">
        <v>299</v>
      </c>
      <c r="F732" s="120">
        <v>3.43</v>
      </c>
      <c r="G732" s="119">
        <v>-0.37036325580280632</v>
      </c>
    </row>
    <row r="733" spans="2:7" x14ac:dyDescent="0.2">
      <c r="B733" s="116" t="s">
        <v>1703</v>
      </c>
      <c r="C733" s="117" t="s">
        <v>1704</v>
      </c>
      <c r="D733" s="118" t="s">
        <v>92</v>
      </c>
      <c r="E733" s="118" t="s">
        <v>717</v>
      </c>
      <c r="F733" s="120">
        <v>10.96</v>
      </c>
      <c r="G733" s="119">
        <v>-0.1762667304015296</v>
      </c>
    </row>
    <row r="734" spans="2:7" x14ac:dyDescent="0.2">
      <c r="B734" s="116" t="s">
        <v>1705</v>
      </c>
      <c r="C734" s="117" t="s">
        <v>1706</v>
      </c>
      <c r="D734" s="118" t="s">
        <v>145</v>
      </c>
      <c r="E734" s="118" t="s">
        <v>360</v>
      </c>
      <c r="F734" s="120">
        <v>0.17</v>
      </c>
      <c r="G734" s="119">
        <v>-7.5666018718502266E-3</v>
      </c>
    </row>
    <row r="735" spans="2:7" x14ac:dyDescent="0.2">
      <c r="B735" s="116" t="s">
        <v>1707</v>
      </c>
      <c r="C735" s="117" t="s">
        <v>1708</v>
      </c>
      <c r="D735" s="118" t="s">
        <v>68</v>
      </c>
      <c r="E735" s="118" t="s">
        <v>949</v>
      </c>
      <c r="F735" s="120">
        <v>13.26</v>
      </c>
      <c r="G735" s="119">
        <v>8.2392225073003034E-2</v>
      </c>
    </row>
    <row r="736" spans="2:7" x14ac:dyDescent="0.2">
      <c r="B736" s="116" t="s">
        <v>1709</v>
      </c>
      <c r="C736" s="117" t="s">
        <v>1710</v>
      </c>
      <c r="D736" s="118" t="s">
        <v>68</v>
      </c>
      <c r="E736" s="118" t="s">
        <v>75</v>
      </c>
      <c r="F736" s="120">
        <v>52.44</v>
      </c>
      <c r="G736" s="119">
        <v>-0.15091711665380991</v>
      </c>
    </row>
    <row r="737" spans="2:7" x14ac:dyDescent="0.2">
      <c r="B737" s="116" t="s">
        <v>1711</v>
      </c>
      <c r="C737" s="117" t="s">
        <v>1712</v>
      </c>
      <c r="D737" s="118" t="s">
        <v>138</v>
      </c>
      <c r="E737" s="118" t="s">
        <v>139</v>
      </c>
      <c r="F737" s="120">
        <v>2.1800000000000002</v>
      </c>
      <c r="G737" s="119">
        <v>-1</v>
      </c>
    </row>
    <row r="738" spans="2:7" x14ac:dyDescent="0.2">
      <c r="B738" s="116" t="s">
        <v>1713</v>
      </c>
      <c r="C738" s="117" t="s">
        <v>1714</v>
      </c>
      <c r="D738" s="118" t="s">
        <v>52</v>
      </c>
      <c r="E738" s="118" t="s">
        <v>657</v>
      </c>
      <c r="F738" s="120">
        <v>7.94</v>
      </c>
      <c r="G738" s="119">
        <v>2.6949556802834819E-2</v>
      </c>
    </row>
    <row r="739" spans="2:7" x14ac:dyDescent="0.2">
      <c r="B739" s="116" t="s">
        <v>1715</v>
      </c>
      <c r="C739" s="117" t="s">
        <v>1716</v>
      </c>
      <c r="D739" s="118" t="s">
        <v>68</v>
      </c>
      <c r="E739" s="118" t="s">
        <v>82</v>
      </c>
      <c r="F739" s="120">
        <v>10.53</v>
      </c>
      <c r="G739" s="119">
        <v>8.2232378775008705E-2</v>
      </c>
    </row>
    <row r="740" spans="2:7" x14ac:dyDescent="0.2">
      <c r="B740" s="116" t="s">
        <v>1717</v>
      </c>
      <c r="C740" s="117" t="s">
        <v>1718</v>
      </c>
      <c r="D740" s="118" t="s">
        <v>39</v>
      </c>
      <c r="E740" s="118" t="s">
        <v>383</v>
      </c>
      <c r="F740" s="120">
        <v>4.53</v>
      </c>
      <c r="G740" s="119">
        <v>2.997053956443483E-2</v>
      </c>
    </row>
    <row r="741" spans="2:7" x14ac:dyDescent="0.2">
      <c r="B741" s="116" t="s">
        <v>1719</v>
      </c>
      <c r="C741" s="117" t="s">
        <v>1720</v>
      </c>
      <c r="D741" s="118" t="s">
        <v>78</v>
      </c>
      <c r="E741" s="118" t="s">
        <v>128</v>
      </c>
      <c r="F741" s="120">
        <v>7.58</v>
      </c>
      <c r="G741" s="119">
        <v>0.29820691180981218</v>
      </c>
    </row>
    <row r="742" spans="2:7" x14ac:dyDescent="0.2">
      <c r="B742" s="116" t="s">
        <v>1721</v>
      </c>
      <c r="C742" s="117" t="s">
        <v>1722</v>
      </c>
      <c r="D742" s="118" t="s">
        <v>34</v>
      </c>
      <c r="E742" s="118" t="s">
        <v>251</v>
      </c>
      <c r="F742" s="120">
        <v>11.54</v>
      </c>
      <c r="G742" s="119">
        <v>-1</v>
      </c>
    </row>
    <row r="743" spans="2:7" x14ac:dyDescent="0.2">
      <c r="B743" s="116" t="s">
        <v>1723</v>
      </c>
      <c r="C743" s="117" t="s">
        <v>1724</v>
      </c>
      <c r="D743" s="118" t="s">
        <v>115</v>
      </c>
      <c r="E743" s="118" t="s">
        <v>806</v>
      </c>
      <c r="F743" s="120"/>
      <c r="G743" s="119">
        <v>1.479048111743404</v>
      </c>
    </row>
    <row r="744" spans="2:7" x14ac:dyDescent="0.2">
      <c r="B744" s="116" t="s">
        <v>1725</v>
      </c>
      <c r="C744" s="117" t="s">
        <v>1726</v>
      </c>
      <c r="D744" s="118" t="s">
        <v>39</v>
      </c>
      <c r="E744" s="118" t="s">
        <v>383</v>
      </c>
      <c r="F744" s="120"/>
      <c r="G744" s="119">
        <v>-9.4360239742145025E-2</v>
      </c>
    </row>
    <row r="745" spans="2:7" x14ac:dyDescent="0.2">
      <c r="B745" s="116" t="s">
        <v>1727</v>
      </c>
      <c r="C745" s="117" t="s">
        <v>1728</v>
      </c>
      <c r="D745" s="118" t="s">
        <v>106</v>
      </c>
      <c r="E745" s="118" t="s">
        <v>563</v>
      </c>
      <c r="F745" s="120"/>
      <c r="G745" s="119">
        <v>-9.4248684154221093E-3</v>
      </c>
    </row>
    <row r="746" spans="2:7" x14ac:dyDescent="0.2">
      <c r="B746" s="116" t="s">
        <v>1729</v>
      </c>
      <c r="C746" s="117" t="s">
        <v>1730</v>
      </c>
      <c r="D746" s="118" t="s">
        <v>68</v>
      </c>
      <c r="E746" s="118" t="s">
        <v>87</v>
      </c>
      <c r="F746" s="120">
        <v>14.63</v>
      </c>
      <c r="G746" s="119">
        <v>5.9403813381338107E-2</v>
      </c>
    </row>
    <row r="747" spans="2:7" x14ac:dyDescent="0.2">
      <c r="B747" s="116" t="s">
        <v>1731</v>
      </c>
      <c r="C747" s="117" t="s">
        <v>1732</v>
      </c>
      <c r="D747" s="118" t="s">
        <v>78</v>
      </c>
      <c r="E747" s="118" t="s">
        <v>650</v>
      </c>
      <c r="F747" s="120"/>
      <c r="G747" s="119">
        <v>-0.71707110170642285</v>
      </c>
    </row>
    <row r="748" spans="2:7" x14ac:dyDescent="0.2">
      <c r="B748" s="116" t="s">
        <v>1733</v>
      </c>
      <c r="C748" s="117" t="s">
        <v>1734</v>
      </c>
      <c r="D748" s="118" t="s">
        <v>102</v>
      </c>
      <c r="E748" s="118" t="s">
        <v>103</v>
      </c>
      <c r="F748" s="120"/>
      <c r="G748" s="119">
        <v>4.2381644154217683E-2</v>
      </c>
    </row>
    <row r="749" spans="2:7" x14ac:dyDescent="0.2">
      <c r="B749" s="116" t="s">
        <v>1735</v>
      </c>
      <c r="C749" s="117" t="s">
        <v>1736</v>
      </c>
      <c r="D749" s="118" t="s">
        <v>68</v>
      </c>
      <c r="E749" s="118" t="s">
        <v>87</v>
      </c>
      <c r="F749" s="120"/>
      <c r="G749" s="119">
        <v>29.092592592592592</v>
      </c>
    </row>
    <row r="750" spans="2:7" x14ac:dyDescent="0.2">
      <c r="B750" s="116" t="s">
        <v>1737</v>
      </c>
      <c r="C750" s="117" t="s">
        <v>1738</v>
      </c>
      <c r="D750" s="118" t="s">
        <v>241</v>
      </c>
      <c r="E750" s="118" t="s">
        <v>1005</v>
      </c>
      <c r="F750" s="120">
        <v>-1.18</v>
      </c>
      <c r="G750" s="119">
        <v>3.3472119273450188E-2</v>
      </c>
    </row>
    <row r="751" spans="2:7" x14ac:dyDescent="0.2">
      <c r="B751" s="116" t="s">
        <v>1739</v>
      </c>
      <c r="C751" s="117" t="s">
        <v>1740</v>
      </c>
      <c r="D751" s="118" t="s">
        <v>145</v>
      </c>
      <c r="E751" s="118" t="s">
        <v>402</v>
      </c>
      <c r="F751" s="120"/>
      <c r="G751" s="119">
        <v>-1</v>
      </c>
    </row>
    <row r="752" spans="2:7" x14ac:dyDescent="0.2">
      <c r="B752" s="116" t="s">
        <v>1741</v>
      </c>
      <c r="C752" s="117" t="s">
        <v>1742</v>
      </c>
      <c r="D752" s="118" t="s">
        <v>68</v>
      </c>
      <c r="E752" s="118" t="s">
        <v>87</v>
      </c>
      <c r="F752" s="120">
        <v>37.35</v>
      </c>
      <c r="G752" s="119">
        <v>0.1203493474610495</v>
      </c>
    </row>
    <row r="753" spans="2:7" x14ac:dyDescent="0.2">
      <c r="B753" s="116" t="s">
        <v>1743</v>
      </c>
      <c r="C753" s="117" t="s">
        <v>1744</v>
      </c>
      <c r="D753" s="118" t="s">
        <v>106</v>
      </c>
      <c r="E753" s="118" t="s">
        <v>563</v>
      </c>
      <c r="F753" s="120">
        <v>45.65</v>
      </c>
      <c r="G753" s="119">
        <v>0.1087740372144069</v>
      </c>
    </row>
    <row r="754" spans="2:7" x14ac:dyDescent="0.2">
      <c r="B754" s="116" t="s">
        <v>1745</v>
      </c>
      <c r="C754" s="117" t="s">
        <v>1746</v>
      </c>
      <c r="D754" s="118" t="s">
        <v>34</v>
      </c>
      <c r="E754" s="118" t="s">
        <v>245</v>
      </c>
      <c r="F754" s="120">
        <v>7.67</v>
      </c>
      <c r="G754" s="119">
        <v>9.2178677006525989E-2</v>
      </c>
    </row>
    <row r="755" spans="2:7" x14ac:dyDescent="0.2">
      <c r="B755" s="116" t="s">
        <v>1747</v>
      </c>
      <c r="C755" s="117" t="s">
        <v>1748</v>
      </c>
      <c r="D755" s="118" t="s">
        <v>92</v>
      </c>
      <c r="E755" s="118" t="s">
        <v>299</v>
      </c>
      <c r="F755" s="120">
        <v>-3.15</v>
      </c>
      <c r="G755" s="119">
        <v>-4.4467706637868087E-2</v>
      </c>
    </row>
    <row r="756" spans="2:7" x14ac:dyDescent="0.2">
      <c r="B756" s="116" t="s">
        <v>1749</v>
      </c>
      <c r="C756" s="117" t="s">
        <v>1750</v>
      </c>
      <c r="D756" s="118" t="s">
        <v>78</v>
      </c>
      <c r="E756" s="118" t="s">
        <v>340</v>
      </c>
      <c r="F756" s="120">
        <v>1.22</v>
      </c>
      <c r="G756" s="119">
        <v>-8.2668136428685021E-2</v>
      </c>
    </row>
    <row r="757" spans="2:7" x14ac:dyDescent="0.2">
      <c r="B757" s="116" t="s">
        <v>1751</v>
      </c>
      <c r="C757" s="117" t="s">
        <v>1752</v>
      </c>
      <c r="D757" s="118" t="s">
        <v>34</v>
      </c>
      <c r="E757" s="118" t="s">
        <v>1753</v>
      </c>
      <c r="F757" s="120">
        <v>6.19</v>
      </c>
      <c r="G757" s="119">
        <v>-2.084491192411923E-2</v>
      </c>
    </row>
    <row r="758" spans="2:7" x14ac:dyDescent="0.2">
      <c r="B758" s="116" t="s">
        <v>1754</v>
      </c>
      <c r="C758" s="117" t="s">
        <v>1755</v>
      </c>
      <c r="D758" s="118" t="s">
        <v>34</v>
      </c>
      <c r="E758" s="118" t="s">
        <v>99</v>
      </c>
      <c r="F758" s="120">
        <v>10.06</v>
      </c>
      <c r="G758" s="119">
        <v>0.1061918867924528</v>
      </c>
    </row>
    <row r="759" spans="2:7" x14ac:dyDescent="0.2">
      <c r="B759" s="116" t="s">
        <v>1756</v>
      </c>
      <c r="C759" s="117" t="s">
        <v>1757</v>
      </c>
      <c r="D759" s="118" t="s">
        <v>92</v>
      </c>
      <c r="E759" s="118" t="s">
        <v>722</v>
      </c>
      <c r="F759" s="120">
        <v>37.67</v>
      </c>
      <c r="G759" s="119">
        <v>3.1672250081255453E-2</v>
      </c>
    </row>
    <row r="760" spans="2:7" x14ac:dyDescent="0.2">
      <c r="B760" s="116" t="s">
        <v>1758</v>
      </c>
      <c r="C760" s="117" t="s">
        <v>1759</v>
      </c>
      <c r="D760" s="118" t="s">
        <v>68</v>
      </c>
      <c r="E760" s="118" t="s">
        <v>985</v>
      </c>
      <c r="F760" s="120">
        <v>33.51</v>
      </c>
      <c r="G760" s="119">
        <v>0.33103378524855342</v>
      </c>
    </row>
    <row r="761" spans="2:7" x14ac:dyDescent="0.2">
      <c r="B761" s="116" t="s">
        <v>1760</v>
      </c>
      <c r="C761" s="117" t="s">
        <v>1761</v>
      </c>
      <c r="D761" s="118" t="s">
        <v>145</v>
      </c>
      <c r="E761" s="118" t="s">
        <v>1093</v>
      </c>
      <c r="F761" s="120">
        <v>-1.56</v>
      </c>
      <c r="G761" s="119">
        <v>-1.9016445121427979E-2</v>
      </c>
    </row>
    <row r="762" spans="2:7" x14ac:dyDescent="0.2">
      <c r="B762" s="116" t="s">
        <v>1762</v>
      </c>
      <c r="C762" s="117" t="s">
        <v>1763</v>
      </c>
      <c r="D762" s="118" t="s">
        <v>106</v>
      </c>
      <c r="E762" s="118" t="s">
        <v>1764</v>
      </c>
      <c r="F762" s="120">
        <v>5.92</v>
      </c>
      <c r="G762" s="119">
        <v>-0.1087705097587086</v>
      </c>
    </row>
    <row r="763" spans="2:7" x14ac:dyDescent="0.2">
      <c r="B763" s="116" t="s">
        <v>1765</v>
      </c>
      <c r="C763" s="117" t="s">
        <v>1766</v>
      </c>
      <c r="D763" s="118" t="s">
        <v>34</v>
      </c>
      <c r="E763" s="118" t="s">
        <v>1767</v>
      </c>
      <c r="F763" s="120">
        <v>17.95</v>
      </c>
      <c r="G763" s="119">
        <v>-6.7439573386671392E-2</v>
      </c>
    </row>
    <row r="764" spans="2:7" x14ac:dyDescent="0.2">
      <c r="B764" s="116" t="s">
        <v>1768</v>
      </c>
      <c r="C764" s="117" t="s">
        <v>1769</v>
      </c>
      <c r="D764" s="118" t="s">
        <v>68</v>
      </c>
      <c r="E764" s="118" t="s">
        <v>985</v>
      </c>
      <c r="F764" s="120"/>
      <c r="G764" s="119">
        <v>0.1023008360482858</v>
      </c>
    </row>
    <row r="765" spans="2:7" x14ac:dyDescent="0.2">
      <c r="B765" s="116" t="s">
        <v>1770</v>
      </c>
      <c r="C765" s="117" t="s">
        <v>1771</v>
      </c>
      <c r="D765" s="118" t="s">
        <v>115</v>
      </c>
      <c r="E765" s="118" t="s">
        <v>1772</v>
      </c>
      <c r="F765" s="120"/>
      <c r="G765" s="119">
        <v>0.14931409768421991</v>
      </c>
    </row>
    <row r="766" spans="2:7" x14ac:dyDescent="0.2">
      <c r="B766" s="116" t="s">
        <v>1773</v>
      </c>
      <c r="C766" s="117" t="s">
        <v>1774</v>
      </c>
      <c r="D766" s="118" t="s">
        <v>106</v>
      </c>
      <c r="E766" s="118" t="s">
        <v>324</v>
      </c>
      <c r="F766" s="120">
        <v>19.79</v>
      </c>
      <c r="G766" s="119">
        <v>6.4054508259700382E-2</v>
      </c>
    </row>
    <row r="767" spans="2:7" x14ac:dyDescent="0.2">
      <c r="B767" s="116" t="s">
        <v>1775</v>
      </c>
      <c r="C767" s="117" t="s">
        <v>1776</v>
      </c>
      <c r="D767" s="118" t="s">
        <v>39</v>
      </c>
      <c r="E767" s="118" t="s">
        <v>383</v>
      </c>
      <c r="F767" s="120">
        <v>4.83</v>
      </c>
      <c r="G767" s="119">
        <v>5.9423654918880159E-2</v>
      </c>
    </row>
    <row r="768" spans="2:7" x14ac:dyDescent="0.2">
      <c r="B768" s="116" t="s">
        <v>1777</v>
      </c>
      <c r="C768" s="117" t="s">
        <v>1778</v>
      </c>
      <c r="D768" s="118" t="s">
        <v>34</v>
      </c>
      <c r="E768" s="118" t="s">
        <v>1281</v>
      </c>
      <c r="F768" s="120">
        <v>6.38</v>
      </c>
      <c r="G768" s="119">
        <v>6.196818416473876E-2</v>
      </c>
    </row>
    <row r="769" spans="2:7" x14ac:dyDescent="0.2">
      <c r="B769" s="116" t="s">
        <v>1779</v>
      </c>
      <c r="C769" s="117" t="s">
        <v>1780</v>
      </c>
      <c r="D769" s="118" t="s">
        <v>92</v>
      </c>
      <c r="E769" s="118" t="s">
        <v>272</v>
      </c>
      <c r="F769" s="120">
        <v>8.94</v>
      </c>
      <c r="G769" s="119">
        <v>1.427102107076598E-2</v>
      </c>
    </row>
    <row r="770" spans="2:7" x14ac:dyDescent="0.2">
      <c r="B770" s="116" t="s">
        <v>1781</v>
      </c>
      <c r="C770" s="117" t="s">
        <v>1782</v>
      </c>
      <c r="D770" s="118" t="s">
        <v>92</v>
      </c>
      <c r="E770" s="118" t="s">
        <v>784</v>
      </c>
      <c r="F770" s="120">
        <v>9.01</v>
      </c>
      <c r="G770" s="119">
        <v>-0.28575781297904962</v>
      </c>
    </row>
    <row r="771" spans="2:7" x14ac:dyDescent="0.2">
      <c r="B771" s="116" t="s">
        <v>1783</v>
      </c>
      <c r="C771" s="117" t="s">
        <v>1784</v>
      </c>
      <c r="D771" s="118" t="s">
        <v>92</v>
      </c>
      <c r="E771" s="118" t="s">
        <v>299</v>
      </c>
      <c r="F771" s="120"/>
      <c r="G771" s="119">
        <v>3.4959253850468802E-2</v>
      </c>
    </row>
    <row r="772" spans="2:7" x14ac:dyDescent="0.2">
      <c r="B772" s="116" t="s">
        <v>1785</v>
      </c>
      <c r="C772" s="117" t="s">
        <v>1786</v>
      </c>
      <c r="D772" s="118" t="s">
        <v>68</v>
      </c>
      <c r="E772" s="118" t="s">
        <v>82</v>
      </c>
      <c r="F772" s="120">
        <v>14.99</v>
      </c>
      <c r="G772" s="119">
        <v>0.1630645131840395</v>
      </c>
    </row>
    <row r="773" spans="2:7" x14ac:dyDescent="0.2">
      <c r="B773" s="116" t="s">
        <v>1787</v>
      </c>
      <c r="C773" s="117" t="s">
        <v>1788</v>
      </c>
      <c r="D773" s="118" t="s">
        <v>106</v>
      </c>
      <c r="E773" s="118" t="s">
        <v>107</v>
      </c>
      <c r="F773" s="120">
        <v>19.5</v>
      </c>
      <c r="G773" s="119">
        <v>6.7822694339622749E-2</v>
      </c>
    </row>
    <row r="774" spans="2:7" x14ac:dyDescent="0.2">
      <c r="B774" s="116" t="s">
        <v>1789</v>
      </c>
      <c r="C774" s="117" t="s">
        <v>1790</v>
      </c>
      <c r="D774" s="118" t="s">
        <v>34</v>
      </c>
      <c r="E774" s="118" t="s">
        <v>35</v>
      </c>
      <c r="F774" s="120">
        <v>4.87</v>
      </c>
      <c r="G774" s="119">
        <v>4.0540860730939633E-2</v>
      </c>
    </row>
    <row r="775" spans="2:7" x14ac:dyDescent="0.2">
      <c r="B775" s="116" t="s">
        <v>1791</v>
      </c>
      <c r="C775" s="117" t="s">
        <v>1792</v>
      </c>
      <c r="D775" s="118" t="s">
        <v>678</v>
      </c>
      <c r="E775" s="118" t="s">
        <v>679</v>
      </c>
      <c r="F775" s="120">
        <v>1.61</v>
      </c>
      <c r="G775" s="119">
        <v>3.8680904156496991E-2</v>
      </c>
    </row>
    <row r="776" spans="2:7" x14ac:dyDescent="0.2">
      <c r="B776" s="116" t="s">
        <v>1793</v>
      </c>
      <c r="C776" s="117" t="s">
        <v>1794</v>
      </c>
      <c r="D776" s="118" t="s">
        <v>92</v>
      </c>
      <c r="E776" s="118" t="s">
        <v>299</v>
      </c>
      <c r="F776" s="120">
        <v>3.9</v>
      </c>
      <c r="G776" s="119">
        <v>-0.35114819125639768</v>
      </c>
    </row>
    <row r="777" spans="2:7" x14ac:dyDescent="0.2">
      <c r="B777" s="116" t="s">
        <v>1795</v>
      </c>
      <c r="C777" s="117" t="s">
        <v>1796</v>
      </c>
      <c r="D777" s="118" t="s">
        <v>39</v>
      </c>
      <c r="E777" s="118" t="s">
        <v>383</v>
      </c>
      <c r="F777" s="120">
        <v>1.1299999999999999</v>
      </c>
      <c r="G777" s="119">
        <v>-3.4151517470205797E-2</v>
      </c>
    </row>
    <row r="778" spans="2:7" x14ac:dyDescent="0.2">
      <c r="B778" s="116" t="s">
        <v>1797</v>
      </c>
      <c r="C778" s="117" t="s">
        <v>1798</v>
      </c>
      <c r="D778" s="118" t="s">
        <v>92</v>
      </c>
      <c r="E778" s="118" t="s">
        <v>195</v>
      </c>
      <c r="F778" s="120">
        <v>0.9</v>
      </c>
      <c r="G778" s="119">
        <v>0.1872221222784666</v>
      </c>
    </row>
    <row r="779" spans="2:7" x14ac:dyDescent="0.2">
      <c r="B779" s="116" t="s">
        <v>1799</v>
      </c>
      <c r="C779" s="117" t="s">
        <v>1800</v>
      </c>
      <c r="D779" s="118" t="s">
        <v>92</v>
      </c>
      <c r="E779" s="118" t="s">
        <v>434</v>
      </c>
      <c r="F779" s="120">
        <v>6.23</v>
      </c>
      <c r="G779" s="119">
        <v>5.6131973648152193E-2</v>
      </c>
    </row>
    <row r="780" spans="2:7" x14ac:dyDescent="0.2">
      <c r="B780" s="116" t="s">
        <v>1801</v>
      </c>
      <c r="C780" s="117" t="s">
        <v>1802</v>
      </c>
      <c r="D780" s="118" t="s">
        <v>78</v>
      </c>
      <c r="E780" s="118" t="s">
        <v>650</v>
      </c>
      <c r="F780" s="120"/>
      <c r="G780" s="119">
        <v>1.380080152147176E-3</v>
      </c>
    </row>
    <row r="781" spans="2:7" x14ac:dyDescent="0.2">
      <c r="B781" s="116" t="s">
        <v>1803</v>
      </c>
      <c r="C781" s="117" t="s">
        <v>1804</v>
      </c>
      <c r="D781" s="118" t="s">
        <v>68</v>
      </c>
      <c r="E781" s="118" t="s">
        <v>985</v>
      </c>
      <c r="F781" s="120">
        <v>12.51</v>
      </c>
      <c r="G781" s="119">
        <v>0.11577114843568199</v>
      </c>
    </row>
    <row r="782" spans="2:7" x14ac:dyDescent="0.2">
      <c r="B782" s="116" t="s">
        <v>1805</v>
      </c>
      <c r="C782" s="117" t="s">
        <v>1806</v>
      </c>
      <c r="D782" s="118" t="s">
        <v>92</v>
      </c>
      <c r="E782" s="118" t="s">
        <v>272</v>
      </c>
      <c r="F782" s="120"/>
      <c r="G782" s="119">
        <v>-0.18954327982861921</v>
      </c>
    </row>
    <row r="783" spans="2:7" x14ac:dyDescent="0.2">
      <c r="B783" s="116" t="s">
        <v>1807</v>
      </c>
      <c r="C783" s="117" t="s">
        <v>1808</v>
      </c>
      <c r="D783" s="118" t="s">
        <v>48</v>
      </c>
      <c r="E783" s="118" t="s">
        <v>1809</v>
      </c>
      <c r="F783" s="120">
        <v>8.81</v>
      </c>
      <c r="G783" s="119">
        <v>6.2313348895572288E-2</v>
      </c>
    </row>
    <row r="784" spans="2:7" x14ac:dyDescent="0.2">
      <c r="B784" s="116" t="s">
        <v>1810</v>
      </c>
      <c r="C784" s="117" t="s">
        <v>1811</v>
      </c>
      <c r="D784" s="118" t="s">
        <v>34</v>
      </c>
      <c r="E784" s="118" t="s">
        <v>1812</v>
      </c>
      <c r="F784" s="120">
        <v>8.16</v>
      </c>
      <c r="G784" s="119">
        <v>0.19434386356991629</v>
      </c>
    </row>
    <row r="785" spans="2:7" x14ac:dyDescent="0.2">
      <c r="B785" s="116" t="s">
        <v>1813</v>
      </c>
      <c r="C785" s="117" t="s">
        <v>1814</v>
      </c>
      <c r="D785" s="118" t="s">
        <v>48</v>
      </c>
      <c r="E785" s="118" t="s">
        <v>49</v>
      </c>
      <c r="F785" s="120">
        <v>6.48</v>
      </c>
      <c r="G785" s="119">
        <v>6.6426843823452542E-2</v>
      </c>
    </row>
    <row r="786" spans="2:7" x14ac:dyDescent="0.2">
      <c r="B786" s="116" t="s">
        <v>1815</v>
      </c>
      <c r="C786" s="117" t="s">
        <v>1816</v>
      </c>
      <c r="D786" s="118" t="s">
        <v>39</v>
      </c>
      <c r="E786" s="118" t="s">
        <v>1817</v>
      </c>
      <c r="F786" s="120">
        <v>18.28</v>
      </c>
      <c r="G786" s="119">
        <v>2.6846918789394141E-2</v>
      </c>
    </row>
    <row r="787" spans="2:7" x14ac:dyDescent="0.2">
      <c r="B787" s="116" t="s">
        <v>1818</v>
      </c>
      <c r="C787" s="117" t="s">
        <v>1819</v>
      </c>
      <c r="D787" s="118" t="s">
        <v>39</v>
      </c>
      <c r="E787" s="118" t="s">
        <v>62</v>
      </c>
      <c r="F787" s="120">
        <v>36.42</v>
      </c>
      <c r="G787" s="119">
        <v>-0.23219172993630571</v>
      </c>
    </row>
    <row r="788" spans="2:7" x14ac:dyDescent="0.2">
      <c r="B788" s="116" t="s">
        <v>1820</v>
      </c>
      <c r="C788" s="117" t="s">
        <v>1821</v>
      </c>
      <c r="D788" s="118" t="s">
        <v>34</v>
      </c>
      <c r="E788" s="118" t="s">
        <v>319</v>
      </c>
      <c r="F788" s="120">
        <v>19.55</v>
      </c>
      <c r="G788" s="119">
        <v>0.109403669344819</v>
      </c>
    </row>
    <row r="789" spans="2:7" x14ac:dyDescent="0.2">
      <c r="B789" s="116" t="s">
        <v>1822</v>
      </c>
      <c r="C789" s="117" t="s">
        <v>1823</v>
      </c>
      <c r="D789" s="118" t="s">
        <v>52</v>
      </c>
      <c r="E789" s="118" t="s">
        <v>281</v>
      </c>
      <c r="F789" s="120">
        <v>37.67</v>
      </c>
      <c r="G789" s="119">
        <v>0.1980447552143681</v>
      </c>
    </row>
    <row r="790" spans="2:7" x14ac:dyDescent="0.2">
      <c r="B790" s="116" t="s">
        <v>1824</v>
      </c>
      <c r="C790" s="117" t="s">
        <v>1825</v>
      </c>
      <c r="D790" s="118" t="s">
        <v>102</v>
      </c>
      <c r="E790" s="118" t="s">
        <v>103</v>
      </c>
      <c r="F790" s="120">
        <v>2.5099999999999998</v>
      </c>
      <c r="G790" s="119">
        <v>-0.158154397333271</v>
      </c>
    </row>
    <row r="791" spans="2:7" x14ac:dyDescent="0.2">
      <c r="B791" s="116" t="s">
        <v>1826</v>
      </c>
      <c r="C791" s="117" t="s">
        <v>1827</v>
      </c>
      <c r="D791" s="118" t="s">
        <v>145</v>
      </c>
      <c r="E791" s="118" t="s">
        <v>1467</v>
      </c>
      <c r="F791" s="120"/>
      <c r="G791" s="119">
        <v>0.1171423646368656</v>
      </c>
    </row>
    <row r="792" spans="2:7" x14ac:dyDescent="0.2">
      <c r="B792" s="116" t="s">
        <v>1828</v>
      </c>
      <c r="C792" s="117" t="s">
        <v>1829</v>
      </c>
      <c r="D792" s="118" t="s">
        <v>92</v>
      </c>
      <c r="E792" s="118" t="s">
        <v>195</v>
      </c>
      <c r="F792" s="120">
        <v>25.09</v>
      </c>
      <c r="G792" s="119">
        <v>-6.2630094519597598E-2</v>
      </c>
    </row>
    <row r="793" spans="2:7" x14ac:dyDescent="0.2">
      <c r="B793" s="116" t="s">
        <v>1830</v>
      </c>
      <c r="C793" s="117" t="s">
        <v>1831</v>
      </c>
      <c r="D793" s="118" t="s">
        <v>78</v>
      </c>
      <c r="E793" s="118" t="s">
        <v>340</v>
      </c>
      <c r="F793" s="120">
        <v>5.53</v>
      </c>
      <c r="G793" s="119">
        <v>3.6880529224173543E-2</v>
      </c>
    </row>
    <row r="794" spans="2:7" x14ac:dyDescent="0.2">
      <c r="B794" s="116" t="s">
        <v>1832</v>
      </c>
      <c r="C794" s="117" t="s">
        <v>1833</v>
      </c>
      <c r="D794" s="118" t="s">
        <v>34</v>
      </c>
      <c r="E794" s="118" t="s">
        <v>1834</v>
      </c>
      <c r="F794" s="120">
        <v>5.77</v>
      </c>
      <c r="G794" s="119">
        <v>6.9012468683381775E-2</v>
      </c>
    </row>
    <row r="795" spans="2:7" x14ac:dyDescent="0.2">
      <c r="B795" s="116" t="s">
        <v>1835</v>
      </c>
      <c r="C795" s="117" t="s">
        <v>1836</v>
      </c>
      <c r="D795" s="118" t="s">
        <v>92</v>
      </c>
      <c r="E795" s="118" t="s">
        <v>722</v>
      </c>
      <c r="F795" s="120">
        <v>29.02</v>
      </c>
      <c r="G795" s="119">
        <v>9.8585894450436293E-2</v>
      </c>
    </row>
    <row r="796" spans="2:7" x14ac:dyDescent="0.2">
      <c r="B796" s="116" t="s">
        <v>1837</v>
      </c>
      <c r="C796" s="117" t="s">
        <v>1838</v>
      </c>
      <c r="D796" s="118" t="s">
        <v>145</v>
      </c>
      <c r="E796" s="118" t="s">
        <v>179</v>
      </c>
      <c r="F796" s="120"/>
      <c r="G796" s="119">
        <v>1.34892354046381E-2</v>
      </c>
    </row>
    <row r="797" spans="2:7" x14ac:dyDescent="0.2">
      <c r="B797" s="116" t="s">
        <v>1839</v>
      </c>
      <c r="C797" s="117" t="s">
        <v>1840</v>
      </c>
      <c r="D797" s="118" t="s">
        <v>68</v>
      </c>
      <c r="E797" s="118" t="s">
        <v>69</v>
      </c>
      <c r="F797" s="120">
        <v>3</v>
      </c>
      <c r="G797" s="119">
        <v>-8.759507728515768E-4</v>
      </c>
    </row>
    <row r="798" spans="2:7" x14ac:dyDescent="0.2">
      <c r="B798" s="116" t="s">
        <v>1841</v>
      </c>
      <c r="C798" s="117" t="s">
        <v>1842</v>
      </c>
      <c r="D798" s="118" t="s">
        <v>34</v>
      </c>
      <c r="E798" s="118" t="s">
        <v>1253</v>
      </c>
      <c r="F798" s="120">
        <v>0.12</v>
      </c>
      <c r="G798" s="119">
        <v>-3.5951789133942973E-2</v>
      </c>
    </row>
    <row r="799" spans="2:7" x14ac:dyDescent="0.2">
      <c r="B799" s="116" t="s">
        <v>1843</v>
      </c>
      <c r="C799" s="117" t="s">
        <v>1844</v>
      </c>
      <c r="D799" s="118" t="s">
        <v>92</v>
      </c>
      <c r="E799" s="118" t="s">
        <v>461</v>
      </c>
      <c r="F799" s="120">
        <v>9.24</v>
      </c>
      <c r="G799" s="119">
        <v>-0.13658569993607891</v>
      </c>
    </row>
    <row r="800" spans="2:7" x14ac:dyDescent="0.2">
      <c r="B800" s="116" t="s">
        <v>1845</v>
      </c>
      <c r="C800" s="117" t="s">
        <v>1846</v>
      </c>
      <c r="D800" s="118" t="s">
        <v>52</v>
      </c>
      <c r="E800" s="118" t="s">
        <v>714</v>
      </c>
      <c r="F800" s="120">
        <v>4.9800000000000004</v>
      </c>
      <c r="G800" s="119">
        <v>1.1927687652780289E-2</v>
      </c>
    </row>
    <row r="801" spans="2:7" x14ac:dyDescent="0.2">
      <c r="B801" s="116" t="s">
        <v>1847</v>
      </c>
      <c r="C801" s="117" t="s">
        <v>1848</v>
      </c>
      <c r="D801" s="118" t="s">
        <v>52</v>
      </c>
      <c r="E801" s="118" t="s">
        <v>714</v>
      </c>
      <c r="F801" s="120"/>
      <c r="G801" s="119">
        <v>-3.1646747052748191E-2</v>
      </c>
    </row>
    <row r="802" spans="2:7" x14ac:dyDescent="0.2">
      <c r="B802" s="116" t="s">
        <v>1849</v>
      </c>
      <c r="C802" s="117" t="s">
        <v>1850</v>
      </c>
      <c r="D802" s="118" t="s">
        <v>145</v>
      </c>
      <c r="E802" s="118" t="s">
        <v>917</v>
      </c>
      <c r="F802" s="120">
        <v>11.51</v>
      </c>
      <c r="G802" s="119">
        <v>2.682279031782998E-2</v>
      </c>
    </row>
    <row r="803" spans="2:7" x14ac:dyDescent="0.2">
      <c r="B803" s="116" t="s">
        <v>1851</v>
      </c>
      <c r="C803" s="117" t="s">
        <v>1852</v>
      </c>
      <c r="D803" s="118" t="s">
        <v>52</v>
      </c>
      <c r="E803" s="118" t="s">
        <v>657</v>
      </c>
      <c r="F803" s="120">
        <v>3.68</v>
      </c>
      <c r="G803" s="119">
        <v>-3.1610576923076922E-2</v>
      </c>
    </row>
    <row r="804" spans="2:7" x14ac:dyDescent="0.2">
      <c r="B804" s="116" t="s">
        <v>1853</v>
      </c>
      <c r="C804" s="117" t="s">
        <v>1854</v>
      </c>
      <c r="D804" s="118" t="s">
        <v>78</v>
      </c>
      <c r="E804" s="118" t="s">
        <v>340</v>
      </c>
      <c r="F804" s="120">
        <v>-1.51</v>
      </c>
      <c r="G804" s="119">
        <v>-6.0235919391743193E-4</v>
      </c>
    </row>
    <row r="805" spans="2:7" x14ac:dyDescent="0.2">
      <c r="B805" s="116" t="s">
        <v>1855</v>
      </c>
      <c r="C805" s="117" t="s">
        <v>1856</v>
      </c>
      <c r="D805" s="118" t="s">
        <v>52</v>
      </c>
      <c r="E805" s="118" t="s">
        <v>1099</v>
      </c>
      <c r="F805" s="120">
        <v>12.2</v>
      </c>
      <c r="G805" s="119">
        <v>-0.26380915481748718</v>
      </c>
    </row>
    <row r="806" spans="2:7" x14ac:dyDescent="0.2">
      <c r="B806" s="116" t="s">
        <v>1857</v>
      </c>
      <c r="C806" s="117" t="s">
        <v>1858</v>
      </c>
      <c r="D806" s="118" t="s">
        <v>92</v>
      </c>
      <c r="E806" s="118" t="s">
        <v>299</v>
      </c>
      <c r="F806" s="120">
        <v>3.57</v>
      </c>
      <c r="G806" s="119">
        <v>-1</v>
      </c>
    </row>
    <row r="807" spans="2:7" x14ac:dyDescent="0.2">
      <c r="B807" s="116" t="s">
        <v>1859</v>
      </c>
      <c r="C807" s="117" t="s">
        <v>1860</v>
      </c>
      <c r="D807" s="118" t="s">
        <v>92</v>
      </c>
      <c r="E807" s="118" t="s">
        <v>299</v>
      </c>
      <c r="F807" s="120">
        <v>-3.52</v>
      </c>
      <c r="G807" s="119">
        <v>-0.2718408433159597</v>
      </c>
    </row>
    <row r="808" spans="2:7" x14ac:dyDescent="0.2">
      <c r="B808" s="116" t="s">
        <v>1861</v>
      </c>
      <c r="C808" s="117" t="s">
        <v>1862</v>
      </c>
      <c r="D808" s="118" t="s">
        <v>102</v>
      </c>
      <c r="E808" s="118" t="s">
        <v>103</v>
      </c>
      <c r="F808" s="120">
        <v>-5.65</v>
      </c>
      <c r="G808" s="119">
        <v>0.14631184001628331</v>
      </c>
    </row>
    <row r="809" spans="2:7" x14ac:dyDescent="0.2">
      <c r="B809" s="116" t="s">
        <v>1863</v>
      </c>
      <c r="C809" s="117" t="s">
        <v>1864</v>
      </c>
      <c r="D809" s="118" t="s">
        <v>78</v>
      </c>
      <c r="E809" s="118" t="s">
        <v>736</v>
      </c>
      <c r="F809" s="120">
        <v>11.57</v>
      </c>
      <c r="G809" s="119">
        <v>0.50533644987906479</v>
      </c>
    </row>
    <row r="810" spans="2:7" x14ac:dyDescent="0.2">
      <c r="B810" s="116" t="s">
        <v>1865</v>
      </c>
      <c r="C810" s="117" t="s">
        <v>1866</v>
      </c>
      <c r="D810" s="118" t="s">
        <v>138</v>
      </c>
      <c r="E810" s="118" t="s">
        <v>139</v>
      </c>
      <c r="F810" s="120">
        <v>-3.07</v>
      </c>
      <c r="G810" s="119">
        <v>-1</v>
      </c>
    </row>
    <row r="811" spans="2:7" x14ac:dyDescent="0.2">
      <c r="B811" s="116" t="s">
        <v>1867</v>
      </c>
      <c r="C811" s="117" t="s">
        <v>1868</v>
      </c>
      <c r="D811" s="118" t="s">
        <v>48</v>
      </c>
      <c r="E811" s="118" t="s">
        <v>265</v>
      </c>
      <c r="F811" s="120">
        <v>4.4000000000000004</v>
      </c>
      <c r="G811" s="119">
        <v>-4.5140774901537362E-3</v>
      </c>
    </row>
    <row r="812" spans="2:7" x14ac:dyDescent="0.2">
      <c r="B812" s="116" t="s">
        <v>1869</v>
      </c>
      <c r="C812" s="117" t="s">
        <v>1870</v>
      </c>
      <c r="D812" s="118" t="s">
        <v>92</v>
      </c>
      <c r="E812" s="118" t="s">
        <v>461</v>
      </c>
      <c r="F812" s="120">
        <v>15.91</v>
      </c>
      <c r="G812" s="119">
        <v>-0.12828983903692681</v>
      </c>
    </row>
    <row r="813" spans="2:7" x14ac:dyDescent="0.2">
      <c r="B813" s="116" t="s">
        <v>1871</v>
      </c>
      <c r="C813" s="117" t="s">
        <v>1872</v>
      </c>
      <c r="D813" s="118" t="s">
        <v>34</v>
      </c>
      <c r="E813" s="118" t="s">
        <v>375</v>
      </c>
      <c r="F813" s="120">
        <v>8.6</v>
      </c>
      <c r="G813" s="119">
        <v>0.1049690097988653</v>
      </c>
    </row>
    <row r="814" spans="2:7" x14ac:dyDescent="0.2">
      <c r="B814" s="116" t="s">
        <v>1873</v>
      </c>
      <c r="C814" s="117" t="s">
        <v>1874</v>
      </c>
      <c r="D814" s="118" t="s">
        <v>145</v>
      </c>
      <c r="E814" s="118" t="s">
        <v>146</v>
      </c>
      <c r="F814" s="120">
        <v>-0.77</v>
      </c>
      <c r="G814" s="119">
        <v>6.9006421589989486E-2</v>
      </c>
    </row>
    <row r="815" spans="2:7" x14ac:dyDescent="0.2">
      <c r="B815" s="116" t="s">
        <v>1875</v>
      </c>
      <c r="C815" s="117" t="s">
        <v>1876</v>
      </c>
      <c r="D815" s="118" t="s">
        <v>34</v>
      </c>
      <c r="E815" s="118" t="s">
        <v>319</v>
      </c>
      <c r="F815" s="120"/>
      <c r="G815" s="119">
        <v>0.1029625911121561</v>
      </c>
    </row>
    <row r="816" spans="2:7" x14ac:dyDescent="0.2">
      <c r="B816" s="116" t="s">
        <v>1877</v>
      </c>
      <c r="C816" s="117" t="s">
        <v>1878</v>
      </c>
      <c r="D816" s="118" t="s">
        <v>52</v>
      </c>
      <c r="E816" s="118" t="s">
        <v>1099</v>
      </c>
      <c r="F816" s="120"/>
      <c r="G816" s="119">
        <v>-0.1081123621943753</v>
      </c>
    </row>
    <row r="817" spans="2:7" x14ac:dyDescent="0.2">
      <c r="B817" s="116" t="s">
        <v>1879</v>
      </c>
      <c r="C817" s="117" t="s">
        <v>1880</v>
      </c>
      <c r="D817" s="118" t="s">
        <v>78</v>
      </c>
      <c r="E817" s="118" t="s">
        <v>340</v>
      </c>
      <c r="F817" s="120">
        <v>8.81</v>
      </c>
      <c r="G817" s="119">
        <v>-3.2116741688563953E-2</v>
      </c>
    </row>
    <row r="818" spans="2:7" x14ac:dyDescent="0.2">
      <c r="B818" s="116" t="s">
        <v>1881</v>
      </c>
      <c r="C818" s="117" t="s">
        <v>1882</v>
      </c>
      <c r="D818" s="118" t="s">
        <v>48</v>
      </c>
      <c r="E818" s="118" t="s">
        <v>370</v>
      </c>
      <c r="F818" s="120">
        <v>4.3</v>
      </c>
      <c r="G818" s="119">
        <v>0.13612389520885379</v>
      </c>
    </row>
    <row r="819" spans="2:7" x14ac:dyDescent="0.2">
      <c r="B819" s="116" t="s">
        <v>1883</v>
      </c>
      <c r="C819" s="117" t="s">
        <v>1884</v>
      </c>
      <c r="D819" s="118" t="s">
        <v>39</v>
      </c>
      <c r="E819" s="118" t="s">
        <v>363</v>
      </c>
      <c r="F819" s="120">
        <v>22.41</v>
      </c>
      <c r="G819" s="119">
        <v>4.2195719373378246E-3</v>
      </c>
    </row>
    <row r="820" spans="2:7" x14ac:dyDescent="0.2">
      <c r="B820" s="116" t="s">
        <v>1885</v>
      </c>
      <c r="C820" s="117" t="s">
        <v>1886</v>
      </c>
      <c r="D820" s="118" t="s">
        <v>678</v>
      </c>
      <c r="E820" s="118" t="s">
        <v>679</v>
      </c>
      <c r="F820" s="120"/>
      <c r="G820" s="119">
        <v>-0.16130266746590741</v>
      </c>
    </row>
    <row r="821" spans="2:7" x14ac:dyDescent="0.2">
      <c r="B821" s="116" t="s">
        <v>1887</v>
      </c>
      <c r="C821" s="117" t="s">
        <v>1888</v>
      </c>
      <c r="D821" s="118" t="s">
        <v>92</v>
      </c>
      <c r="E821" s="118" t="s">
        <v>195</v>
      </c>
      <c r="F821" s="120"/>
      <c r="G821" s="119">
        <v>-0.25228020652464278</v>
      </c>
    </row>
    <row r="822" spans="2:7" x14ac:dyDescent="0.2">
      <c r="B822" s="116" t="s">
        <v>1889</v>
      </c>
      <c r="C822" s="117" t="s">
        <v>1890</v>
      </c>
      <c r="D822" s="118" t="s">
        <v>145</v>
      </c>
      <c r="E822" s="118" t="s">
        <v>146</v>
      </c>
      <c r="F822" s="120">
        <v>48.78</v>
      </c>
      <c r="G822" s="119">
        <v>0.44776994464521619</v>
      </c>
    </row>
    <row r="823" spans="2:7" x14ac:dyDescent="0.2">
      <c r="B823" s="116" t="s">
        <v>1891</v>
      </c>
      <c r="C823" s="117" t="s">
        <v>1892</v>
      </c>
      <c r="D823" s="118" t="s">
        <v>34</v>
      </c>
      <c r="E823" s="118" t="s">
        <v>1096</v>
      </c>
      <c r="F823" s="120">
        <v>11.97</v>
      </c>
      <c r="G823" s="119">
        <v>0.21217538138282749</v>
      </c>
    </row>
    <row r="824" spans="2:7" x14ac:dyDescent="0.2">
      <c r="B824" s="116" t="s">
        <v>1893</v>
      </c>
      <c r="C824" s="117" t="s">
        <v>1894</v>
      </c>
      <c r="D824" s="118" t="s">
        <v>92</v>
      </c>
      <c r="E824" s="118" t="s">
        <v>112</v>
      </c>
      <c r="F824" s="120"/>
      <c r="G824" s="119">
        <v>-2.8088191895879851E-2</v>
      </c>
    </row>
    <row r="825" spans="2:7" x14ac:dyDescent="0.2">
      <c r="B825" s="116" t="s">
        <v>1895</v>
      </c>
      <c r="C825" s="117" t="s">
        <v>1896</v>
      </c>
      <c r="D825" s="118" t="s">
        <v>241</v>
      </c>
      <c r="E825" s="118" t="s">
        <v>1897</v>
      </c>
      <c r="F825" s="120"/>
      <c r="G825" s="119">
        <v>0.14442944889872189</v>
      </c>
    </row>
    <row r="826" spans="2:7" x14ac:dyDescent="0.2">
      <c r="B826" s="116" t="s">
        <v>1898</v>
      </c>
      <c r="C826" s="117" t="s">
        <v>1899</v>
      </c>
      <c r="D826" s="118" t="s">
        <v>78</v>
      </c>
      <c r="E826" s="118" t="s">
        <v>128</v>
      </c>
      <c r="F826" s="120">
        <v>-2.23</v>
      </c>
      <c r="G826" s="119">
        <v>-4.9287731256084197E-4</v>
      </c>
    </row>
    <row r="827" spans="2:7" x14ac:dyDescent="0.2">
      <c r="B827" s="116" t="s">
        <v>1900</v>
      </c>
      <c r="C827" s="117" t="s">
        <v>1901</v>
      </c>
      <c r="D827" s="118" t="s">
        <v>241</v>
      </c>
      <c r="E827" s="118" t="s">
        <v>937</v>
      </c>
      <c r="F827" s="120">
        <v>-2.75</v>
      </c>
      <c r="G827" s="119">
        <v>7.8938277714932941E-4</v>
      </c>
    </row>
    <row r="828" spans="2:7" x14ac:dyDescent="0.2">
      <c r="B828" s="116" t="s">
        <v>1902</v>
      </c>
      <c r="C828" s="117" t="s">
        <v>1903</v>
      </c>
      <c r="D828" s="118" t="s">
        <v>92</v>
      </c>
      <c r="E828" s="118" t="s">
        <v>142</v>
      </c>
      <c r="F828" s="120">
        <v>14.38</v>
      </c>
      <c r="G828" s="119">
        <v>0.31541429760274892</v>
      </c>
    </row>
    <row r="829" spans="2:7" x14ac:dyDescent="0.2">
      <c r="B829" s="116" t="s">
        <v>1904</v>
      </c>
      <c r="C829" s="117" t="s">
        <v>1905</v>
      </c>
      <c r="D829" s="118" t="s">
        <v>39</v>
      </c>
      <c r="E829" s="118" t="s">
        <v>709</v>
      </c>
      <c r="F829" s="120">
        <v>7.11</v>
      </c>
      <c r="G829" s="119">
        <v>-4.7718098038906642E-2</v>
      </c>
    </row>
    <row r="830" spans="2:7" x14ac:dyDescent="0.2">
      <c r="B830" s="116" t="s">
        <v>1906</v>
      </c>
      <c r="C830" s="117" t="s">
        <v>1907</v>
      </c>
      <c r="D830" s="118" t="s">
        <v>52</v>
      </c>
      <c r="E830" s="118" t="s">
        <v>56</v>
      </c>
      <c r="F830" s="120">
        <v>6.7</v>
      </c>
      <c r="G830" s="119">
        <v>7.8836774683460842E-2</v>
      </c>
    </row>
    <row r="831" spans="2:7" x14ac:dyDescent="0.2">
      <c r="B831" s="116" t="s">
        <v>1908</v>
      </c>
      <c r="C831" s="117" t="s">
        <v>1909</v>
      </c>
      <c r="D831" s="118" t="s">
        <v>34</v>
      </c>
      <c r="E831" s="118" t="s">
        <v>700</v>
      </c>
      <c r="F831" s="120">
        <v>0.99</v>
      </c>
      <c r="G831" s="119">
        <v>4.0938040805364548E-2</v>
      </c>
    </row>
    <row r="832" spans="2:7" x14ac:dyDescent="0.2">
      <c r="B832" s="116" t="s">
        <v>1910</v>
      </c>
      <c r="C832" s="117" t="s">
        <v>1911</v>
      </c>
      <c r="D832" s="118" t="s">
        <v>34</v>
      </c>
      <c r="E832" s="118" t="s">
        <v>99</v>
      </c>
      <c r="F832" s="120">
        <v>2.2200000000000002</v>
      </c>
      <c r="G832" s="119">
        <v>6.4159445436616988E-2</v>
      </c>
    </row>
    <row r="833" spans="2:7" x14ac:dyDescent="0.2">
      <c r="B833" s="116" t="s">
        <v>1912</v>
      </c>
      <c r="C833" s="117" t="s">
        <v>1913</v>
      </c>
      <c r="D833" s="118" t="s">
        <v>48</v>
      </c>
      <c r="E833" s="118" t="s">
        <v>1809</v>
      </c>
      <c r="F833" s="120">
        <v>3.75</v>
      </c>
      <c r="G833" s="119">
        <v>-5.7034082637390481E-2</v>
      </c>
    </row>
    <row r="834" spans="2:7" x14ac:dyDescent="0.2">
      <c r="B834" s="116" t="s">
        <v>1914</v>
      </c>
      <c r="C834" s="117" t="s">
        <v>1915</v>
      </c>
      <c r="D834" s="118" t="s">
        <v>78</v>
      </c>
      <c r="E834" s="118" t="s">
        <v>736</v>
      </c>
      <c r="F834" s="120">
        <v>-8.8000000000000007</v>
      </c>
      <c r="G834" s="119">
        <v>0.15682632376946251</v>
      </c>
    </row>
    <row r="835" spans="2:7" x14ac:dyDescent="0.2">
      <c r="B835" s="116" t="s">
        <v>1916</v>
      </c>
      <c r="C835" s="117" t="s">
        <v>1917</v>
      </c>
      <c r="D835" s="118" t="s">
        <v>78</v>
      </c>
      <c r="E835" s="118" t="s">
        <v>736</v>
      </c>
      <c r="F835" s="120">
        <v>-0.84</v>
      </c>
      <c r="G835" s="119">
        <v>2.6663229100514121E-2</v>
      </c>
    </row>
    <row r="836" spans="2:7" x14ac:dyDescent="0.2">
      <c r="B836" s="116" t="s">
        <v>1918</v>
      </c>
      <c r="C836" s="117" t="s">
        <v>1919</v>
      </c>
      <c r="D836" s="118" t="s">
        <v>52</v>
      </c>
      <c r="E836" s="118" t="s">
        <v>714</v>
      </c>
      <c r="F836" s="120">
        <v>3.45</v>
      </c>
      <c r="G836" s="119">
        <v>1.135746975124214E-2</v>
      </c>
    </row>
    <row r="837" spans="2:7" x14ac:dyDescent="0.2">
      <c r="B837" s="116" t="s">
        <v>1920</v>
      </c>
      <c r="C837" s="117" t="s">
        <v>1921</v>
      </c>
      <c r="D837" s="118" t="s">
        <v>92</v>
      </c>
      <c r="E837" s="118" t="s">
        <v>272</v>
      </c>
      <c r="F837" s="120">
        <v>9.49</v>
      </c>
      <c r="G837" s="119">
        <v>9.0351933627726616E-2</v>
      </c>
    </row>
    <row r="838" spans="2:7" x14ac:dyDescent="0.2">
      <c r="B838" s="116" t="s">
        <v>1922</v>
      </c>
      <c r="C838" s="117" t="s">
        <v>1923</v>
      </c>
      <c r="D838" s="118" t="s">
        <v>52</v>
      </c>
      <c r="E838" s="118" t="s">
        <v>1924</v>
      </c>
      <c r="F838" s="120">
        <v>1.23</v>
      </c>
      <c r="G838" s="119">
        <v>-1.9168315784270161E-2</v>
      </c>
    </row>
    <row r="839" spans="2:7" x14ac:dyDescent="0.2">
      <c r="B839" s="116" t="s">
        <v>1925</v>
      </c>
      <c r="C839" s="117" t="s">
        <v>1926</v>
      </c>
      <c r="D839" s="118" t="s">
        <v>48</v>
      </c>
      <c r="E839" s="118" t="s">
        <v>835</v>
      </c>
      <c r="F839" s="120">
        <v>2.11</v>
      </c>
      <c r="G839" s="119">
        <v>5.0569672070744323E-2</v>
      </c>
    </row>
    <row r="840" spans="2:7" x14ac:dyDescent="0.2">
      <c r="B840" s="116" t="s">
        <v>1927</v>
      </c>
      <c r="C840" s="117" t="s">
        <v>1928</v>
      </c>
      <c r="D840" s="118" t="s">
        <v>34</v>
      </c>
      <c r="E840" s="118" t="s">
        <v>278</v>
      </c>
      <c r="F840" s="120"/>
      <c r="G840" s="119">
        <v>-1</v>
      </c>
    </row>
    <row r="841" spans="2:7" x14ac:dyDescent="0.2">
      <c r="B841" s="116" t="s">
        <v>1929</v>
      </c>
      <c r="C841" s="117" t="s">
        <v>1930</v>
      </c>
      <c r="D841" s="118" t="s">
        <v>39</v>
      </c>
      <c r="E841" s="118" t="s">
        <v>163</v>
      </c>
      <c r="F841" s="120"/>
      <c r="G841" s="119" t="e">
        <v>#DIV/0!</v>
      </c>
    </row>
    <row r="842" spans="2:7" x14ac:dyDescent="0.2">
      <c r="B842" s="116" t="s">
        <v>1931</v>
      </c>
      <c r="C842" s="117" t="s">
        <v>1932</v>
      </c>
      <c r="D842" s="118" t="s">
        <v>145</v>
      </c>
      <c r="E842" s="118" t="s">
        <v>917</v>
      </c>
      <c r="F842" s="120">
        <v>5.66</v>
      </c>
      <c r="G842" s="119">
        <v>-5.1390045656416292E-2</v>
      </c>
    </row>
    <row r="843" spans="2:7" x14ac:dyDescent="0.2">
      <c r="B843" s="116" t="s">
        <v>1933</v>
      </c>
      <c r="C843" s="117" t="s">
        <v>1934</v>
      </c>
      <c r="D843" s="118" t="s">
        <v>39</v>
      </c>
      <c r="E843" s="118" t="s">
        <v>383</v>
      </c>
      <c r="F843" s="120">
        <v>0.61</v>
      </c>
      <c r="G843" s="119">
        <v>4.0985635288352328E-2</v>
      </c>
    </row>
    <row r="844" spans="2:7" x14ac:dyDescent="0.2">
      <c r="B844" s="116" t="s">
        <v>1935</v>
      </c>
      <c r="C844" s="117" t="s">
        <v>1936</v>
      </c>
      <c r="D844" s="118" t="s">
        <v>34</v>
      </c>
      <c r="E844" s="118" t="s">
        <v>44</v>
      </c>
      <c r="F844" s="120">
        <v>3.19</v>
      </c>
      <c r="G844" s="119">
        <v>-1</v>
      </c>
    </row>
    <row r="845" spans="2:7" x14ac:dyDescent="0.2">
      <c r="B845" s="116" t="s">
        <v>1937</v>
      </c>
      <c r="C845" s="117" t="s">
        <v>1938</v>
      </c>
      <c r="D845" s="118" t="s">
        <v>92</v>
      </c>
      <c r="E845" s="118" t="s">
        <v>142</v>
      </c>
      <c r="F845" s="120">
        <v>0.3</v>
      </c>
      <c r="G845" s="119">
        <v>-1</v>
      </c>
    </row>
    <row r="846" spans="2:7" x14ac:dyDescent="0.2">
      <c r="B846" s="116" t="s">
        <v>1939</v>
      </c>
      <c r="C846" s="117" t="s">
        <v>1940</v>
      </c>
      <c r="D846" s="118" t="s">
        <v>52</v>
      </c>
      <c r="E846" s="118" t="s">
        <v>284</v>
      </c>
      <c r="F846" s="120">
        <v>19.100000000000001</v>
      </c>
      <c r="G846" s="119">
        <v>5.4560776219398817E-2</v>
      </c>
    </row>
    <row r="847" spans="2:7" x14ac:dyDescent="0.2">
      <c r="B847" s="116" t="s">
        <v>1941</v>
      </c>
      <c r="C847" s="117" t="s">
        <v>1942</v>
      </c>
      <c r="D847" s="118" t="s">
        <v>92</v>
      </c>
      <c r="E847" s="118" t="s">
        <v>272</v>
      </c>
      <c r="F847" s="120">
        <v>6.07</v>
      </c>
      <c r="G847" s="119">
        <v>7.450314032521721E-2</v>
      </c>
    </row>
    <row r="848" spans="2:7" x14ac:dyDescent="0.2">
      <c r="B848" s="116" t="s">
        <v>1943</v>
      </c>
      <c r="C848" s="117" t="s">
        <v>1944</v>
      </c>
      <c r="D848" s="118" t="s">
        <v>115</v>
      </c>
      <c r="E848" s="118" t="s">
        <v>522</v>
      </c>
      <c r="F848" s="120">
        <v>-7.75</v>
      </c>
      <c r="G848" s="119">
        <v>-4.6516745268938373E-3</v>
      </c>
    </row>
    <row r="849" spans="2:7" x14ac:dyDescent="0.2">
      <c r="B849" s="116" t="s">
        <v>1945</v>
      </c>
      <c r="C849" s="117" t="s">
        <v>1946</v>
      </c>
      <c r="D849" s="118" t="s">
        <v>92</v>
      </c>
      <c r="E849" s="118" t="s">
        <v>195</v>
      </c>
      <c r="F849" s="120">
        <v>4.83</v>
      </c>
      <c r="G849" s="119">
        <v>-1</v>
      </c>
    </row>
    <row r="850" spans="2:7" x14ac:dyDescent="0.2">
      <c r="B850" s="116" t="s">
        <v>1947</v>
      </c>
      <c r="C850" s="117" t="s">
        <v>1948</v>
      </c>
      <c r="D850" s="118" t="s">
        <v>52</v>
      </c>
      <c r="E850" s="118" t="s">
        <v>657</v>
      </c>
      <c r="F850" s="120">
        <v>3.31</v>
      </c>
      <c r="G850" s="119">
        <v>-1.1164808474504561E-2</v>
      </c>
    </row>
    <row r="851" spans="2:7" x14ac:dyDescent="0.2">
      <c r="B851" s="116" t="s">
        <v>1949</v>
      </c>
      <c r="C851" s="117" t="s">
        <v>1950</v>
      </c>
      <c r="D851" s="118" t="s">
        <v>115</v>
      </c>
      <c r="E851" s="118" t="s">
        <v>686</v>
      </c>
      <c r="F851" s="120">
        <v>-34.630000000000003</v>
      </c>
      <c r="G851" s="119">
        <v>-0.21235399820305481</v>
      </c>
    </row>
    <row r="852" spans="2:7" x14ac:dyDescent="0.2">
      <c r="B852" s="116" t="s">
        <v>1951</v>
      </c>
      <c r="C852" s="117" t="s">
        <v>1952</v>
      </c>
      <c r="D852" s="118" t="s">
        <v>115</v>
      </c>
      <c r="E852" s="118" t="s">
        <v>686</v>
      </c>
      <c r="F852" s="120">
        <v>-8.3800000000000008</v>
      </c>
      <c r="G852" s="119">
        <v>-5.488057685714038E-2</v>
      </c>
    </row>
    <row r="853" spans="2:7" x14ac:dyDescent="0.2">
      <c r="B853" s="116" t="s">
        <v>1953</v>
      </c>
      <c r="C853" s="117" t="s">
        <v>1954</v>
      </c>
      <c r="D853" s="118" t="s">
        <v>198</v>
      </c>
      <c r="E853" s="118" t="s">
        <v>456</v>
      </c>
      <c r="F853" s="120">
        <v>23.09</v>
      </c>
      <c r="G853" s="119">
        <v>6.0722184618402973E-2</v>
      </c>
    </row>
    <row r="854" spans="2:7" x14ac:dyDescent="0.2">
      <c r="B854" s="116" t="s">
        <v>1955</v>
      </c>
      <c r="C854" s="117" t="s">
        <v>1956</v>
      </c>
      <c r="D854" s="118" t="s">
        <v>233</v>
      </c>
      <c r="E854" s="118" t="s">
        <v>234</v>
      </c>
      <c r="F854" s="120">
        <v>4.51</v>
      </c>
      <c r="G854" s="119">
        <v>-5.0037162919356018E-2</v>
      </c>
    </row>
    <row r="855" spans="2:7" x14ac:dyDescent="0.2">
      <c r="B855" s="116" t="s">
        <v>1957</v>
      </c>
      <c r="C855" s="117" t="s">
        <v>1958</v>
      </c>
      <c r="D855" s="118" t="s">
        <v>39</v>
      </c>
      <c r="E855" s="118" t="s">
        <v>1959</v>
      </c>
      <c r="F855" s="120">
        <v>2.4300000000000002</v>
      </c>
      <c r="G855" s="119">
        <v>1.619328286013327E-2</v>
      </c>
    </row>
    <row r="856" spans="2:7" x14ac:dyDescent="0.2">
      <c r="B856" s="116" t="s">
        <v>1960</v>
      </c>
      <c r="C856" s="117" t="s">
        <v>1961</v>
      </c>
      <c r="D856" s="118" t="s">
        <v>115</v>
      </c>
      <c r="E856" s="118" t="s">
        <v>1962</v>
      </c>
      <c r="F856" s="120">
        <v>2.57</v>
      </c>
      <c r="G856" s="119">
        <v>0.11493153530858401</v>
      </c>
    </row>
    <row r="857" spans="2:7" x14ac:dyDescent="0.2">
      <c r="B857" s="116" t="s">
        <v>1963</v>
      </c>
      <c r="C857" s="117" t="s">
        <v>1964</v>
      </c>
      <c r="D857" s="118" t="s">
        <v>102</v>
      </c>
      <c r="E857" s="118" t="s">
        <v>1081</v>
      </c>
      <c r="F857" s="120">
        <v>24.85</v>
      </c>
      <c r="G857" s="119">
        <v>5.1623016746849923E-2</v>
      </c>
    </row>
    <row r="858" spans="2:7" x14ac:dyDescent="0.2">
      <c r="B858" s="116" t="s">
        <v>1965</v>
      </c>
      <c r="C858" s="117" t="s">
        <v>1966</v>
      </c>
      <c r="D858" s="118" t="s">
        <v>92</v>
      </c>
      <c r="E858" s="118" t="s">
        <v>378</v>
      </c>
      <c r="F858" s="120">
        <v>7.09</v>
      </c>
      <c r="G858" s="119">
        <v>-1</v>
      </c>
    </row>
    <row r="859" spans="2:7" x14ac:dyDescent="0.2">
      <c r="B859" s="116" t="s">
        <v>1967</v>
      </c>
      <c r="C859" s="117" t="s">
        <v>1968</v>
      </c>
      <c r="D859" s="118" t="s">
        <v>34</v>
      </c>
      <c r="E859" s="118" t="s">
        <v>44</v>
      </c>
      <c r="F859" s="120">
        <v>18.91</v>
      </c>
      <c r="G859" s="119">
        <v>-0.1148102730917618</v>
      </c>
    </row>
    <row r="860" spans="2:7" x14ac:dyDescent="0.2">
      <c r="B860" s="116" t="s">
        <v>1969</v>
      </c>
      <c r="C860" s="117" t="s">
        <v>1970</v>
      </c>
      <c r="D860" s="118" t="s">
        <v>68</v>
      </c>
      <c r="E860" s="118" t="s">
        <v>72</v>
      </c>
      <c r="F860" s="120">
        <v>14.39</v>
      </c>
      <c r="G860" s="119">
        <v>1.210396703548813E-2</v>
      </c>
    </row>
    <row r="861" spans="2:7" x14ac:dyDescent="0.2">
      <c r="B861" s="116" t="s">
        <v>1971</v>
      </c>
      <c r="C861" s="117" t="s">
        <v>1972</v>
      </c>
      <c r="D861" s="118" t="s">
        <v>68</v>
      </c>
      <c r="E861" s="118" t="s">
        <v>949</v>
      </c>
      <c r="F861" s="120">
        <v>23.93</v>
      </c>
      <c r="G861" s="119">
        <v>0.1608516044553471</v>
      </c>
    </row>
    <row r="862" spans="2:7" x14ac:dyDescent="0.2">
      <c r="B862" s="116" t="s">
        <v>1973</v>
      </c>
      <c r="C862" s="117" t="s">
        <v>1974</v>
      </c>
      <c r="D862" s="118" t="s">
        <v>198</v>
      </c>
      <c r="E862" s="118" t="s">
        <v>456</v>
      </c>
      <c r="F862" s="120">
        <v>4.78</v>
      </c>
      <c r="G862" s="119">
        <v>1.655197765034554</v>
      </c>
    </row>
    <row r="863" spans="2:7" x14ac:dyDescent="0.2">
      <c r="B863" s="116" t="s">
        <v>1975</v>
      </c>
      <c r="C863" s="117" t="s">
        <v>1976</v>
      </c>
      <c r="D863" s="118" t="s">
        <v>102</v>
      </c>
      <c r="E863" s="118" t="s">
        <v>1977</v>
      </c>
      <c r="F863" s="120">
        <v>3.87</v>
      </c>
      <c r="G863" s="119">
        <v>-2.2971523468678451E-2</v>
      </c>
    </row>
    <row r="864" spans="2:7" x14ac:dyDescent="0.2">
      <c r="B864" s="116" t="s">
        <v>1951</v>
      </c>
      <c r="C864" s="117" t="s">
        <v>1978</v>
      </c>
      <c r="D864" s="118" t="s">
        <v>34</v>
      </c>
      <c r="E864" s="118" t="s">
        <v>982</v>
      </c>
      <c r="F864" s="120">
        <v>23.91</v>
      </c>
      <c r="G864" s="119">
        <v>2.9856728823164352E-2</v>
      </c>
    </row>
    <row r="865" spans="2:7" x14ac:dyDescent="0.2">
      <c r="B865" s="116" t="s">
        <v>1979</v>
      </c>
      <c r="C865" s="117" t="s">
        <v>1980</v>
      </c>
      <c r="D865" s="118" t="s">
        <v>241</v>
      </c>
      <c r="E865" s="118" t="s">
        <v>534</v>
      </c>
      <c r="F865" s="120">
        <v>7.96</v>
      </c>
      <c r="G865" s="119">
        <v>0.91335688389261749</v>
      </c>
    </row>
    <row r="866" spans="2:7" x14ac:dyDescent="0.2">
      <c r="B866" s="116" t="s">
        <v>1981</v>
      </c>
      <c r="C866" s="117" t="s">
        <v>1982</v>
      </c>
      <c r="D866" s="118" t="s">
        <v>78</v>
      </c>
      <c r="E866" s="118" t="s">
        <v>128</v>
      </c>
      <c r="F866" s="120"/>
      <c r="G866" s="119">
        <v>3.5106374240184028E-2</v>
      </c>
    </row>
    <row r="867" spans="2:7" x14ac:dyDescent="0.2">
      <c r="B867" s="116" t="s">
        <v>1983</v>
      </c>
      <c r="C867" s="117" t="s">
        <v>1984</v>
      </c>
      <c r="D867" s="118" t="s">
        <v>34</v>
      </c>
      <c r="E867" s="118" t="s">
        <v>1767</v>
      </c>
      <c r="F867" s="120">
        <v>17.079999999999998</v>
      </c>
      <c r="G867" s="119">
        <v>9.9736766115121736E-2</v>
      </c>
    </row>
    <row r="868" spans="2:7" x14ac:dyDescent="0.2">
      <c r="B868" s="116" t="s">
        <v>1985</v>
      </c>
      <c r="C868" s="117" t="s">
        <v>1986</v>
      </c>
      <c r="D868" s="118" t="s">
        <v>68</v>
      </c>
      <c r="E868" s="118" t="s">
        <v>82</v>
      </c>
      <c r="F868" s="120">
        <v>43.22</v>
      </c>
      <c r="G868" s="119">
        <v>6.621770551039737E-4</v>
      </c>
    </row>
    <row r="869" spans="2:7" x14ac:dyDescent="0.2">
      <c r="B869" s="116" t="s">
        <v>1987</v>
      </c>
      <c r="C869" s="117" t="s">
        <v>1988</v>
      </c>
      <c r="D869" s="118" t="s">
        <v>233</v>
      </c>
      <c r="E869" s="118" t="s">
        <v>703</v>
      </c>
      <c r="F869" s="120">
        <v>15.53</v>
      </c>
      <c r="G869" s="119">
        <v>5.2818058428835662E-2</v>
      </c>
    </row>
    <row r="870" spans="2:7" x14ac:dyDescent="0.2">
      <c r="B870" s="116" t="s">
        <v>1989</v>
      </c>
      <c r="C870" s="117" t="s">
        <v>1990</v>
      </c>
      <c r="D870" s="118" t="s">
        <v>68</v>
      </c>
      <c r="E870" s="118" t="s">
        <v>69</v>
      </c>
      <c r="F870" s="120">
        <v>5.29</v>
      </c>
      <c r="G870" s="119">
        <v>-9.0496538889137834E-2</v>
      </c>
    </row>
    <row r="871" spans="2:7" x14ac:dyDescent="0.2">
      <c r="B871" s="116" t="s">
        <v>1991</v>
      </c>
      <c r="C871" s="117" t="s">
        <v>1992</v>
      </c>
      <c r="D871" s="118" t="s">
        <v>92</v>
      </c>
      <c r="E871" s="118" t="s">
        <v>195</v>
      </c>
      <c r="F871" s="120">
        <v>2.2200000000000002</v>
      </c>
      <c r="G871" s="119">
        <v>2.0022285293083979E-3</v>
      </c>
    </row>
    <row r="872" spans="2:7" x14ac:dyDescent="0.2">
      <c r="B872" s="116" t="s">
        <v>1993</v>
      </c>
      <c r="C872" s="117" t="s">
        <v>1994</v>
      </c>
      <c r="D872" s="118" t="s">
        <v>198</v>
      </c>
      <c r="E872" s="118" t="s">
        <v>456</v>
      </c>
      <c r="F872" s="120">
        <v>5.09</v>
      </c>
      <c r="G872" s="119">
        <v>0.10313119043190359</v>
      </c>
    </row>
    <row r="873" spans="2:7" x14ac:dyDescent="0.2">
      <c r="B873" s="116" t="s">
        <v>1995</v>
      </c>
      <c r="C873" s="117" t="s">
        <v>1996</v>
      </c>
      <c r="D873" s="118" t="s">
        <v>34</v>
      </c>
      <c r="E873" s="118" t="s">
        <v>319</v>
      </c>
      <c r="F873" s="120">
        <v>22.12</v>
      </c>
      <c r="G873" s="119">
        <v>3.2990919750480893E-2</v>
      </c>
    </row>
    <row r="874" spans="2:7" x14ac:dyDescent="0.2">
      <c r="B874" s="116" t="s">
        <v>1997</v>
      </c>
      <c r="C874" s="117" t="s">
        <v>1998</v>
      </c>
      <c r="D874" s="118" t="s">
        <v>92</v>
      </c>
      <c r="E874" s="118" t="s">
        <v>378</v>
      </c>
      <c r="F874" s="120">
        <v>4.66</v>
      </c>
      <c r="G874" s="119">
        <v>9.0470333658061425E-2</v>
      </c>
    </row>
    <row r="875" spans="2:7" x14ac:dyDescent="0.2">
      <c r="B875" s="116" t="s">
        <v>1999</v>
      </c>
      <c r="C875" s="117" t="s">
        <v>2000</v>
      </c>
      <c r="D875" s="118" t="s">
        <v>241</v>
      </c>
      <c r="E875" s="118" t="s">
        <v>306</v>
      </c>
      <c r="F875" s="120">
        <v>162.56</v>
      </c>
      <c r="G875" s="119">
        <v>0.2064516940027544</v>
      </c>
    </row>
    <row r="876" spans="2:7" x14ac:dyDescent="0.2">
      <c r="B876" s="116" t="s">
        <v>2001</v>
      </c>
      <c r="C876" s="117" t="s">
        <v>2002</v>
      </c>
      <c r="D876" s="118" t="s">
        <v>138</v>
      </c>
      <c r="E876" s="118" t="s">
        <v>139</v>
      </c>
      <c r="F876" s="120">
        <v>1.84</v>
      </c>
      <c r="G876" s="119">
        <v>4.6824161833356907E-2</v>
      </c>
    </row>
    <row r="877" spans="2:7" x14ac:dyDescent="0.2">
      <c r="B877" s="116" t="s">
        <v>2003</v>
      </c>
      <c r="C877" s="117" t="s">
        <v>2004</v>
      </c>
      <c r="D877" s="118" t="s">
        <v>34</v>
      </c>
      <c r="E877" s="118" t="s">
        <v>59</v>
      </c>
      <c r="F877" s="120">
        <v>2.36</v>
      </c>
      <c r="G877" s="119">
        <v>3.9167660566636682E-2</v>
      </c>
    </row>
    <row r="878" spans="2:7" x14ac:dyDescent="0.2">
      <c r="B878" s="116" t="s">
        <v>2005</v>
      </c>
      <c r="C878" s="117" t="s">
        <v>2006</v>
      </c>
      <c r="D878" s="118" t="s">
        <v>34</v>
      </c>
      <c r="E878" s="118" t="s">
        <v>311</v>
      </c>
      <c r="F878" s="120">
        <v>7.35</v>
      </c>
      <c r="G878" s="119">
        <v>6.1933702014115972E-2</v>
      </c>
    </row>
    <row r="879" spans="2:7" x14ac:dyDescent="0.2">
      <c r="B879" s="116" t="s">
        <v>2007</v>
      </c>
      <c r="C879" s="117" t="s">
        <v>2008</v>
      </c>
      <c r="D879" s="118" t="s">
        <v>34</v>
      </c>
      <c r="E879" s="118" t="s">
        <v>691</v>
      </c>
      <c r="F879" s="120">
        <v>58.19</v>
      </c>
      <c r="G879" s="119">
        <v>4.6651508733461258E-2</v>
      </c>
    </row>
    <row r="880" spans="2:7" x14ac:dyDescent="0.2">
      <c r="B880" s="116" t="s">
        <v>2009</v>
      </c>
      <c r="C880" s="117" t="s">
        <v>2010</v>
      </c>
      <c r="D880" s="118" t="s">
        <v>115</v>
      </c>
      <c r="E880" s="118" t="s">
        <v>522</v>
      </c>
      <c r="F880" s="120">
        <v>5.08</v>
      </c>
      <c r="G880" s="119">
        <v>-8.015256061502074E-2</v>
      </c>
    </row>
    <row r="881" spans="2:7" x14ac:dyDescent="0.2">
      <c r="B881" s="116" t="s">
        <v>2011</v>
      </c>
      <c r="C881" s="117" t="s">
        <v>2012</v>
      </c>
      <c r="D881" s="118" t="s">
        <v>52</v>
      </c>
      <c r="E881" s="118" t="s">
        <v>1324</v>
      </c>
      <c r="F881" s="120">
        <v>6.35</v>
      </c>
      <c r="G881" s="119">
        <v>1.6681033389894621E-2</v>
      </c>
    </row>
    <row r="882" spans="2:7" x14ac:dyDescent="0.2">
      <c r="B882" s="116" t="s">
        <v>2013</v>
      </c>
      <c r="C882" s="117" t="s">
        <v>2014</v>
      </c>
      <c r="D882" s="118" t="s">
        <v>34</v>
      </c>
      <c r="E882" s="118" t="s">
        <v>311</v>
      </c>
      <c r="F882" s="120">
        <v>-3.22</v>
      </c>
      <c r="G882" s="119">
        <v>-0.10140620636964751</v>
      </c>
    </row>
    <row r="883" spans="2:7" x14ac:dyDescent="0.2">
      <c r="B883" s="116" t="s">
        <v>2015</v>
      </c>
      <c r="C883" s="117" t="s">
        <v>2016</v>
      </c>
      <c r="D883" s="118" t="s">
        <v>92</v>
      </c>
      <c r="E883" s="118" t="s">
        <v>275</v>
      </c>
      <c r="F883" s="120">
        <v>4.05</v>
      </c>
      <c r="G883" s="119">
        <v>8.1847978182098616E-2</v>
      </c>
    </row>
    <row r="884" spans="2:7" x14ac:dyDescent="0.2">
      <c r="B884" s="116" t="s">
        <v>2017</v>
      </c>
      <c r="C884" s="117" t="s">
        <v>2018</v>
      </c>
      <c r="D884" s="118" t="s">
        <v>92</v>
      </c>
      <c r="E884" s="118" t="s">
        <v>272</v>
      </c>
      <c r="F884" s="120">
        <v>-3.14</v>
      </c>
      <c r="G884" s="119">
        <v>-6.3486543999773035E-2</v>
      </c>
    </row>
    <row r="885" spans="2:7" x14ac:dyDescent="0.2">
      <c r="B885" s="116" t="s">
        <v>2019</v>
      </c>
      <c r="C885" s="117" t="s">
        <v>2020</v>
      </c>
      <c r="D885" s="118" t="s">
        <v>102</v>
      </c>
      <c r="E885" s="118" t="s">
        <v>1397</v>
      </c>
      <c r="F885" s="120">
        <v>10.73</v>
      </c>
      <c r="G885" s="119">
        <v>-0.1424904172560113</v>
      </c>
    </row>
    <row r="886" spans="2:7" x14ac:dyDescent="0.2">
      <c r="B886" s="116" t="s">
        <v>2021</v>
      </c>
      <c r="C886" s="117" t="s">
        <v>2022</v>
      </c>
      <c r="D886" s="118" t="s">
        <v>34</v>
      </c>
      <c r="E886" s="118" t="s">
        <v>248</v>
      </c>
      <c r="F886" s="120">
        <v>22.1</v>
      </c>
      <c r="G886" s="119">
        <v>-3.8324636714331298E-2</v>
      </c>
    </row>
    <row r="887" spans="2:7" x14ac:dyDescent="0.2">
      <c r="B887" s="116" t="s">
        <v>2023</v>
      </c>
      <c r="C887" s="117" t="s">
        <v>2024</v>
      </c>
      <c r="D887" s="118" t="s">
        <v>78</v>
      </c>
      <c r="E887" s="118" t="s">
        <v>912</v>
      </c>
      <c r="F887" s="120"/>
      <c r="G887" s="119">
        <v>3.7061029686575209E-2</v>
      </c>
    </row>
    <row r="888" spans="2:7" x14ac:dyDescent="0.2">
      <c r="B888" s="116" t="s">
        <v>2025</v>
      </c>
      <c r="C888" s="117" t="s">
        <v>2026</v>
      </c>
      <c r="D888" s="118" t="s">
        <v>92</v>
      </c>
      <c r="E888" s="118" t="s">
        <v>272</v>
      </c>
      <c r="F888" s="120">
        <v>14.74</v>
      </c>
      <c r="G888" s="119">
        <v>4.2287337750748902E-2</v>
      </c>
    </row>
    <row r="889" spans="2:7" x14ac:dyDescent="0.2">
      <c r="B889" s="116" t="s">
        <v>2027</v>
      </c>
      <c r="C889" s="117" t="s">
        <v>2028</v>
      </c>
      <c r="D889" s="118" t="s">
        <v>48</v>
      </c>
      <c r="E889" s="118" t="s">
        <v>1809</v>
      </c>
      <c r="F889" s="120">
        <v>8.91</v>
      </c>
      <c r="G889" s="119">
        <v>-9.1374458846318923E-2</v>
      </c>
    </row>
    <row r="890" spans="2:7" x14ac:dyDescent="0.2">
      <c r="B890" s="116" t="s">
        <v>1436</v>
      </c>
      <c r="C890" s="117" t="s">
        <v>2029</v>
      </c>
      <c r="D890" s="118" t="s">
        <v>34</v>
      </c>
      <c r="E890" s="118" t="s">
        <v>1281</v>
      </c>
      <c r="F890" s="120"/>
      <c r="G890" s="119">
        <v>0.25394212441517933</v>
      </c>
    </row>
    <row r="891" spans="2:7" x14ac:dyDescent="0.2">
      <c r="B891" s="116" t="s">
        <v>2030</v>
      </c>
      <c r="C891" s="117" t="s">
        <v>2031</v>
      </c>
      <c r="D891" s="118" t="s">
        <v>48</v>
      </c>
      <c r="E891" s="118" t="s">
        <v>49</v>
      </c>
      <c r="F891" s="120">
        <v>-4.05</v>
      </c>
      <c r="G891" s="119">
        <v>5.6478804421421627E-2</v>
      </c>
    </row>
    <row r="892" spans="2:7" x14ac:dyDescent="0.2">
      <c r="B892" s="116" t="s">
        <v>2032</v>
      </c>
      <c r="C892" s="117" t="s">
        <v>2033</v>
      </c>
      <c r="D892" s="118" t="s">
        <v>115</v>
      </c>
      <c r="E892" s="118" t="s">
        <v>899</v>
      </c>
      <c r="F892" s="120">
        <v>16</v>
      </c>
      <c r="G892" s="119">
        <v>0.1724932336268975</v>
      </c>
    </row>
    <row r="893" spans="2:7" x14ac:dyDescent="0.2">
      <c r="B893" s="116" t="s">
        <v>2034</v>
      </c>
      <c r="C893" s="117" t="s">
        <v>2035</v>
      </c>
      <c r="D893" s="118" t="s">
        <v>48</v>
      </c>
      <c r="E893" s="118" t="s">
        <v>49</v>
      </c>
      <c r="F893" s="120">
        <v>3.89</v>
      </c>
      <c r="G893" s="119">
        <v>2.5147517869337561E-2</v>
      </c>
    </row>
    <row r="894" spans="2:7" x14ac:dyDescent="0.2">
      <c r="B894" s="116" t="s">
        <v>2036</v>
      </c>
      <c r="C894" s="117" t="s">
        <v>2037</v>
      </c>
      <c r="D894" s="118" t="s">
        <v>115</v>
      </c>
      <c r="E894" s="118" t="s">
        <v>899</v>
      </c>
      <c r="F894" s="120"/>
      <c r="G894" s="119">
        <v>6.5938967871336379E-2</v>
      </c>
    </row>
    <row r="895" spans="2:7" x14ac:dyDescent="0.2">
      <c r="B895" s="116" t="s">
        <v>2038</v>
      </c>
      <c r="C895" s="117" t="s">
        <v>2039</v>
      </c>
      <c r="D895" s="118" t="s">
        <v>115</v>
      </c>
      <c r="E895" s="118" t="s">
        <v>799</v>
      </c>
      <c r="F895" s="120">
        <v>0.83</v>
      </c>
      <c r="G895" s="119">
        <v>9.0984121203293298E-4</v>
      </c>
    </row>
    <row r="896" spans="2:7" x14ac:dyDescent="0.2">
      <c r="B896" s="116" t="s">
        <v>2040</v>
      </c>
      <c r="C896" s="117" t="s">
        <v>2041</v>
      </c>
      <c r="D896" s="118" t="s">
        <v>78</v>
      </c>
      <c r="E896" s="118" t="s">
        <v>340</v>
      </c>
      <c r="F896" s="120"/>
      <c r="G896" s="119">
        <v>6.5023292958871354E-2</v>
      </c>
    </row>
    <row r="897" spans="2:7" x14ac:dyDescent="0.2">
      <c r="B897" s="116" t="s">
        <v>2042</v>
      </c>
      <c r="C897" s="117" t="s">
        <v>2043</v>
      </c>
      <c r="D897" s="118" t="s">
        <v>145</v>
      </c>
      <c r="E897" s="118" t="s">
        <v>179</v>
      </c>
      <c r="F897" s="120">
        <v>-1.79</v>
      </c>
      <c r="G897" s="119">
        <v>-6.9510298687314051E-2</v>
      </c>
    </row>
    <row r="898" spans="2:7" x14ac:dyDescent="0.2">
      <c r="B898" s="116" t="s">
        <v>2044</v>
      </c>
      <c r="C898" s="117" t="s">
        <v>2045</v>
      </c>
      <c r="D898" s="118" t="s">
        <v>92</v>
      </c>
      <c r="E898" s="118" t="s">
        <v>299</v>
      </c>
      <c r="F898" s="120">
        <v>-19.52</v>
      </c>
      <c r="G898" s="119">
        <v>-8.8554326667811059E-2</v>
      </c>
    </row>
    <row r="899" spans="2:7" x14ac:dyDescent="0.2">
      <c r="B899" s="116" t="s">
        <v>2046</v>
      </c>
      <c r="C899" s="117" t="s">
        <v>2047</v>
      </c>
      <c r="D899" s="118" t="s">
        <v>68</v>
      </c>
      <c r="E899" s="118" t="s">
        <v>75</v>
      </c>
      <c r="F899" s="120"/>
      <c r="G899" s="119">
        <v>7.2673964245099545E-2</v>
      </c>
    </row>
    <row r="900" spans="2:7" x14ac:dyDescent="0.2">
      <c r="B900" s="116" t="s">
        <v>2048</v>
      </c>
      <c r="C900" s="117" t="s">
        <v>2049</v>
      </c>
      <c r="D900" s="118" t="s">
        <v>52</v>
      </c>
      <c r="E900" s="118" t="s">
        <v>1924</v>
      </c>
      <c r="F900" s="120">
        <v>-2.97</v>
      </c>
      <c r="G900" s="119">
        <v>-5.068457811060887E-3</v>
      </c>
    </row>
    <row r="901" spans="2:7" x14ac:dyDescent="0.2">
      <c r="B901" s="116" t="s">
        <v>2050</v>
      </c>
      <c r="C901" s="117" t="s">
        <v>2051</v>
      </c>
      <c r="D901" s="118" t="s">
        <v>106</v>
      </c>
      <c r="E901" s="118" t="s">
        <v>131</v>
      </c>
      <c r="F901" s="120">
        <v>12.86</v>
      </c>
      <c r="G901" s="119">
        <v>0.1243770903010033</v>
      </c>
    </row>
    <row r="902" spans="2:7" x14ac:dyDescent="0.2">
      <c r="B902" s="116" t="s">
        <v>2052</v>
      </c>
      <c r="C902" s="117" t="s">
        <v>2053</v>
      </c>
      <c r="D902" s="118" t="s">
        <v>92</v>
      </c>
      <c r="E902" s="118" t="s">
        <v>93</v>
      </c>
      <c r="F902" s="120">
        <v>13.65</v>
      </c>
      <c r="G902" s="119">
        <v>3.9023794826104977E-2</v>
      </c>
    </row>
    <row r="903" spans="2:7" x14ac:dyDescent="0.2">
      <c r="B903" s="116" t="s">
        <v>2054</v>
      </c>
      <c r="C903" s="117" t="s">
        <v>2055</v>
      </c>
      <c r="D903" s="118" t="s">
        <v>92</v>
      </c>
      <c r="E903" s="118" t="s">
        <v>112</v>
      </c>
      <c r="F903" s="120">
        <v>-5.5</v>
      </c>
      <c r="G903" s="119">
        <v>-8.7475389181027721E-2</v>
      </c>
    </row>
    <row r="904" spans="2:7" x14ac:dyDescent="0.2">
      <c r="B904" s="116" t="s">
        <v>2056</v>
      </c>
      <c r="C904" s="117" t="s">
        <v>2057</v>
      </c>
      <c r="D904" s="118" t="s">
        <v>106</v>
      </c>
      <c r="E904" s="118" t="s">
        <v>2058</v>
      </c>
      <c r="F904" s="120">
        <v>2.08</v>
      </c>
      <c r="G904" s="119">
        <v>-3.7810081759976702E-2</v>
      </c>
    </row>
    <row r="905" spans="2:7" x14ac:dyDescent="0.2">
      <c r="B905" s="116" t="s">
        <v>2059</v>
      </c>
      <c r="C905" s="117" t="s">
        <v>2060</v>
      </c>
      <c r="D905" s="118" t="s">
        <v>34</v>
      </c>
      <c r="E905" s="118" t="s">
        <v>99</v>
      </c>
      <c r="F905" s="120">
        <v>3.14</v>
      </c>
      <c r="G905" s="119">
        <v>7.4905214965305125E-2</v>
      </c>
    </row>
    <row r="906" spans="2:7" x14ac:dyDescent="0.2">
      <c r="B906" s="116" t="s">
        <v>2061</v>
      </c>
      <c r="C906" s="117" t="s">
        <v>2062</v>
      </c>
      <c r="D906" s="118" t="s">
        <v>115</v>
      </c>
      <c r="E906" s="118" t="s">
        <v>806</v>
      </c>
      <c r="F906" s="120">
        <v>13.05</v>
      </c>
      <c r="G906" s="119">
        <v>1.7465404663262279E-2</v>
      </c>
    </row>
    <row r="907" spans="2:7" x14ac:dyDescent="0.2">
      <c r="B907" s="116" t="s">
        <v>2063</v>
      </c>
      <c r="C907" s="117" t="s">
        <v>2064</v>
      </c>
      <c r="D907" s="118" t="s">
        <v>102</v>
      </c>
      <c r="E907" s="118" t="s">
        <v>424</v>
      </c>
      <c r="F907" s="120">
        <v>0.04</v>
      </c>
      <c r="G907" s="119">
        <v>8.2421916497187973E-3</v>
      </c>
    </row>
    <row r="908" spans="2:7" x14ac:dyDescent="0.2">
      <c r="B908" s="116" t="s">
        <v>2065</v>
      </c>
      <c r="C908" s="117" t="s">
        <v>2066</v>
      </c>
      <c r="D908" s="118" t="s">
        <v>68</v>
      </c>
      <c r="E908" s="118" t="s">
        <v>82</v>
      </c>
      <c r="F908" s="120">
        <v>10.62</v>
      </c>
      <c r="G908" s="119">
        <v>7.8679700334385913E-2</v>
      </c>
    </row>
    <row r="909" spans="2:7" x14ac:dyDescent="0.2">
      <c r="B909" s="116" t="s">
        <v>2067</v>
      </c>
      <c r="C909" s="117" t="s">
        <v>2068</v>
      </c>
      <c r="D909" s="118" t="s">
        <v>115</v>
      </c>
      <c r="E909" s="118" t="s">
        <v>394</v>
      </c>
      <c r="F909" s="120">
        <v>-6.86</v>
      </c>
      <c r="G909" s="119">
        <v>-1.0798301890975069E-2</v>
      </c>
    </row>
    <row r="910" spans="2:7" x14ac:dyDescent="0.2">
      <c r="B910" s="116" t="s">
        <v>2069</v>
      </c>
      <c r="C910" s="117" t="s">
        <v>2070</v>
      </c>
      <c r="D910" s="118" t="s">
        <v>34</v>
      </c>
      <c r="E910" s="118" t="s">
        <v>278</v>
      </c>
      <c r="F910" s="120">
        <v>-4.04</v>
      </c>
      <c r="G910" s="119">
        <v>6.8638279368848518E-2</v>
      </c>
    </row>
    <row r="911" spans="2:7" x14ac:dyDescent="0.2">
      <c r="B911" s="116" t="s">
        <v>2071</v>
      </c>
      <c r="C911" s="117" t="s">
        <v>2072</v>
      </c>
      <c r="D911" s="118" t="s">
        <v>52</v>
      </c>
      <c r="E911" s="118" t="s">
        <v>725</v>
      </c>
      <c r="F911" s="120">
        <v>-6.05</v>
      </c>
      <c r="G911" s="119">
        <v>4.7321000513669614E-3</v>
      </c>
    </row>
    <row r="912" spans="2:7" x14ac:dyDescent="0.2">
      <c r="B912" s="116" t="s">
        <v>2073</v>
      </c>
      <c r="C912" s="117" t="s">
        <v>2074</v>
      </c>
      <c r="D912" s="118" t="s">
        <v>34</v>
      </c>
      <c r="E912" s="118" t="s">
        <v>119</v>
      </c>
      <c r="F912" s="120">
        <v>26.16</v>
      </c>
      <c r="G912" s="119">
        <v>1.2546987568931651E-2</v>
      </c>
    </row>
    <row r="913" spans="2:7" x14ac:dyDescent="0.2">
      <c r="B913" s="116" t="s">
        <v>2075</v>
      </c>
      <c r="C913" s="117" t="s">
        <v>2076</v>
      </c>
      <c r="D913" s="118" t="s">
        <v>68</v>
      </c>
      <c r="E913" s="118" t="s">
        <v>72</v>
      </c>
      <c r="F913" s="120">
        <v>5.05</v>
      </c>
      <c r="G913" s="119">
        <v>4.2524956956686059E-2</v>
      </c>
    </row>
    <row r="914" spans="2:7" x14ac:dyDescent="0.2">
      <c r="B914" s="116" t="s">
        <v>2077</v>
      </c>
      <c r="C914" s="117" t="s">
        <v>2078</v>
      </c>
      <c r="D914" s="118" t="s">
        <v>92</v>
      </c>
      <c r="E914" s="118" t="s">
        <v>434</v>
      </c>
      <c r="F914" s="120">
        <v>8.08</v>
      </c>
      <c r="G914" s="119">
        <v>5.5741501789452447E-2</v>
      </c>
    </row>
    <row r="915" spans="2:7" x14ac:dyDescent="0.2">
      <c r="B915" s="116" t="s">
        <v>2079</v>
      </c>
      <c r="C915" s="117" t="s">
        <v>2080</v>
      </c>
      <c r="D915" s="118" t="s">
        <v>92</v>
      </c>
      <c r="E915" s="118" t="s">
        <v>96</v>
      </c>
      <c r="F915" s="120">
        <v>4.41</v>
      </c>
      <c r="G915" s="119">
        <v>0.106464523668639</v>
      </c>
    </row>
    <row r="916" spans="2:7" x14ac:dyDescent="0.2">
      <c r="B916" s="116" t="s">
        <v>2081</v>
      </c>
      <c r="C916" s="117" t="s">
        <v>2082</v>
      </c>
      <c r="D916" s="118" t="s">
        <v>34</v>
      </c>
      <c r="E916" s="118" t="s">
        <v>319</v>
      </c>
      <c r="F916" s="120"/>
      <c r="G916" s="119">
        <v>0.46273679874166729</v>
      </c>
    </row>
    <row r="917" spans="2:7" x14ac:dyDescent="0.2">
      <c r="B917" s="116" t="s">
        <v>2083</v>
      </c>
      <c r="C917" s="117" t="s">
        <v>2084</v>
      </c>
      <c r="D917" s="118" t="s">
        <v>68</v>
      </c>
      <c r="E917" s="118" t="s">
        <v>87</v>
      </c>
      <c r="F917" s="120"/>
      <c r="G917" s="119">
        <v>1.9315960912052119</v>
      </c>
    </row>
    <row r="918" spans="2:7" x14ac:dyDescent="0.2">
      <c r="B918" s="116" t="s">
        <v>2085</v>
      </c>
      <c r="C918" s="117" t="s">
        <v>2086</v>
      </c>
      <c r="D918" s="118" t="s">
        <v>78</v>
      </c>
      <c r="E918" s="118" t="s">
        <v>340</v>
      </c>
      <c r="F918" s="120">
        <v>-6.19</v>
      </c>
      <c r="G918" s="119">
        <v>-3.3838206492405412E-3</v>
      </c>
    </row>
    <row r="919" spans="2:7" x14ac:dyDescent="0.2">
      <c r="B919" s="116" t="s">
        <v>2087</v>
      </c>
      <c r="C919" s="117" t="s">
        <v>2088</v>
      </c>
      <c r="D919" s="118" t="s">
        <v>68</v>
      </c>
      <c r="E919" s="118" t="s">
        <v>778</v>
      </c>
      <c r="F919" s="120">
        <v>17.37</v>
      </c>
      <c r="G919" s="119">
        <v>0.16396097215667749</v>
      </c>
    </row>
    <row r="920" spans="2:7" x14ac:dyDescent="0.2">
      <c r="B920" s="116" t="s">
        <v>2089</v>
      </c>
      <c r="C920" s="117" t="s">
        <v>2090</v>
      </c>
      <c r="D920" s="118" t="s">
        <v>68</v>
      </c>
      <c r="E920" s="118" t="s">
        <v>75</v>
      </c>
      <c r="F920" s="120">
        <v>10.220000000000001</v>
      </c>
      <c r="G920" s="119">
        <v>3.0886501292666169E-2</v>
      </c>
    </row>
    <row r="921" spans="2:7" x14ac:dyDescent="0.2">
      <c r="B921" s="116" t="s">
        <v>2091</v>
      </c>
      <c r="C921" s="117" t="s">
        <v>2092</v>
      </c>
      <c r="D921" s="118" t="s">
        <v>138</v>
      </c>
      <c r="E921" s="118" t="s">
        <v>386</v>
      </c>
      <c r="F921" s="120">
        <v>0.57999999999999996</v>
      </c>
      <c r="G921" s="119">
        <v>6.8717450790007864E-2</v>
      </c>
    </row>
    <row r="922" spans="2:7" x14ac:dyDescent="0.2">
      <c r="B922" s="116" t="s">
        <v>2093</v>
      </c>
      <c r="C922" s="117" t="s">
        <v>2094</v>
      </c>
      <c r="D922" s="118" t="s">
        <v>68</v>
      </c>
      <c r="E922" s="118" t="s">
        <v>949</v>
      </c>
      <c r="F922" s="120">
        <v>25.42</v>
      </c>
      <c r="G922" s="119">
        <v>0.215790700975035</v>
      </c>
    </row>
    <row r="923" spans="2:7" x14ac:dyDescent="0.2">
      <c r="B923" s="116" t="s">
        <v>2095</v>
      </c>
      <c r="C923" s="117" t="s">
        <v>2096</v>
      </c>
      <c r="D923" s="118" t="s">
        <v>52</v>
      </c>
      <c r="E923" s="118" t="s">
        <v>281</v>
      </c>
      <c r="F923" s="120">
        <v>31.58</v>
      </c>
      <c r="G923" s="119">
        <v>0.58563184107248278</v>
      </c>
    </row>
    <row r="924" spans="2:7" x14ac:dyDescent="0.2">
      <c r="B924" s="116" t="s">
        <v>2097</v>
      </c>
      <c r="C924" s="117" t="s">
        <v>2098</v>
      </c>
      <c r="D924" s="118" t="s">
        <v>92</v>
      </c>
      <c r="E924" s="118" t="s">
        <v>142</v>
      </c>
      <c r="F924" s="120">
        <v>-2.13</v>
      </c>
      <c r="G924" s="119">
        <v>-5.0881060920504553E-2</v>
      </c>
    </row>
    <row r="925" spans="2:7" x14ac:dyDescent="0.2">
      <c r="B925" s="116" t="s">
        <v>2099</v>
      </c>
      <c r="C925" s="117" t="s">
        <v>2100</v>
      </c>
      <c r="D925" s="118" t="s">
        <v>92</v>
      </c>
      <c r="E925" s="118" t="s">
        <v>171</v>
      </c>
      <c r="F925" s="120">
        <v>-2.21</v>
      </c>
      <c r="G925" s="119">
        <v>-0.41317183488050557</v>
      </c>
    </row>
    <row r="926" spans="2:7" x14ac:dyDescent="0.2">
      <c r="B926" s="116" t="s">
        <v>2101</v>
      </c>
      <c r="C926" s="117" t="s">
        <v>2102</v>
      </c>
      <c r="D926" s="118" t="s">
        <v>92</v>
      </c>
      <c r="E926" s="118" t="s">
        <v>378</v>
      </c>
      <c r="F926" s="120">
        <v>0.21</v>
      </c>
      <c r="G926" s="119">
        <v>0.78308288003490467</v>
      </c>
    </row>
    <row r="927" spans="2:7" x14ac:dyDescent="0.2">
      <c r="B927" s="116" t="s">
        <v>2103</v>
      </c>
      <c r="C927" s="117" t="s">
        <v>2104</v>
      </c>
      <c r="D927" s="118" t="s">
        <v>92</v>
      </c>
      <c r="E927" s="118" t="s">
        <v>299</v>
      </c>
      <c r="F927" s="120">
        <v>6.44</v>
      </c>
      <c r="G927" s="119">
        <v>-1</v>
      </c>
    </row>
    <row r="928" spans="2:7" x14ac:dyDescent="0.2">
      <c r="B928" s="116" t="s">
        <v>2105</v>
      </c>
      <c r="C928" s="117" t="s">
        <v>2106</v>
      </c>
      <c r="D928" s="118" t="s">
        <v>233</v>
      </c>
      <c r="E928" s="118" t="s">
        <v>234</v>
      </c>
      <c r="F928" s="120">
        <v>4.18</v>
      </c>
      <c r="G928" s="119">
        <v>-1.671410390182973E-2</v>
      </c>
    </row>
    <row r="929" spans="2:7" x14ac:dyDescent="0.2">
      <c r="B929" s="116" t="s">
        <v>2107</v>
      </c>
      <c r="C929" s="117" t="s">
        <v>2108</v>
      </c>
      <c r="D929" s="118" t="s">
        <v>233</v>
      </c>
      <c r="E929" s="118" t="s">
        <v>619</v>
      </c>
      <c r="F929" s="120"/>
      <c r="G929" s="119">
        <v>2.7485713989185478E-2</v>
      </c>
    </row>
    <row r="930" spans="2:7" x14ac:dyDescent="0.2">
      <c r="B930" s="116" t="s">
        <v>2109</v>
      </c>
      <c r="C930" s="117" t="s">
        <v>2110</v>
      </c>
      <c r="D930" s="118" t="s">
        <v>115</v>
      </c>
      <c r="E930" s="118" t="s">
        <v>799</v>
      </c>
      <c r="F930" s="120">
        <v>5.47</v>
      </c>
      <c r="G930" s="119">
        <v>0.10709009699824019</v>
      </c>
    </row>
    <row r="931" spans="2:7" x14ac:dyDescent="0.2">
      <c r="B931" s="116" t="s">
        <v>2111</v>
      </c>
      <c r="C931" s="117" t="s">
        <v>2112</v>
      </c>
      <c r="D931" s="118" t="s">
        <v>241</v>
      </c>
      <c r="E931" s="118" t="s">
        <v>306</v>
      </c>
      <c r="F931" s="120"/>
      <c r="G931" s="119">
        <v>0.1194243200362648</v>
      </c>
    </row>
    <row r="932" spans="2:7" x14ac:dyDescent="0.2">
      <c r="B932" s="116" t="s">
        <v>2113</v>
      </c>
      <c r="C932" s="117" t="s">
        <v>2114</v>
      </c>
      <c r="D932" s="118" t="s">
        <v>115</v>
      </c>
      <c r="E932" s="118" t="s">
        <v>2115</v>
      </c>
      <c r="F932" s="120">
        <v>6.47</v>
      </c>
      <c r="G932" s="119">
        <v>2.0985403104884178E-3</v>
      </c>
    </row>
    <row r="933" spans="2:7" x14ac:dyDescent="0.2">
      <c r="B933" s="116" t="s">
        <v>2116</v>
      </c>
      <c r="C933" s="117" t="s">
        <v>2117</v>
      </c>
      <c r="D933" s="118" t="s">
        <v>39</v>
      </c>
      <c r="E933" s="118" t="s">
        <v>383</v>
      </c>
      <c r="F933" s="120"/>
      <c r="G933" s="119">
        <v>1.9907700840060129E-2</v>
      </c>
    </row>
    <row r="934" spans="2:7" x14ac:dyDescent="0.2">
      <c r="B934" s="116" t="s">
        <v>2118</v>
      </c>
      <c r="C934" s="117" t="s">
        <v>2119</v>
      </c>
      <c r="D934" s="118" t="s">
        <v>678</v>
      </c>
      <c r="E934" s="118" t="s">
        <v>679</v>
      </c>
      <c r="F934" s="120">
        <v>7.33</v>
      </c>
      <c r="G934" s="119">
        <v>1.099613404256531E-2</v>
      </c>
    </row>
    <row r="935" spans="2:7" x14ac:dyDescent="0.2">
      <c r="B935" s="116" t="s">
        <v>2120</v>
      </c>
      <c r="C935" s="117" t="s">
        <v>2121</v>
      </c>
      <c r="D935" s="118" t="s">
        <v>39</v>
      </c>
      <c r="E935" s="118" t="s">
        <v>383</v>
      </c>
      <c r="F935" s="120">
        <v>13.55</v>
      </c>
      <c r="G935" s="119">
        <v>0.1076964630012523</v>
      </c>
    </row>
    <row r="936" spans="2:7" x14ac:dyDescent="0.2">
      <c r="B936" s="116" t="s">
        <v>2122</v>
      </c>
      <c r="C936" s="117" t="s">
        <v>2123</v>
      </c>
      <c r="D936" s="118" t="s">
        <v>78</v>
      </c>
      <c r="E936" s="118" t="s">
        <v>340</v>
      </c>
      <c r="F936" s="120">
        <v>6.23</v>
      </c>
      <c r="G936" s="119">
        <v>-6.5336667344560988E-3</v>
      </c>
    </row>
    <row r="937" spans="2:7" x14ac:dyDescent="0.2">
      <c r="B937" s="116" t="s">
        <v>2124</v>
      </c>
      <c r="C937" s="117" t="s">
        <v>2125</v>
      </c>
      <c r="D937" s="118" t="s">
        <v>92</v>
      </c>
      <c r="E937" s="118" t="s">
        <v>96</v>
      </c>
      <c r="F937" s="120">
        <v>9.4</v>
      </c>
      <c r="G937" s="119">
        <v>0.15831368937729581</v>
      </c>
    </row>
    <row r="938" spans="2:7" x14ac:dyDescent="0.2">
      <c r="B938" s="116" t="s">
        <v>2126</v>
      </c>
      <c r="C938" s="117" t="s">
        <v>2127</v>
      </c>
      <c r="D938" s="118" t="s">
        <v>34</v>
      </c>
      <c r="E938" s="118" t="s">
        <v>1222</v>
      </c>
      <c r="F938" s="120">
        <v>30.79</v>
      </c>
      <c r="G938" s="119">
        <v>-8.6775163726260374E-2</v>
      </c>
    </row>
    <row r="939" spans="2:7" x14ac:dyDescent="0.2">
      <c r="B939" s="116" t="s">
        <v>2128</v>
      </c>
      <c r="C939" s="117" t="s">
        <v>2129</v>
      </c>
      <c r="D939" s="118" t="s">
        <v>92</v>
      </c>
      <c r="E939" s="118" t="s">
        <v>717</v>
      </c>
      <c r="F939" s="120">
        <v>13.31</v>
      </c>
      <c r="G939" s="119">
        <v>0.13951144477351521</v>
      </c>
    </row>
    <row r="940" spans="2:7" x14ac:dyDescent="0.2">
      <c r="B940" s="116" t="s">
        <v>2130</v>
      </c>
      <c r="C940" s="117" t="s">
        <v>2131</v>
      </c>
      <c r="D940" s="118" t="s">
        <v>115</v>
      </c>
      <c r="E940" s="118" t="s">
        <v>799</v>
      </c>
      <c r="F940" s="120">
        <v>4.58</v>
      </c>
      <c r="G940" s="119">
        <v>8.8841506559064448E-2</v>
      </c>
    </row>
    <row r="941" spans="2:7" x14ac:dyDescent="0.2">
      <c r="B941" s="116" t="s">
        <v>2132</v>
      </c>
      <c r="C941" s="117" t="s">
        <v>2133</v>
      </c>
      <c r="D941" s="118" t="s">
        <v>102</v>
      </c>
      <c r="E941" s="118" t="s">
        <v>176</v>
      </c>
      <c r="F941" s="120">
        <v>8.58</v>
      </c>
      <c r="G941" s="119">
        <v>2.9835955299733461E-2</v>
      </c>
    </row>
    <row r="942" spans="2:7" x14ac:dyDescent="0.2">
      <c r="B942" s="116" t="s">
        <v>2134</v>
      </c>
      <c r="C942" s="117" t="s">
        <v>2135</v>
      </c>
      <c r="D942" s="118" t="s">
        <v>34</v>
      </c>
      <c r="E942" s="118" t="s">
        <v>251</v>
      </c>
      <c r="F942" s="120">
        <v>21.21</v>
      </c>
      <c r="G942" s="119">
        <v>0.17124386905964689</v>
      </c>
    </row>
    <row r="943" spans="2:7" x14ac:dyDescent="0.2">
      <c r="B943" s="116" t="s">
        <v>2136</v>
      </c>
      <c r="C943" s="117" t="s">
        <v>2137</v>
      </c>
      <c r="D943" s="118" t="s">
        <v>92</v>
      </c>
      <c r="E943" s="118" t="s">
        <v>192</v>
      </c>
      <c r="F943" s="120">
        <v>4.2699999999999996</v>
      </c>
      <c r="G943" s="119">
        <v>0.1281155933110367</v>
      </c>
    </row>
    <row r="944" spans="2:7" x14ac:dyDescent="0.2">
      <c r="B944" s="116" t="s">
        <v>2138</v>
      </c>
      <c r="C944" s="117" t="s">
        <v>2139</v>
      </c>
      <c r="D944" s="118" t="s">
        <v>678</v>
      </c>
      <c r="E944" s="118" t="s">
        <v>679</v>
      </c>
      <c r="F944" s="120">
        <v>1.1100000000000001</v>
      </c>
      <c r="G944" s="119">
        <v>-1.6401838852434E-2</v>
      </c>
    </row>
    <row r="945" spans="2:7" x14ac:dyDescent="0.2">
      <c r="B945" s="116" t="s">
        <v>2140</v>
      </c>
      <c r="C945" s="117" t="s">
        <v>2141</v>
      </c>
      <c r="D945" s="118" t="s">
        <v>241</v>
      </c>
      <c r="E945" s="118" t="s">
        <v>609</v>
      </c>
      <c r="F945" s="120">
        <v>5.84</v>
      </c>
      <c r="G945" s="119">
        <v>1.0032643805035791E-2</v>
      </c>
    </row>
    <row r="946" spans="2:7" x14ac:dyDescent="0.2">
      <c r="B946" s="116" t="s">
        <v>2142</v>
      </c>
      <c r="C946" s="117" t="s">
        <v>2143</v>
      </c>
      <c r="D946" s="118" t="s">
        <v>106</v>
      </c>
      <c r="E946" s="118" t="s">
        <v>466</v>
      </c>
      <c r="F946" s="120">
        <v>8.01</v>
      </c>
      <c r="G946" s="119">
        <v>0.21119371802160339</v>
      </c>
    </row>
    <row r="947" spans="2:7" x14ac:dyDescent="0.2">
      <c r="B947" s="116" t="s">
        <v>2144</v>
      </c>
      <c r="C947" s="117" t="s">
        <v>2145</v>
      </c>
      <c r="D947" s="118" t="s">
        <v>78</v>
      </c>
      <c r="E947" s="118" t="s">
        <v>736</v>
      </c>
      <c r="F947" s="120">
        <v>11.39</v>
      </c>
      <c r="G947" s="119">
        <v>9.7976927804832081E-2</v>
      </c>
    </row>
    <row r="948" spans="2:7" x14ac:dyDescent="0.2">
      <c r="B948" s="116" t="s">
        <v>2146</v>
      </c>
      <c r="C948" s="117" t="s">
        <v>2147</v>
      </c>
      <c r="D948" s="118" t="s">
        <v>78</v>
      </c>
      <c r="E948" s="118" t="s">
        <v>650</v>
      </c>
      <c r="F948" s="120">
        <v>0.4</v>
      </c>
      <c r="G948" s="119">
        <v>-0.22298752050149809</v>
      </c>
    </row>
    <row r="949" spans="2:7" x14ac:dyDescent="0.2">
      <c r="B949" s="116" t="s">
        <v>2148</v>
      </c>
      <c r="C949" s="117" t="s">
        <v>2149</v>
      </c>
      <c r="D949" s="118" t="s">
        <v>198</v>
      </c>
      <c r="E949" s="118" t="s">
        <v>199</v>
      </c>
      <c r="F949" s="120">
        <v>1.6</v>
      </c>
      <c r="G949" s="119">
        <v>6.312304620460836E-2</v>
      </c>
    </row>
    <row r="950" spans="2:7" x14ac:dyDescent="0.2">
      <c r="B950" s="116" t="s">
        <v>2150</v>
      </c>
      <c r="C950" s="117" t="s">
        <v>2151</v>
      </c>
      <c r="D950" s="118" t="s">
        <v>68</v>
      </c>
      <c r="E950" s="118" t="s">
        <v>296</v>
      </c>
      <c r="F950" s="120">
        <v>16.13</v>
      </c>
      <c r="G950" s="119">
        <v>-0.1212285770248808</v>
      </c>
    </row>
    <row r="951" spans="2:7" x14ac:dyDescent="0.2">
      <c r="B951" s="116" t="s">
        <v>2152</v>
      </c>
      <c r="C951" s="117" t="s">
        <v>2153</v>
      </c>
      <c r="D951" s="118" t="s">
        <v>34</v>
      </c>
      <c r="E951" s="118" t="s">
        <v>1493</v>
      </c>
      <c r="F951" s="120">
        <v>159.96</v>
      </c>
      <c r="G951" s="119">
        <v>0.22008694113846469</v>
      </c>
    </row>
    <row r="952" spans="2:7" x14ac:dyDescent="0.2">
      <c r="B952" s="116" t="s">
        <v>2154</v>
      </c>
      <c r="C952" s="117" t="s">
        <v>2155</v>
      </c>
      <c r="D952" s="118" t="s">
        <v>145</v>
      </c>
      <c r="E952" s="118" t="s">
        <v>1093</v>
      </c>
      <c r="F952" s="120"/>
      <c r="G952" s="119">
        <v>-5.8070360586119293E-2</v>
      </c>
    </row>
    <row r="953" spans="2:7" x14ac:dyDescent="0.2">
      <c r="B953" s="116" t="s">
        <v>2156</v>
      </c>
      <c r="C953" s="117" t="s">
        <v>2157</v>
      </c>
      <c r="D953" s="118" t="s">
        <v>52</v>
      </c>
      <c r="E953" s="118" t="s">
        <v>281</v>
      </c>
      <c r="F953" s="120"/>
      <c r="G953" s="119">
        <v>0.23726838393869201</v>
      </c>
    </row>
    <row r="954" spans="2:7" x14ac:dyDescent="0.2">
      <c r="B954" s="116" t="s">
        <v>2158</v>
      </c>
      <c r="C954" s="117" t="s">
        <v>2159</v>
      </c>
      <c r="D954" s="118" t="s">
        <v>145</v>
      </c>
      <c r="E954" s="118" t="s">
        <v>781</v>
      </c>
      <c r="F954" s="120">
        <v>-0.28000000000000003</v>
      </c>
      <c r="G954" s="119">
        <v>-3.009048741564363E-2</v>
      </c>
    </row>
    <row r="955" spans="2:7" x14ac:dyDescent="0.2">
      <c r="B955" s="116" t="s">
        <v>2160</v>
      </c>
      <c r="C955" s="117" t="s">
        <v>2161</v>
      </c>
      <c r="D955" s="118" t="s">
        <v>241</v>
      </c>
      <c r="E955" s="118" t="s">
        <v>1216</v>
      </c>
      <c r="F955" s="120">
        <v>2.4500000000000002</v>
      </c>
      <c r="G955" s="119">
        <v>0.28710515097526318</v>
      </c>
    </row>
    <row r="956" spans="2:7" x14ac:dyDescent="0.2">
      <c r="B956" s="116" t="s">
        <v>2162</v>
      </c>
      <c r="C956" s="117" t="s">
        <v>2163</v>
      </c>
      <c r="D956" s="118" t="s">
        <v>241</v>
      </c>
      <c r="E956" s="118" t="s">
        <v>937</v>
      </c>
      <c r="F956" s="120">
        <v>89.07</v>
      </c>
      <c r="G956" s="119">
        <v>0.25457183190661481</v>
      </c>
    </row>
    <row r="957" spans="2:7" x14ac:dyDescent="0.2">
      <c r="B957" s="116" t="s">
        <v>2164</v>
      </c>
      <c r="C957" s="117" t="s">
        <v>2165</v>
      </c>
      <c r="D957" s="118" t="s">
        <v>92</v>
      </c>
      <c r="E957" s="118" t="s">
        <v>272</v>
      </c>
      <c r="F957" s="120">
        <v>24.5</v>
      </c>
      <c r="G957" s="119">
        <v>1.4329806760821941E-2</v>
      </c>
    </row>
    <row r="958" spans="2:7" x14ac:dyDescent="0.2">
      <c r="B958" s="116" t="s">
        <v>2166</v>
      </c>
      <c r="C958" s="117" t="s">
        <v>2167</v>
      </c>
      <c r="D958" s="118" t="s">
        <v>34</v>
      </c>
      <c r="E958" s="118" t="s">
        <v>119</v>
      </c>
      <c r="F958" s="120">
        <v>19.28</v>
      </c>
      <c r="G958" s="119">
        <v>6.40354579484185E-2</v>
      </c>
    </row>
    <row r="959" spans="2:7" x14ac:dyDescent="0.2">
      <c r="B959" s="116" t="s">
        <v>2168</v>
      </c>
      <c r="C959" s="117" t="s">
        <v>2169</v>
      </c>
      <c r="D959" s="118" t="s">
        <v>34</v>
      </c>
      <c r="E959" s="118" t="s">
        <v>311</v>
      </c>
      <c r="F959" s="120">
        <v>28.99</v>
      </c>
      <c r="G959" s="119">
        <v>0.1615725478816018</v>
      </c>
    </row>
    <row r="960" spans="2:7" x14ac:dyDescent="0.2">
      <c r="B960" s="116" t="s">
        <v>2170</v>
      </c>
      <c r="C960" s="117" t="s">
        <v>2171</v>
      </c>
      <c r="D960" s="118" t="s">
        <v>68</v>
      </c>
      <c r="E960" s="118" t="s">
        <v>69</v>
      </c>
      <c r="F960" s="120">
        <v>0.77</v>
      </c>
      <c r="G960" s="119">
        <v>8.9679442474109819E-2</v>
      </c>
    </row>
    <row r="961" spans="2:7" x14ac:dyDescent="0.2">
      <c r="B961" s="116" t="s">
        <v>2172</v>
      </c>
      <c r="C961" s="117" t="s">
        <v>2173</v>
      </c>
      <c r="D961" s="118" t="s">
        <v>68</v>
      </c>
      <c r="E961" s="118" t="s">
        <v>87</v>
      </c>
      <c r="F961" s="120"/>
      <c r="G961" s="119">
        <v>-0.34312586066484041</v>
      </c>
    </row>
    <row r="962" spans="2:7" x14ac:dyDescent="0.2">
      <c r="B962" s="116" t="s">
        <v>2174</v>
      </c>
      <c r="C962" s="117" t="s">
        <v>2175</v>
      </c>
      <c r="D962" s="118" t="s">
        <v>241</v>
      </c>
      <c r="E962" s="118" t="s">
        <v>242</v>
      </c>
      <c r="F962" s="120">
        <v>-11.07</v>
      </c>
      <c r="G962" s="119">
        <v>-0.19304468550592521</v>
      </c>
    </row>
    <row r="963" spans="2:7" x14ac:dyDescent="0.2">
      <c r="B963" s="116" t="s">
        <v>2176</v>
      </c>
      <c r="C963" s="117" t="s">
        <v>2177</v>
      </c>
      <c r="D963" s="118" t="s">
        <v>68</v>
      </c>
      <c r="E963" s="118" t="s">
        <v>87</v>
      </c>
      <c r="F963" s="120"/>
      <c r="G963" s="119">
        <v>-0.84641144624903319</v>
      </c>
    </row>
    <row r="964" spans="2:7" x14ac:dyDescent="0.2">
      <c r="B964" s="116" t="s">
        <v>2178</v>
      </c>
      <c r="C964" s="117" t="s">
        <v>2179</v>
      </c>
      <c r="D964" s="118" t="s">
        <v>34</v>
      </c>
      <c r="E964" s="118" t="s">
        <v>1026</v>
      </c>
      <c r="F964" s="120">
        <v>-5.0999999999999996</v>
      </c>
      <c r="G964" s="119">
        <v>-6.3704573607975393E-2</v>
      </c>
    </row>
    <row r="965" spans="2:7" x14ac:dyDescent="0.2">
      <c r="B965" s="116" t="s">
        <v>2180</v>
      </c>
      <c r="C965" s="117" t="s">
        <v>2181</v>
      </c>
      <c r="D965" s="118" t="s">
        <v>52</v>
      </c>
      <c r="E965" s="118" t="s">
        <v>2182</v>
      </c>
      <c r="F965" s="120"/>
      <c r="G965" s="119">
        <v>-7.1833833487519455E-2</v>
      </c>
    </row>
    <row r="966" spans="2:7" x14ac:dyDescent="0.2">
      <c r="B966" s="116" t="s">
        <v>2183</v>
      </c>
      <c r="C966" s="117" t="s">
        <v>2184</v>
      </c>
      <c r="D966" s="118" t="s">
        <v>92</v>
      </c>
      <c r="E966" s="118" t="s">
        <v>275</v>
      </c>
      <c r="F966" s="120">
        <v>7.68</v>
      </c>
      <c r="G966" s="119">
        <v>-0.21178843424381891</v>
      </c>
    </row>
    <row r="967" spans="2:7" x14ac:dyDescent="0.2">
      <c r="B967" s="116" t="s">
        <v>2185</v>
      </c>
      <c r="C967" s="117" t="s">
        <v>2186</v>
      </c>
      <c r="D967" s="118" t="s">
        <v>39</v>
      </c>
      <c r="E967" s="118" t="s">
        <v>62</v>
      </c>
      <c r="F967" s="120">
        <v>4.4800000000000004</v>
      </c>
      <c r="G967" s="119">
        <v>4.2763419483101403E-2</v>
      </c>
    </row>
    <row r="968" spans="2:7" x14ac:dyDescent="0.2">
      <c r="B968" s="116" t="s">
        <v>2187</v>
      </c>
      <c r="C968" s="117" t="s">
        <v>2188</v>
      </c>
      <c r="D968" s="118" t="s">
        <v>92</v>
      </c>
      <c r="E968" s="118" t="s">
        <v>96</v>
      </c>
      <c r="F968" s="120"/>
      <c r="G968" s="119">
        <v>-1</v>
      </c>
    </row>
    <row r="969" spans="2:7" x14ac:dyDescent="0.2">
      <c r="B969" s="116" t="s">
        <v>2189</v>
      </c>
      <c r="C969" s="117" t="s">
        <v>2190</v>
      </c>
      <c r="D969" s="118" t="s">
        <v>34</v>
      </c>
      <c r="E969" s="118" t="s">
        <v>990</v>
      </c>
      <c r="F969" s="120">
        <v>9.19</v>
      </c>
      <c r="G969" s="119">
        <v>7.5957802758755258E-2</v>
      </c>
    </row>
    <row r="970" spans="2:7" x14ac:dyDescent="0.2">
      <c r="B970" s="116" t="s">
        <v>2191</v>
      </c>
      <c r="C970" s="117" t="s">
        <v>2192</v>
      </c>
      <c r="D970" s="118" t="s">
        <v>34</v>
      </c>
      <c r="E970" s="118" t="s">
        <v>99</v>
      </c>
      <c r="F970" s="120">
        <v>6.78</v>
      </c>
      <c r="G970" s="119">
        <v>0.11156733985998429</v>
      </c>
    </row>
    <row r="971" spans="2:7" x14ac:dyDescent="0.2">
      <c r="B971" s="116" t="s">
        <v>2193</v>
      </c>
      <c r="C971" s="117" t="s">
        <v>2194</v>
      </c>
      <c r="D971" s="118" t="s">
        <v>115</v>
      </c>
      <c r="E971" s="118" t="s">
        <v>747</v>
      </c>
      <c r="F971" s="120">
        <v>13.38</v>
      </c>
      <c r="G971" s="119">
        <v>5.6798917275162931E-2</v>
      </c>
    </row>
    <row r="972" spans="2:7" x14ac:dyDescent="0.2">
      <c r="B972" s="116" t="s">
        <v>2195</v>
      </c>
      <c r="C972" s="117" t="s">
        <v>2196</v>
      </c>
      <c r="D972" s="118" t="s">
        <v>34</v>
      </c>
      <c r="E972" s="118" t="s">
        <v>1253</v>
      </c>
      <c r="F972" s="120">
        <v>4.3600000000000003</v>
      </c>
      <c r="G972" s="119">
        <v>7.6033230287348444E-2</v>
      </c>
    </row>
    <row r="973" spans="2:7" x14ac:dyDescent="0.2">
      <c r="B973" s="116" t="s">
        <v>2197</v>
      </c>
      <c r="C973" s="117" t="s">
        <v>2198</v>
      </c>
      <c r="D973" s="118" t="s">
        <v>39</v>
      </c>
      <c r="E973" s="118" t="s">
        <v>363</v>
      </c>
      <c r="F973" s="120">
        <v>3.33</v>
      </c>
      <c r="G973" s="119">
        <v>7.9173068279710782E-2</v>
      </c>
    </row>
    <row r="974" spans="2:7" x14ac:dyDescent="0.2">
      <c r="B974" s="116" t="s">
        <v>2199</v>
      </c>
      <c r="C974" s="117" t="s">
        <v>2200</v>
      </c>
      <c r="D974" s="118" t="s">
        <v>145</v>
      </c>
      <c r="E974" s="118" t="s">
        <v>1467</v>
      </c>
      <c r="F974" s="120">
        <v>0.7</v>
      </c>
      <c r="G974" s="119">
        <v>-4.4547679954756489E-2</v>
      </c>
    </row>
    <row r="975" spans="2:7" x14ac:dyDescent="0.2">
      <c r="B975" s="116" t="s">
        <v>2201</v>
      </c>
      <c r="C975" s="117" t="s">
        <v>2202</v>
      </c>
      <c r="D975" s="118" t="s">
        <v>92</v>
      </c>
      <c r="E975" s="118" t="s">
        <v>461</v>
      </c>
      <c r="F975" s="120">
        <v>8.41</v>
      </c>
      <c r="G975" s="119">
        <v>-4.6787999770710138E-2</v>
      </c>
    </row>
    <row r="976" spans="2:7" x14ac:dyDescent="0.2">
      <c r="B976" s="116" t="s">
        <v>2203</v>
      </c>
      <c r="C976" s="117" t="s">
        <v>2204</v>
      </c>
      <c r="D976" s="118" t="s">
        <v>34</v>
      </c>
      <c r="E976" s="118" t="s">
        <v>202</v>
      </c>
      <c r="F976" s="120">
        <v>18.27</v>
      </c>
      <c r="G976" s="119">
        <v>0.1850605832875683</v>
      </c>
    </row>
    <row r="977" spans="2:7" x14ac:dyDescent="0.2">
      <c r="B977" s="116" t="s">
        <v>2205</v>
      </c>
      <c r="C977" s="117" t="s">
        <v>2206</v>
      </c>
      <c r="D977" s="118" t="s">
        <v>34</v>
      </c>
      <c r="E977" s="118" t="s">
        <v>628</v>
      </c>
      <c r="F977" s="120">
        <v>4.9000000000000004</v>
      </c>
      <c r="G977" s="119">
        <v>2.5595212546711162E-2</v>
      </c>
    </row>
    <row r="978" spans="2:7" x14ac:dyDescent="0.2">
      <c r="B978" s="116" t="s">
        <v>2207</v>
      </c>
      <c r="C978" s="117" t="s">
        <v>2208</v>
      </c>
      <c r="D978" s="118" t="s">
        <v>92</v>
      </c>
      <c r="E978" s="118" t="s">
        <v>142</v>
      </c>
      <c r="F978" s="120">
        <v>3.68</v>
      </c>
      <c r="G978" s="119">
        <v>5.7258486452818468E-2</v>
      </c>
    </row>
    <row r="979" spans="2:7" x14ac:dyDescent="0.2">
      <c r="B979" s="116" t="s">
        <v>2209</v>
      </c>
      <c r="C979" s="117" t="s">
        <v>2210</v>
      </c>
      <c r="D979" s="118" t="s">
        <v>145</v>
      </c>
      <c r="E979" s="118" t="s">
        <v>179</v>
      </c>
      <c r="F979" s="120"/>
      <c r="G979" s="119">
        <v>8.2571621333522392E-3</v>
      </c>
    </row>
    <row r="980" spans="2:7" x14ac:dyDescent="0.2">
      <c r="B980" s="116" t="s">
        <v>2211</v>
      </c>
      <c r="C980" s="117" t="s">
        <v>2212</v>
      </c>
      <c r="D980" s="118" t="s">
        <v>115</v>
      </c>
      <c r="E980" s="118" t="s">
        <v>747</v>
      </c>
      <c r="F980" s="120">
        <v>13.1</v>
      </c>
      <c r="G980" s="119">
        <v>0.20498675648132039</v>
      </c>
    </row>
    <row r="981" spans="2:7" x14ac:dyDescent="0.2">
      <c r="B981" s="116" t="s">
        <v>2213</v>
      </c>
      <c r="C981" s="117" t="s">
        <v>2214</v>
      </c>
      <c r="D981" s="118" t="s">
        <v>102</v>
      </c>
      <c r="E981" s="118" t="s">
        <v>733</v>
      </c>
      <c r="F981" s="120">
        <v>13.27</v>
      </c>
      <c r="G981" s="119">
        <v>0.1157908724610749</v>
      </c>
    </row>
    <row r="982" spans="2:7" x14ac:dyDescent="0.2">
      <c r="B982" s="116" t="s">
        <v>2215</v>
      </c>
      <c r="C982" s="117" t="s">
        <v>2216</v>
      </c>
      <c r="D982" s="118" t="s">
        <v>34</v>
      </c>
      <c r="E982" s="118" t="s">
        <v>2217</v>
      </c>
      <c r="F982" s="120">
        <v>17.760000000000002</v>
      </c>
      <c r="G982" s="119">
        <v>-0.3599238366621697</v>
      </c>
    </row>
    <row r="983" spans="2:7" x14ac:dyDescent="0.2">
      <c r="B983" s="116" t="s">
        <v>2218</v>
      </c>
      <c r="C983" s="117" t="s">
        <v>2219</v>
      </c>
      <c r="D983" s="118" t="s">
        <v>92</v>
      </c>
      <c r="E983" s="118" t="s">
        <v>299</v>
      </c>
      <c r="F983" s="120">
        <v>5.64</v>
      </c>
      <c r="G983" s="119">
        <v>-1</v>
      </c>
    </row>
    <row r="984" spans="2:7" x14ac:dyDescent="0.2">
      <c r="B984" s="116" t="s">
        <v>2220</v>
      </c>
      <c r="C984" s="117" t="s">
        <v>2221</v>
      </c>
      <c r="D984" s="118" t="s">
        <v>241</v>
      </c>
      <c r="E984" s="118" t="s">
        <v>306</v>
      </c>
      <c r="F984" s="120">
        <v>-15.18</v>
      </c>
      <c r="G984" s="119">
        <v>7.4731607406831116E-2</v>
      </c>
    </row>
    <row r="985" spans="2:7" x14ac:dyDescent="0.2">
      <c r="B985" s="116" t="s">
        <v>2222</v>
      </c>
      <c r="C985" s="117" t="s">
        <v>2223</v>
      </c>
      <c r="D985" s="118" t="s">
        <v>39</v>
      </c>
      <c r="E985" s="118" t="s">
        <v>383</v>
      </c>
      <c r="F985" s="120">
        <v>-1.91</v>
      </c>
      <c r="G985" s="119">
        <v>9.3105794761631583E-2</v>
      </c>
    </row>
    <row r="986" spans="2:7" x14ac:dyDescent="0.2">
      <c r="B986" s="116" t="s">
        <v>2224</v>
      </c>
      <c r="C986" s="117" t="s">
        <v>2225</v>
      </c>
      <c r="D986" s="118" t="s">
        <v>34</v>
      </c>
      <c r="E986" s="118" t="s">
        <v>119</v>
      </c>
      <c r="F986" s="120">
        <v>1.0900000000000001</v>
      </c>
      <c r="G986" s="119">
        <v>-4.5892284159994509E-2</v>
      </c>
    </row>
    <row r="987" spans="2:7" x14ac:dyDescent="0.2">
      <c r="B987" s="116" t="s">
        <v>2226</v>
      </c>
      <c r="C987" s="117" t="s">
        <v>2227</v>
      </c>
      <c r="D987" s="118" t="s">
        <v>68</v>
      </c>
      <c r="E987" s="118" t="s">
        <v>168</v>
      </c>
      <c r="F987" s="120">
        <v>10.050000000000001</v>
      </c>
      <c r="G987" s="119">
        <v>2.0112238168953751E-2</v>
      </c>
    </row>
    <row r="988" spans="2:7" x14ac:dyDescent="0.2">
      <c r="B988" s="116" t="s">
        <v>2228</v>
      </c>
      <c r="C988" s="117" t="s">
        <v>2229</v>
      </c>
      <c r="D988" s="118" t="s">
        <v>233</v>
      </c>
      <c r="E988" s="118" t="s">
        <v>469</v>
      </c>
      <c r="F988" s="120">
        <v>4.6500000000000004</v>
      </c>
      <c r="G988" s="119">
        <v>2.3532347471502221E-2</v>
      </c>
    </row>
    <row r="989" spans="2:7" x14ac:dyDescent="0.2">
      <c r="B989" s="116" t="s">
        <v>2230</v>
      </c>
      <c r="C989" s="117" t="s">
        <v>2231</v>
      </c>
      <c r="D989" s="118" t="s">
        <v>92</v>
      </c>
      <c r="E989" s="118" t="s">
        <v>299</v>
      </c>
      <c r="F989" s="120"/>
      <c r="G989" s="119">
        <v>-1</v>
      </c>
    </row>
    <row r="990" spans="2:7" x14ac:dyDescent="0.2">
      <c r="B990" s="116" t="s">
        <v>2232</v>
      </c>
      <c r="C990" s="117" t="s">
        <v>2233</v>
      </c>
      <c r="D990" s="118" t="s">
        <v>92</v>
      </c>
      <c r="E990" s="118" t="s">
        <v>228</v>
      </c>
      <c r="F990" s="120">
        <v>0.19</v>
      </c>
      <c r="G990" s="119">
        <v>-0.79156274509803914</v>
      </c>
    </row>
    <row r="991" spans="2:7" x14ac:dyDescent="0.2">
      <c r="B991" s="116" t="s">
        <v>2234</v>
      </c>
      <c r="C991" s="117" t="s">
        <v>2235</v>
      </c>
      <c r="D991" s="118" t="s">
        <v>68</v>
      </c>
      <c r="E991" s="118" t="s">
        <v>985</v>
      </c>
      <c r="F991" s="120"/>
      <c r="G991" s="119">
        <v>0.69012722719617048</v>
      </c>
    </row>
    <row r="992" spans="2:7" x14ac:dyDescent="0.2">
      <c r="B992" s="116" t="s">
        <v>2236</v>
      </c>
      <c r="C992" s="117" t="s">
        <v>2237</v>
      </c>
      <c r="D992" s="118" t="s">
        <v>241</v>
      </c>
      <c r="E992" s="118" t="s">
        <v>306</v>
      </c>
      <c r="F992" s="120">
        <v>3.66</v>
      </c>
      <c r="G992" s="119">
        <v>-0.12065560970718001</v>
      </c>
    </row>
    <row r="993" spans="2:7" x14ac:dyDescent="0.2">
      <c r="B993" s="116" t="s">
        <v>2238</v>
      </c>
      <c r="C993" s="117" t="s">
        <v>2239</v>
      </c>
      <c r="D993" s="118" t="s">
        <v>115</v>
      </c>
      <c r="E993" s="118" t="s">
        <v>747</v>
      </c>
      <c r="F993" s="120">
        <v>15.82</v>
      </c>
      <c r="G993" s="119">
        <v>5.7499325365433972E-2</v>
      </c>
    </row>
    <row r="994" spans="2:7" x14ac:dyDescent="0.2">
      <c r="B994" s="116" t="s">
        <v>2240</v>
      </c>
      <c r="C994" s="117" t="s">
        <v>2241</v>
      </c>
      <c r="D994" s="118" t="s">
        <v>34</v>
      </c>
      <c r="E994" s="118" t="s">
        <v>1637</v>
      </c>
      <c r="F994" s="120">
        <v>0.01</v>
      </c>
      <c r="G994" s="119">
        <v>3.0344259172521482E-2</v>
      </c>
    </row>
    <row r="995" spans="2:7" x14ac:dyDescent="0.2">
      <c r="B995" s="116" t="s">
        <v>2242</v>
      </c>
      <c r="C995" s="117" t="s">
        <v>2243</v>
      </c>
      <c r="D995" s="118" t="s">
        <v>48</v>
      </c>
      <c r="E995" s="118" t="s">
        <v>207</v>
      </c>
      <c r="F995" s="120"/>
      <c r="G995" s="119">
        <v>0.2027817840009222</v>
      </c>
    </row>
    <row r="996" spans="2:7" x14ac:dyDescent="0.2">
      <c r="B996" s="116" t="s">
        <v>2244</v>
      </c>
      <c r="C996" s="117" t="s">
        <v>2245</v>
      </c>
      <c r="D996" s="118" t="s">
        <v>92</v>
      </c>
      <c r="E996" s="118" t="s">
        <v>717</v>
      </c>
      <c r="F996" s="120">
        <v>5.63</v>
      </c>
      <c r="G996" s="119">
        <v>-0.40562546411035783</v>
      </c>
    </row>
    <row r="997" spans="2:7" x14ac:dyDescent="0.2">
      <c r="B997" s="116" t="s">
        <v>2246</v>
      </c>
      <c r="C997" s="117" t="s">
        <v>2247</v>
      </c>
      <c r="D997" s="118" t="s">
        <v>39</v>
      </c>
      <c r="E997" s="118" t="s">
        <v>383</v>
      </c>
      <c r="F997" s="120">
        <v>7.82</v>
      </c>
      <c r="G997" s="119">
        <v>-1.552467101615753E-2</v>
      </c>
    </row>
    <row r="998" spans="2:7" x14ac:dyDescent="0.2">
      <c r="B998" s="116" t="s">
        <v>2248</v>
      </c>
      <c r="C998" s="117" t="s">
        <v>2249</v>
      </c>
      <c r="D998" s="118" t="s">
        <v>138</v>
      </c>
      <c r="E998" s="118" t="s">
        <v>139</v>
      </c>
      <c r="F998" s="120">
        <v>-0.18</v>
      </c>
      <c r="G998" s="119">
        <v>0.13518095713517059</v>
      </c>
    </row>
    <row r="999" spans="2:7" x14ac:dyDescent="0.2">
      <c r="B999" s="116" t="s">
        <v>2250</v>
      </c>
      <c r="C999" s="117" t="s">
        <v>2251</v>
      </c>
      <c r="D999" s="118" t="s">
        <v>145</v>
      </c>
      <c r="E999" s="118" t="s">
        <v>146</v>
      </c>
      <c r="F999" s="120">
        <v>-0.86</v>
      </c>
      <c r="G999" s="119">
        <v>0.43608719426444242</v>
      </c>
    </row>
    <row r="1000" spans="2:7" x14ac:dyDescent="0.2">
      <c r="B1000" s="116" t="s">
        <v>2252</v>
      </c>
      <c r="C1000" s="117" t="s">
        <v>2253</v>
      </c>
      <c r="D1000" s="118" t="s">
        <v>68</v>
      </c>
      <c r="E1000" s="118" t="s">
        <v>75</v>
      </c>
      <c r="F1000" s="120">
        <v>11.48</v>
      </c>
      <c r="G1000" s="119">
        <v>5.9175764745648188E-2</v>
      </c>
    </row>
    <row r="1001" spans="2:7" x14ac:dyDescent="0.2">
      <c r="B1001" s="116" t="s">
        <v>2254</v>
      </c>
      <c r="C1001" s="117" t="s">
        <v>2255</v>
      </c>
      <c r="D1001" s="118" t="s">
        <v>241</v>
      </c>
      <c r="E1001" s="118" t="s">
        <v>1017</v>
      </c>
      <c r="F1001" s="120">
        <v>21.03</v>
      </c>
      <c r="G1001" s="119">
        <v>0.43198054474708181</v>
      </c>
    </row>
    <row r="1002" spans="2:7" x14ac:dyDescent="0.2">
      <c r="B1002" s="116" t="s">
        <v>2256</v>
      </c>
      <c r="C1002" s="117" t="s">
        <v>2257</v>
      </c>
      <c r="D1002" s="118" t="s">
        <v>34</v>
      </c>
      <c r="E1002" s="118" t="s">
        <v>319</v>
      </c>
      <c r="F1002" s="120">
        <v>44.61</v>
      </c>
      <c r="G1002" s="119">
        <v>0.24596335788660981</v>
      </c>
    </row>
    <row r="1003" spans="2:7" x14ac:dyDescent="0.2">
      <c r="B1003" s="116" t="s">
        <v>2258</v>
      </c>
      <c r="C1003" s="117" t="s">
        <v>2259</v>
      </c>
      <c r="D1003" s="118" t="s">
        <v>241</v>
      </c>
      <c r="E1003" s="118" t="s">
        <v>606</v>
      </c>
      <c r="F1003" s="120"/>
      <c r="G1003" s="119">
        <v>0.89465716829919872</v>
      </c>
    </row>
    <row r="1004" spans="2:7" x14ac:dyDescent="0.2">
      <c r="B1004" s="116" t="s">
        <v>2260</v>
      </c>
      <c r="C1004" s="117" t="s">
        <v>2261</v>
      </c>
      <c r="D1004" s="118" t="s">
        <v>138</v>
      </c>
      <c r="E1004" s="118" t="s">
        <v>386</v>
      </c>
      <c r="F1004" s="120">
        <v>-3.54</v>
      </c>
      <c r="G1004" s="119">
        <v>8.4082050895665658E-2</v>
      </c>
    </row>
    <row r="1005" spans="2:7" x14ac:dyDescent="0.2">
      <c r="B1005" s="116" t="s">
        <v>2262</v>
      </c>
      <c r="C1005" s="117" t="s">
        <v>2263</v>
      </c>
      <c r="D1005" s="118" t="s">
        <v>115</v>
      </c>
      <c r="E1005" s="118" t="s">
        <v>728</v>
      </c>
      <c r="F1005" s="120">
        <v>30.56</v>
      </c>
      <c r="G1005" s="119">
        <v>0.28006867270174002</v>
      </c>
    </row>
    <row r="1006" spans="2:7" x14ac:dyDescent="0.2">
      <c r="B1006" s="116" t="s">
        <v>2264</v>
      </c>
      <c r="C1006" s="117" t="s">
        <v>2265</v>
      </c>
      <c r="D1006" s="118" t="s">
        <v>138</v>
      </c>
      <c r="E1006" s="118" t="s">
        <v>139</v>
      </c>
      <c r="F1006" s="120"/>
      <c r="G1006" s="119">
        <v>5.1481920084087439E-2</v>
      </c>
    </row>
    <row r="1007" spans="2:7" x14ac:dyDescent="0.2">
      <c r="B1007" s="116" t="s">
        <v>2266</v>
      </c>
      <c r="C1007" s="117" t="s">
        <v>2267</v>
      </c>
      <c r="D1007" s="118" t="s">
        <v>145</v>
      </c>
      <c r="E1007" s="118" t="s">
        <v>402</v>
      </c>
      <c r="F1007" s="120"/>
      <c r="G1007" s="119">
        <v>0.1083161669684896</v>
      </c>
    </row>
    <row r="1008" spans="2:7" x14ac:dyDescent="0.2">
      <c r="B1008" s="116" t="s">
        <v>2268</v>
      </c>
      <c r="C1008" s="117" t="s">
        <v>2269</v>
      </c>
      <c r="D1008" s="118" t="s">
        <v>145</v>
      </c>
      <c r="E1008" s="118" t="s">
        <v>360</v>
      </c>
      <c r="F1008" s="120">
        <v>8.16</v>
      </c>
      <c r="G1008" s="119">
        <v>0.18004582745236419</v>
      </c>
    </row>
    <row r="1009" spans="2:7" x14ac:dyDescent="0.2">
      <c r="B1009" s="116" t="s">
        <v>2270</v>
      </c>
      <c r="C1009" s="117" t="s">
        <v>2271</v>
      </c>
      <c r="D1009" s="118" t="s">
        <v>92</v>
      </c>
      <c r="E1009" s="118" t="s">
        <v>272</v>
      </c>
      <c r="F1009" s="120">
        <v>12.49</v>
      </c>
      <c r="G1009" s="119">
        <v>6.1056956654560152E-2</v>
      </c>
    </row>
    <row r="1010" spans="2:7" x14ac:dyDescent="0.2">
      <c r="B1010" s="116" t="s">
        <v>2272</v>
      </c>
      <c r="C1010" s="117" t="s">
        <v>2273</v>
      </c>
      <c r="D1010" s="118" t="s">
        <v>39</v>
      </c>
      <c r="E1010" s="118" t="s">
        <v>1162</v>
      </c>
      <c r="F1010" s="120">
        <v>14.19</v>
      </c>
      <c r="G1010" s="119">
        <v>-1</v>
      </c>
    </row>
    <row r="1011" spans="2:7" x14ac:dyDescent="0.2">
      <c r="B1011" s="116" t="s">
        <v>2274</v>
      </c>
      <c r="C1011" s="117" t="s">
        <v>2275</v>
      </c>
      <c r="D1011" s="118" t="s">
        <v>138</v>
      </c>
      <c r="E1011" s="118" t="s">
        <v>139</v>
      </c>
      <c r="F1011" s="120">
        <v>-3.16</v>
      </c>
      <c r="G1011" s="119">
        <v>4.2937911819337198E-2</v>
      </c>
    </row>
    <row r="1012" spans="2:7" x14ac:dyDescent="0.2">
      <c r="B1012" s="116" t="s">
        <v>2276</v>
      </c>
      <c r="C1012" s="117" t="s">
        <v>2277</v>
      </c>
      <c r="D1012" s="118" t="s">
        <v>34</v>
      </c>
      <c r="E1012" s="118" t="s">
        <v>319</v>
      </c>
      <c r="F1012" s="120">
        <v>11.2</v>
      </c>
      <c r="G1012" s="119">
        <v>9.0450786420402607E-2</v>
      </c>
    </row>
    <row r="1013" spans="2:7" x14ac:dyDescent="0.2">
      <c r="B1013" s="116" t="s">
        <v>2278</v>
      </c>
      <c r="C1013" s="117" t="s">
        <v>2279</v>
      </c>
      <c r="D1013" s="118" t="s">
        <v>34</v>
      </c>
      <c r="E1013" s="118" t="s">
        <v>1222</v>
      </c>
      <c r="F1013" s="120">
        <v>-5.22</v>
      </c>
      <c r="G1013" s="119">
        <v>-7.7300485031773392E-2</v>
      </c>
    </row>
    <row r="1014" spans="2:7" x14ac:dyDescent="0.2">
      <c r="B1014" s="116" t="s">
        <v>2280</v>
      </c>
      <c r="C1014" s="117" t="s">
        <v>2281</v>
      </c>
      <c r="D1014" s="118" t="s">
        <v>233</v>
      </c>
      <c r="E1014" s="118" t="s">
        <v>469</v>
      </c>
      <c r="F1014" s="120"/>
      <c r="G1014" s="119">
        <v>1.4883005610176081</v>
      </c>
    </row>
    <row r="1015" spans="2:7" x14ac:dyDescent="0.2">
      <c r="B1015" s="116" t="s">
        <v>2282</v>
      </c>
      <c r="C1015" s="117" t="s">
        <v>2283</v>
      </c>
      <c r="D1015" s="118" t="s">
        <v>34</v>
      </c>
      <c r="E1015" s="118" t="s">
        <v>44</v>
      </c>
      <c r="F1015" s="120">
        <v>11.65</v>
      </c>
      <c r="G1015" s="119">
        <v>-1</v>
      </c>
    </row>
    <row r="1016" spans="2:7" x14ac:dyDescent="0.2">
      <c r="B1016" s="116" t="s">
        <v>2284</v>
      </c>
      <c r="C1016" s="117" t="s">
        <v>2285</v>
      </c>
      <c r="D1016" s="118" t="s">
        <v>138</v>
      </c>
      <c r="E1016" s="118" t="s">
        <v>386</v>
      </c>
      <c r="F1016" s="120">
        <v>-1.65</v>
      </c>
      <c r="G1016" s="119">
        <v>-0.10871289591130349</v>
      </c>
    </row>
    <row r="1017" spans="2:7" x14ac:dyDescent="0.2">
      <c r="B1017" s="116" t="s">
        <v>2286</v>
      </c>
      <c r="C1017" s="117" t="s">
        <v>2287</v>
      </c>
      <c r="D1017" s="118" t="s">
        <v>115</v>
      </c>
      <c r="E1017" s="118" t="s">
        <v>116</v>
      </c>
      <c r="F1017" s="120">
        <v>6.25</v>
      </c>
      <c r="G1017" s="119">
        <v>7.8078964133241321E-2</v>
      </c>
    </row>
    <row r="1018" spans="2:7" x14ac:dyDescent="0.2">
      <c r="B1018" s="116" t="s">
        <v>2288</v>
      </c>
      <c r="C1018" s="117" t="s">
        <v>2289</v>
      </c>
      <c r="D1018" s="118" t="s">
        <v>68</v>
      </c>
      <c r="E1018" s="118" t="s">
        <v>985</v>
      </c>
      <c r="F1018" s="120">
        <v>30.07</v>
      </c>
      <c r="G1018" s="119">
        <v>-0.91266132303154224</v>
      </c>
    </row>
    <row r="1019" spans="2:7" x14ac:dyDescent="0.2">
      <c r="B1019" s="116" t="s">
        <v>2290</v>
      </c>
      <c r="C1019" s="117" t="s">
        <v>2291</v>
      </c>
      <c r="D1019" s="118" t="s">
        <v>106</v>
      </c>
      <c r="E1019" s="118" t="s">
        <v>563</v>
      </c>
      <c r="F1019" s="120">
        <v>1.39</v>
      </c>
      <c r="G1019" s="119">
        <v>-5.1272156561780191E-3</v>
      </c>
    </row>
    <row r="1020" spans="2:7" x14ac:dyDescent="0.2">
      <c r="B1020" s="116" t="s">
        <v>2292</v>
      </c>
      <c r="C1020" s="117" t="s">
        <v>2293</v>
      </c>
      <c r="D1020" s="118" t="s">
        <v>92</v>
      </c>
      <c r="E1020" s="118" t="s">
        <v>171</v>
      </c>
      <c r="F1020" s="120">
        <v>3.95</v>
      </c>
      <c r="G1020" s="119">
        <v>-1</v>
      </c>
    </row>
    <row r="1021" spans="2:7" x14ac:dyDescent="0.2">
      <c r="B1021" s="116" t="s">
        <v>2294</v>
      </c>
      <c r="C1021" s="117" t="s">
        <v>2295</v>
      </c>
      <c r="D1021" s="118" t="s">
        <v>68</v>
      </c>
      <c r="E1021" s="118" t="s">
        <v>949</v>
      </c>
      <c r="F1021" s="120"/>
      <c r="G1021" s="119">
        <v>0.22780405881638099</v>
      </c>
    </row>
    <row r="1022" spans="2:7" x14ac:dyDescent="0.2">
      <c r="B1022" s="116" t="s">
        <v>2296</v>
      </c>
      <c r="C1022" s="117" t="s">
        <v>2297</v>
      </c>
      <c r="D1022" s="118" t="s">
        <v>92</v>
      </c>
      <c r="E1022" s="118" t="s">
        <v>275</v>
      </c>
      <c r="F1022" s="120">
        <v>2.0099999999999998</v>
      </c>
      <c r="G1022" s="119">
        <v>-1</v>
      </c>
    </row>
    <row r="1023" spans="2:7" x14ac:dyDescent="0.2">
      <c r="B1023" s="116" t="s">
        <v>2298</v>
      </c>
      <c r="C1023" s="117" t="s">
        <v>2299</v>
      </c>
      <c r="D1023" s="118" t="s">
        <v>145</v>
      </c>
      <c r="E1023" s="118" t="s">
        <v>360</v>
      </c>
      <c r="F1023" s="120"/>
      <c r="G1023" s="119">
        <v>1.1792893966687749E-2</v>
      </c>
    </row>
    <row r="1024" spans="2:7" x14ac:dyDescent="0.2">
      <c r="B1024" s="116" t="s">
        <v>2300</v>
      </c>
      <c r="C1024" s="117" t="s">
        <v>2301</v>
      </c>
      <c r="D1024" s="118" t="s">
        <v>92</v>
      </c>
      <c r="E1024" s="118" t="s">
        <v>112</v>
      </c>
      <c r="F1024" s="120">
        <v>9.39</v>
      </c>
      <c r="G1024" s="119">
        <v>6.9843863424662075E-2</v>
      </c>
    </row>
    <row r="1025" spans="2:7" x14ac:dyDescent="0.2">
      <c r="B1025" s="116" t="s">
        <v>2302</v>
      </c>
      <c r="C1025" s="117" t="s">
        <v>2303</v>
      </c>
      <c r="D1025" s="118" t="s">
        <v>198</v>
      </c>
      <c r="E1025" s="118" t="s">
        <v>456</v>
      </c>
      <c r="F1025" s="120">
        <v>6.14</v>
      </c>
      <c r="G1025" s="119">
        <v>0.13011115833194889</v>
      </c>
    </row>
    <row r="1026" spans="2:7" x14ac:dyDescent="0.2">
      <c r="B1026" s="116" t="s">
        <v>2304</v>
      </c>
      <c r="C1026" s="117" t="s">
        <v>2305</v>
      </c>
      <c r="D1026" s="118" t="s">
        <v>34</v>
      </c>
      <c r="E1026" s="118" t="s">
        <v>1253</v>
      </c>
      <c r="F1026" s="120">
        <v>15.57</v>
      </c>
      <c r="G1026" s="119">
        <v>-1.6177328157045021E-2</v>
      </c>
    </row>
    <row r="1027" spans="2:7" x14ac:dyDescent="0.2">
      <c r="B1027" s="116" t="s">
        <v>2306</v>
      </c>
      <c r="C1027" s="117" t="s">
        <v>2307</v>
      </c>
      <c r="D1027" s="118" t="s">
        <v>78</v>
      </c>
      <c r="E1027" s="118" t="s">
        <v>340</v>
      </c>
      <c r="F1027" s="120">
        <v>11.3</v>
      </c>
      <c r="G1027" s="119">
        <v>1.734419157476326E-2</v>
      </c>
    </row>
    <row r="1028" spans="2:7" x14ac:dyDescent="0.2">
      <c r="B1028" s="116" t="s">
        <v>2308</v>
      </c>
      <c r="C1028" s="117" t="s">
        <v>2309</v>
      </c>
      <c r="D1028" s="118" t="s">
        <v>241</v>
      </c>
      <c r="E1028" s="118" t="s">
        <v>2310</v>
      </c>
      <c r="F1028" s="120">
        <v>-21.82</v>
      </c>
      <c r="G1028" s="119">
        <v>-3.0543428368625699E-3</v>
      </c>
    </row>
    <row r="1029" spans="2:7" x14ac:dyDescent="0.2">
      <c r="B1029" s="116" t="s">
        <v>2311</v>
      </c>
      <c r="C1029" s="117" t="s">
        <v>2312</v>
      </c>
      <c r="D1029" s="118" t="s">
        <v>34</v>
      </c>
      <c r="E1029" s="118" t="s">
        <v>245</v>
      </c>
      <c r="F1029" s="120">
        <v>39.299999999999997</v>
      </c>
      <c r="G1029" s="119">
        <v>0.32564797494652742</v>
      </c>
    </row>
    <row r="1030" spans="2:7" x14ac:dyDescent="0.2">
      <c r="B1030" s="116" t="s">
        <v>2313</v>
      </c>
      <c r="C1030" s="117" t="s">
        <v>2314</v>
      </c>
      <c r="D1030" s="118" t="s">
        <v>102</v>
      </c>
      <c r="E1030" s="118" t="s">
        <v>2315</v>
      </c>
      <c r="F1030" s="120"/>
      <c r="G1030" s="119" t="e">
        <v>#DIV/0!</v>
      </c>
    </row>
    <row r="1031" spans="2:7" x14ac:dyDescent="0.2">
      <c r="B1031" s="116" t="s">
        <v>2316</v>
      </c>
      <c r="C1031" s="117" t="s">
        <v>2317</v>
      </c>
      <c r="D1031" s="118" t="s">
        <v>138</v>
      </c>
      <c r="E1031" s="118" t="s">
        <v>139</v>
      </c>
      <c r="F1031" s="120">
        <v>-10.42</v>
      </c>
      <c r="G1031" s="119">
        <v>-1.283337940493781E-2</v>
      </c>
    </row>
    <row r="1032" spans="2:7" x14ac:dyDescent="0.2">
      <c r="B1032" s="116" t="s">
        <v>2318</v>
      </c>
      <c r="C1032" s="117" t="s">
        <v>2319</v>
      </c>
      <c r="D1032" s="118" t="s">
        <v>106</v>
      </c>
      <c r="E1032" s="118" t="s">
        <v>324</v>
      </c>
      <c r="F1032" s="120">
        <v>12.44</v>
      </c>
      <c r="G1032" s="119">
        <v>8.7776229184058932E-2</v>
      </c>
    </row>
    <row r="1033" spans="2:7" x14ac:dyDescent="0.2">
      <c r="B1033" s="116" t="s">
        <v>2320</v>
      </c>
      <c r="C1033" s="117" t="s">
        <v>2321</v>
      </c>
      <c r="D1033" s="118" t="s">
        <v>92</v>
      </c>
      <c r="E1033" s="118" t="s">
        <v>171</v>
      </c>
      <c r="F1033" s="120">
        <v>47.53</v>
      </c>
      <c r="G1033" s="119">
        <v>-0.45142890363052962</v>
      </c>
    </row>
    <row r="1034" spans="2:7" x14ac:dyDescent="0.2">
      <c r="B1034" s="116" t="s">
        <v>2322</v>
      </c>
      <c r="C1034" s="117" t="s">
        <v>2323</v>
      </c>
      <c r="D1034" s="118" t="s">
        <v>241</v>
      </c>
      <c r="E1034" s="118" t="s">
        <v>609</v>
      </c>
      <c r="F1034" s="120">
        <v>-8.8800000000000008</v>
      </c>
      <c r="G1034" s="119">
        <v>-0.17130283520919989</v>
      </c>
    </row>
    <row r="1035" spans="2:7" x14ac:dyDescent="0.2">
      <c r="B1035" s="116" t="s">
        <v>2324</v>
      </c>
      <c r="C1035" s="117" t="s">
        <v>2325</v>
      </c>
      <c r="D1035" s="118" t="s">
        <v>233</v>
      </c>
      <c r="E1035" s="118" t="s">
        <v>469</v>
      </c>
      <c r="F1035" s="120">
        <v>1.1499999999999999</v>
      </c>
      <c r="G1035" s="119">
        <v>-4.7511793408124572E-2</v>
      </c>
    </row>
    <row r="1036" spans="2:7" x14ac:dyDescent="0.2">
      <c r="B1036" s="116" t="s">
        <v>2326</v>
      </c>
      <c r="C1036" s="117" t="s">
        <v>2327</v>
      </c>
      <c r="D1036" s="118" t="s">
        <v>48</v>
      </c>
      <c r="E1036" s="118" t="s">
        <v>835</v>
      </c>
      <c r="F1036" s="120">
        <v>0.15</v>
      </c>
      <c r="G1036" s="119">
        <v>1.784489352417528E-2</v>
      </c>
    </row>
    <row r="1037" spans="2:7" x14ac:dyDescent="0.2">
      <c r="B1037" s="116" t="s">
        <v>2328</v>
      </c>
      <c r="C1037" s="117" t="s">
        <v>2329</v>
      </c>
      <c r="D1037" s="118" t="s">
        <v>106</v>
      </c>
      <c r="E1037" s="118" t="s">
        <v>2058</v>
      </c>
      <c r="F1037" s="120">
        <v>12.84</v>
      </c>
      <c r="G1037" s="119">
        <v>0.12707729296992321</v>
      </c>
    </row>
    <row r="1038" spans="2:7" x14ac:dyDescent="0.2">
      <c r="B1038" s="116" t="s">
        <v>2330</v>
      </c>
      <c r="C1038" s="117" t="s">
        <v>2331</v>
      </c>
      <c r="D1038" s="118" t="s">
        <v>78</v>
      </c>
      <c r="E1038" s="118" t="s">
        <v>340</v>
      </c>
      <c r="F1038" s="120"/>
      <c r="G1038" s="119">
        <v>4.365551586768384E-2</v>
      </c>
    </row>
    <row r="1039" spans="2:7" x14ac:dyDescent="0.2">
      <c r="B1039" s="116" t="s">
        <v>2332</v>
      </c>
      <c r="C1039" s="117" t="s">
        <v>2333</v>
      </c>
      <c r="D1039" s="118" t="s">
        <v>34</v>
      </c>
      <c r="E1039" s="118" t="s">
        <v>2334</v>
      </c>
      <c r="F1039" s="120">
        <v>0.09</v>
      </c>
      <c r="G1039" s="119">
        <v>-6.7130489749430533E-2</v>
      </c>
    </row>
    <row r="1040" spans="2:7" x14ac:dyDescent="0.2">
      <c r="B1040" s="116" t="s">
        <v>2335</v>
      </c>
      <c r="C1040" s="117" t="s">
        <v>2336</v>
      </c>
      <c r="D1040" s="118" t="s">
        <v>115</v>
      </c>
      <c r="E1040" s="118" t="s">
        <v>394</v>
      </c>
      <c r="F1040" s="120">
        <v>24.4</v>
      </c>
      <c r="G1040" s="119">
        <v>0.15673527946880869</v>
      </c>
    </row>
    <row r="1041" spans="2:7" x14ac:dyDescent="0.2">
      <c r="B1041" s="116" t="s">
        <v>2337</v>
      </c>
      <c r="C1041" s="117" t="s">
        <v>2338</v>
      </c>
      <c r="D1041" s="118" t="s">
        <v>106</v>
      </c>
      <c r="E1041" s="118" t="s">
        <v>324</v>
      </c>
      <c r="F1041" s="120"/>
      <c r="G1041" s="119">
        <v>5.9365061459348202E-2</v>
      </c>
    </row>
    <row r="1042" spans="2:7" x14ac:dyDescent="0.2">
      <c r="B1042" s="116" t="s">
        <v>2339</v>
      </c>
      <c r="C1042" s="117" t="s">
        <v>2340</v>
      </c>
      <c r="D1042" s="118" t="s">
        <v>34</v>
      </c>
      <c r="E1042" s="118" t="s">
        <v>1493</v>
      </c>
      <c r="F1042" s="120">
        <v>46.98</v>
      </c>
      <c r="G1042" s="119">
        <v>9.569972562068077E-2</v>
      </c>
    </row>
    <row r="1043" spans="2:7" x14ac:dyDescent="0.2">
      <c r="B1043" s="116" t="s">
        <v>2341</v>
      </c>
      <c r="C1043" s="117" t="s">
        <v>2342</v>
      </c>
      <c r="D1043" s="118" t="s">
        <v>92</v>
      </c>
      <c r="E1043" s="118" t="s">
        <v>299</v>
      </c>
      <c r="F1043" s="120">
        <v>8.1199999999999992</v>
      </c>
      <c r="G1043" s="119">
        <v>-0.32256209972442801</v>
      </c>
    </row>
    <row r="1044" spans="2:7" x14ac:dyDescent="0.2">
      <c r="B1044" s="116" t="s">
        <v>2343</v>
      </c>
      <c r="C1044" s="117" t="s">
        <v>2344</v>
      </c>
      <c r="D1044" s="118" t="s">
        <v>34</v>
      </c>
      <c r="E1044" s="118" t="s">
        <v>245</v>
      </c>
      <c r="F1044" s="120">
        <v>60.27</v>
      </c>
      <c r="G1044" s="119">
        <v>0.1084723817690552</v>
      </c>
    </row>
    <row r="1045" spans="2:7" x14ac:dyDescent="0.2">
      <c r="B1045" s="116" t="s">
        <v>2345</v>
      </c>
      <c r="C1045" s="117" t="s">
        <v>2346</v>
      </c>
      <c r="D1045" s="118" t="s">
        <v>145</v>
      </c>
      <c r="E1045" s="118" t="s">
        <v>781</v>
      </c>
      <c r="F1045" s="120">
        <v>24.46</v>
      </c>
      <c r="G1045" s="119">
        <v>2.9360732328376479E-2</v>
      </c>
    </row>
    <row r="1046" spans="2:7" x14ac:dyDescent="0.2">
      <c r="B1046" s="116" t="s">
        <v>2347</v>
      </c>
      <c r="C1046" s="117" t="s">
        <v>2348</v>
      </c>
      <c r="D1046" s="118" t="s">
        <v>92</v>
      </c>
      <c r="E1046" s="118" t="s">
        <v>461</v>
      </c>
      <c r="F1046" s="120">
        <v>9.7899999999999991</v>
      </c>
      <c r="G1046" s="119">
        <v>-9.4529722626860269E-2</v>
      </c>
    </row>
    <row r="1047" spans="2:7" x14ac:dyDescent="0.2">
      <c r="B1047" s="116" t="s">
        <v>2349</v>
      </c>
      <c r="C1047" s="117" t="s">
        <v>2350</v>
      </c>
      <c r="D1047" s="118" t="s">
        <v>138</v>
      </c>
      <c r="E1047" s="118" t="s">
        <v>499</v>
      </c>
      <c r="F1047" s="120">
        <v>2.4500000000000002</v>
      </c>
      <c r="G1047" s="119">
        <v>-1</v>
      </c>
    </row>
    <row r="1048" spans="2:7" x14ac:dyDescent="0.2">
      <c r="B1048" s="116" t="s">
        <v>2351</v>
      </c>
      <c r="C1048" s="117" t="s">
        <v>2352</v>
      </c>
      <c r="D1048" s="118" t="s">
        <v>34</v>
      </c>
      <c r="E1048" s="118" t="s">
        <v>99</v>
      </c>
      <c r="F1048" s="120">
        <v>0.63</v>
      </c>
      <c r="G1048" s="119">
        <v>-9.3051480264761149E-2</v>
      </c>
    </row>
    <row r="1049" spans="2:7" x14ac:dyDescent="0.2">
      <c r="B1049" s="116" t="s">
        <v>2353</v>
      </c>
      <c r="C1049" s="117" t="s">
        <v>2354</v>
      </c>
      <c r="D1049" s="118" t="s">
        <v>145</v>
      </c>
      <c r="E1049" s="118" t="s">
        <v>1467</v>
      </c>
      <c r="F1049" s="120">
        <v>6.26</v>
      </c>
      <c r="G1049" s="119">
        <v>-6.4157445881643252E-2</v>
      </c>
    </row>
    <row r="1050" spans="2:7" x14ac:dyDescent="0.2">
      <c r="B1050" s="116" t="s">
        <v>2355</v>
      </c>
      <c r="C1050" s="117" t="s">
        <v>2356</v>
      </c>
      <c r="D1050" s="118" t="s">
        <v>68</v>
      </c>
      <c r="E1050" s="118" t="s">
        <v>75</v>
      </c>
      <c r="F1050" s="120">
        <v>9.99</v>
      </c>
      <c r="G1050" s="119">
        <v>4.7899129534995463E-2</v>
      </c>
    </row>
    <row r="1051" spans="2:7" x14ac:dyDescent="0.2">
      <c r="B1051" s="116" t="s">
        <v>2357</v>
      </c>
      <c r="C1051" s="117" t="s">
        <v>2358</v>
      </c>
      <c r="D1051" s="118" t="s">
        <v>68</v>
      </c>
      <c r="E1051" s="118" t="s">
        <v>949</v>
      </c>
      <c r="F1051" s="120">
        <v>98.57</v>
      </c>
      <c r="G1051" s="119">
        <v>0.38298052968920071</v>
      </c>
    </row>
    <row r="1052" spans="2:7" x14ac:dyDescent="0.2">
      <c r="B1052" s="116" t="s">
        <v>2359</v>
      </c>
      <c r="C1052" s="117" t="s">
        <v>2360</v>
      </c>
      <c r="D1052" s="118" t="s">
        <v>34</v>
      </c>
      <c r="E1052" s="118" t="s">
        <v>1753</v>
      </c>
      <c r="F1052" s="120">
        <v>27.26</v>
      </c>
      <c r="G1052" s="119">
        <v>-8.2489691020826261E-2</v>
      </c>
    </row>
    <row r="1053" spans="2:7" x14ac:dyDescent="0.2">
      <c r="B1053" s="116" t="s">
        <v>2361</v>
      </c>
      <c r="C1053" s="117" t="s">
        <v>2362</v>
      </c>
      <c r="D1053" s="118" t="s">
        <v>68</v>
      </c>
      <c r="E1053" s="118" t="s">
        <v>69</v>
      </c>
      <c r="F1053" s="120">
        <v>3.62</v>
      </c>
      <c r="G1053" s="119">
        <v>2.6575891497010829E-2</v>
      </c>
    </row>
    <row r="1054" spans="2:7" x14ac:dyDescent="0.2">
      <c r="B1054" s="116" t="s">
        <v>2363</v>
      </c>
      <c r="C1054" s="117" t="s">
        <v>2364</v>
      </c>
      <c r="D1054" s="118" t="s">
        <v>102</v>
      </c>
      <c r="E1054" s="118" t="s">
        <v>1081</v>
      </c>
      <c r="F1054" s="120">
        <v>11.87</v>
      </c>
      <c r="G1054" s="119">
        <v>2.300732264466105E-2</v>
      </c>
    </row>
    <row r="1055" spans="2:7" x14ac:dyDescent="0.2">
      <c r="B1055" s="116" t="s">
        <v>2365</v>
      </c>
      <c r="C1055" s="117" t="s">
        <v>2366</v>
      </c>
      <c r="D1055" s="118" t="s">
        <v>68</v>
      </c>
      <c r="E1055" s="118" t="s">
        <v>69</v>
      </c>
      <c r="F1055" s="120">
        <v>-2.23</v>
      </c>
      <c r="G1055" s="119">
        <v>-8.5738951252408463E-2</v>
      </c>
    </row>
    <row r="1056" spans="2:7" x14ac:dyDescent="0.2">
      <c r="B1056" s="116" t="s">
        <v>2367</v>
      </c>
      <c r="C1056" s="117" t="s">
        <v>2368</v>
      </c>
      <c r="D1056" s="118" t="s">
        <v>34</v>
      </c>
      <c r="E1056" s="118" t="s">
        <v>44</v>
      </c>
      <c r="F1056" s="120"/>
      <c r="G1056" s="119">
        <v>4.5152692446811828E-5</v>
      </c>
    </row>
    <row r="1057" spans="2:7" x14ac:dyDescent="0.2">
      <c r="B1057" s="116" t="s">
        <v>2369</v>
      </c>
      <c r="C1057" s="117" t="s">
        <v>2370</v>
      </c>
      <c r="D1057" s="118" t="s">
        <v>145</v>
      </c>
      <c r="E1057" s="118" t="s">
        <v>360</v>
      </c>
      <c r="F1057" s="120">
        <v>1.78</v>
      </c>
      <c r="G1057" s="119">
        <v>-4.2015986460178442E-2</v>
      </c>
    </row>
    <row r="1058" spans="2:7" x14ac:dyDescent="0.2">
      <c r="B1058" s="116" t="s">
        <v>2371</v>
      </c>
      <c r="C1058" s="117" t="s">
        <v>2372</v>
      </c>
      <c r="D1058" s="118" t="s">
        <v>138</v>
      </c>
      <c r="E1058" s="118" t="s">
        <v>139</v>
      </c>
      <c r="F1058" s="120">
        <v>1.05</v>
      </c>
      <c r="G1058" s="119">
        <v>3.6904052818348847E-2</v>
      </c>
    </row>
    <row r="1059" spans="2:7" x14ac:dyDescent="0.2">
      <c r="B1059" s="116" t="s">
        <v>2373</v>
      </c>
      <c r="C1059" s="117" t="s">
        <v>2374</v>
      </c>
      <c r="D1059" s="118" t="s">
        <v>78</v>
      </c>
      <c r="E1059" s="118" t="s">
        <v>128</v>
      </c>
      <c r="F1059" s="120">
        <v>18.91</v>
      </c>
      <c r="G1059" s="119">
        <v>7.205876907390886E-2</v>
      </c>
    </row>
    <row r="1060" spans="2:7" x14ac:dyDescent="0.2">
      <c r="B1060" s="116" t="s">
        <v>2375</v>
      </c>
      <c r="C1060" s="117" t="s">
        <v>2376</v>
      </c>
      <c r="D1060" s="118" t="s">
        <v>115</v>
      </c>
      <c r="E1060" s="118" t="s">
        <v>1772</v>
      </c>
      <c r="F1060" s="120">
        <v>2.97</v>
      </c>
      <c r="G1060" s="119">
        <v>-1.192376414528369E-5</v>
      </c>
    </row>
    <row r="1061" spans="2:7" x14ac:dyDescent="0.2">
      <c r="B1061" s="116" t="s">
        <v>2377</v>
      </c>
      <c r="C1061" s="117" t="s">
        <v>2378</v>
      </c>
      <c r="D1061" s="118" t="s">
        <v>52</v>
      </c>
      <c r="E1061" s="118" t="s">
        <v>657</v>
      </c>
      <c r="F1061" s="120"/>
      <c r="G1061" s="119">
        <v>1.426116801025144E-2</v>
      </c>
    </row>
    <row r="1062" spans="2:7" x14ac:dyDescent="0.2">
      <c r="B1062" s="116" t="s">
        <v>2379</v>
      </c>
      <c r="C1062" s="117" t="s">
        <v>2380</v>
      </c>
      <c r="D1062" s="118" t="s">
        <v>34</v>
      </c>
      <c r="E1062" s="118" t="s">
        <v>119</v>
      </c>
      <c r="F1062" s="120">
        <v>13.89</v>
      </c>
      <c r="G1062" s="119">
        <v>-6.1484923992771341E-2</v>
      </c>
    </row>
    <row r="1063" spans="2:7" x14ac:dyDescent="0.2">
      <c r="B1063" s="116" t="s">
        <v>2381</v>
      </c>
      <c r="C1063" s="117" t="s">
        <v>2382</v>
      </c>
      <c r="D1063" s="118" t="s">
        <v>115</v>
      </c>
      <c r="E1063" s="118" t="s">
        <v>728</v>
      </c>
      <c r="F1063" s="120">
        <v>45.55</v>
      </c>
      <c r="G1063" s="119">
        <v>-4.4774283442368057E-2</v>
      </c>
    </row>
    <row r="1064" spans="2:7" x14ac:dyDescent="0.2">
      <c r="B1064" s="116" t="s">
        <v>2383</v>
      </c>
      <c r="C1064" s="117" t="s">
        <v>2384</v>
      </c>
      <c r="D1064" s="118" t="s">
        <v>92</v>
      </c>
      <c r="E1064" s="118" t="s">
        <v>784</v>
      </c>
      <c r="F1064" s="120">
        <v>-1.44</v>
      </c>
      <c r="G1064" s="119">
        <v>-0.41538317342510522</v>
      </c>
    </row>
    <row r="1065" spans="2:7" x14ac:dyDescent="0.2">
      <c r="B1065" s="116" t="s">
        <v>2385</v>
      </c>
      <c r="C1065" s="117" t="s">
        <v>2386</v>
      </c>
      <c r="D1065" s="118" t="s">
        <v>78</v>
      </c>
      <c r="E1065" s="118" t="s">
        <v>2387</v>
      </c>
      <c r="F1065" s="120">
        <v>2.77</v>
      </c>
      <c r="G1065" s="119">
        <v>4.0106359373212948E-2</v>
      </c>
    </row>
    <row r="1066" spans="2:7" x14ac:dyDescent="0.2">
      <c r="B1066" s="116" t="s">
        <v>2388</v>
      </c>
      <c r="C1066" s="117" t="s">
        <v>2389</v>
      </c>
      <c r="D1066" s="118" t="s">
        <v>92</v>
      </c>
      <c r="E1066" s="118" t="s">
        <v>112</v>
      </c>
      <c r="F1066" s="120">
        <v>9.24</v>
      </c>
      <c r="G1066" s="119">
        <v>0.1141433079286662</v>
      </c>
    </row>
    <row r="1067" spans="2:7" x14ac:dyDescent="0.2">
      <c r="B1067" s="116" t="s">
        <v>2390</v>
      </c>
      <c r="C1067" s="117" t="s">
        <v>2391</v>
      </c>
      <c r="D1067" s="118" t="s">
        <v>92</v>
      </c>
      <c r="E1067" s="118" t="s">
        <v>195</v>
      </c>
      <c r="F1067" s="120">
        <v>68.290000000000006</v>
      </c>
      <c r="G1067" s="119">
        <v>0.13884481415214131</v>
      </c>
    </row>
    <row r="1068" spans="2:7" x14ac:dyDescent="0.2">
      <c r="B1068" s="116" t="s">
        <v>2392</v>
      </c>
      <c r="C1068" s="117" t="s">
        <v>2393</v>
      </c>
      <c r="D1068" s="118" t="s">
        <v>34</v>
      </c>
      <c r="E1068" s="118" t="s">
        <v>691</v>
      </c>
      <c r="F1068" s="120"/>
      <c r="G1068" s="119" t="e">
        <v>#DIV/0!</v>
      </c>
    </row>
    <row r="1069" spans="2:7" x14ac:dyDescent="0.2">
      <c r="B1069" s="116" t="s">
        <v>2394</v>
      </c>
      <c r="C1069" s="117" t="s">
        <v>2395</v>
      </c>
      <c r="D1069" s="118" t="s">
        <v>102</v>
      </c>
      <c r="E1069" s="118" t="s">
        <v>424</v>
      </c>
      <c r="F1069" s="120">
        <v>7.86</v>
      </c>
      <c r="G1069" s="119">
        <v>1.7979431769873822E-2</v>
      </c>
    </row>
    <row r="1070" spans="2:7" x14ac:dyDescent="0.2">
      <c r="B1070" s="116" t="s">
        <v>2396</v>
      </c>
      <c r="C1070" s="117" t="s">
        <v>2397</v>
      </c>
      <c r="D1070" s="118" t="s">
        <v>68</v>
      </c>
      <c r="E1070" s="118" t="s">
        <v>82</v>
      </c>
      <c r="F1070" s="120"/>
      <c r="G1070" s="119">
        <v>1.045560031404922E-2</v>
      </c>
    </row>
    <row r="1071" spans="2:7" x14ac:dyDescent="0.2">
      <c r="B1071" s="116" t="s">
        <v>2398</v>
      </c>
      <c r="C1071" s="117" t="s">
        <v>2399</v>
      </c>
      <c r="D1071" s="118" t="s">
        <v>48</v>
      </c>
      <c r="E1071" s="118" t="s">
        <v>1809</v>
      </c>
      <c r="F1071" s="120">
        <v>9.24</v>
      </c>
      <c r="G1071" s="119">
        <v>3.0595721739990721E-2</v>
      </c>
    </row>
    <row r="1072" spans="2:7" x14ac:dyDescent="0.2">
      <c r="B1072" s="116" t="s">
        <v>2400</v>
      </c>
      <c r="C1072" s="117" t="s">
        <v>2401</v>
      </c>
      <c r="D1072" s="118" t="s">
        <v>106</v>
      </c>
      <c r="E1072" s="118" t="s">
        <v>324</v>
      </c>
      <c r="F1072" s="120"/>
      <c r="G1072" s="119">
        <v>0.15210646946968101</v>
      </c>
    </row>
    <row r="1073" spans="2:7" x14ac:dyDescent="0.2">
      <c r="B1073" s="116" t="s">
        <v>2402</v>
      </c>
      <c r="C1073" s="117" t="s">
        <v>2403</v>
      </c>
      <c r="D1073" s="118" t="s">
        <v>92</v>
      </c>
      <c r="E1073" s="118" t="s">
        <v>272</v>
      </c>
      <c r="F1073" s="120">
        <v>-0.16</v>
      </c>
      <c r="G1073" s="119">
        <v>1.8292349206898269E-2</v>
      </c>
    </row>
    <row r="1074" spans="2:7" x14ac:dyDescent="0.2">
      <c r="B1074" s="116" t="s">
        <v>2404</v>
      </c>
      <c r="C1074" s="117" t="s">
        <v>2405</v>
      </c>
      <c r="D1074" s="118" t="s">
        <v>138</v>
      </c>
      <c r="E1074" s="118" t="s">
        <v>139</v>
      </c>
      <c r="F1074" s="120">
        <v>-0.84</v>
      </c>
      <c r="G1074" s="119">
        <v>-1</v>
      </c>
    </row>
    <row r="1075" spans="2:7" x14ac:dyDescent="0.2">
      <c r="B1075" s="116" t="s">
        <v>2406</v>
      </c>
      <c r="C1075" s="117" t="s">
        <v>2407</v>
      </c>
      <c r="D1075" s="118" t="s">
        <v>138</v>
      </c>
      <c r="E1075" s="118" t="s">
        <v>386</v>
      </c>
      <c r="F1075" s="120">
        <v>-0.89</v>
      </c>
      <c r="G1075" s="119">
        <v>2.2182349592649999E-2</v>
      </c>
    </row>
    <row r="1076" spans="2:7" x14ac:dyDescent="0.2">
      <c r="B1076" s="116" t="s">
        <v>2408</v>
      </c>
      <c r="C1076" s="117" t="s">
        <v>2409</v>
      </c>
      <c r="D1076" s="118" t="s">
        <v>92</v>
      </c>
      <c r="E1076" s="118" t="s">
        <v>272</v>
      </c>
      <c r="F1076" s="120">
        <v>12.9</v>
      </c>
      <c r="G1076" s="119">
        <v>3.7086006260774892E-2</v>
      </c>
    </row>
    <row r="1077" spans="2:7" x14ac:dyDescent="0.2">
      <c r="B1077" s="116" t="s">
        <v>2410</v>
      </c>
      <c r="C1077" s="117" t="s">
        <v>2411</v>
      </c>
      <c r="D1077" s="118" t="s">
        <v>138</v>
      </c>
      <c r="E1077" s="118" t="s">
        <v>386</v>
      </c>
      <c r="F1077" s="120">
        <v>5.53</v>
      </c>
      <c r="G1077" s="119">
        <v>-0.1205266508909571</v>
      </c>
    </row>
    <row r="1078" spans="2:7" x14ac:dyDescent="0.2">
      <c r="B1078" s="116" t="s">
        <v>2412</v>
      </c>
      <c r="C1078" s="117" t="s">
        <v>2413</v>
      </c>
      <c r="D1078" s="118" t="s">
        <v>34</v>
      </c>
      <c r="E1078" s="118" t="s">
        <v>1493</v>
      </c>
      <c r="F1078" s="120">
        <v>55.72</v>
      </c>
      <c r="G1078" s="119">
        <v>0.40299804633688169</v>
      </c>
    </row>
    <row r="1079" spans="2:7" x14ac:dyDescent="0.2">
      <c r="B1079" s="116" t="s">
        <v>2414</v>
      </c>
      <c r="C1079" s="117" t="s">
        <v>2415</v>
      </c>
      <c r="D1079" s="118" t="s">
        <v>115</v>
      </c>
      <c r="E1079" s="118" t="s">
        <v>806</v>
      </c>
      <c r="F1079" s="120">
        <v>5.03</v>
      </c>
      <c r="G1079" s="119">
        <v>2.847208176552652E-2</v>
      </c>
    </row>
    <row r="1080" spans="2:7" x14ac:dyDescent="0.2">
      <c r="B1080" s="116" t="s">
        <v>2416</v>
      </c>
      <c r="C1080" s="117" t="s">
        <v>2417</v>
      </c>
      <c r="D1080" s="118" t="s">
        <v>34</v>
      </c>
      <c r="E1080" s="118" t="s">
        <v>44</v>
      </c>
      <c r="F1080" s="120">
        <v>15.12</v>
      </c>
      <c r="G1080" s="119">
        <v>0.54039044501030686</v>
      </c>
    </row>
    <row r="1081" spans="2:7" x14ac:dyDescent="0.2">
      <c r="B1081" s="116" t="s">
        <v>2418</v>
      </c>
      <c r="C1081" s="117" t="s">
        <v>2419</v>
      </c>
      <c r="D1081" s="118" t="s">
        <v>78</v>
      </c>
      <c r="E1081" s="118" t="s">
        <v>128</v>
      </c>
      <c r="F1081" s="120">
        <v>18.16</v>
      </c>
      <c r="G1081" s="119">
        <v>0.15454415247547079</v>
      </c>
    </row>
    <row r="1082" spans="2:7" x14ac:dyDescent="0.2">
      <c r="B1082" s="116" t="s">
        <v>2420</v>
      </c>
      <c r="C1082" s="117" t="s">
        <v>2421</v>
      </c>
      <c r="D1082" s="118" t="s">
        <v>145</v>
      </c>
      <c r="E1082" s="118" t="s">
        <v>179</v>
      </c>
      <c r="F1082" s="120">
        <v>33.89</v>
      </c>
      <c r="G1082" s="119">
        <v>-6.4206992413008743E-2</v>
      </c>
    </row>
    <row r="1083" spans="2:7" x14ac:dyDescent="0.2">
      <c r="B1083" s="116" t="s">
        <v>2422</v>
      </c>
      <c r="C1083" s="117" t="s">
        <v>2423</v>
      </c>
      <c r="D1083" s="118" t="s">
        <v>106</v>
      </c>
      <c r="E1083" s="118" t="s">
        <v>1764</v>
      </c>
      <c r="F1083" s="120">
        <v>0.02</v>
      </c>
      <c r="G1083" s="119">
        <v>-2.1088990987691521E-2</v>
      </c>
    </row>
    <row r="1084" spans="2:7" x14ac:dyDescent="0.2">
      <c r="B1084" s="116" t="s">
        <v>2424</v>
      </c>
      <c r="C1084" s="117" t="s">
        <v>2425</v>
      </c>
      <c r="D1084" s="118" t="s">
        <v>68</v>
      </c>
      <c r="E1084" s="118" t="s">
        <v>778</v>
      </c>
      <c r="F1084" s="120">
        <v>16.16</v>
      </c>
      <c r="G1084" s="119">
        <v>0.13594006172917911</v>
      </c>
    </row>
    <row r="1085" spans="2:7" x14ac:dyDescent="0.2">
      <c r="B1085" s="116" t="s">
        <v>2426</v>
      </c>
      <c r="C1085" s="117" t="s">
        <v>2427</v>
      </c>
      <c r="D1085" s="118" t="s">
        <v>92</v>
      </c>
      <c r="E1085" s="118" t="s">
        <v>228</v>
      </c>
      <c r="F1085" s="120">
        <v>13.11</v>
      </c>
      <c r="G1085" s="119">
        <v>-0.27353286153119089</v>
      </c>
    </row>
    <row r="1086" spans="2:7" x14ac:dyDescent="0.2">
      <c r="B1086" s="116" t="s">
        <v>2428</v>
      </c>
      <c r="C1086" s="117" t="s">
        <v>2429</v>
      </c>
      <c r="D1086" s="118" t="s">
        <v>241</v>
      </c>
      <c r="E1086" s="118" t="s">
        <v>606</v>
      </c>
      <c r="F1086" s="120">
        <v>-12.87</v>
      </c>
      <c r="G1086" s="119">
        <v>-1</v>
      </c>
    </row>
    <row r="1087" spans="2:7" x14ac:dyDescent="0.2">
      <c r="B1087" s="116" t="s">
        <v>2430</v>
      </c>
      <c r="C1087" s="117" t="s">
        <v>2431</v>
      </c>
      <c r="D1087" s="118" t="s">
        <v>34</v>
      </c>
      <c r="E1087" s="118" t="s">
        <v>119</v>
      </c>
      <c r="F1087" s="120">
        <v>17.68</v>
      </c>
      <c r="G1087" s="119">
        <v>-6.5891296803497604E-2</v>
      </c>
    </row>
    <row r="1088" spans="2:7" x14ac:dyDescent="0.2">
      <c r="B1088" s="116" t="s">
        <v>2432</v>
      </c>
      <c r="C1088" s="117" t="s">
        <v>2433</v>
      </c>
      <c r="D1088" s="118" t="s">
        <v>92</v>
      </c>
      <c r="E1088" s="118" t="s">
        <v>351</v>
      </c>
      <c r="F1088" s="120">
        <v>9.1999999999999993</v>
      </c>
      <c r="G1088" s="119">
        <v>-3.2181096271227463E-2</v>
      </c>
    </row>
    <row r="1089" spans="2:7" x14ac:dyDescent="0.2">
      <c r="B1089" s="116" t="s">
        <v>2434</v>
      </c>
      <c r="C1089" s="117" t="s">
        <v>2435</v>
      </c>
      <c r="D1089" s="118" t="s">
        <v>68</v>
      </c>
      <c r="E1089" s="118" t="s">
        <v>87</v>
      </c>
      <c r="F1089" s="120">
        <v>58.14</v>
      </c>
      <c r="G1089" s="119">
        <v>0.64504017305315209</v>
      </c>
    </row>
    <row r="1090" spans="2:7" x14ac:dyDescent="0.2">
      <c r="B1090" s="116" t="s">
        <v>2436</v>
      </c>
      <c r="C1090" s="117" t="s">
        <v>2437</v>
      </c>
      <c r="D1090" s="118" t="s">
        <v>241</v>
      </c>
      <c r="E1090" s="118" t="s">
        <v>1017</v>
      </c>
      <c r="F1090" s="120">
        <v>7.04</v>
      </c>
      <c r="G1090" s="119">
        <v>2.2151625954092331E-2</v>
      </c>
    </row>
    <row r="1091" spans="2:7" x14ac:dyDescent="0.2">
      <c r="B1091" s="116" t="s">
        <v>2438</v>
      </c>
      <c r="C1091" s="117" t="s">
        <v>2439</v>
      </c>
      <c r="D1091" s="118" t="s">
        <v>34</v>
      </c>
      <c r="E1091" s="118" t="s">
        <v>278</v>
      </c>
      <c r="F1091" s="120"/>
      <c r="G1091" s="119">
        <v>-4.230389151778275E-2</v>
      </c>
    </row>
    <row r="1092" spans="2:7" x14ac:dyDescent="0.2">
      <c r="B1092" s="116" t="s">
        <v>2440</v>
      </c>
      <c r="C1092" s="117" t="s">
        <v>2441</v>
      </c>
      <c r="D1092" s="118" t="s">
        <v>34</v>
      </c>
      <c r="E1092" s="118" t="s">
        <v>99</v>
      </c>
      <c r="F1092" s="120">
        <v>1.1499999999999999</v>
      </c>
      <c r="G1092" s="119">
        <v>1.5557268769300839E-2</v>
      </c>
    </row>
    <row r="1093" spans="2:7" x14ac:dyDescent="0.2">
      <c r="B1093" s="116" t="s">
        <v>2442</v>
      </c>
      <c r="C1093" s="117" t="s">
        <v>2443</v>
      </c>
      <c r="D1093" s="118" t="s">
        <v>68</v>
      </c>
      <c r="E1093" s="118" t="s">
        <v>985</v>
      </c>
      <c r="F1093" s="120"/>
      <c r="G1093" s="119">
        <v>1.0723762170403E-2</v>
      </c>
    </row>
    <row r="1094" spans="2:7" x14ac:dyDescent="0.2">
      <c r="B1094" s="116" t="s">
        <v>2444</v>
      </c>
      <c r="C1094" s="117" t="s">
        <v>2445</v>
      </c>
      <c r="D1094" s="118" t="s">
        <v>52</v>
      </c>
      <c r="E1094" s="118" t="s">
        <v>56</v>
      </c>
      <c r="F1094" s="120">
        <v>6.86</v>
      </c>
      <c r="G1094" s="119">
        <v>5.9836504855590653E-2</v>
      </c>
    </row>
    <row r="1095" spans="2:7" x14ac:dyDescent="0.2">
      <c r="B1095" s="116" t="s">
        <v>2446</v>
      </c>
      <c r="C1095" s="117" t="s">
        <v>2447</v>
      </c>
      <c r="D1095" s="118" t="s">
        <v>233</v>
      </c>
      <c r="E1095" s="118" t="s">
        <v>234</v>
      </c>
      <c r="F1095" s="120">
        <v>5.93</v>
      </c>
      <c r="G1095" s="119">
        <v>8.0674670040879928E-2</v>
      </c>
    </row>
    <row r="1096" spans="2:7" x14ac:dyDescent="0.2">
      <c r="B1096" s="116" t="s">
        <v>2448</v>
      </c>
      <c r="C1096" s="117" t="s">
        <v>2449</v>
      </c>
      <c r="D1096" s="118" t="s">
        <v>34</v>
      </c>
      <c r="E1096" s="118" t="s">
        <v>99</v>
      </c>
      <c r="F1096" s="120">
        <v>13.35</v>
      </c>
      <c r="G1096" s="119">
        <v>4.0040763398692773E-2</v>
      </c>
    </row>
    <row r="1097" spans="2:7" x14ac:dyDescent="0.2">
      <c r="B1097" s="116" t="s">
        <v>2450</v>
      </c>
      <c r="C1097" s="117" t="s">
        <v>2451</v>
      </c>
      <c r="D1097" s="118" t="s">
        <v>92</v>
      </c>
      <c r="E1097" s="118" t="s">
        <v>272</v>
      </c>
      <c r="F1097" s="120">
        <v>3.46</v>
      </c>
      <c r="G1097" s="119">
        <v>0.10380404059270321</v>
      </c>
    </row>
    <row r="1098" spans="2:7" x14ac:dyDescent="0.2">
      <c r="B1098" s="116" t="s">
        <v>2452</v>
      </c>
      <c r="C1098" s="117" t="s">
        <v>2453</v>
      </c>
      <c r="D1098" s="118" t="s">
        <v>92</v>
      </c>
      <c r="E1098" s="118" t="s">
        <v>299</v>
      </c>
      <c r="F1098" s="120"/>
      <c r="G1098" s="119">
        <v>-0.28764042151307279</v>
      </c>
    </row>
    <row r="1099" spans="2:7" x14ac:dyDescent="0.2">
      <c r="B1099" s="116" t="s">
        <v>2454</v>
      </c>
      <c r="C1099" s="117" t="s">
        <v>2455</v>
      </c>
      <c r="D1099" s="118" t="s">
        <v>241</v>
      </c>
      <c r="E1099" s="118" t="s">
        <v>242</v>
      </c>
      <c r="F1099" s="120">
        <v>-1.18</v>
      </c>
      <c r="G1099" s="119">
        <v>3.3297620928779681</v>
      </c>
    </row>
    <row r="1100" spans="2:7" x14ac:dyDescent="0.2">
      <c r="B1100" s="116" t="s">
        <v>2456</v>
      </c>
      <c r="C1100" s="117" t="s">
        <v>2457</v>
      </c>
      <c r="D1100" s="118" t="s">
        <v>92</v>
      </c>
      <c r="E1100" s="118" t="s">
        <v>399</v>
      </c>
      <c r="F1100" s="120">
        <v>34.479999999999997</v>
      </c>
      <c r="G1100" s="119">
        <v>-0.16984254379069821</v>
      </c>
    </row>
    <row r="1101" spans="2:7" x14ac:dyDescent="0.2">
      <c r="B1101" s="116" t="s">
        <v>2458</v>
      </c>
      <c r="C1101" s="117" t="s">
        <v>2459</v>
      </c>
      <c r="D1101" s="118" t="s">
        <v>241</v>
      </c>
      <c r="E1101" s="118" t="s">
        <v>609</v>
      </c>
      <c r="F1101" s="120">
        <v>-1.47</v>
      </c>
      <c r="G1101" s="119">
        <v>-3.568928028189685E-2</v>
      </c>
    </row>
    <row r="1102" spans="2:7" x14ac:dyDescent="0.2">
      <c r="B1102" s="116" t="s">
        <v>2460</v>
      </c>
      <c r="C1102" s="117" t="s">
        <v>2461</v>
      </c>
      <c r="D1102" s="118" t="s">
        <v>145</v>
      </c>
      <c r="E1102" s="118" t="s">
        <v>663</v>
      </c>
      <c r="F1102" s="120">
        <v>4.32</v>
      </c>
      <c r="G1102" s="119">
        <v>0.57747709977182637</v>
      </c>
    </row>
    <row r="1103" spans="2:7" x14ac:dyDescent="0.2">
      <c r="B1103" s="116" t="s">
        <v>2462</v>
      </c>
      <c r="C1103" s="117" t="s">
        <v>2463</v>
      </c>
      <c r="D1103" s="118" t="s">
        <v>48</v>
      </c>
      <c r="E1103" s="118" t="s">
        <v>370</v>
      </c>
      <c r="F1103" s="120">
        <v>15.75</v>
      </c>
      <c r="G1103" s="119">
        <v>0.14573980854477719</v>
      </c>
    </row>
    <row r="1104" spans="2:7" x14ac:dyDescent="0.2">
      <c r="B1104" s="116" t="s">
        <v>2464</v>
      </c>
      <c r="C1104" s="117" t="s">
        <v>2465</v>
      </c>
      <c r="D1104" s="118" t="s">
        <v>92</v>
      </c>
      <c r="E1104" s="118" t="s">
        <v>598</v>
      </c>
      <c r="F1104" s="120">
        <v>13.63</v>
      </c>
      <c r="G1104" s="119">
        <v>-0.1052429959322603</v>
      </c>
    </row>
    <row r="1105" spans="2:7" x14ac:dyDescent="0.2">
      <c r="B1105" s="116" t="s">
        <v>2466</v>
      </c>
      <c r="C1105" s="117" t="s">
        <v>2467</v>
      </c>
      <c r="D1105" s="118" t="s">
        <v>52</v>
      </c>
      <c r="E1105" s="118" t="s">
        <v>284</v>
      </c>
      <c r="F1105" s="120">
        <v>6.51</v>
      </c>
      <c r="G1105" s="119">
        <v>3.389241653536755E-3</v>
      </c>
    </row>
    <row r="1106" spans="2:7" x14ac:dyDescent="0.2">
      <c r="B1106" s="116" t="s">
        <v>2468</v>
      </c>
      <c r="C1106" s="117" t="s">
        <v>2469</v>
      </c>
      <c r="D1106" s="118" t="s">
        <v>241</v>
      </c>
      <c r="E1106" s="118" t="s">
        <v>937</v>
      </c>
      <c r="F1106" s="120">
        <v>-1.47</v>
      </c>
      <c r="G1106" s="119">
        <v>3.5228283952429863E-2</v>
      </c>
    </row>
    <row r="1107" spans="2:7" x14ac:dyDescent="0.2">
      <c r="B1107" s="116" t="s">
        <v>2470</v>
      </c>
      <c r="C1107" s="117" t="s">
        <v>2471</v>
      </c>
      <c r="D1107" s="118" t="s">
        <v>106</v>
      </c>
      <c r="E1107" s="118" t="s">
        <v>131</v>
      </c>
      <c r="F1107" s="120"/>
      <c r="G1107" s="119">
        <v>0.26940579048154462</v>
      </c>
    </row>
    <row r="1108" spans="2:7" x14ac:dyDescent="0.2">
      <c r="B1108" s="116" t="s">
        <v>2472</v>
      </c>
      <c r="C1108" s="117" t="s">
        <v>2473</v>
      </c>
      <c r="D1108" s="118" t="s">
        <v>34</v>
      </c>
      <c r="E1108" s="118" t="s">
        <v>809</v>
      </c>
      <c r="F1108" s="120">
        <v>34.92</v>
      </c>
      <c r="G1108" s="119">
        <v>0.19710132087184451</v>
      </c>
    </row>
    <row r="1109" spans="2:7" x14ac:dyDescent="0.2">
      <c r="B1109" s="116" t="s">
        <v>2474</v>
      </c>
      <c r="C1109" s="117" t="s">
        <v>2475</v>
      </c>
      <c r="D1109" s="118" t="s">
        <v>34</v>
      </c>
      <c r="E1109" s="118" t="s">
        <v>319</v>
      </c>
      <c r="F1109" s="120">
        <v>38.31</v>
      </c>
      <c r="G1109" s="119">
        <v>0.28803188897128917</v>
      </c>
    </row>
    <row r="1110" spans="2:7" x14ac:dyDescent="0.2">
      <c r="B1110" s="116" t="s">
        <v>2476</v>
      </c>
      <c r="C1110" s="117" t="s">
        <v>2477</v>
      </c>
      <c r="D1110" s="118" t="s">
        <v>106</v>
      </c>
      <c r="E1110" s="118" t="s">
        <v>125</v>
      </c>
      <c r="F1110" s="120">
        <v>7.68</v>
      </c>
      <c r="G1110" s="119">
        <v>0.1030701206096752</v>
      </c>
    </row>
    <row r="1111" spans="2:7" x14ac:dyDescent="0.2">
      <c r="B1111" s="116" t="s">
        <v>2478</v>
      </c>
      <c r="C1111" s="117" t="s">
        <v>2479</v>
      </c>
      <c r="D1111" s="118" t="s">
        <v>92</v>
      </c>
      <c r="E1111" s="118" t="s">
        <v>601</v>
      </c>
      <c r="F1111" s="120">
        <v>0.42</v>
      </c>
      <c r="G1111" s="119">
        <v>-0.1195536514788548</v>
      </c>
    </row>
    <row r="1112" spans="2:7" x14ac:dyDescent="0.2">
      <c r="B1112" s="116" t="s">
        <v>2480</v>
      </c>
      <c r="C1112" s="117" t="s">
        <v>2481</v>
      </c>
      <c r="D1112" s="118" t="s">
        <v>241</v>
      </c>
      <c r="E1112" s="118" t="s">
        <v>937</v>
      </c>
      <c r="F1112" s="120">
        <v>5.44</v>
      </c>
      <c r="G1112" s="119">
        <v>-7.9232149846436319E-3</v>
      </c>
    </row>
    <row r="1113" spans="2:7" x14ac:dyDescent="0.2">
      <c r="B1113" s="116" t="s">
        <v>2482</v>
      </c>
      <c r="C1113" s="117" t="s">
        <v>2483</v>
      </c>
      <c r="D1113" s="118" t="s">
        <v>92</v>
      </c>
      <c r="E1113" s="118" t="s">
        <v>784</v>
      </c>
      <c r="F1113" s="120">
        <v>9.3699999999999992</v>
      </c>
      <c r="G1113" s="119">
        <v>-5.7584110885733578E-2</v>
      </c>
    </row>
    <row r="1114" spans="2:7" x14ac:dyDescent="0.2">
      <c r="B1114" s="116" t="s">
        <v>2484</v>
      </c>
      <c r="C1114" s="117" t="s">
        <v>2485</v>
      </c>
      <c r="D1114" s="118" t="s">
        <v>241</v>
      </c>
      <c r="E1114" s="118" t="s">
        <v>775</v>
      </c>
      <c r="F1114" s="120">
        <v>-7.32</v>
      </c>
      <c r="G1114" s="119">
        <v>-0.14687285863742891</v>
      </c>
    </row>
    <row r="1115" spans="2:7" x14ac:dyDescent="0.2">
      <c r="B1115" s="116" t="s">
        <v>2486</v>
      </c>
      <c r="C1115" s="117" t="s">
        <v>2487</v>
      </c>
      <c r="D1115" s="118" t="s">
        <v>233</v>
      </c>
      <c r="E1115" s="118" t="s">
        <v>1314</v>
      </c>
      <c r="F1115" s="120">
        <v>5.46</v>
      </c>
      <c r="G1115" s="119">
        <v>2.1904988572376979E-2</v>
      </c>
    </row>
    <row r="1116" spans="2:7" x14ac:dyDescent="0.2">
      <c r="B1116" s="116" t="s">
        <v>2488</v>
      </c>
      <c r="C1116" s="117" t="s">
        <v>2489</v>
      </c>
      <c r="D1116" s="118" t="s">
        <v>138</v>
      </c>
      <c r="E1116" s="118" t="s">
        <v>139</v>
      </c>
      <c r="F1116" s="120">
        <v>-0.3</v>
      </c>
      <c r="G1116" s="119">
        <v>5.1560445133957697E-3</v>
      </c>
    </row>
    <row r="1117" spans="2:7" x14ac:dyDescent="0.2">
      <c r="B1117" s="116" t="s">
        <v>2490</v>
      </c>
      <c r="C1117" s="117" t="s">
        <v>2491</v>
      </c>
      <c r="D1117" s="118" t="s">
        <v>115</v>
      </c>
      <c r="E1117" s="118" t="s">
        <v>1102</v>
      </c>
      <c r="F1117" s="120">
        <v>1.56</v>
      </c>
      <c r="G1117" s="119">
        <v>-1.8868710315213071E-2</v>
      </c>
    </row>
    <row r="1118" spans="2:7" x14ac:dyDescent="0.2">
      <c r="B1118" s="116" t="s">
        <v>2492</v>
      </c>
      <c r="C1118" s="117" t="s">
        <v>2493</v>
      </c>
      <c r="D1118" s="118" t="s">
        <v>34</v>
      </c>
      <c r="E1118" s="118" t="s">
        <v>319</v>
      </c>
      <c r="F1118" s="120">
        <v>33.71</v>
      </c>
      <c r="G1118" s="119">
        <v>0.20830564762739781</v>
      </c>
    </row>
    <row r="1119" spans="2:7" x14ac:dyDescent="0.2">
      <c r="B1119" s="116" t="s">
        <v>2494</v>
      </c>
      <c r="C1119" s="117" t="s">
        <v>2495</v>
      </c>
      <c r="D1119" s="118" t="s">
        <v>52</v>
      </c>
      <c r="E1119" s="118" t="s">
        <v>281</v>
      </c>
      <c r="F1119" s="120"/>
      <c r="G1119" s="119">
        <v>1.3150711291150909</v>
      </c>
    </row>
    <row r="1120" spans="2:7" x14ac:dyDescent="0.2">
      <c r="B1120" s="116" t="s">
        <v>2496</v>
      </c>
      <c r="C1120" s="117" t="s">
        <v>2497</v>
      </c>
      <c r="D1120" s="118" t="s">
        <v>78</v>
      </c>
      <c r="E1120" s="118" t="s">
        <v>79</v>
      </c>
      <c r="F1120" s="120"/>
      <c r="G1120" s="119">
        <v>6.2795369089013245E-2</v>
      </c>
    </row>
    <row r="1121" spans="2:7" x14ac:dyDescent="0.2">
      <c r="B1121" s="116" t="s">
        <v>2498</v>
      </c>
      <c r="C1121" s="117" t="s">
        <v>2499</v>
      </c>
      <c r="D1121" s="118" t="s">
        <v>241</v>
      </c>
      <c r="E1121" s="118" t="s">
        <v>306</v>
      </c>
      <c r="F1121" s="120">
        <v>64.41</v>
      </c>
      <c r="G1121" s="119">
        <v>5.8464353958268218E-2</v>
      </c>
    </row>
    <row r="1122" spans="2:7" x14ac:dyDescent="0.2">
      <c r="B1122" s="116" t="s">
        <v>2500</v>
      </c>
      <c r="C1122" s="117" t="s">
        <v>2501</v>
      </c>
      <c r="D1122" s="118" t="s">
        <v>92</v>
      </c>
      <c r="E1122" s="118" t="s">
        <v>272</v>
      </c>
      <c r="F1122" s="120">
        <v>9.2200000000000006</v>
      </c>
      <c r="G1122" s="119">
        <v>0.93178183375971435</v>
      </c>
    </row>
    <row r="1123" spans="2:7" x14ac:dyDescent="0.2">
      <c r="B1123" s="116" t="s">
        <v>2502</v>
      </c>
      <c r="C1123" s="117" t="s">
        <v>2503</v>
      </c>
      <c r="D1123" s="118" t="s">
        <v>138</v>
      </c>
      <c r="E1123" s="118" t="s">
        <v>139</v>
      </c>
      <c r="F1123" s="120">
        <v>-2.82</v>
      </c>
      <c r="G1123" s="119">
        <v>6.440467924917484E-2</v>
      </c>
    </row>
    <row r="1124" spans="2:7" x14ac:dyDescent="0.2">
      <c r="B1124" s="116" t="s">
        <v>2504</v>
      </c>
      <c r="C1124" s="117" t="s">
        <v>2505</v>
      </c>
      <c r="D1124" s="118" t="s">
        <v>34</v>
      </c>
      <c r="E1124" s="118" t="s">
        <v>99</v>
      </c>
      <c r="F1124" s="120">
        <v>10.039999999999999</v>
      </c>
      <c r="G1124" s="119">
        <v>4.6371621166917058E-2</v>
      </c>
    </row>
    <row r="1125" spans="2:7" x14ac:dyDescent="0.2">
      <c r="B1125" s="116" t="s">
        <v>2506</v>
      </c>
      <c r="C1125" s="117" t="s">
        <v>2507</v>
      </c>
      <c r="D1125" s="118" t="s">
        <v>68</v>
      </c>
      <c r="E1125" s="118" t="s">
        <v>82</v>
      </c>
      <c r="F1125" s="120">
        <v>33.68</v>
      </c>
      <c r="G1125" s="119">
        <v>0.20892709129320819</v>
      </c>
    </row>
    <row r="1126" spans="2:7" x14ac:dyDescent="0.2">
      <c r="B1126" s="116" t="s">
        <v>2508</v>
      </c>
      <c r="C1126" s="117" t="s">
        <v>2509</v>
      </c>
      <c r="D1126" s="118" t="s">
        <v>78</v>
      </c>
      <c r="E1126" s="118" t="s">
        <v>736</v>
      </c>
      <c r="F1126" s="120">
        <v>-0.28999999999999998</v>
      </c>
      <c r="G1126" s="119">
        <v>3.049401385688438E-2</v>
      </c>
    </row>
    <row r="1127" spans="2:7" x14ac:dyDescent="0.2">
      <c r="B1127" s="116" t="s">
        <v>2510</v>
      </c>
      <c r="C1127" s="117" t="s">
        <v>2511</v>
      </c>
      <c r="D1127" s="118" t="s">
        <v>68</v>
      </c>
      <c r="E1127" s="118" t="s">
        <v>69</v>
      </c>
      <c r="F1127" s="120">
        <v>2.2400000000000002</v>
      </c>
      <c r="G1127" s="119">
        <v>-4.9683871045911272E-2</v>
      </c>
    </row>
    <row r="1128" spans="2:7" x14ac:dyDescent="0.2">
      <c r="B1128" s="116" t="s">
        <v>2512</v>
      </c>
      <c r="C1128" s="117" t="s">
        <v>2513</v>
      </c>
      <c r="D1128" s="118" t="s">
        <v>92</v>
      </c>
      <c r="E1128" s="118" t="s">
        <v>195</v>
      </c>
      <c r="F1128" s="120">
        <v>8.02</v>
      </c>
      <c r="G1128" s="119">
        <v>0.10952472326019159</v>
      </c>
    </row>
    <row r="1129" spans="2:7" x14ac:dyDescent="0.2">
      <c r="B1129" s="116" t="s">
        <v>2514</v>
      </c>
      <c r="C1129" s="117" t="s">
        <v>2515</v>
      </c>
      <c r="D1129" s="118" t="s">
        <v>52</v>
      </c>
      <c r="E1129" s="118" t="s">
        <v>2182</v>
      </c>
      <c r="F1129" s="120">
        <v>5.54</v>
      </c>
      <c r="G1129" s="119">
        <v>0.26325119659634821</v>
      </c>
    </row>
    <row r="1130" spans="2:7" x14ac:dyDescent="0.2">
      <c r="B1130" s="116" t="s">
        <v>2516</v>
      </c>
      <c r="C1130" s="117" t="s">
        <v>2517</v>
      </c>
      <c r="D1130" s="118" t="s">
        <v>34</v>
      </c>
      <c r="E1130" s="118" t="s">
        <v>809</v>
      </c>
      <c r="F1130" s="120">
        <v>38.159999999999997</v>
      </c>
      <c r="G1130" s="119">
        <v>0.2275944852787346</v>
      </c>
    </row>
    <row r="1131" spans="2:7" x14ac:dyDescent="0.2">
      <c r="B1131" s="116" t="s">
        <v>2518</v>
      </c>
      <c r="C1131" s="117" t="s">
        <v>2519</v>
      </c>
      <c r="D1131" s="118" t="s">
        <v>78</v>
      </c>
      <c r="E1131" s="118" t="s">
        <v>796</v>
      </c>
      <c r="F1131" s="120">
        <v>-3.9</v>
      </c>
      <c r="G1131" s="119">
        <v>3.955213743277592E-2</v>
      </c>
    </row>
    <row r="1132" spans="2:7" x14ac:dyDescent="0.2">
      <c r="B1132" s="116" t="s">
        <v>2520</v>
      </c>
      <c r="C1132" s="117" t="s">
        <v>2521</v>
      </c>
      <c r="D1132" s="118" t="s">
        <v>92</v>
      </c>
      <c r="E1132" s="118" t="s">
        <v>96</v>
      </c>
      <c r="F1132" s="120">
        <v>14</v>
      </c>
      <c r="G1132" s="119">
        <v>0.16440110103505429</v>
      </c>
    </row>
    <row r="1133" spans="2:7" x14ac:dyDescent="0.2">
      <c r="B1133" s="116" t="s">
        <v>2522</v>
      </c>
      <c r="C1133" s="117" t="s">
        <v>2523</v>
      </c>
      <c r="D1133" s="118" t="s">
        <v>92</v>
      </c>
      <c r="E1133" s="118" t="s">
        <v>272</v>
      </c>
      <c r="F1133" s="120">
        <v>14.59</v>
      </c>
      <c r="G1133" s="119">
        <v>2.944423948561186E-2</v>
      </c>
    </row>
    <row r="1134" spans="2:7" x14ac:dyDescent="0.2">
      <c r="B1134" s="116" t="s">
        <v>2524</v>
      </c>
      <c r="C1134" s="117" t="s">
        <v>2525</v>
      </c>
      <c r="D1134" s="118" t="s">
        <v>39</v>
      </c>
      <c r="E1134" s="118" t="s">
        <v>383</v>
      </c>
      <c r="F1134" s="120">
        <v>3.36</v>
      </c>
      <c r="G1134" s="119">
        <v>-1.7029497944180041E-2</v>
      </c>
    </row>
    <row r="1135" spans="2:7" x14ac:dyDescent="0.2">
      <c r="B1135" s="116" t="s">
        <v>2526</v>
      </c>
      <c r="C1135" s="117" t="s">
        <v>2527</v>
      </c>
      <c r="D1135" s="118" t="s">
        <v>34</v>
      </c>
      <c r="E1135" s="118" t="s">
        <v>1096</v>
      </c>
      <c r="F1135" s="120">
        <v>-7.43</v>
      </c>
      <c r="G1135" s="119">
        <v>1.5472590661227709E-2</v>
      </c>
    </row>
    <row r="1136" spans="2:7" x14ac:dyDescent="0.2">
      <c r="B1136" s="116" t="s">
        <v>2528</v>
      </c>
      <c r="C1136" s="117" t="s">
        <v>2529</v>
      </c>
      <c r="D1136" s="118" t="s">
        <v>34</v>
      </c>
      <c r="E1136" s="118" t="s">
        <v>278</v>
      </c>
      <c r="F1136" s="120">
        <v>-5.26</v>
      </c>
      <c r="G1136" s="119">
        <v>-1</v>
      </c>
    </row>
    <row r="1137" spans="2:7" x14ac:dyDescent="0.2">
      <c r="B1137" s="116" t="s">
        <v>2530</v>
      </c>
      <c r="C1137" s="117" t="s">
        <v>2531</v>
      </c>
      <c r="D1137" s="118" t="s">
        <v>102</v>
      </c>
      <c r="E1137" s="118" t="s">
        <v>1081</v>
      </c>
      <c r="F1137" s="120">
        <v>15.73</v>
      </c>
      <c r="G1137" s="119">
        <v>-2.2723313830627739E-2</v>
      </c>
    </row>
    <row r="1138" spans="2:7" x14ac:dyDescent="0.2">
      <c r="B1138" s="116" t="s">
        <v>2532</v>
      </c>
      <c r="C1138" s="117" t="s">
        <v>2533</v>
      </c>
      <c r="D1138" s="118" t="s">
        <v>233</v>
      </c>
      <c r="E1138" s="118" t="s">
        <v>1314</v>
      </c>
      <c r="F1138" s="120">
        <v>8.1</v>
      </c>
      <c r="G1138" s="119">
        <v>0.12447889460298039</v>
      </c>
    </row>
    <row r="1139" spans="2:7" x14ac:dyDescent="0.2">
      <c r="B1139" s="116" t="s">
        <v>2534</v>
      </c>
      <c r="C1139" s="117" t="s">
        <v>2535</v>
      </c>
      <c r="D1139" s="118" t="s">
        <v>68</v>
      </c>
      <c r="E1139" s="118" t="s">
        <v>949</v>
      </c>
      <c r="F1139" s="120">
        <v>15.6</v>
      </c>
      <c r="G1139" s="119">
        <v>2.9218824940047919E-2</v>
      </c>
    </row>
    <row r="1140" spans="2:7" x14ac:dyDescent="0.2">
      <c r="B1140" s="116" t="s">
        <v>2536</v>
      </c>
      <c r="C1140" s="117" t="s">
        <v>2537</v>
      </c>
      <c r="D1140" s="118" t="s">
        <v>39</v>
      </c>
      <c r="E1140" s="118" t="s">
        <v>389</v>
      </c>
      <c r="F1140" s="120">
        <v>5.19</v>
      </c>
      <c r="G1140" s="119">
        <v>8.1172696946357618E-4</v>
      </c>
    </row>
    <row r="1141" spans="2:7" x14ac:dyDescent="0.2">
      <c r="B1141" s="116" t="s">
        <v>2538</v>
      </c>
      <c r="C1141" s="117" t="s">
        <v>2539</v>
      </c>
      <c r="D1141" s="118" t="s">
        <v>34</v>
      </c>
      <c r="E1141" s="118" t="s">
        <v>628</v>
      </c>
      <c r="F1141" s="120">
        <v>4.5999999999999996</v>
      </c>
      <c r="G1141" s="119">
        <v>4.8420079193664513E-2</v>
      </c>
    </row>
    <row r="1142" spans="2:7" x14ac:dyDescent="0.2">
      <c r="B1142" s="116" t="s">
        <v>2540</v>
      </c>
      <c r="C1142" s="117" t="s">
        <v>2541</v>
      </c>
      <c r="D1142" s="118" t="s">
        <v>34</v>
      </c>
      <c r="E1142" s="118" t="s">
        <v>319</v>
      </c>
      <c r="F1142" s="120"/>
      <c r="G1142" s="119">
        <v>0.42199966755319163</v>
      </c>
    </row>
    <row r="1143" spans="2:7" x14ac:dyDescent="0.2">
      <c r="B1143" s="116" t="s">
        <v>2542</v>
      </c>
      <c r="C1143" s="117" t="s">
        <v>2543</v>
      </c>
      <c r="D1143" s="118" t="s">
        <v>92</v>
      </c>
      <c r="E1143" s="118" t="s">
        <v>272</v>
      </c>
      <c r="F1143" s="120">
        <v>11.45</v>
      </c>
      <c r="G1143" s="119">
        <v>1.4346164132004629E-2</v>
      </c>
    </row>
    <row r="1144" spans="2:7" x14ac:dyDescent="0.2">
      <c r="B1144" s="116" t="s">
        <v>2544</v>
      </c>
      <c r="C1144" s="117" t="s">
        <v>2545</v>
      </c>
      <c r="D1144" s="118" t="s">
        <v>115</v>
      </c>
      <c r="E1144" s="118" t="s">
        <v>747</v>
      </c>
      <c r="F1144" s="120">
        <v>18.86</v>
      </c>
      <c r="G1144" s="119">
        <v>0.18677783208238799</v>
      </c>
    </row>
    <row r="1145" spans="2:7" x14ac:dyDescent="0.2">
      <c r="B1145" s="116" t="s">
        <v>2546</v>
      </c>
      <c r="C1145" s="117" t="s">
        <v>2547</v>
      </c>
      <c r="D1145" s="118" t="s">
        <v>78</v>
      </c>
      <c r="E1145" s="118" t="s">
        <v>650</v>
      </c>
      <c r="F1145" s="120">
        <v>0.63</v>
      </c>
      <c r="G1145" s="119">
        <v>-0.62548491086528946</v>
      </c>
    </row>
    <row r="1146" spans="2:7" x14ac:dyDescent="0.2">
      <c r="B1146" s="116" t="s">
        <v>2548</v>
      </c>
      <c r="C1146" s="117" t="s">
        <v>2549</v>
      </c>
      <c r="D1146" s="118" t="s">
        <v>92</v>
      </c>
      <c r="E1146" s="118" t="s">
        <v>461</v>
      </c>
      <c r="F1146" s="120">
        <v>5.6</v>
      </c>
      <c r="G1146" s="119">
        <v>-0.1207943290151553</v>
      </c>
    </row>
    <row r="1147" spans="2:7" x14ac:dyDescent="0.2">
      <c r="B1147" s="116" t="s">
        <v>2550</v>
      </c>
      <c r="C1147" s="117" t="s">
        <v>2551</v>
      </c>
      <c r="D1147" s="118" t="s">
        <v>92</v>
      </c>
      <c r="E1147" s="118" t="s">
        <v>614</v>
      </c>
      <c r="F1147" s="120">
        <v>46.08</v>
      </c>
      <c r="G1147" s="119">
        <v>-9.5463554056762295E-2</v>
      </c>
    </row>
    <row r="1148" spans="2:7" x14ac:dyDescent="0.2">
      <c r="B1148" s="116" t="s">
        <v>2552</v>
      </c>
      <c r="C1148" s="117" t="s">
        <v>2553</v>
      </c>
      <c r="D1148" s="118" t="s">
        <v>138</v>
      </c>
      <c r="E1148" s="118" t="s">
        <v>139</v>
      </c>
      <c r="F1148" s="120">
        <v>0.21</v>
      </c>
      <c r="G1148" s="119">
        <v>2.010984191951894E-2</v>
      </c>
    </row>
    <row r="1149" spans="2:7" x14ac:dyDescent="0.2">
      <c r="B1149" s="116" t="s">
        <v>2554</v>
      </c>
      <c r="C1149" s="117" t="s">
        <v>2555</v>
      </c>
      <c r="D1149" s="118" t="s">
        <v>39</v>
      </c>
      <c r="E1149" s="118" t="s">
        <v>1817</v>
      </c>
      <c r="F1149" s="120">
        <v>-16.53</v>
      </c>
      <c r="G1149" s="119">
        <v>4.9428687059458881E-3</v>
      </c>
    </row>
    <row r="1150" spans="2:7" x14ac:dyDescent="0.2">
      <c r="B1150" s="116" t="s">
        <v>2556</v>
      </c>
      <c r="C1150" s="117" t="s">
        <v>2557</v>
      </c>
      <c r="D1150" s="118" t="s">
        <v>138</v>
      </c>
      <c r="E1150" s="118" t="s">
        <v>139</v>
      </c>
      <c r="F1150" s="120">
        <v>1.39</v>
      </c>
      <c r="G1150" s="119">
        <v>1.6950913647138511E-2</v>
      </c>
    </row>
    <row r="1151" spans="2:7" x14ac:dyDescent="0.2">
      <c r="B1151" s="116" t="s">
        <v>2558</v>
      </c>
      <c r="C1151" s="117" t="s">
        <v>2559</v>
      </c>
      <c r="D1151" s="118" t="s">
        <v>68</v>
      </c>
      <c r="E1151" s="118" t="s">
        <v>75</v>
      </c>
      <c r="F1151" s="120">
        <v>19.649999999999999</v>
      </c>
      <c r="G1151" s="119">
        <v>0.25997121421730329</v>
      </c>
    </row>
    <row r="1152" spans="2:7" x14ac:dyDescent="0.2">
      <c r="B1152" s="116" t="s">
        <v>2560</v>
      </c>
      <c r="C1152" s="117" t="s">
        <v>2561</v>
      </c>
      <c r="D1152" s="118" t="s">
        <v>115</v>
      </c>
      <c r="E1152" s="118" t="s">
        <v>494</v>
      </c>
      <c r="F1152" s="120">
        <v>7.55</v>
      </c>
      <c r="G1152" s="119">
        <v>6.4035542510256574E-2</v>
      </c>
    </row>
    <row r="1153" spans="2:7" x14ac:dyDescent="0.2">
      <c r="B1153" s="116" t="s">
        <v>2562</v>
      </c>
      <c r="C1153" s="117" t="s">
        <v>2563</v>
      </c>
      <c r="D1153" s="118" t="s">
        <v>138</v>
      </c>
      <c r="E1153" s="118" t="s">
        <v>139</v>
      </c>
      <c r="F1153" s="120">
        <v>1.87</v>
      </c>
      <c r="G1153" s="119">
        <v>5.1554500251130182E-2</v>
      </c>
    </row>
    <row r="1154" spans="2:7" x14ac:dyDescent="0.2">
      <c r="B1154" s="116" t="s">
        <v>2564</v>
      </c>
      <c r="C1154" s="117" t="s">
        <v>2565</v>
      </c>
      <c r="D1154" s="118" t="s">
        <v>78</v>
      </c>
      <c r="E1154" s="118" t="s">
        <v>912</v>
      </c>
      <c r="F1154" s="120"/>
      <c r="G1154" s="119">
        <v>8.3563333995234301E-2</v>
      </c>
    </row>
    <row r="1155" spans="2:7" x14ac:dyDescent="0.2">
      <c r="B1155" s="116" t="s">
        <v>2566</v>
      </c>
      <c r="C1155" s="117" t="s">
        <v>2567</v>
      </c>
      <c r="D1155" s="118" t="s">
        <v>78</v>
      </c>
      <c r="E1155" s="118" t="s">
        <v>340</v>
      </c>
      <c r="F1155" s="120">
        <v>14.48</v>
      </c>
      <c r="G1155" s="119">
        <v>-9.0068241385923384E-2</v>
      </c>
    </row>
    <row r="1156" spans="2:7" x14ac:dyDescent="0.2">
      <c r="B1156" s="116" t="s">
        <v>2568</v>
      </c>
      <c r="C1156" s="117" t="s">
        <v>2569</v>
      </c>
      <c r="D1156" s="118" t="s">
        <v>78</v>
      </c>
      <c r="E1156" s="118" t="s">
        <v>1654</v>
      </c>
      <c r="F1156" s="120">
        <v>7.23</v>
      </c>
      <c r="G1156" s="119">
        <v>-1</v>
      </c>
    </row>
    <row r="1157" spans="2:7" x14ac:dyDescent="0.2">
      <c r="B1157" s="116" t="s">
        <v>2570</v>
      </c>
      <c r="C1157" s="117" t="s">
        <v>2571</v>
      </c>
      <c r="D1157" s="118" t="s">
        <v>145</v>
      </c>
      <c r="E1157" s="118" t="s">
        <v>179</v>
      </c>
      <c r="F1157" s="120">
        <v>-0.35</v>
      </c>
      <c r="G1157" s="119">
        <v>2.7821295694028972E-3</v>
      </c>
    </row>
    <row r="1158" spans="2:7" x14ac:dyDescent="0.2">
      <c r="B1158" s="116" t="s">
        <v>2572</v>
      </c>
      <c r="C1158" s="117" t="s">
        <v>2573</v>
      </c>
      <c r="D1158" s="118" t="s">
        <v>138</v>
      </c>
      <c r="E1158" s="118" t="s">
        <v>139</v>
      </c>
      <c r="F1158" s="120">
        <v>-9.1300000000000008</v>
      </c>
      <c r="G1158" s="119">
        <v>2.2824026974951839E-2</v>
      </c>
    </row>
    <row r="1159" spans="2:7" x14ac:dyDescent="0.2">
      <c r="B1159" s="116" t="s">
        <v>2574</v>
      </c>
      <c r="C1159" s="117" t="s">
        <v>2575</v>
      </c>
      <c r="D1159" s="118" t="s">
        <v>52</v>
      </c>
      <c r="E1159" s="118" t="s">
        <v>657</v>
      </c>
      <c r="F1159" s="120"/>
      <c r="G1159" s="119">
        <v>9.1631045774920525E-2</v>
      </c>
    </row>
    <row r="1160" spans="2:7" x14ac:dyDescent="0.2">
      <c r="B1160" s="116" t="s">
        <v>2576</v>
      </c>
      <c r="C1160" s="117" t="s">
        <v>2577</v>
      </c>
      <c r="D1160" s="118" t="s">
        <v>68</v>
      </c>
      <c r="E1160" s="118" t="s">
        <v>949</v>
      </c>
      <c r="F1160" s="120">
        <v>18.7</v>
      </c>
      <c r="G1160" s="119">
        <v>6.4002809966851454E-2</v>
      </c>
    </row>
    <row r="1161" spans="2:7" x14ac:dyDescent="0.2">
      <c r="B1161" s="116" t="s">
        <v>2578</v>
      </c>
      <c r="C1161" s="117" t="s">
        <v>2579</v>
      </c>
      <c r="D1161" s="118" t="s">
        <v>68</v>
      </c>
      <c r="E1161" s="118" t="s">
        <v>75</v>
      </c>
      <c r="F1161" s="120">
        <v>1.23</v>
      </c>
      <c r="G1161" s="119">
        <v>9.085102605828746E-3</v>
      </c>
    </row>
    <row r="1162" spans="2:7" x14ac:dyDescent="0.2">
      <c r="B1162" s="116" t="s">
        <v>2580</v>
      </c>
      <c r="C1162" s="117" t="s">
        <v>2581</v>
      </c>
      <c r="D1162" s="118" t="s">
        <v>92</v>
      </c>
      <c r="E1162" s="118" t="s">
        <v>378</v>
      </c>
      <c r="F1162" s="120">
        <v>9.27</v>
      </c>
      <c r="G1162" s="119">
        <v>7.2037618957385904E-2</v>
      </c>
    </row>
    <row r="1163" spans="2:7" x14ac:dyDescent="0.2">
      <c r="B1163" s="116" t="s">
        <v>2582</v>
      </c>
      <c r="C1163" s="117" t="s">
        <v>2583</v>
      </c>
      <c r="D1163" s="118" t="s">
        <v>34</v>
      </c>
      <c r="E1163" s="118" t="s">
        <v>245</v>
      </c>
      <c r="F1163" s="120"/>
      <c r="G1163" s="119">
        <v>9.5089320099255623E-2</v>
      </c>
    </row>
    <row r="1164" spans="2:7" x14ac:dyDescent="0.2">
      <c r="B1164" s="116" t="s">
        <v>2584</v>
      </c>
      <c r="C1164" s="117" t="s">
        <v>2585</v>
      </c>
      <c r="D1164" s="118" t="s">
        <v>92</v>
      </c>
      <c r="E1164" s="118" t="s">
        <v>142</v>
      </c>
      <c r="F1164" s="120">
        <v>1.68</v>
      </c>
      <c r="G1164" s="119">
        <v>-2.2489866506106949E-2</v>
      </c>
    </row>
    <row r="1165" spans="2:7" x14ac:dyDescent="0.2">
      <c r="B1165" s="116" t="s">
        <v>2586</v>
      </c>
      <c r="C1165" s="117" t="s">
        <v>2587</v>
      </c>
      <c r="D1165" s="118" t="s">
        <v>92</v>
      </c>
      <c r="E1165" s="118" t="s">
        <v>272</v>
      </c>
      <c r="F1165" s="120">
        <v>5.61</v>
      </c>
      <c r="G1165" s="119">
        <v>3.1565407293376091E-2</v>
      </c>
    </row>
    <row r="1166" spans="2:7" x14ac:dyDescent="0.2">
      <c r="B1166" s="116" t="s">
        <v>2588</v>
      </c>
      <c r="C1166" s="117" t="s">
        <v>2589</v>
      </c>
      <c r="D1166" s="118" t="s">
        <v>92</v>
      </c>
      <c r="E1166" s="118" t="s">
        <v>272</v>
      </c>
      <c r="F1166" s="120">
        <v>2.81</v>
      </c>
      <c r="G1166" s="119">
        <v>3.4798800541690947E-2</v>
      </c>
    </row>
    <row r="1167" spans="2:7" x14ac:dyDescent="0.2">
      <c r="B1167" s="116" t="s">
        <v>2590</v>
      </c>
      <c r="C1167" s="117" t="s">
        <v>2591</v>
      </c>
      <c r="D1167" s="118" t="s">
        <v>34</v>
      </c>
      <c r="E1167" s="118" t="s">
        <v>2334</v>
      </c>
      <c r="F1167" s="120">
        <v>48.1</v>
      </c>
      <c r="G1167" s="119">
        <v>0.23643566795605311</v>
      </c>
    </row>
    <row r="1168" spans="2:7" x14ac:dyDescent="0.2">
      <c r="B1168" s="116" t="s">
        <v>2592</v>
      </c>
      <c r="C1168" s="117" t="s">
        <v>2593</v>
      </c>
      <c r="D1168" s="118" t="s">
        <v>241</v>
      </c>
      <c r="E1168" s="118" t="s">
        <v>1216</v>
      </c>
      <c r="F1168" s="120">
        <v>-5.29</v>
      </c>
      <c r="G1168" s="119">
        <v>-4.2509748461262382E-2</v>
      </c>
    </row>
    <row r="1169" spans="2:7" x14ac:dyDescent="0.2">
      <c r="B1169" s="116" t="s">
        <v>2594</v>
      </c>
      <c r="C1169" s="117" t="s">
        <v>2595</v>
      </c>
      <c r="D1169" s="118" t="s">
        <v>241</v>
      </c>
      <c r="E1169" s="118" t="s">
        <v>2596</v>
      </c>
      <c r="F1169" s="120">
        <v>61.84</v>
      </c>
      <c r="G1169" s="119">
        <v>0.11361574697173631</v>
      </c>
    </row>
    <row r="1170" spans="2:7" x14ac:dyDescent="0.2">
      <c r="B1170" s="116" t="s">
        <v>2597</v>
      </c>
      <c r="C1170" s="117" t="s">
        <v>2598</v>
      </c>
      <c r="D1170" s="118" t="s">
        <v>34</v>
      </c>
      <c r="E1170" s="118" t="s">
        <v>99</v>
      </c>
      <c r="F1170" s="120">
        <v>-1.1299999999999999</v>
      </c>
      <c r="G1170" s="119">
        <v>5.5364698587556938E-2</v>
      </c>
    </row>
    <row r="1171" spans="2:7" x14ac:dyDescent="0.2">
      <c r="B1171" s="116" t="s">
        <v>2599</v>
      </c>
      <c r="C1171" s="117" t="s">
        <v>2600</v>
      </c>
      <c r="D1171" s="118" t="s">
        <v>241</v>
      </c>
      <c r="E1171" s="118" t="s">
        <v>606</v>
      </c>
      <c r="F1171" s="120">
        <v>1.1399999999999999</v>
      </c>
      <c r="G1171" s="119">
        <v>-0.1010395177672616</v>
      </c>
    </row>
    <row r="1172" spans="2:7" x14ac:dyDescent="0.2">
      <c r="B1172" s="116" t="s">
        <v>2601</v>
      </c>
      <c r="C1172" s="117" t="s">
        <v>2602</v>
      </c>
      <c r="D1172" s="118" t="s">
        <v>106</v>
      </c>
      <c r="E1172" s="118" t="s">
        <v>1764</v>
      </c>
      <c r="F1172" s="120"/>
      <c r="G1172" s="119">
        <v>-1</v>
      </c>
    </row>
    <row r="1173" spans="2:7" x14ac:dyDescent="0.2">
      <c r="B1173" s="116" t="s">
        <v>2603</v>
      </c>
      <c r="C1173" s="117" t="s">
        <v>2604</v>
      </c>
      <c r="D1173" s="118" t="s">
        <v>233</v>
      </c>
      <c r="E1173" s="118" t="s">
        <v>469</v>
      </c>
      <c r="F1173" s="120"/>
      <c r="G1173" s="119">
        <v>-4.0820052684134217E-2</v>
      </c>
    </row>
    <row r="1174" spans="2:7" x14ac:dyDescent="0.2">
      <c r="B1174" s="116" t="s">
        <v>2605</v>
      </c>
      <c r="C1174" s="117" t="s">
        <v>2606</v>
      </c>
      <c r="D1174" s="118" t="s">
        <v>92</v>
      </c>
      <c r="E1174" s="118" t="s">
        <v>142</v>
      </c>
      <c r="F1174" s="120"/>
      <c r="G1174" s="119">
        <v>0.24653841895368281</v>
      </c>
    </row>
    <row r="1175" spans="2:7" x14ac:dyDescent="0.2">
      <c r="B1175" s="116" t="s">
        <v>2607</v>
      </c>
      <c r="C1175" s="117" t="s">
        <v>2608</v>
      </c>
      <c r="D1175" s="118" t="s">
        <v>115</v>
      </c>
      <c r="E1175" s="118" t="s">
        <v>899</v>
      </c>
      <c r="F1175" s="120">
        <v>4.6500000000000004</v>
      </c>
      <c r="G1175" s="119">
        <v>1.900385220777074E-2</v>
      </c>
    </row>
    <row r="1176" spans="2:7" x14ac:dyDescent="0.2">
      <c r="B1176" s="116" t="s">
        <v>2609</v>
      </c>
      <c r="C1176" s="117" t="s">
        <v>2610</v>
      </c>
      <c r="D1176" s="118" t="s">
        <v>34</v>
      </c>
      <c r="E1176" s="118" t="s">
        <v>319</v>
      </c>
      <c r="F1176" s="120"/>
      <c r="G1176" s="119">
        <v>0.16088459140062961</v>
      </c>
    </row>
    <row r="1177" spans="2:7" x14ac:dyDescent="0.2">
      <c r="B1177" s="116" t="s">
        <v>2611</v>
      </c>
      <c r="C1177" s="117" t="s">
        <v>2612</v>
      </c>
      <c r="D1177" s="118" t="s">
        <v>102</v>
      </c>
      <c r="E1177" s="118" t="s">
        <v>103</v>
      </c>
      <c r="F1177" s="120">
        <v>10.06</v>
      </c>
      <c r="G1177" s="119">
        <v>4.5756051603108638E-2</v>
      </c>
    </row>
    <row r="1178" spans="2:7" x14ac:dyDescent="0.2">
      <c r="B1178" s="116" t="s">
        <v>2613</v>
      </c>
      <c r="C1178" s="117" t="s">
        <v>2614</v>
      </c>
      <c r="D1178" s="118" t="s">
        <v>241</v>
      </c>
      <c r="E1178" s="118" t="s">
        <v>306</v>
      </c>
      <c r="F1178" s="120">
        <v>17.22</v>
      </c>
      <c r="G1178" s="119">
        <v>2.5375061072756369E-3</v>
      </c>
    </row>
    <row r="1179" spans="2:7" x14ac:dyDescent="0.2">
      <c r="B1179" s="116" t="s">
        <v>2615</v>
      </c>
      <c r="C1179" s="117" t="s">
        <v>2616</v>
      </c>
      <c r="D1179" s="118" t="s">
        <v>34</v>
      </c>
      <c r="E1179" s="118" t="s">
        <v>319</v>
      </c>
      <c r="F1179" s="120">
        <v>18.14</v>
      </c>
      <c r="G1179" s="119">
        <v>0.1471332250339783</v>
      </c>
    </row>
    <row r="1180" spans="2:7" x14ac:dyDescent="0.2">
      <c r="B1180" s="116" t="s">
        <v>2617</v>
      </c>
      <c r="C1180" s="117" t="s">
        <v>2618</v>
      </c>
      <c r="D1180" s="118" t="s">
        <v>34</v>
      </c>
      <c r="E1180" s="118" t="s">
        <v>1253</v>
      </c>
      <c r="F1180" s="120">
        <v>-3.73</v>
      </c>
      <c r="G1180" s="119">
        <v>-0.15049140902692251</v>
      </c>
    </row>
    <row r="1181" spans="2:7" x14ac:dyDescent="0.2">
      <c r="B1181" s="116" t="s">
        <v>2619</v>
      </c>
      <c r="C1181" s="117" t="s">
        <v>2620</v>
      </c>
      <c r="D1181" s="118" t="s">
        <v>68</v>
      </c>
      <c r="E1181" s="118" t="s">
        <v>87</v>
      </c>
      <c r="F1181" s="120">
        <v>3.51</v>
      </c>
      <c r="G1181" s="119">
        <v>3.3600545993274972E-2</v>
      </c>
    </row>
    <row r="1182" spans="2:7" x14ac:dyDescent="0.2">
      <c r="B1182" s="116" t="s">
        <v>2621</v>
      </c>
      <c r="C1182" s="117" t="s">
        <v>2622</v>
      </c>
      <c r="D1182" s="118" t="s">
        <v>34</v>
      </c>
      <c r="E1182" s="118" t="s">
        <v>809</v>
      </c>
      <c r="F1182" s="120">
        <v>19.7</v>
      </c>
      <c r="G1182" s="119">
        <v>0.15417185987306839</v>
      </c>
    </row>
    <row r="1183" spans="2:7" x14ac:dyDescent="0.2">
      <c r="B1183" s="116" t="s">
        <v>2623</v>
      </c>
      <c r="C1183" s="117" t="s">
        <v>2624</v>
      </c>
      <c r="D1183" s="118" t="s">
        <v>52</v>
      </c>
      <c r="E1183" s="118" t="s">
        <v>281</v>
      </c>
      <c r="F1183" s="120">
        <v>8.59</v>
      </c>
      <c r="G1183" s="119">
        <v>-4.1577825159914712E-2</v>
      </c>
    </row>
    <row r="1184" spans="2:7" x14ac:dyDescent="0.2">
      <c r="B1184" s="116" t="s">
        <v>2625</v>
      </c>
      <c r="C1184" s="117" t="s">
        <v>2626</v>
      </c>
      <c r="D1184" s="118" t="s">
        <v>34</v>
      </c>
      <c r="E1184" s="118" t="s">
        <v>2627</v>
      </c>
      <c r="F1184" s="120">
        <v>16.78</v>
      </c>
      <c r="G1184" s="119">
        <v>-3.9306579901110653E-2</v>
      </c>
    </row>
    <row r="1185" spans="2:7" x14ac:dyDescent="0.2">
      <c r="B1185" s="116" t="s">
        <v>2628</v>
      </c>
      <c r="C1185" s="117" t="s">
        <v>2629</v>
      </c>
      <c r="D1185" s="118" t="s">
        <v>52</v>
      </c>
      <c r="E1185" s="118" t="s">
        <v>725</v>
      </c>
      <c r="F1185" s="120">
        <v>30.52</v>
      </c>
      <c r="G1185" s="119">
        <v>4.4801922717939091E-2</v>
      </c>
    </row>
    <row r="1186" spans="2:7" x14ac:dyDescent="0.2">
      <c r="B1186" s="116" t="s">
        <v>2630</v>
      </c>
      <c r="C1186" s="117" t="s">
        <v>2631</v>
      </c>
      <c r="D1186" s="118" t="s">
        <v>34</v>
      </c>
      <c r="E1186" s="118" t="s">
        <v>990</v>
      </c>
      <c r="F1186" s="120">
        <v>32</v>
      </c>
      <c r="G1186" s="119">
        <v>0.30073409373703858</v>
      </c>
    </row>
    <row r="1187" spans="2:7" x14ac:dyDescent="0.2">
      <c r="B1187" s="116" t="s">
        <v>2632</v>
      </c>
      <c r="C1187" s="117" t="s">
        <v>2633</v>
      </c>
      <c r="D1187" s="118" t="s">
        <v>233</v>
      </c>
      <c r="E1187" s="118" t="s">
        <v>234</v>
      </c>
      <c r="F1187" s="120">
        <v>8.5399999999999991</v>
      </c>
      <c r="G1187" s="119">
        <v>4.6141119468391077E-2</v>
      </c>
    </row>
    <row r="1188" spans="2:7" x14ac:dyDescent="0.2">
      <c r="B1188" s="116" t="s">
        <v>2634</v>
      </c>
      <c r="C1188" s="117" t="s">
        <v>2635</v>
      </c>
      <c r="D1188" s="118" t="s">
        <v>106</v>
      </c>
      <c r="E1188" s="118" t="s">
        <v>324</v>
      </c>
      <c r="F1188" s="120">
        <v>-13.3</v>
      </c>
      <c r="G1188" s="119">
        <v>0.30849730411035642</v>
      </c>
    </row>
    <row r="1189" spans="2:7" x14ac:dyDescent="0.2">
      <c r="B1189" s="116" t="s">
        <v>2636</v>
      </c>
      <c r="C1189" s="117" t="s">
        <v>2637</v>
      </c>
      <c r="D1189" s="118" t="s">
        <v>106</v>
      </c>
      <c r="E1189" s="118" t="s">
        <v>930</v>
      </c>
      <c r="F1189" s="120">
        <v>22.3</v>
      </c>
      <c r="G1189" s="119">
        <v>0.14947650060254869</v>
      </c>
    </row>
    <row r="1190" spans="2:7" x14ac:dyDescent="0.2">
      <c r="B1190" s="116" t="s">
        <v>2638</v>
      </c>
      <c r="C1190" s="117" t="s">
        <v>2639</v>
      </c>
      <c r="D1190" s="118" t="s">
        <v>39</v>
      </c>
      <c r="E1190" s="118" t="s">
        <v>65</v>
      </c>
      <c r="F1190" s="120">
        <v>1.5</v>
      </c>
      <c r="G1190" s="119">
        <v>-7.0777652512617889E-2</v>
      </c>
    </row>
    <row r="1191" spans="2:7" x14ac:dyDescent="0.2">
      <c r="B1191" s="116" t="s">
        <v>2640</v>
      </c>
      <c r="C1191" s="117" t="s">
        <v>2641</v>
      </c>
      <c r="D1191" s="118" t="s">
        <v>78</v>
      </c>
      <c r="E1191" s="118" t="s">
        <v>796</v>
      </c>
      <c r="F1191" s="120"/>
      <c r="G1191" s="119">
        <v>-3.1870110244200132E-2</v>
      </c>
    </row>
    <row r="1192" spans="2:7" x14ac:dyDescent="0.2">
      <c r="B1192" s="116" t="s">
        <v>2642</v>
      </c>
      <c r="C1192" s="117" t="s">
        <v>2643</v>
      </c>
      <c r="D1192" s="118" t="s">
        <v>92</v>
      </c>
      <c r="E1192" s="118" t="s">
        <v>299</v>
      </c>
      <c r="F1192" s="120">
        <v>-10.78</v>
      </c>
      <c r="G1192" s="119">
        <v>-0.2321436064670703</v>
      </c>
    </row>
    <row r="1193" spans="2:7" x14ac:dyDescent="0.2">
      <c r="B1193" s="116" t="s">
        <v>2644</v>
      </c>
      <c r="C1193" s="117" t="s">
        <v>2645</v>
      </c>
      <c r="D1193" s="118" t="s">
        <v>115</v>
      </c>
      <c r="E1193" s="118" t="s">
        <v>686</v>
      </c>
      <c r="F1193" s="120">
        <v>0.99</v>
      </c>
      <c r="G1193" s="119">
        <v>-4.1320994617908132E-3</v>
      </c>
    </row>
    <row r="1194" spans="2:7" x14ac:dyDescent="0.2">
      <c r="B1194" s="116" t="s">
        <v>2646</v>
      </c>
      <c r="C1194" s="117" t="s">
        <v>2647</v>
      </c>
      <c r="D1194" s="118" t="s">
        <v>115</v>
      </c>
      <c r="E1194" s="118" t="s">
        <v>747</v>
      </c>
      <c r="F1194" s="120">
        <v>4.4000000000000004</v>
      </c>
      <c r="G1194" s="119">
        <v>0.15568318543056811</v>
      </c>
    </row>
    <row r="1195" spans="2:7" x14ac:dyDescent="0.2">
      <c r="B1195" s="116" t="s">
        <v>2648</v>
      </c>
      <c r="C1195" s="117" t="s">
        <v>2649</v>
      </c>
      <c r="D1195" s="118" t="s">
        <v>106</v>
      </c>
      <c r="E1195" s="118" t="s">
        <v>563</v>
      </c>
      <c r="F1195" s="120"/>
      <c r="G1195" s="119">
        <v>7.095514433160155E-2</v>
      </c>
    </row>
    <row r="1196" spans="2:7" x14ac:dyDescent="0.2">
      <c r="B1196" s="116" t="s">
        <v>2650</v>
      </c>
      <c r="C1196" s="117" t="s">
        <v>2651</v>
      </c>
      <c r="D1196" s="118" t="s">
        <v>92</v>
      </c>
      <c r="E1196" s="118" t="s">
        <v>142</v>
      </c>
      <c r="F1196" s="120">
        <v>1.1299999999999999</v>
      </c>
      <c r="G1196" s="119">
        <v>0.1167233328881941</v>
      </c>
    </row>
    <row r="1197" spans="2:7" x14ac:dyDescent="0.2">
      <c r="B1197" s="116" t="s">
        <v>2652</v>
      </c>
      <c r="C1197" s="117" t="s">
        <v>2653</v>
      </c>
      <c r="D1197" s="118" t="s">
        <v>241</v>
      </c>
      <c r="E1197" s="118" t="s">
        <v>606</v>
      </c>
      <c r="F1197" s="120">
        <v>1.52</v>
      </c>
      <c r="G1197" s="119">
        <v>-0.15245907891949689</v>
      </c>
    </row>
    <row r="1198" spans="2:7" x14ac:dyDescent="0.2">
      <c r="B1198" s="116" t="s">
        <v>2654</v>
      </c>
      <c r="C1198" s="117" t="s">
        <v>2655</v>
      </c>
      <c r="D1198" s="118" t="s">
        <v>145</v>
      </c>
      <c r="E1198" s="118" t="s">
        <v>179</v>
      </c>
      <c r="F1198" s="120"/>
      <c r="G1198" s="119">
        <v>-6.2753839167503489E-2</v>
      </c>
    </row>
    <row r="1199" spans="2:7" x14ac:dyDescent="0.2">
      <c r="B1199" s="116" t="s">
        <v>2656</v>
      </c>
      <c r="C1199" s="117" t="s">
        <v>2657</v>
      </c>
      <c r="D1199" s="118" t="s">
        <v>68</v>
      </c>
      <c r="E1199" s="118" t="s">
        <v>168</v>
      </c>
      <c r="F1199" s="120">
        <v>-2.25</v>
      </c>
      <c r="G1199" s="119">
        <v>0.1045280674157304</v>
      </c>
    </row>
    <row r="1200" spans="2:7" x14ac:dyDescent="0.2">
      <c r="B1200" s="116" t="s">
        <v>2658</v>
      </c>
      <c r="C1200" s="117" t="s">
        <v>2659</v>
      </c>
      <c r="D1200" s="118" t="s">
        <v>92</v>
      </c>
      <c r="E1200" s="118" t="s">
        <v>96</v>
      </c>
      <c r="F1200" s="120">
        <v>6.86</v>
      </c>
      <c r="G1200" s="119">
        <v>0.1053252909975452</v>
      </c>
    </row>
    <row r="1201" spans="2:7" x14ac:dyDescent="0.2">
      <c r="B1201" s="116" t="s">
        <v>2660</v>
      </c>
      <c r="C1201" s="117" t="s">
        <v>2661</v>
      </c>
      <c r="D1201" s="118" t="s">
        <v>92</v>
      </c>
      <c r="E1201" s="118" t="s">
        <v>112</v>
      </c>
      <c r="F1201" s="120">
        <v>21.65</v>
      </c>
      <c r="G1201" s="119">
        <v>-1.569350651667752E-2</v>
      </c>
    </row>
    <row r="1202" spans="2:7" x14ac:dyDescent="0.2">
      <c r="B1202" s="116" t="s">
        <v>2662</v>
      </c>
      <c r="C1202" s="117" t="s">
        <v>2663</v>
      </c>
      <c r="D1202" s="118" t="s">
        <v>68</v>
      </c>
      <c r="E1202" s="118" t="s">
        <v>87</v>
      </c>
      <c r="F1202" s="120">
        <v>22.12</v>
      </c>
      <c r="G1202" s="119">
        <v>0.13218559486201339</v>
      </c>
    </row>
    <row r="1203" spans="2:7" x14ac:dyDescent="0.2">
      <c r="B1203" s="116" t="s">
        <v>2664</v>
      </c>
      <c r="C1203" s="117" t="s">
        <v>2665</v>
      </c>
      <c r="D1203" s="118" t="s">
        <v>241</v>
      </c>
      <c r="E1203" s="118" t="s">
        <v>606</v>
      </c>
      <c r="F1203" s="120"/>
      <c r="G1203" s="119">
        <v>-0.13880584198001661</v>
      </c>
    </row>
    <row r="1204" spans="2:7" x14ac:dyDescent="0.2">
      <c r="B1204" s="116" t="s">
        <v>2666</v>
      </c>
      <c r="C1204" s="117" t="s">
        <v>2667</v>
      </c>
      <c r="D1204" s="118" t="s">
        <v>92</v>
      </c>
      <c r="E1204" s="118" t="s">
        <v>272</v>
      </c>
      <c r="F1204" s="120">
        <v>32.69</v>
      </c>
      <c r="G1204" s="119">
        <v>0.22460826391830199</v>
      </c>
    </row>
    <row r="1205" spans="2:7" x14ac:dyDescent="0.2">
      <c r="B1205" s="116" t="s">
        <v>2668</v>
      </c>
      <c r="C1205" s="117" t="s">
        <v>2669</v>
      </c>
      <c r="D1205" s="118" t="s">
        <v>92</v>
      </c>
      <c r="E1205" s="118" t="s">
        <v>614</v>
      </c>
      <c r="F1205" s="120">
        <v>4.18</v>
      </c>
      <c r="G1205" s="119">
        <v>-8.8332531191515851E-2</v>
      </c>
    </row>
    <row r="1206" spans="2:7" x14ac:dyDescent="0.2">
      <c r="B1206" s="116" t="s">
        <v>2670</v>
      </c>
      <c r="C1206" s="117" t="s">
        <v>2671</v>
      </c>
      <c r="D1206" s="118" t="s">
        <v>92</v>
      </c>
      <c r="E1206" s="118" t="s">
        <v>378</v>
      </c>
      <c r="F1206" s="120">
        <v>5.73</v>
      </c>
      <c r="G1206" s="119">
        <v>7.4881185119830704E-2</v>
      </c>
    </row>
    <row r="1207" spans="2:7" x14ac:dyDescent="0.2">
      <c r="B1207" s="116" t="s">
        <v>2672</v>
      </c>
      <c r="C1207" s="117" t="s">
        <v>2673</v>
      </c>
      <c r="D1207" s="118" t="s">
        <v>68</v>
      </c>
      <c r="E1207" s="118" t="s">
        <v>87</v>
      </c>
      <c r="F1207" s="120">
        <v>31.9</v>
      </c>
      <c r="G1207" s="119">
        <v>0.3698705354842034</v>
      </c>
    </row>
    <row r="1208" spans="2:7" x14ac:dyDescent="0.2">
      <c r="B1208" s="116" t="s">
        <v>2674</v>
      </c>
      <c r="C1208" s="117" t="s">
        <v>2675</v>
      </c>
      <c r="D1208" s="118" t="s">
        <v>145</v>
      </c>
      <c r="E1208" s="118" t="s">
        <v>146</v>
      </c>
      <c r="F1208" s="120">
        <v>13.76</v>
      </c>
      <c r="G1208" s="119">
        <v>0.2233087978064576</v>
      </c>
    </row>
    <row r="1209" spans="2:7" x14ac:dyDescent="0.2">
      <c r="B1209" s="116" t="s">
        <v>2676</v>
      </c>
      <c r="C1209" s="117" t="s">
        <v>2677</v>
      </c>
      <c r="D1209" s="118" t="s">
        <v>52</v>
      </c>
      <c r="E1209" s="118" t="s">
        <v>2678</v>
      </c>
      <c r="F1209" s="120">
        <v>7.67</v>
      </c>
      <c r="G1209" s="119">
        <v>7.1868784546923914E-2</v>
      </c>
    </row>
    <row r="1210" spans="2:7" x14ac:dyDescent="0.2">
      <c r="B1210" s="116" t="s">
        <v>2679</v>
      </c>
      <c r="C1210" s="117" t="s">
        <v>2680</v>
      </c>
      <c r="D1210" s="118" t="s">
        <v>68</v>
      </c>
      <c r="E1210" s="118" t="s">
        <v>69</v>
      </c>
      <c r="F1210" s="120"/>
      <c r="G1210" s="119">
        <v>7.2615932053319565E-2</v>
      </c>
    </row>
    <row r="1211" spans="2:7" x14ac:dyDescent="0.2">
      <c r="B1211" s="116" t="s">
        <v>2681</v>
      </c>
      <c r="C1211" s="117" t="s">
        <v>2682</v>
      </c>
      <c r="D1211" s="118" t="s">
        <v>106</v>
      </c>
      <c r="E1211" s="118" t="s">
        <v>2058</v>
      </c>
      <c r="F1211" s="120">
        <v>4.5999999999999996</v>
      </c>
      <c r="G1211" s="119">
        <v>5.0736460544077981E-2</v>
      </c>
    </row>
    <row r="1212" spans="2:7" x14ac:dyDescent="0.2">
      <c r="B1212" s="116" t="s">
        <v>2683</v>
      </c>
      <c r="C1212" s="117" t="s">
        <v>2684</v>
      </c>
      <c r="D1212" s="118" t="s">
        <v>92</v>
      </c>
      <c r="E1212" s="118" t="s">
        <v>272</v>
      </c>
      <c r="F1212" s="120">
        <v>5.97</v>
      </c>
      <c r="G1212" s="119">
        <v>0.2440946656001004</v>
      </c>
    </row>
    <row r="1213" spans="2:7" x14ac:dyDescent="0.2">
      <c r="B1213" s="116" t="s">
        <v>2685</v>
      </c>
      <c r="C1213" s="117" t="s">
        <v>2686</v>
      </c>
      <c r="D1213" s="118" t="s">
        <v>34</v>
      </c>
      <c r="E1213" s="118" t="s">
        <v>700</v>
      </c>
      <c r="F1213" s="120">
        <v>-2.25</v>
      </c>
      <c r="G1213" s="119">
        <v>2.339713009213373E-2</v>
      </c>
    </row>
    <row r="1214" spans="2:7" x14ac:dyDescent="0.2">
      <c r="B1214" s="116" t="s">
        <v>2687</v>
      </c>
      <c r="C1214" s="117" t="s">
        <v>2688</v>
      </c>
      <c r="D1214" s="118" t="s">
        <v>241</v>
      </c>
      <c r="E1214" s="118" t="s">
        <v>1634</v>
      </c>
      <c r="F1214" s="120">
        <v>-25.66</v>
      </c>
      <c r="G1214" s="119">
        <v>5.548843936381706E-2</v>
      </c>
    </row>
    <row r="1215" spans="2:7" x14ac:dyDescent="0.2">
      <c r="B1215" s="116" t="s">
        <v>2689</v>
      </c>
      <c r="C1215" s="117" t="s">
        <v>2690</v>
      </c>
      <c r="D1215" s="118" t="s">
        <v>145</v>
      </c>
      <c r="E1215" s="118" t="s">
        <v>402</v>
      </c>
      <c r="F1215" s="120"/>
      <c r="G1215" s="119">
        <v>3.627977148215792E-2</v>
      </c>
    </row>
    <row r="1216" spans="2:7" x14ac:dyDescent="0.2">
      <c r="B1216" s="116" t="s">
        <v>2691</v>
      </c>
      <c r="C1216" s="117" t="s">
        <v>2692</v>
      </c>
      <c r="D1216" s="118" t="s">
        <v>92</v>
      </c>
      <c r="E1216" s="118" t="s">
        <v>275</v>
      </c>
      <c r="F1216" s="120">
        <v>11.37</v>
      </c>
      <c r="G1216" s="119">
        <v>3.119122718310504E-2</v>
      </c>
    </row>
    <row r="1217" spans="2:7" x14ac:dyDescent="0.2">
      <c r="B1217" s="116" t="s">
        <v>2693</v>
      </c>
      <c r="C1217" s="117" t="s">
        <v>2694</v>
      </c>
      <c r="D1217" s="118" t="s">
        <v>115</v>
      </c>
      <c r="E1217" s="118" t="s">
        <v>899</v>
      </c>
      <c r="F1217" s="120">
        <v>-5.21</v>
      </c>
      <c r="G1217" s="119">
        <v>1.8306640266117492E-2</v>
      </c>
    </row>
    <row r="1218" spans="2:7" x14ac:dyDescent="0.2">
      <c r="B1218" s="116" t="s">
        <v>2695</v>
      </c>
      <c r="C1218" s="117" t="s">
        <v>2696</v>
      </c>
      <c r="D1218" s="118" t="s">
        <v>92</v>
      </c>
      <c r="E1218" s="118" t="s">
        <v>96</v>
      </c>
      <c r="F1218" s="120">
        <v>2.35</v>
      </c>
      <c r="G1218" s="119">
        <v>0.1092382413337897</v>
      </c>
    </row>
    <row r="1219" spans="2:7" x14ac:dyDescent="0.2">
      <c r="B1219" s="116" t="s">
        <v>2697</v>
      </c>
      <c r="C1219" s="117" t="s">
        <v>2698</v>
      </c>
      <c r="D1219" s="118" t="s">
        <v>68</v>
      </c>
      <c r="E1219" s="118" t="s">
        <v>75</v>
      </c>
      <c r="F1219" s="120">
        <v>11.5</v>
      </c>
      <c r="G1219" s="119">
        <v>9.9136439842398241E-2</v>
      </c>
    </row>
    <row r="1220" spans="2:7" x14ac:dyDescent="0.2">
      <c r="B1220" s="116" t="s">
        <v>2699</v>
      </c>
      <c r="C1220" s="117" t="s">
        <v>2700</v>
      </c>
      <c r="D1220" s="118" t="s">
        <v>34</v>
      </c>
      <c r="E1220" s="118" t="s">
        <v>1493</v>
      </c>
      <c r="F1220" s="120">
        <v>31.96</v>
      </c>
      <c r="G1220" s="119">
        <v>0.29956796116504858</v>
      </c>
    </row>
    <row r="1221" spans="2:7" x14ac:dyDescent="0.2">
      <c r="B1221" s="116" t="s">
        <v>2701</v>
      </c>
      <c r="C1221" s="117" t="s">
        <v>2702</v>
      </c>
      <c r="D1221" s="118" t="s">
        <v>233</v>
      </c>
      <c r="E1221" s="118" t="s">
        <v>469</v>
      </c>
      <c r="F1221" s="120"/>
      <c r="G1221" s="119">
        <v>-8.4590320924750231E-2</v>
      </c>
    </row>
    <row r="1222" spans="2:7" x14ac:dyDescent="0.2">
      <c r="B1222" s="116" t="s">
        <v>2703</v>
      </c>
      <c r="C1222" s="117" t="s">
        <v>2704</v>
      </c>
      <c r="D1222" s="118" t="s">
        <v>92</v>
      </c>
      <c r="E1222" s="118" t="s">
        <v>96</v>
      </c>
      <c r="F1222" s="120">
        <v>15.99</v>
      </c>
      <c r="G1222" s="119">
        <v>0.56963570030940647</v>
      </c>
    </row>
    <row r="1223" spans="2:7" x14ac:dyDescent="0.2">
      <c r="B1223" s="116" t="s">
        <v>2705</v>
      </c>
      <c r="C1223" s="117" t="s">
        <v>2706</v>
      </c>
      <c r="D1223" s="118" t="s">
        <v>106</v>
      </c>
      <c r="E1223" s="118" t="s">
        <v>324</v>
      </c>
      <c r="F1223" s="120"/>
      <c r="G1223" s="119">
        <v>3.5699105687475231E-2</v>
      </c>
    </row>
    <row r="1224" spans="2:7" x14ac:dyDescent="0.2">
      <c r="B1224" s="116" t="s">
        <v>2707</v>
      </c>
      <c r="C1224" s="117" t="s">
        <v>2708</v>
      </c>
      <c r="D1224" s="118" t="s">
        <v>39</v>
      </c>
      <c r="E1224" s="118" t="s">
        <v>1321</v>
      </c>
      <c r="F1224" s="120">
        <v>0.94</v>
      </c>
      <c r="G1224" s="119">
        <v>-2.289194419441894E-3</v>
      </c>
    </row>
    <row r="1225" spans="2:7" x14ac:dyDescent="0.2">
      <c r="B1225" s="116" t="s">
        <v>2709</v>
      </c>
      <c r="C1225" s="117" t="s">
        <v>2710</v>
      </c>
      <c r="D1225" s="118" t="s">
        <v>115</v>
      </c>
      <c r="E1225" s="118" t="s">
        <v>728</v>
      </c>
      <c r="F1225" s="120"/>
      <c r="G1225" s="119">
        <v>0.45756959502228928</v>
      </c>
    </row>
    <row r="1226" spans="2:7" x14ac:dyDescent="0.2">
      <c r="B1226" s="116" t="s">
        <v>2711</v>
      </c>
      <c r="C1226" s="117" t="s">
        <v>2712</v>
      </c>
      <c r="D1226" s="118" t="s">
        <v>106</v>
      </c>
      <c r="E1226" s="118" t="s">
        <v>2713</v>
      </c>
      <c r="F1226" s="120">
        <v>6.56</v>
      </c>
      <c r="G1226" s="119">
        <v>9.6477766310195737E-2</v>
      </c>
    </row>
    <row r="1227" spans="2:7" x14ac:dyDescent="0.2">
      <c r="B1227" s="116" t="s">
        <v>2714</v>
      </c>
      <c r="C1227" s="117" t="s">
        <v>2715</v>
      </c>
      <c r="D1227" s="118" t="s">
        <v>39</v>
      </c>
      <c r="E1227" s="118" t="s">
        <v>383</v>
      </c>
      <c r="F1227" s="120">
        <v>10.97</v>
      </c>
      <c r="G1227" s="119">
        <v>7.5687539144793037E-2</v>
      </c>
    </row>
    <row r="1228" spans="2:7" x14ac:dyDescent="0.2">
      <c r="B1228" s="116" t="s">
        <v>2716</v>
      </c>
      <c r="C1228" s="117" t="s">
        <v>2717</v>
      </c>
      <c r="D1228" s="118" t="s">
        <v>39</v>
      </c>
      <c r="E1228" s="118" t="s">
        <v>383</v>
      </c>
      <c r="F1228" s="120">
        <v>10.63</v>
      </c>
      <c r="G1228" s="119">
        <v>4.1966244798890398E-2</v>
      </c>
    </row>
    <row r="1229" spans="2:7" x14ac:dyDescent="0.2">
      <c r="B1229" s="116" t="s">
        <v>2718</v>
      </c>
      <c r="C1229" s="117" t="s">
        <v>2719</v>
      </c>
      <c r="D1229" s="118" t="s">
        <v>52</v>
      </c>
      <c r="E1229" s="118" t="s">
        <v>660</v>
      </c>
      <c r="F1229" s="120">
        <v>8.09</v>
      </c>
      <c r="G1229" s="119">
        <v>6.1456307387973703E-2</v>
      </c>
    </row>
    <row r="1230" spans="2:7" x14ac:dyDescent="0.2">
      <c r="B1230" s="116" t="s">
        <v>2720</v>
      </c>
      <c r="C1230" s="117" t="s">
        <v>2721</v>
      </c>
      <c r="D1230" s="118" t="s">
        <v>34</v>
      </c>
      <c r="E1230" s="118" t="s">
        <v>990</v>
      </c>
      <c r="F1230" s="120">
        <v>20.85</v>
      </c>
      <c r="G1230" s="119">
        <v>0.13891406357823069</v>
      </c>
    </row>
    <row r="1231" spans="2:7" x14ac:dyDescent="0.2">
      <c r="B1231" s="116" t="s">
        <v>2722</v>
      </c>
      <c r="C1231" s="117" t="s">
        <v>2723</v>
      </c>
      <c r="D1231" s="118" t="s">
        <v>102</v>
      </c>
      <c r="E1231" s="118" t="s">
        <v>2315</v>
      </c>
      <c r="F1231" s="120">
        <v>5.17</v>
      </c>
      <c r="G1231" s="119">
        <v>3.1295224231968392E-2</v>
      </c>
    </row>
    <row r="1232" spans="2:7" x14ac:dyDescent="0.2">
      <c r="B1232" s="116" t="s">
        <v>2724</v>
      </c>
      <c r="C1232" s="117" t="s">
        <v>2725</v>
      </c>
      <c r="D1232" s="118" t="s">
        <v>39</v>
      </c>
      <c r="E1232" s="118" t="s">
        <v>40</v>
      </c>
      <c r="F1232" s="120">
        <v>2.88</v>
      </c>
      <c r="G1232" s="119">
        <v>-3.6048614157527338E-2</v>
      </c>
    </row>
    <row r="1233" spans="2:7" x14ac:dyDescent="0.2">
      <c r="B1233" s="116" t="s">
        <v>2726</v>
      </c>
      <c r="C1233" s="117" t="s">
        <v>2727</v>
      </c>
      <c r="D1233" s="118" t="s">
        <v>106</v>
      </c>
      <c r="E1233" s="118" t="s">
        <v>842</v>
      </c>
      <c r="F1233" s="120">
        <v>3.61</v>
      </c>
      <c r="G1233" s="119">
        <v>4.0553511139439731E-2</v>
      </c>
    </row>
    <row r="1234" spans="2:7" x14ac:dyDescent="0.2">
      <c r="B1234" s="116" t="s">
        <v>2728</v>
      </c>
      <c r="C1234" s="117" t="s">
        <v>2729</v>
      </c>
      <c r="D1234" s="118" t="s">
        <v>198</v>
      </c>
      <c r="E1234" s="118" t="s">
        <v>199</v>
      </c>
      <c r="F1234" s="120">
        <v>4.58</v>
      </c>
      <c r="G1234" s="119">
        <v>6.9413822529381289E-2</v>
      </c>
    </row>
    <row r="1235" spans="2:7" x14ac:dyDescent="0.2">
      <c r="B1235" s="116" t="s">
        <v>2730</v>
      </c>
      <c r="C1235" s="117" t="s">
        <v>2731</v>
      </c>
      <c r="D1235" s="118" t="s">
        <v>106</v>
      </c>
      <c r="E1235" s="118" t="s">
        <v>1053</v>
      </c>
      <c r="F1235" s="120"/>
      <c r="G1235" s="119">
        <v>3.7326337758528699E-2</v>
      </c>
    </row>
    <row r="1236" spans="2:7" x14ac:dyDescent="0.2">
      <c r="B1236" s="116" t="s">
        <v>2732</v>
      </c>
      <c r="C1236" s="117" t="s">
        <v>2733</v>
      </c>
      <c r="D1236" s="118" t="s">
        <v>102</v>
      </c>
      <c r="E1236" s="118" t="s">
        <v>103</v>
      </c>
      <c r="F1236" s="120"/>
      <c r="G1236" s="119">
        <v>-3.1989460653104963E-2</v>
      </c>
    </row>
    <row r="1237" spans="2:7" x14ac:dyDescent="0.2">
      <c r="B1237" s="116" t="s">
        <v>2734</v>
      </c>
      <c r="C1237" s="117" t="s">
        <v>2735</v>
      </c>
      <c r="D1237" s="118" t="s">
        <v>138</v>
      </c>
      <c r="E1237" s="118" t="s">
        <v>139</v>
      </c>
      <c r="F1237" s="120"/>
      <c r="G1237" s="119">
        <v>-1.8854815714205261E-2</v>
      </c>
    </row>
    <row r="1238" spans="2:7" x14ac:dyDescent="0.2">
      <c r="B1238" s="116" t="s">
        <v>2736</v>
      </c>
      <c r="C1238" s="117" t="s">
        <v>2737</v>
      </c>
      <c r="D1238" s="118" t="s">
        <v>92</v>
      </c>
      <c r="E1238" s="118" t="s">
        <v>299</v>
      </c>
      <c r="F1238" s="120">
        <v>6.99</v>
      </c>
      <c r="G1238" s="119">
        <v>-0.2044764087834447</v>
      </c>
    </row>
    <row r="1239" spans="2:7" x14ac:dyDescent="0.2">
      <c r="B1239" s="116" t="s">
        <v>2738</v>
      </c>
      <c r="C1239" s="117" t="s">
        <v>2739</v>
      </c>
      <c r="D1239" s="118" t="s">
        <v>48</v>
      </c>
      <c r="E1239" s="118" t="s">
        <v>49</v>
      </c>
      <c r="F1239" s="120">
        <v>7.25</v>
      </c>
      <c r="G1239" s="119">
        <v>7.0107500454307817E-2</v>
      </c>
    </row>
    <row r="1240" spans="2:7" x14ac:dyDescent="0.2">
      <c r="B1240" s="116" t="s">
        <v>2740</v>
      </c>
      <c r="C1240" s="117" t="s">
        <v>2741</v>
      </c>
      <c r="D1240" s="118" t="s">
        <v>198</v>
      </c>
      <c r="E1240" s="118" t="s">
        <v>199</v>
      </c>
      <c r="F1240" s="120"/>
      <c r="G1240" s="119">
        <v>-9.7620058604206431E-2</v>
      </c>
    </row>
    <row r="1241" spans="2:7" x14ac:dyDescent="0.2">
      <c r="B1241" s="116" t="s">
        <v>2742</v>
      </c>
      <c r="C1241" s="117" t="s">
        <v>2743</v>
      </c>
      <c r="D1241" s="118" t="s">
        <v>102</v>
      </c>
      <c r="E1241" s="118" t="s">
        <v>1397</v>
      </c>
      <c r="F1241" s="120">
        <v>3.91</v>
      </c>
      <c r="G1241" s="119">
        <v>-7.3238561450802611E-2</v>
      </c>
    </row>
    <row r="1242" spans="2:7" x14ac:dyDescent="0.2">
      <c r="B1242" s="116" t="s">
        <v>2744</v>
      </c>
      <c r="C1242" s="117" t="s">
        <v>2745</v>
      </c>
      <c r="D1242" s="118" t="s">
        <v>34</v>
      </c>
      <c r="E1242" s="118" t="s">
        <v>982</v>
      </c>
      <c r="F1242" s="120">
        <v>-0.74</v>
      </c>
      <c r="G1242" s="119">
        <v>-2.6746477678571391E-2</v>
      </c>
    </row>
    <row r="1243" spans="2:7" x14ac:dyDescent="0.2">
      <c r="B1243" s="116" t="s">
        <v>2746</v>
      </c>
      <c r="C1243" s="117" t="s">
        <v>2747</v>
      </c>
      <c r="D1243" s="118" t="s">
        <v>34</v>
      </c>
      <c r="E1243" s="118" t="s">
        <v>1493</v>
      </c>
      <c r="F1243" s="120">
        <v>8.36</v>
      </c>
      <c r="G1243" s="119">
        <v>3.3702161387756738E-2</v>
      </c>
    </row>
    <row r="1244" spans="2:7" x14ac:dyDescent="0.2">
      <c r="B1244" s="116" t="s">
        <v>2748</v>
      </c>
      <c r="C1244" s="117" t="s">
        <v>2749</v>
      </c>
      <c r="D1244" s="118" t="s">
        <v>78</v>
      </c>
      <c r="E1244" s="118" t="s">
        <v>1654</v>
      </c>
      <c r="F1244" s="120">
        <v>4.83</v>
      </c>
      <c r="G1244" s="119">
        <v>7.9171801606922179E-2</v>
      </c>
    </row>
    <row r="1245" spans="2:7" x14ac:dyDescent="0.2">
      <c r="B1245" s="116" t="s">
        <v>2750</v>
      </c>
      <c r="C1245" s="117" t="s">
        <v>2751</v>
      </c>
      <c r="D1245" s="118" t="s">
        <v>198</v>
      </c>
      <c r="E1245" s="118" t="s">
        <v>456</v>
      </c>
      <c r="F1245" s="120"/>
      <c r="G1245" s="119">
        <v>9.8528782524572547E-2</v>
      </c>
    </row>
    <row r="1246" spans="2:7" x14ac:dyDescent="0.2">
      <c r="B1246" s="116" t="s">
        <v>2752</v>
      </c>
      <c r="C1246" s="117" t="s">
        <v>2753</v>
      </c>
      <c r="D1246" s="118" t="s">
        <v>68</v>
      </c>
      <c r="E1246" s="118" t="s">
        <v>985</v>
      </c>
      <c r="F1246" s="120"/>
      <c r="G1246" s="119">
        <v>-0.81468926553672327</v>
      </c>
    </row>
    <row r="1247" spans="2:7" x14ac:dyDescent="0.2">
      <c r="B1247" s="116" t="s">
        <v>2754</v>
      </c>
      <c r="C1247" s="117" t="s">
        <v>2755</v>
      </c>
      <c r="D1247" s="118" t="s">
        <v>34</v>
      </c>
      <c r="E1247" s="118" t="s">
        <v>245</v>
      </c>
      <c r="F1247" s="120">
        <v>5.14</v>
      </c>
      <c r="G1247" s="119">
        <v>0.38985144236960723</v>
      </c>
    </row>
    <row r="1248" spans="2:7" x14ac:dyDescent="0.2">
      <c r="B1248" s="116" t="s">
        <v>2756</v>
      </c>
      <c r="C1248" s="117" t="s">
        <v>2757</v>
      </c>
      <c r="D1248" s="118" t="s">
        <v>78</v>
      </c>
      <c r="E1248" s="118" t="s">
        <v>79</v>
      </c>
      <c r="F1248" s="120">
        <v>2.5099999999999998</v>
      </c>
      <c r="G1248" s="119">
        <v>0.2059458142921709</v>
      </c>
    </row>
    <row r="1249" spans="2:7" x14ac:dyDescent="0.2">
      <c r="B1249" s="116" t="s">
        <v>2758</v>
      </c>
      <c r="C1249" s="117" t="s">
        <v>2759</v>
      </c>
      <c r="D1249" s="118" t="s">
        <v>92</v>
      </c>
      <c r="E1249" s="118" t="s">
        <v>299</v>
      </c>
      <c r="F1249" s="120">
        <v>2.12</v>
      </c>
      <c r="G1249" s="119">
        <v>-3.2669589825225949E-2</v>
      </c>
    </row>
    <row r="1250" spans="2:7" x14ac:dyDescent="0.2">
      <c r="B1250" s="116" t="s">
        <v>2760</v>
      </c>
      <c r="C1250" s="117" t="s">
        <v>2761</v>
      </c>
      <c r="D1250" s="118" t="s">
        <v>34</v>
      </c>
      <c r="E1250" s="118" t="s">
        <v>99</v>
      </c>
      <c r="F1250" s="120">
        <v>7.09</v>
      </c>
      <c r="G1250" s="119">
        <v>5.1737520227604743E-2</v>
      </c>
    </row>
    <row r="1251" spans="2:7" x14ac:dyDescent="0.2">
      <c r="B1251" s="116" t="s">
        <v>2762</v>
      </c>
      <c r="C1251" s="117" t="s">
        <v>2763</v>
      </c>
      <c r="D1251" s="118" t="s">
        <v>241</v>
      </c>
      <c r="E1251" s="118" t="s">
        <v>1634</v>
      </c>
      <c r="F1251" s="120"/>
      <c r="G1251" s="119">
        <v>-7.0036783233697192E-2</v>
      </c>
    </row>
    <row r="1252" spans="2:7" x14ac:dyDescent="0.2">
      <c r="B1252" s="116" t="s">
        <v>2764</v>
      </c>
      <c r="C1252" s="117" t="s">
        <v>2765</v>
      </c>
      <c r="D1252" s="118" t="s">
        <v>68</v>
      </c>
      <c r="E1252" s="118" t="s">
        <v>82</v>
      </c>
      <c r="F1252" s="120">
        <v>15.33</v>
      </c>
      <c r="G1252" s="119">
        <v>8.0756950527169483E-2</v>
      </c>
    </row>
    <row r="1253" spans="2:7" x14ac:dyDescent="0.2">
      <c r="B1253" s="116" t="s">
        <v>2766</v>
      </c>
      <c r="C1253" s="117" t="s">
        <v>2767</v>
      </c>
      <c r="D1253" s="118" t="s">
        <v>34</v>
      </c>
      <c r="E1253" s="118" t="s">
        <v>1281</v>
      </c>
      <c r="F1253" s="120">
        <v>-13.08</v>
      </c>
      <c r="G1253" s="119">
        <v>3.0525567095096032E-2</v>
      </c>
    </row>
    <row r="1254" spans="2:7" x14ac:dyDescent="0.2">
      <c r="B1254" s="116" t="s">
        <v>2768</v>
      </c>
      <c r="C1254" s="117" t="s">
        <v>2769</v>
      </c>
      <c r="D1254" s="118" t="s">
        <v>68</v>
      </c>
      <c r="E1254" s="118" t="s">
        <v>72</v>
      </c>
      <c r="F1254" s="120"/>
      <c r="G1254" s="119">
        <v>0.4170876724206577</v>
      </c>
    </row>
    <row r="1255" spans="2:7" x14ac:dyDescent="0.2">
      <c r="B1255" s="116" t="s">
        <v>2770</v>
      </c>
      <c r="C1255" s="117" t="s">
        <v>2771</v>
      </c>
      <c r="D1255" s="118" t="s">
        <v>92</v>
      </c>
      <c r="E1255" s="118" t="s">
        <v>272</v>
      </c>
      <c r="F1255" s="120">
        <v>4.83</v>
      </c>
      <c r="G1255" s="119">
        <v>6.9292331523457804E-2</v>
      </c>
    </row>
    <row r="1256" spans="2:7" x14ac:dyDescent="0.2">
      <c r="B1256" s="116" t="s">
        <v>2772</v>
      </c>
      <c r="C1256" s="117" t="s">
        <v>2773</v>
      </c>
      <c r="D1256" s="118" t="s">
        <v>115</v>
      </c>
      <c r="E1256" s="118" t="s">
        <v>728</v>
      </c>
      <c r="F1256" s="120">
        <v>11.06</v>
      </c>
      <c r="G1256" s="119">
        <v>9.9833719575360077E-5</v>
      </c>
    </row>
    <row r="1257" spans="2:7" x14ac:dyDescent="0.2">
      <c r="B1257" s="116" t="s">
        <v>2774</v>
      </c>
      <c r="C1257" s="117" t="s">
        <v>2775</v>
      </c>
      <c r="D1257" s="118" t="s">
        <v>92</v>
      </c>
      <c r="E1257" s="118" t="s">
        <v>399</v>
      </c>
      <c r="F1257" s="120">
        <v>15.55</v>
      </c>
      <c r="G1257" s="119">
        <v>-0.22175961782704079</v>
      </c>
    </row>
    <row r="1258" spans="2:7" x14ac:dyDescent="0.2">
      <c r="B1258" s="116" t="s">
        <v>2776</v>
      </c>
      <c r="C1258" s="117" t="s">
        <v>2777</v>
      </c>
      <c r="D1258" s="118" t="s">
        <v>92</v>
      </c>
      <c r="E1258" s="118" t="s">
        <v>272</v>
      </c>
      <c r="F1258" s="120">
        <v>34.81</v>
      </c>
      <c r="G1258" s="119">
        <v>6.3045202996423036E-2</v>
      </c>
    </row>
    <row r="1259" spans="2:7" x14ac:dyDescent="0.2">
      <c r="B1259" s="116" t="s">
        <v>2778</v>
      </c>
      <c r="C1259" s="117" t="s">
        <v>2779</v>
      </c>
      <c r="D1259" s="118" t="s">
        <v>138</v>
      </c>
      <c r="E1259" s="118" t="s">
        <v>427</v>
      </c>
      <c r="F1259" s="120">
        <v>-0.19</v>
      </c>
      <c r="G1259" s="119">
        <v>-8.6639317679861917E-4</v>
      </c>
    </row>
    <row r="1260" spans="2:7" x14ac:dyDescent="0.2">
      <c r="B1260" s="116" t="s">
        <v>2780</v>
      </c>
      <c r="C1260" s="117" t="s">
        <v>2781</v>
      </c>
      <c r="D1260" s="118" t="s">
        <v>52</v>
      </c>
      <c r="E1260" s="118" t="s">
        <v>725</v>
      </c>
      <c r="F1260" s="120">
        <v>9.56</v>
      </c>
      <c r="G1260" s="119">
        <v>6.7555946115414905E-2</v>
      </c>
    </row>
    <row r="1261" spans="2:7" x14ac:dyDescent="0.2">
      <c r="B1261" s="116" t="s">
        <v>2782</v>
      </c>
      <c r="C1261" s="117" t="s">
        <v>2783</v>
      </c>
      <c r="D1261" s="118" t="s">
        <v>92</v>
      </c>
      <c r="E1261" s="118" t="s">
        <v>228</v>
      </c>
      <c r="F1261" s="120">
        <v>3.94</v>
      </c>
      <c r="G1261" s="119">
        <v>0.1108073980307057</v>
      </c>
    </row>
    <row r="1262" spans="2:7" x14ac:dyDescent="0.2">
      <c r="B1262" s="116" t="s">
        <v>2784</v>
      </c>
      <c r="C1262" s="117" t="s">
        <v>2785</v>
      </c>
      <c r="D1262" s="118" t="s">
        <v>92</v>
      </c>
      <c r="E1262" s="118" t="s">
        <v>299</v>
      </c>
      <c r="F1262" s="120"/>
      <c r="G1262" s="119">
        <v>-0.34651846689595872</v>
      </c>
    </row>
    <row r="1263" spans="2:7" x14ac:dyDescent="0.2">
      <c r="B1263" s="116" t="s">
        <v>2786</v>
      </c>
      <c r="C1263" s="117" t="s">
        <v>2787</v>
      </c>
      <c r="D1263" s="118" t="s">
        <v>145</v>
      </c>
      <c r="E1263" s="118" t="s">
        <v>343</v>
      </c>
      <c r="F1263" s="120">
        <v>7.19</v>
      </c>
      <c r="G1263" s="119">
        <v>7.0346804852959799E-2</v>
      </c>
    </row>
    <row r="1264" spans="2:7" x14ac:dyDescent="0.2">
      <c r="B1264" s="116" t="s">
        <v>2788</v>
      </c>
      <c r="C1264" s="117" t="s">
        <v>2789</v>
      </c>
      <c r="D1264" s="118" t="s">
        <v>92</v>
      </c>
      <c r="E1264" s="118" t="s">
        <v>299</v>
      </c>
      <c r="F1264" s="120">
        <v>-0.57999999999999996</v>
      </c>
      <c r="G1264" s="119">
        <v>-7.5965177318259094E-2</v>
      </c>
    </row>
    <row r="1265" spans="2:7" x14ac:dyDescent="0.2">
      <c r="B1265" s="116" t="s">
        <v>2790</v>
      </c>
      <c r="C1265" s="117" t="s">
        <v>2791</v>
      </c>
      <c r="D1265" s="118" t="s">
        <v>92</v>
      </c>
      <c r="E1265" s="118" t="s">
        <v>275</v>
      </c>
      <c r="F1265" s="120">
        <v>14.3</v>
      </c>
      <c r="G1265" s="119">
        <v>6.0066303789972401E-2</v>
      </c>
    </row>
    <row r="1266" spans="2:7" x14ac:dyDescent="0.2">
      <c r="B1266" s="116" t="s">
        <v>2792</v>
      </c>
      <c r="C1266" s="117" t="s">
        <v>2793</v>
      </c>
      <c r="D1266" s="118" t="s">
        <v>78</v>
      </c>
      <c r="E1266" s="118" t="s">
        <v>2794</v>
      </c>
      <c r="F1266" s="120">
        <v>1.88</v>
      </c>
      <c r="G1266" s="119">
        <v>2.0650949635912821E-2</v>
      </c>
    </row>
    <row r="1267" spans="2:7" x14ac:dyDescent="0.2">
      <c r="B1267" s="116" t="s">
        <v>2795</v>
      </c>
      <c r="C1267" s="117" t="s">
        <v>2796</v>
      </c>
      <c r="D1267" s="118" t="s">
        <v>138</v>
      </c>
      <c r="E1267" s="118" t="s">
        <v>499</v>
      </c>
      <c r="F1267" s="120">
        <v>-1.59</v>
      </c>
      <c r="G1267" s="119">
        <v>-2.8457112535757612E-2</v>
      </c>
    </row>
    <row r="1268" spans="2:7" x14ac:dyDescent="0.2">
      <c r="B1268" s="116" t="s">
        <v>2797</v>
      </c>
      <c r="C1268" s="117" t="s">
        <v>2798</v>
      </c>
      <c r="D1268" s="118" t="s">
        <v>92</v>
      </c>
      <c r="E1268" s="118" t="s">
        <v>142</v>
      </c>
      <c r="F1268" s="120">
        <v>4.8899999999999997</v>
      </c>
      <c r="G1268" s="119">
        <v>-2.034744263359781E-2</v>
      </c>
    </row>
    <row r="1269" spans="2:7" x14ac:dyDescent="0.2">
      <c r="B1269" s="116" t="s">
        <v>2799</v>
      </c>
      <c r="C1269" s="117" t="s">
        <v>2800</v>
      </c>
      <c r="D1269" s="118" t="s">
        <v>39</v>
      </c>
      <c r="E1269" s="118" t="s">
        <v>1959</v>
      </c>
      <c r="F1269" s="120">
        <v>-0.65</v>
      </c>
      <c r="G1269" s="119">
        <v>-4.66328392839944E-2</v>
      </c>
    </row>
    <row r="1270" spans="2:7" x14ac:dyDescent="0.2">
      <c r="B1270" s="116" t="s">
        <v>2801</v>
      </c>
      <c r="C1270" s="117" t="s">
        <v>2802</v>
      </c>
      <c r="D1270" s="118" t="s">
        <v>92</v>
      </c>
      <c r="E1270" s="118" t="s">
        <v>2803</v>
      </c>
      <c r="F1270" s="120"/>
      <c r="G1270" s="119">
        <v>2.230065165604556</v>
      </c>
    </row>
    <row r="1271" spans="2:7" x14ac:dyDescent="0.2">
      <c r="B1271" s="116" t="s">
        <v>2804</v>
      </c>
      <c r="C1271" s="117" t="s">
        <v>2805</v>
      </c>
      <c r="D1271" s="118" t="s">
        <v>241</v>
      </c>
      <c r="E1271" s="118" t="s">
        <v>1219</v>
      </c>
      <c r="F1271" s="120">
        <v>35.270000000000003</v>
      </c>
      <c r="G1271" s="119">
        <v>0.4872444838035081</v>
      </c>
    </row>
    <row r="1272" spans="2:7" x14ac:dyDescent="0.2">
      <c r="B1272" s="116" t="s">
        <v>2806</v>
      </c>
      <c r="C1272" s="117" t="s">
        <v>2807</v>
      </c>
      <c r="D1272" s="118" t="s">
        <v>39</v>
      </c>
      <c r="E1272" s="118" t="s">
        <v>389</v>
      </c>
      <c r="F1272" s="120">
        <v>-12.74</v>
      </c>
      <c r="G1272" s="119">
        <v>2.201876307393244E-2</v>
      </c>
    </row>
    <row r="1273" spans="2:7" x14ac:dyDescent="0.2">
      <c r="B1273" s="116" t="s">
        <v>2808</v>
      </c>
      <c r="C1273" s="117" t="s">
        <v>2809</v>
      </c>
      <c r="D1273" s="118" t="s">
        <v>92</v>
      </c>
      <c r="E1273" s="118" t="s">
        <v>272</v>
      </c>
      <c r="F1273" s="120"/>
      <c r="G1273" s="119">
        <v>-0.22806878629146879</v>
      </c>
    </row>
    <row r="1274" spans="2:7" x14ac:dyDescent="0.2">
      <c r="B1274" s="116" t="s">
        <v>2810</v>
      </c>
      <c r="C1274" s="117" t="s">
        <v>2811</v>
      </c>
      <c r="D1274" s="118" t="s">
        <v>92</v>
      </c>
      <c r="E1274" s="118" t="s">
        <v>195</v>
      </c>
      <c r="F1274" s="120">
        <v>6.45</v>
      </c>
      <c r="G1274" s="119">
        <v>1.452246378150064E-2</v>
      </c>
    </row>
    <row r="1275" spans="2:7" x14ac:dyDescent="0.2">
      <c r="B1275" s="116" t="s">
        <v>2812</v>
      </c>
      <c r="C1275" s="117" t="s">
        <v>2813</v>
      </c>
      <c r="D1275" s="118" t="s">
        <v>34</v>
      </c>
      <c r="E1275" s="118" t="s">
        <v>700</v>
      </c>
      <c r="F1275" s="120">
        <v>1.54</v>
      </c>
      <c r="G1275" s="119">
        <v>2.8082368358666381E-2</v>
      </c>
    </row>
    <row r="1276" spans="2:7" x14ac:dyDescent="0.2">
      <c r="B1276" s="116" t="s">
        <v>2814</v>
      </c>
      <c r="C1276" s="117" t="s">
        <v>2815</v>
      </c>
      <c r="D1276" s="118" t="s">
        <v>34</v>
      </c>
      <c r="E1276" s="118" t="s">
        <v>1096</v>
      </c>
      <c r="F1276" s="120"/>
      <c r="G1276" s="119">
        <v>-3.8221343209000128E-2</v>
      </c>
    </row>
    <row r="1277" spans="2:7" x14ac:dyDescent="0.2">
      <c r="B1277" s="116" t="s">
        <v>2816</v>
      </c>
      <c r="C1277" s="117" t="s">
        <v>2817</v>
      </c>
      <c r="D1277" s="118" t="s">
        <v>106</v>
      </c>
      <c r="E1277" s="118" t="s">
        <v>2713</v>
      </c>
      <c r="F1277" s="120">
        <v>3.08</v>
      </c>
      <c r="G1277" s="119">
        <v>8.98762578947368E-2</v>
      </c>
    </row>
    <row r="1278" spans="2:7" x14ac:dyDescent="0.2">
      <c r="B1278" s="116" t="s">
        <v>2818</v>
      </c>
      <c r="C1278" s="117" t="s">
        <v>2819</v>
      </c>
      <c r="D1278" s="118" t="s">
        <v>92</v>
      </c>
      <c r="E1278" s="118" t="s">
        <v>275</v>
      </c>
      <c r="F1278" s="120">
        <v>8.77</v>
      </c>
      <c r="G1278" s="119">
        <v>2.476793790166882E-2</v>
      </c>
    </row>
    <row r="1279" spans="2:7" x14ac:dyDescent="0.2">
      <c r="B1279" s="116" t="s">
        <v>2820</v>
      </c>
      <c r="C1279" s="117" t="s">
        <v>2821</v>
      </c>
      <c r="D1279" s="118" t="s">
        <v>68</v>
      </c>
      <c r="E1279" s="118" t="s">
        <v>87</v>
      </c>
      <c r="F1279" s="120">
        <v>22.74</v>
      </c>
      <c r="G1279" s="119">
        <v>0.28807540858408409</v>
      </c>
    </row>
    <row r="1280" spans="2:7" x14ac:dyDescent="0.2">
      <c r="B1280" s="116" t="s">
        <v>2822</v>
      </c>
      <c r="C1280" s="117" t="s">
        <v>2823</v>
      </c>
      <c r="D1280" s="118" t="s">
        <v>34</v>
      </c>
      <c r="E1280" s="118" t="s">
        <v>990</v>
      </c>
      <c r="F1280" s="120"/>
      <c r="G1280" s="119">
        <v>0.15650074088570801</v>
      </c>
    </row>
    <row r="1281" spans="2:7" x14ac:dyDescent="0.2">
      <c r="B1281" s="116" t="s">
        <v>2824</v>
      </c>
      <c r="C1281" s="117" t="s">
        <v>2825</v>
      </c>
      <c r="D1281" s="118" t="s">
        <v>106</v>
      </c>
      <c r="E1281" s="118" t="s">
        <v>1053</v>
      </c>
      <c r="F1281" s="120"/>
      <c r="G1281" s="119">
        <v>2.4306987055606171E-2</v>
      </c>
    </row>
    <row r="1282" spans="2:7" x14ac:dyDescent="0.2">
      <c r="B1282" s="116" t="s">
        <v>2826</v>
      </c>
      <c r="C1282" s="117" t="s">
        <v>2827</v>
      </c>
      <c r="D1282" s="118" t="s">
        <v>52</v>
      </c>
      <c r="E1282" s="118" t="s">
        <v>725</v>
      </c>
      <c r="F1282" s="120">
        <v>38.81</v>
      </c>
      <c r="G1282" s="119">
        <v>0.34167952602167923</v>
      </c>
    </row>
    <row r="1283" spans="2:7" x14ac:dyDescent="0.2">
      <c r="B1283" s="116" t="s">
        <v>2828</v>
      </c>
      <c r="C1283" s="117" t="s">
        <v>2829</v>
      </c>
      <c r="D1283" s="118" t="s">
        <v>115</v>
      </c>
      <c r="E1283" s="118" t="s">
        <v>1102</v>
      </c>
      <c r="F1283" s="120">
        <v>-3.46</v>
      </c>
      <c r="G1283" s="119">
        <v>2.703410912110785E-2</v>
      </c>
    </row>
    <row r="1284" spans="2:7" x14ac:dyDescent="0.2">
      <c r="B1284" s="116" t="s">
        <v>2830</v>
      </c>
      <c r="C1284" s="117" t="s">
        <v>2831</v>
      </c>
      <c r="D1284" s="118" t="s">
        <v>145</v>
      </c>
      <c r="E1284" s="118" t="s">
        <v>179</v>
      </c>
      <c r="F1284" s="120"/>
      <c r="G1284" s="119">
        <v>0.119175963977004</v>
      </c>
    </row>
    <row r="1285" spans="2:7" x14ac:dyDescent="0.2">
      <c r="B1285" s="116" t="s">
        <v>2832</v>
      </c>
      <c r="C1285" s="117" t="s">
        <v>2833</v>
      </c>
      <c r="D1285" s="118" t="s">
        <v>92</v>
      </c>
      <c r="E1285" s="118" t="s">
        <v>299</v>
      </c>
      <c r="F1285" s="120">
        <v>11.82</v>
      </c>
      <c r="G1285" s="119">
        <v>-1</v>
      </c>
    </row>
    <row r="1286" spans="2:7" x14ac:dyDescent="0.2">
      <c r="B1286" s="116" t="s">
        <v>2834</v>
      </c>
      <c r="C1286" s="117" t="s">
        <v>2835</v>
      </c>
      <c r="D1286" s="118" t="s">
        <v>145</v>
      </c>
      <c r="E1286" s="118" t="s">
        <v>179</v>
      </c>
      <c r="F1286" s="120">
        <v>1.51</v>
      </c>
      <c r="G1286" s="119">
        <v>-1</v>
      </c>
    </row>
    <row r="1287" spans="2:7" x14ac:dyDescent="0.2">
      <c r="B1287" s="116" t="s">
        <v>2836</v>
      </c>
      <c r="C1287" s="117" t="s">
        <v>2837</v>
      </c>
      <c r="D1287" s="118" t="s">
        <v>241</v>
      </c>
      <c r="E1287" s="118" t="s">
        <v>609</v>
      </c>
      <c r="F1287" s="120">
        <v>26.9</v>
      </c>
      <c r="G1287" s="119">
        <v>-6.7181227368019861E-2</v>
      </c>
    </row>
    <row r="1288" spans="2:7" x14ac:dyDescent="0.2">
      <c r="B1288" s="116" t="s">
        <v>2838</v>
      </c>
      <c r="C1288" s="117" t="s">
        <v>2839</v>
      </c>
      <c r="D1288" s="118" t="s">
        <v>92</v>
      </c>
      <c r="E1288" s="118" t="s">
        <v>195</v>
      </c>
      <c r="F1288" s="120"/>
      <c r="G1288" s="119">
        <v>-0.1851488087512746</v>
      </c>
    </row>
    <row r="1289" spans="2:7" x14ac:dyDescent="0.2">
      <c r="B1289" s="116" t="s">
        <v>2840</v>
      </c>
      <c r="C1289" s="117" t="s">
        <v>2841</v>
      </c>
      <c r="D1289" s="118" t="s">
        <v>92</v>
      </c>
      <c r="E1289" s="118" t="s">
        <v>272</v>
      </c>
      <c r="F1289" s="120">
        <v>-0.49</v>
      </c>
      <c r="G1289" s="119">
        <v>-3.9492687977222628E-2</v>
      </c>
    </row>
    <row r="1290" spans="2:7" x14ac:dyDescent="0.2">
      <c r="B1290" s="116" t="s">
        <v>2842</v>
      </c>
      <c r="C1290" s="117" t="s">
        <v>2843</v>
      </c>
      <c r="D1290" s="118" t="s">
        <v>34</v>
      </c>
      <c r="E1290" s="118" t="s">
        <v>202</v>
      </c>
      <c r="F1290" s="120">
        <v>76.25</v>
      </c>
      <c r="G1290" s="119">
        <v>0.43054047128760847</v>
      </c>
    </row>
    <row r="1291" spans="2:7" x14ac:dyDescent="0.2">
      <c r="B1291" s="116" t="s">
        <v>2844</v>
      </c>
      <c r="C1291" s="117" t="s">
        <v>2845</v>
      </c>
      <c r="D1291" s="118" t="s">
        <v>102</v>
      </c>
      <c r="E1291" s="118" t="s">
        <v>2315</v>
      </c>
      <c r="F1291" s="120">
        <v>12.79</v>
      </c>
      <c r="G1291" s="119">
        <v>2.5868449552852599E-2</v>
      </c>
    </row>
    <row r="1292" spans="2:7" x14ac:dyDescent="0.2">
      <c r="B1292" s="116" t="s">
        <v>2846</v>
      </c>
      <c r="C1292" s="117" t="s">
        <v>2847</v>
      </c>
      <c r="D1292" s="118" t="s">
        <v>145</v>
      </c>
      <c r="E1292" s="118" t="s">
        <v>179</v>
      </c>
      <c r="F1292" s="120"/>
      <c r="G1292" s="119">
        <v>1.788323564492145E-2</v>
      </c>
    </row>
    <row r="1293" spans="2:7" x14ac:dyDescent="0.2">
      <c r="B1293" s="116" t="s">
        <v>2848</v>
      </c>
      <c r="C1293" s="117" t="s">
        <v>2849</v>
      </c>
      <c r="D1293" s="118" t="s">
        <v>145</v>
      </c>
      <c r="E1293" s="118" t="s">
        <v>1467</v>
      </c>
      <c r="F1293" s="120">
        <v>4.92</v>
      </c>
      <c r="G1293" s="119">
        <v>0.1201533125497658</v>
      </c>
    </row>
    <row r="1294" spans="2:7" x14ac:dyDescent="0.2">
      <c r="B1294" s="116" t="s">
        <v>2850</v>
      </c>
      <c r="C1294" s="117" t="s">
        <v>2851</v>
      </c>
      <c r="D1294" s="118" t="s">
        <v>39</v>
      </c>
      <c r="E1294" s="118" t="s">
        <v>363</v>
      </c>
      <c r="F1294" s="120">
        <v>2.33</v>
      </c>
      <c r="G1294" s="119">
        <v>3.6869241578241911E-3</v>
      </c>
    </row>
    <row r="1295" spans="2:7" x14ac:dyDescent="0.2">
      <c r="B1295" s="116" t="s">
        <v>2852</v>
      </c>
      <c r="C1295" s="117" t="s">
        <v>2853</v>
      </c>
      <c r="D1295" s="118" t="s">
        <v>92</v>
      </c>
      <c r="E1295" s="118" t="s">
        <v>96</v>
      </c>
      <c r="F1295" s="120">
        <v>6.73</v>
      </c>
      <c r="G1295" s="119">
        <v>9.6090673214492869E-2</v>
      </c>
    </row>
    <row r="1296" spans="2:7" x14ac:dyDescent="0.2">
      <c r="B1296" s="116" t="s">
        <v>2854</v>
      </c>
      <c r="C1296" s="117" t="s">
        <v>2855</v>
      </c>
      <c r="D1296" s="118" t="s">
        <v>34</v>
      </c>
      <c r="E1296" s="118" t="s">
        <v>2856</v>
      </c>
      <c r="F1296" s="120">
        <v>29.64</v>
      </c>
      <c r="G1296" s="119">
        <v>4.0985040292553877E-2</v>
      </c>
    </row>
    <row r="1297" spans="2:7" x14ac:dyDescent="0.2">
      <c r="B1297" s="116" t="s">
        <v>2857</v>
      </c>
      <c r="C1297" s="117" t="s">
        <v>2858</v>
      </c>
      <c r="D1297" s="118" t="s">
        <v>115</v>
      </c>
      <c r="E1297" s="118" t="s">
        <v>728</v>
      </c>
      <c r="F1297" s="120">
        <v>9.36</v>
      </c>
      <c r="G1297" s="119">
        <v>0.3499165940294835</v>
      </c>
    </row>
    <row r="1298" spans="2:7" x14ac:dyDescent="0.2">
      <c r="B1298" s="116" t="s">
        <v>2859</v>
      </c>
      <c r="C1298" s="117" t="s">
        <v>2860</v>
      </c>
      <c r="D1298" s="118" t="s">
        <v>39</v>
      </c>
      <c r="E1298" s="118" t="s">
        <v>363</v>
      </c>
      <c r="F1298" s="120">
        <v>12.43</v>
      </c>
      <c r="G1298" s="119">
        <v>0.1135936609383137</v>
      </c>
    </row>
    <row r="1299" spans="2:7" x14ac:dyDescent="0.2">
      <c r="B1299" s="116" t="s">
        <v>2861</v>
      </c>
      <c r="C1299" s="117" t="s">
        <v>2862</v>
      </c>
      <c r="D1299" s="118" t="s">
        <v>92</v>
      </c>
      <c r="E1299" s="118" t="s">
        <v>598</v>
      </c>
      <c r="F1299" s="120">
        <v>17.66</v>
      </c>
      <c r="G1299" s="119">
        <v>0.18667123898205831</v>
      </c>
    </row>
    <row r="1300" spans="2:7" x14ac:dyDescent="0.2">
      <c r="B1300" s="116" t="s">
        <v>2863</v>
      </c>
      <c r="C1300" s="117" t="s">
        <v>2864</v>
      </c>
      <c r="D1300" s="118" t="s">
        <v>115</v>
      </c>
      <c r="E1300" s="118" t="s">
        <v>747</v>
      </c>
      <c r="F1300" s="120">
        <v>5.32</v>
      </c>
      <c r="G1300" s="119">
        <v>5.1098933531915497E-2</v>
      </c>
    </row>
    <row r="1301" spans="2:7" x14ac:dyDescent="0.2">
      <c r="B1301" s="116" t="s">
        <v>2865</v>
      </c>
      <c r="C1301" s="117" t="s">
        <v>2866</v>
      </c>
      <c r="D1301" s="118" t="s">
        <v>138</v>
      </c>
      <c r="E1301" s="118" t="s">
        <v>386</v>
      </c>
      <c r="F1301" s="120">
        <v>15.75</v>
      </c>
      <c r="G1301" s="119">
        <v>5.4461586264881227E-2</v>
      </c>
    </row>
    <row r="1302" spans="2:7" x14ac:dyDescent="0.2">
      <c r="B1302" s="116" t="s">
        <v>2867</v>
      </c>
      <c r="C1302" s="117" t="s">
        <v>2868</v>
      </c>
      <c r="D1302" s="118" t="s">
        <v>78</v>
      </c>
      <c r="E1302" s="118" t="s">
        <v>340</v>
      </c>
      <c r="F1302" s="120">
        <v>6.05</v>
      </c>
      <c r="G1302" s="119">
        <v>-3.3125631538657289E-3</v>
      </c>
    </row>
    <row r="1303" spans="2:7" x14ac:dyDescent="0.2">
      <c r="B1303" s="116" t="s">
        <v>2869</v>
      </c>
      <c r="C1303" s="117" t="s">
        <v>2870</v>
      </c>
      <c r="D1303" s="118" t="s">
        <v>39</v>
      </c>
      <c r="E1303" s="118" t="s">
        <v>1162</v>
      </c>
      <c r="F1303" s="120">
        <v>0.27</v>
      </c>
      <c r="G1303" s="119">
        <v>-7.4524281523025149E-2</v>
      </c>
    </row>
    <row r="1304" spans="2:7" x14ac:dyDescent="0.2">
      <c r="B1304" s="116" t="s">
        <v>2871</v>
      </c>
      <c r="C1304" s="117" t="s">
        <v>2872</v>
      </c>
      <c r="D1304" s="118" t="s">
        <v>34</v>
      </c>
      <c r="E1304" s="118" t="s">
        <v>278</v>
      </c>
      <c r="F1304" s="120">
        <v>7.09</v>
      </c>
      <c r="G1304" s="119">
        <v>-1</v>
      </c>
    </row>
    <row r="1305" spans="2:7" x14ac:dyDescent="0.2">
      <c r="B1305" s="116" t="s">
        <v>2873</v>
      </c>
      <c r="C1305" s="117" t="s">
        <v>2874</v>
      </c>
      <c r="D1305" s="118" t="s">
        <v>115</v>
      </c>
      <c r="E1305" s="118" t="s">
        <v>116</v>
      </c>
      <c r="F1305" s="120">
        <v>16.36</v>
      </c>
      <c r="G1305" s="119">
        <v>9.7910656237411423E-2</v>
      </c>
    </row>
    <row r="1306" spans="2:7" x14ac:dyDescent="0.2">
      <c r="B1306" s="116" t="s">
        <v>2875</v>
      </c>
      <c r="C1306" s="117" t="s">
        <v>2876</v>
      </c>
      <c r="D1306" s="118" t="s">
        <v>48</v>
      </c>
      <c r="E1306" s="118" t="s">
        <v>49</v>
      </c>
      <c r="F1306" s="120">
        <v>-0.06</v>
      </c>
      <c r="G1306" s="119">
        <v>-8.42780536862755E-2</v>
      </c>
    </row>
    <row r="1307" spans="2:7" x14ac:dyDescent="0.2">
      <c r="B1307" s="116" t="s">
        <v>2877</v>
      </c>
      <c r="C1307" s="117" t="s">
        <v>2878</v>
      </c>
      <c r="D1307" s="118" t="s">
        <v>34</v>
      </c>
      <c r="E1307" s="118" t="s">
        <v>119</v>
      </c>
      <c r="F1307" s="120">
        <v>8.3000000000000007</v>
      </c>
      <c r="G1307" s="119">
        <v>-3.9149101086067693E-2</v>
      </c>
    </row>
    <row r="1308" spans="2:7" x14ac:dyDescent="0.2">
      <c r="B1308" s="116" t="s">
        <v>2879</v>
      </c>
      <c r="C1308" s="117" t="s">
        <v>2880</v>
      </c>
      <c r="D1308" s="118" t="s">
        <v>241</v>
      </c>
      <c r="E1308" s="118" t="s">
        <v>534</v>
      </c>
      <c r="F1308" s="120">
        <v>-7.88</v>
      </c>
      <c r="G1308" s="119">
        <v>1.6367443242419729E-2</v>
      </c>
    </row>
    <row r="1309" spans="2:7" x14ac:dyDescent="0.2">
      <c r="B1309" s="116" t="s">
        <v>2881</v>
      </c>
      <c r="C1309" s="117" t="s">
        <v>2882</v>
      </c>
      <c r="D1309" s="118" t="s">
        <v>92</v>
      </c>
      <c r="E1309" s="118" t="s">
        <v>378</v>
      </c>
      <c r="F1309" s="120">
        <v>4.1100000000000003</v>
      </c>
      <c r="G1309" s="119">
        <v>0.47644807580785142</v>
      </c>
    </row>
    <row r="1310" spans="2:7" x14ac:dyDescent="0.2">
      <c r="B1310" s="116" t="s">
        <v>2883</v>
      </c>
      <c r="C1310" s="117" t="s">
        <v>2884</v>
      </c>
      <c r="D1310" s="118" t="s">
        <v>92</v>
      </c>
      <c r="E1310" s="118" t="s">
        <v>434</v>
      </c>
      <c r="F1310" s="120"/>
      <c r="G1310" s="119">
        <v>-0.26146083615167742</v>
      </c>
    </row>
    <row r="1311" spans="2:7" x14ac:dyDescent="0.2">
      <c r="B1311" s="116" t="s">
        <v>2885</v>
      </c>
      <c r="C1311" s="117" t="s">
        <v>2886</v>
      </c>
      <c r="D1311" s="118" t="s">
        <v>92</v>
      </c>
      <c r="E1311" s="118" t="s">
        <v>272</v>
      </c>
      <c r="F1311" s="120">
        <v>-5.98</v>
      </c>
      <c r="G1311" s="119">
        <v>-0.30010101923593979</v>
      </c>
    </row>
    <row r="1312" spans="2:7" x14ac:dyDescent="0.2">
      <c r="B1312" s="116" t="s">
        <v>2887</v>
      </c>
      <c r="C1312" s="117" t="s">
        <v>2888</v>
      </c>
      <c r="D1312" s="118" t="s">
        <v>39</v>
      </c>
      <c r="E1312" s="118" t="s">
        <v>578</v>
      </c>
      <c r="F1312" s="120">
        <v>3.77</v>
      </c>
      <c r="G1312" s="119">
        <v>1.037901278967833E-2</v>
      </c>
    </row>
    <row r="1313" spans="2:7" x14ac:dyDescent="0.2">
      <c r="B1313" s="116" t="s">
        <v>2889</v>
      </c>
      <c r="C1313" s="117" t="s">
        <v>2890</v>
      </c>
      <c r="D1313" s="118" t="s">
        <v>92</v>
      </c>
      <c r="E1313" s="118" t="s">
        <v>228</v>
      </c>
      <c r="F1313" s="120">
        <v>7.65</v>
      </c>
      <c r="G1313" s="119">
        <v>-0.14658291123782821</v>
      </c>
    </row>
    <row r="1314" spans="2:7" x14ac:dyDescent="0.2">
      <c r="B1314" s="116" t="s">
        <v>2891</v>
      </c>
      <c r="C1314" s="117" t="s">
        <v>2892</v>
      </c>
      <c r="D1314" s="118" t="s">
        <v>34</v>
      </c>
      <c r="E1314" s="118" t="s">
        <v>319</v>
      </c>
      <c r="F1314" s="120"/>
      <c r="G1314" s="119">
        <v>0.50113099257258609</v>
      </c>
    </row>
    <row r="1315" spans="2:7" x14ac:dyDescent="0.2">
      <c r="B1315" s="116" t="s">
        <v>2893</v>
      </c>
      <c r="C1315" s="117" t="s">
        <v>2894</v>
      </c>
      <c r="D1315" s="118" t="s">
        <v>34</v>
      </c>
      <c r="E1315" s="118" t="s">
        <v>1096</v>
      </c>
      <c r="F1315" s="120">
        <v>7.12</v>
      </c>
      <c r="G1315" s="119">
        <v>1.6605419933413228E-2</v>
      </c>
    </row>
    <row r="1316" spans="2:7" x14ac:dyDescent="0.2">
      <c r="B1316" s="116" t="s">
        <v>2895</v>
      </c>
      <c r="C1316" s="117" t="s">
        <v>2896</v>
      </c>
      <c r="D1316" s="118" t="s">
        <v>92</v>
      </c>
      <c r="E1316" s="118" t="s">
        <v>299</v>
      </c>
      <c r="F1316" s="120">
        <v>6.39</v>
      </c>
      <c r="G1316" s="119">
        <v>-1</v>
      </c>
    </row>
    <row r="1317" spans="2:7" x14ac:dyDescent="0.2">
      <c r="B1317" s="116" t="s">
        <v>2897</v>
      </c>
      <c r="C1317" s="117" t="s">
        <v>2898</v>
      </c>
      <c r="D1317" s="118" t="s">
        <v>145</v>
      </c>
      <c r="E1317" s="118" t="s">
        <v>1093</v>
      </c>
      <c r="F1317" s="120"/>
      <c r="G1317" s="119">
        <v>1.39611397644809E-2</v>
      </c>
    </row>
    <row r="1318" spans="2:7" x14ac:dyDescent="0.2">
      <c r="B1318" s="116" t="s">
        <v>2899</v>
      </c>
      <c r="C1318" s="117" t="s">
        <v>2900</v>
      </c>
      <c r="D1318" s="118" t="s">
        <v>145</v>
      </c>
      <c r="E1318" s="118" t="s">
        <v>781</v>
      </c>
      <c r="F1318" s="120">
        <v>-1.18</v>
      </c>
      <c r="G1318" s="119">
        <v>0.1672760719381241</v>
      </c>
    </row>
    <row r="1319" spans="2:7" x14ac:dyDescent="0.2">
      <c r="B1319" s="116" t="s">
        <v>2901</v>
      </c>
      <c r="C1319" s="117" t="s">
        <v>2902</v>
      </c>
      <c r="D1319" s="118" t="s">
        <v>106</v>
      </c>
      <c r="E1319" s="118" t="s">
        <v>324</v>
      </c>
      <c r="F1319" s="120"/>
      <c r="G1319" s="119">
        <v>1.6787453172714479E-2</v>
      </c>
    </row>
    <row r="1320" spans="2:7" x14ac:dyDescent="0.2">
      <c r="B1320" s="116" t="s">
        <v>2903</v>
      </c>
      <c r="C1320" s="117" t="s">
        <v>2904</v>
      </c>
      <c r="D1320" s="118" t="s">
        <v>34</v>
      </c>
      <c r="E1320" s="118" t="s">
        <v>251</v>
      </c>
      <c r="F1320" s="120">
        <v>13.49</v>
      </c>
      <c r="G1320" s="119">
        <v>-8.0854633063292033E-2</v>
      </c>
    </row>
    <row r="1321" spans="2:7" x14ac:dyDescent="0.2">
      <c r="B1321" s="116" t="s">
        <v>2905</v>
      </c>
      <c r="C1321" s="117" t="s">
        <v>2906</v>
      </c>
      <c r="D1321" s="118" t="s">
        <v>34</v>
      </c>
      <c r="E1321" s="118" t="s">
        <v>119</v>
      </c>
      <c r="F1321" s="120">
        <v>3.84</v>
      </c>
      <c r="G1321" s="119">
        <v>-0.1190705038265306</v>
      </c>
    </row>
    <row r="1322" spans="2:7" x14ac:dyDescent="0.2">
      <c r="B1322" s="116" t="s">
        <v>2907</v>
      </c>
      <c r="C1322" s="117" t="s">
        <v>2908</v>
      </c>
      <c r="D1322" s="118" t="s">
        <v>115</v>
      </c>
      <c r="E1322" s="118" t="s">
        <v>2909</v>
      </c>
      <c r="F1322" s="120">
        <v>3.56</v>
      </c>
      <c r="G1322" s="119">
        <v>5.4139332210549366E-3</v>
      </c>
    </row>
    <row r="1323" spans="2:7" x14ac:dyDescent="0.2">
      <c r="B1323" s="116" t="s">
        <v>2910</v>
      </c>
      <c r="C1323" s="117" t="s">
        <v>2911</v>
      </c>
      <c r="D1323" s="118" t="s">
        <v>34</v>
      </c>
      <c r="E1323" s="118" t="s">
        <v>319</v>
      </c>
      <c r="F1323" s="120">
        <v>58.89</v>
      </c>
      <c r="G1323" s="119">
        <v>0.42845181075013772</v>
      </c>
    </row>
    <row r="1324" spans="2:7" x14ac:dyDescent="0.2">
      <c r="B1324" s="116" t="s">
        <v>2912</v>
      </c>
      <c r="C1324" s="117" t="s">
        <v>2913</v>
      </c>
      <c r="D1324" s="118" t="s">
        <v>48</v>
      </c>
      <c r="E1324" s="118" t="s">
        <v>370</v>
      </c>
      <c r="F1324" s="120">
        <v>10.28</v>
      </c>
      <c r="G1324" s="119">
        <v>-1.528231062889287E-2</v>
      </c>
    </row>
    <row r="1325" spans="2:7" x14ac:dyDescent="0.2">
      <c r="B1325" s="116" t="s">
        <v>2914</v>
      </c>
      <c r="C1325" s="117" t="s">
        <v>2915</v>
      </c>
      <c r="D1325" s="118" t="s">
        <v>115</v>
      </c>
      <c r="E1325" s="118" t="s">
        <v>1102</v>
      </c>
      <c r="F1325" s="120">
        <v>2.74</v>
      </c>
      <c r="G1325" s="119">
        <v>1.7429121377099479E-2</v>
      </c>
    </row>
    <row r="1326" spans="2:7" x14ac:dyDescent="0.2">
      <c r="B1326" s="116" t="s">
        <v>2916</v>
      </c>
      <c r="C1326" s="117" t="s">
        <v>2917</v>
      </c>
      <c r="D1326" s="118" t="s">
        <v>68</v>
      </c>
      <c r="E1326" s="118" t="s">
        <v>75</v>
      </c>
      <c r="F1326" s="120"/>
      <c r="G1326" s="119">
        <v>4.4649855220228338E-2</v>
      </c>
    </row>
    <row r="1327" spans="2:7" x14ac:dyDescent="0.2">
      <c r="B1327" s="116" t="s">
        <v>2918</v>
      </c>
      <c r="C1327" s="117" t="s">
        <v>2919</v>
      </c>
      <c r="D1327" s="118" t="s">
        <v>241</v>
      </c>
      <c r="E1327" s="118" t="s">
        <v>775</v>
      </c>
      <c r="F1327" s="120"/>
      <c r="G1327" s="119">
        <v>-4.6093394994378548E-2</v>
      </c>
    </row>
    <row r="1328" spans="2:7" x14ac:dyDescent="0.2">
      <c r="B1328" s="116" t="s">
        <v>2920</v>
      </c>
      <c r="C1328" s="117" t="s">
        <v>2921</v>
      </c>
      <c r="D1328" s="118" t="s">
        <v>34</v>
      </c>
      <c r="E1328" s="118" t="s">
        <v>99</v>
      </c>
      <c r="F1328" s="120">
        <v>10.95</v>
      </c>
      <c r="G1328" s="119">
        <v>7.2311970932952288E-2</v>
      </c>
    </row>
    <row r="1329" spans="2:7" x14ac:dyDescent="0.2">
      <c r="B1329" s="116" t="s">
        <v>2922</v>
      </c>
      <c r="C1329" s="117" t="s">
        <v>2923</v>
      </c>
      <c r="D1329" s="118" t="s">
        <v>68</v>
      </c>
      <c r="E1329" s="118" t="s">
        <v>75</v>
      </c>
      <c r="F1329" s="120"/>
      <c r="G1329" s="119">
        <v>1.2845223271497781</v>
      </c>
    </row>
    <row r="1330" spans="2:7" x14ac:dyDescent="0.2">
      <c r="B1330" s="116" t="s">
        <v>2924</v>
      </c>
      <c r="C1330" s="117" t="s">
        <v>2925</v>
      </c>
      <c r="D1330" s="118" t="s">
        <v>92</v>
      </c>
      <c r="E1330" s="118" t="s">
        <v>614</v>
      </c>
      <c r="F1330" s="120">
        <v>10.61</v>
      </c>
      <c r="G1330" s="119">
        <v>0.1953237810884019</v>
      </c>
    </row>
    <row r="1331" spans="2:7" x14ac:dyDescent="0.2">
      <c r="B1331" s="116" t="s">
        <v>2926</v>
      </c>
      <c r="C1331" s="117" t="s">
        <v>2927</v>
      </c>
      <c r="D1331" s="118" t="s">
        <v>34</v>
      </c>
      <c r="E1331" s="118" t="s">
        <v>990</v>
      </c>
      <c r="F1331" s="120">
        <v>11.32</v>
      </c>
      <c r="G1331" s="119">
        <v>0.1248405884981172</v>
      </c>
    </row>
    <row r="1332" spans="2:7" x14ac:dyDescent="0.2">
      <c r="B1332" s="116" t="s">
        <v>2928</v>
      </c>
      <c r="C1332" s="117" t="s">
        <v>2929</v>
      </c>
      <c r="D1332" s="118" t="s">
        <v>68</v>
      </c>
      <c r="E1332" s="118" t="s">
        <v>69</v>
      </c>
      <c r="F1332" s="120">
        <v>-1.32</v>
      </c>
      <c r="G1332" s="119">
        <v>3.8297023820931052E-2</v>
      </c>
    </row>
    <row r="1333" spans="2:7" x14ac:dyDescent="0.2">
      <c r="B1333" s="116" t="s">
        <v>2930</v>
      </c>
      <c r="C1333" s="117" t="s">
        <v>2931</v>
      </c>
      <c r="D1333" s="118" t="s">
        <v>138</v>
      </c>
      <c r="E1333" s="118" t="s">
        <v>139</v>
      </c>
      <c r="F1333" s="120">
        <v>7.57</v>
      </c>
      <c r="G1333" s="119">
        <v>-5.8565319855288393E-2</v>
      </c>
    </row>
    <row r="1334" spans="2:7" x14ac:dyDescent="0.2">
      <c r="B1334" s="116" t="s">
        <v>2932</v>
      </c>
      <c r="C1334" s="117" t="s">
        <v>2933</v>
      </c>
      <c r="D1334" s="118" t="s">
        <v>106</v>
      </c>
      <c r="E1334" s="118" t="s">
        <v>1053</v>
      </c>
      <c r="F1334" s="120">
        <v>5.22</v>
      </c>
      <c r="G1334" s="119">
        <v>5.5036837096672502E-2</v>
      </c>
    </row>
    <row r="1335" spans="2:7" x14ac:dyDescent="0.2">
      <c r="B1335" s="116" t="s">
        <v>2934</v>
      </c>
      <c r="C1335" s="117" t="s">
        <v>2935</v>
      </c>
      <c r="D1335" s="118" t="s">
        <v>145</v>
      </c>
      <c r="E1335" s="118" t="s">
        <v>179</v>
      </c>
      <c r="F1335" s="120"/>
      <c r="G1335" s="119">
        <v>-3.4487952566869567E-2</v>
      </c>
    </row>
    <row r="1336" spans="2:7" x14ac:dyDescent="0.2">
      <c r="B1336" s="116" t="s">
        <v>2936</v>
      </c>
      <c r="C1336" s="117" t="s">
        <v>2937</v>
      </c>
      <c r="D1336" s="118" t="s">
        <v>39</v>
      </c>
      <c r="E1336" s="118" t="s">
        <v>389</v>
      </c>
      <c r="F1336" s="120">
        <v>1.81</v>
      </c>
      <c r="G1336" s="119">
        <v>1.5574259776588269E-2</v>
      </c>
    </row>
    <row r="1337" spans="2:7" x14ac:dyDescent="0.2">
      <c r="B1337" s="116" t="s">
        <v>2938</v>
      </c>
      <c r="C1337" s="117" t="s">
        <v>2939</v>
      </c>
      <c r="D1337" s="118" t="s">
        <v>68</v>
      </c>
      <c r="E1337" s="118" t="s">
        <v>82</v>
      </c>
      <c r="F1337" s="120"/>
      <c r="G1337" s="119">
        <v>8.2039387096774163E-2</v>
      </c>
    </row>
    <row r="1338" spans="2:7" x14ac:dyDescent="0.2">
      <c r="B1338" s="116" t="s">
        <v>2940</v>
      </c>
      <c r="C1338" s="117" t="s">
        <v>2941</v>
      </c>
      <c r="D1338" s="118" t="s">
        <v>145</v>
      </c>
      <c r="E1338" s="118" t="s">
        <v>402</v>
      </c>
      <c r="F1338" s="120"/>
      <c r="G1338" s="119">
        <v>-6.486424162140686E-2</v>
      </c>
    </row>
    <row r="1339" spans="2:7" x14ac:dyDescent="0.2">
      <c r="B1339" s="116" t="s">
        <v>2942</v>
      </c>
      <c r="C1339" s="117" t="s">
        <v>2943</v>
      </c>
      <c r="D1339" s="118" t="s">
        <v>92</v>
      </c>
      <c r="E1339" s="118" t="s">
        <v>112</v>
      </c>
      <c r="F1339" s="120">
        <v>2.86</v>
      </c>
      <c r="G1339" s="119">
        <v>-4.8567477094055437E-3</v>
      </c>
    </row>
    <row r="1340" spans="2:7" x14ac:dyDescent="0.2">
      <c r="B1340" s="116" t="s">
        <v>2944</v>
      </c>
      <c r="C1340" s="117" t="s">
        <v>2945</v>
      </c>
      <c r="D1340" s="118" t="s">
        <v>106</v>
      </c>
      <c r="E1340" s="118" t="s">
        <v>563</v>
      </c>
      <c r="F1340" s="120">
        <v>5.45</v>
      </c>
      <c r="G1340" s="119">
        <v>5.0472347395333989E-2</v>
      </c>
    </row>
    <row r="1341" spans="2:7" x14ac:dyDescent="0.2">
      <c r="B1341" s="116" t="s">
        <v>2946</v>
      </c>
      <c r="C1341" s="117" t="s">
        <v>2947</v>
      </c>
      <c r="D1341" s="118" t="s">
        <v>34</v>
      </c>
      <c r="E1341" s="118" t="s">
        <v>319</v>
      </c>
      <c r="F1341" s="120">
        <v>41.43</v>
      </c>
      <c r="G1341" s="119">
        <v>0.27804389326736972</v>
      </c>
    </row>
    <row r="1342" spans="2:7" x14ac:dyDescent="0.2">
      <c r="B1342" s="116" t="s">
        <v>2948</v>
      </c>
      <c r="C1342" s="117" t="s">
        <v>2949</v>
      </c>
      <c r="D1342" s="118" t="s">
        <v>106</v>
      </c>
      <c r="E1342" s="118" t="s">
        <v>324</v>
      </c>
      <c r="F1342" s="120"/>
      <c r="G1342" s="119">
        <v>0.21907969647106559</v>
      </c>
    </row>
    <row r="1343" spans="2:7" x14ac:dyDescent="0.2">
      <c r="B1343" s="116" t="s">
        <v>2950</v>
      </c>
      <c r="C1343" s="117" t="s">
        <v>2951</v>
      </c>
      <c r="D1343" s="118" t="s">
        <v>198</v>
      </c>
      <c r="E1343" s="118" t="s">
        <v>199</v>
      </c>
      <c r="F1343" s="120">
        <v>2.21</v>
      </c>
      <c r="G1343" s="119">
        <v>0.1014888036554971</v>
      </c>
    </row>
    <row r="1344" spans="2:7" x14ac:dyDescent="0.2">
      <c r="B1344" s="116" t="s">
        <v>2952</v>
      </c>
      <c r="C1344" s="117" t="s">
        <v>2953</v>
      </c>
      <c r="D1344" s="118" t="s">
        <v>102</v>
      </c>
      <c r="E1344" s="118" t="s">
        <v>103</v>
      </c>
      <c r="F1344" s="120"/>
      <c r="G1344" s="119">
        <v>0.4725978814343158</v>
      </c>
    </row>
    <row r="1345" spans="2:7" x14ac:dyDescent="0.2">
      <c r="B1345" s="116" t="s">
        <v>2954</v>
      </c>
      <c r="C1345" s="117" t="s">
        <v>2955</v>
      </c>
      <c r="D1345" s="118" t="s">
        <v>34</v>
      </c>
      <c r="E1345" s="118" t="s">
        <v>319</v>
      </c>
      <c r="F1345" s="120">
        <v>37.03</v>
      </c>
      <c r="G1345" s="119">
        <v>0.37855844132218369</v>
      </c>
    </row>
    <row r="1346" spans="2:7" x14ac:dyDescent="0.2">
      <c r="B1346" s="116" t="s">
        <v>2956</v>
      </c>
      <c r="C1346" s="117" t="s">
        <v>2957</v>
      </c>
      <c r="D1346" s="118" t="s">
        <v>145</v>
      </c>
      <c r="E1346" s="118" t="s">
        <v>781</v>
      </c>
      <c r="F1346" s="120">
        <v>5.01</v>
      </c>
      <c r="G1346" s="119">
        <v>-9.9164520257745692E-2</v>
      </c>
    </row>
    <row r="1347" spans="2:7" x14ac:dyDescent="0.2">
      <c r="B1347" s="116" t="s">
        <v>2958</v>
      </c>
      <c r="C1347" s="117" t="s">
        <v>2959</v>
      </c>
      <c r="D1347" s="118" t="s">
        <v>78</v>
      </c>
      <c r="E1347" s="118" t="s">
        <v>2960</v>
      </c>
      <c r="F1347" s="120"/>
      <c r="G1347" s="119">
        <v>-1.191537467701165E-4</v>
      </c>
    </row>
    <row r="1348" spans="2:7" x14ac:dyDescent="0.2">
      <c r="B1348" s="116" t="s">
        <v>2961</v>
      </c>
      <c r="C1348" s="117" t="s">
        <v>2962</v>
      </c>
      <c r="D1348" s="118" t="s">
        <v>138</v>
      </c>
      <c r="E1348" s="118" t="s">
        <v>386</v>
      </c>
      <c r="F1348" s="120">
        <v>2.86</v>
      </c>
      <c r="G1348" s="119">
        <v>1.1253450381679381E-2</v>
      </c>
    </row>
    <row r="1349" spans="2:7" x14ac:dyDescent="0.2">
      <c r="B1349" s="116" t="s">
        <v>2963</v>
      </c>
      <c r="C1349" s="117" t="s">
        <v>2964</v>
      </c>
      <c r="D1349" s="118" t="s">
        <v>92</v>
      </c>
      <c r="E1349" s="118" t="s">
        <v>93</v>
      </c>
      <c r="F1349" s="120">
        <v>-4.47</v>
      </c>
      <c r="G1349" s="119">
        <v>-2.697191831599758E-2</v>
      </c>
    </row>
    <row r="1350" spans="2:7" x14ac:dyDescent="0.2">
      <c r="B1350" s="116" t="s">
        <v>2965</v>
      </c>
      <c r="C1350" s="117" t="s">
        <v>2966</v>
      </c>
      <c r="D1350" s="118" t="s">
        <v>106</v>
      </c>
      <c r="E1350" s="118" t="s">
        <v>842</v>
      </c>
      <c r="F1350" s="120">
        <v>7.52</v>
      </c>
      <c r="G1350" s="119">
        <v>-3.1594104822284079E-2</v>
      </c>
    </row>
    <row r="1351" spans="2:7" x14ac:dyDescent="0.2">
      <c r="B1351" s="116" t="s">
        <v>2967</v>
      </c>
      <c r="C1351" s="117" t="s">
        <v>2968</v>
      </c>
      <c r="D1351" s="118" t="s">
        <v>138</v>
      </c>
      <c r="E1351" s="118" t="s">
        <v>386</v>
      </c>
      <c r="F1351" s="120">
        <v>2</v>
      </c>
      <c r="G1351" s="119">
        <v>-1.3404902027894241E-2</v>
      </c>
    </row>
    <row r="1352" spans="2:7" x14ac:dyDescent="0.2">
      <c r="B1352" s="116" t="s">
        <v>2969</v>
      </c>
      <c r="C1352" s="117" t="s">
        <v>2970</v>
      </c>
      <c r="D1352" s="118" t="s">
        <v>68</v>
      </c>
      <c r="E1352" s="118" t="s">
        <v>87</v>
      </c>
      <c r="F1352" s="120"/>
      <c r="G1352" s="119">
        <v>0.26700328870876672</v>
      </c>
    </row>
    <row r="1353" spans="2:7" x14ac:dyDescent="0.2">
      <c r="B1353" s="116" t="s">
        <v>2971</v>
      </c>
      <c r="C1353" s="117" t="s">
        <v>2972</v>
      </c>
      <c r="D1353" s="118" t="s">
        <v>102</v>
      </c>
      <c r="E1353" s="118" t="s">
        <v>424</v>
      </c>
      <c r="F1353" s="120">
        <v>9.65</v>
      </c>
      <c r="G1353" s="119">
        <v>5.3503415800743387E-2</v>
      </c>
    </row>
    <row r="1354" spans="2:7" x14ac:dyDescent="0.2">
      <c r="B1354" s="116" t="s">
        <v>2973</v>
      </c>
      <c r="C1354" s="117" t="s">
        <v>2974</v>
      </c>
      <c r="D1354" s="118" t="s">
        <v>78</v>
      </c>
      <c r="E1354" s="118" t="s">
        <v>912</v>
      </c>
      <c r="F1354" s="120">
        <v>7.23</v>
      </c>
      <c r="G1354" s="119">
        <v>8.1313140122726141E-2</v>
      </c>
    </row>
    <row r="1355" spans="2:7" x14ac:dyDescent="0.2">
      <c r="B1355" s="116" t="s">
        <v>2975</v>
      </c>
      <c r="C1355" s="117" t="s">
        <v>2976</v>
      </c>
      <c r="D1355" s="118" t="s">
        <v>34</v>
      </c>
      <c r="E1355" s="118" t="s">
        <v>1510</v>
      </c>
      <c r="F1355" s="120"/>
      <c r="G1355" s="119">
        <v>4.6025952825593999</v>
      </c>
    </row>
    <row r="1356" spans="2:7" x14ac:dyDescent="0.2">
      <c r="B1356" s="116" t="s">
        <v>2977</v>
      </c>
      <c r="C1356" s="117" t="s">
        <v>2978</v>
      </c>
      <c r="D1356" s="118" t="s">
        <v>241</v>
      </c>
      <c r="E1356" s="118" t="s">
        <v>606</v>
      </c>
      <c r="F1356" s="120"/>
      <c r="G1356" s="119">
        <v>-1</v>
      </c>
    </row>
    <row r="1357" spans="2:7" x14ac:dyDescent="0.2">
      <c r="B1357" s="116" t="s">
        <v>2979</v>
      </c>
      <c r="C1357" s="117" t="s">
        <v>2980</v>
      </c>
      <c r="D1357" s="118" t="s">
        <v>34</v>
      </c>
      <c r="E1357" s="118" t="s">
        <v>99</v>
      </c>
      <c r="F1357" s="120">
        <v>43.14</v>
      </c>
      <c r="G1357" s="119">
        <v>0.35274030574961263</v>
      </c>
    </row>
    <row r="1358" spans="2:7" x14ac:dyDescent="0.2">
      <c r="B1358" s="116" t="s">
        <v>2981</v>
      </c>
      <c r="C1358" s="117" t="s">
        <v>2982</v>
      </c>
      <c r="D1358" s="118" t="s">
        <v>92</v>
      </c>
      <c r="E1358" s="118" t="s">
        <v>142</v>
      </c>
      <c r="F1358" s="120"/>
      <c r="G1358" s="119">
        <v>-2.3989480659702571E-2</v>
      </c>
    </row>
    <row r="1359" spans="2:7" x14ac:dyDescent="0.2">
      <c r="B1359" s="116" t="s">
        <v>2983</v>
      </c>
      <c r="C1359" s="117" t="s">
        <v>2984</v>
      </c>
      <c r="D1359" s="118" t="s">
        <v>34</v>
      </c>
      <c r="E1359" s="118" t="s">
        <v>2985</v>
      </c>
      <c r="F1359" s="120">
        <v>8.24</v>
      </c>
      <c r="G1359" s="119">
        <v>-7.6072500518226402E-3</v>
      </c>
    </row>
    <row r="1360" spans="2:7" x14ac:dyDescent="0.2">
      <c r="B1360" s="116" t="s">
        <v>2986</v>
      </c>
      <c r="C1360" s="117" t="s">
        <v>2987</v>
      </c>
      <c r="D1360" s="118" t="s">
        <v>92</v>
      </c>
      <c r="E1360" s="118" t="s">
        <v>272</v>
      </c>
      <c r="F1360" s="120">
        <v>18.600000000000001</v>
      </c>
      <c r="G1360" s="119">
        <v>0.14057098492834549</v>
      </c>
    </row>
    <row r="1361" spans="2:7" x14ac:dyDescent="0.2">
      <c r="B1361" s="116" t="s">
        <v>2988</v>
      </c>
      <c r="C1361" s="117" t="s">
        <v>2989</v>
      </c>
      <c r="D1361" s="118" t="s">
        <v>68</v>
      </c>
      <c r="E1361" s="118" t="s">
        <v>82</v>
      </c>
      <c r="F1361" s="120">
        <v>10.82</v>
      </c>
      <c r="G1361" s="119">
        <v>6.1497708623125112E-2</v>
      </c>
    </row>
    <row r="1362" spans="2:7" x14ac:dyDescent="0.2">
      <c r="B1362" s="116" t="s">
        <v>2990</v>
      </c>
      <c r="C1362" s="117" t="s">
        <v>2991</v>
      </c>
      <c r="D1362" s="118" t="s">
        <v>92</v>
      </c>
      <c r="E1362" s="118" t="s">
        <v>461</v>
      </c>
      <c r="F1362" s="120">
        <v>5.49</v>
      </c>
      <c r="G1362" s="119">
        <v>-9.0230874316939838E-2</v>
      </c>
    </row>
    <row r="1363" spans="2:7" x14ac:dyDescent="0.2">
      <c r="B1363" s="116" t="s">
        <v>2992</v>
      </c>
      <c r="C1363" s="117" t="s">
        <v>2993</v>
      </c>
      <c r="D1363" s="118" t="s">
        <v>92</v>
      </c>
      <c r="E1363" s="118" t="s">
        <v>399</v>
      </c>
      <c r="F1363" s="120">
        <v>41.65</v>
      </c>
      <c r="G1363" s="119">
        <v>-0.1945253303041162</v>
      </c>
    </row>
    <row r="1364" spans="2:7" x14ac:dyDescent="0.2">
      <c r="B1364" s="116" t="s">
        <v>2994</v>
      </c>
      <c r="C1364" s="117" t="s">
        <v>2995</v>
      </c>
      <c r="D1364" s="118" t="s">
        <v>145</v>
      </c>
      <c r="E1364" s="118" t="s">
        <v>1467</v>
      </c>
      <c r="F1364" s="120">
        <v>8.68</v>
      </c>
      <c r="G1364" s="119">
        <v>-7.7336929784196082E-2</v>
      </c>
    </row>
    <row r="1365" spans="2:7" x14ac:dyDescent="0.2">
      <c r="B1365" s="116" t="s">
        <v>2996</v>
      </c>
      <c r="C1365" s="117" t="s">
        <v>2997</v>
      </c>
      <c r="D1365" s="118" t="s">
        <v>34</v>
      </c>
      <c r="E1365" s="118" t="s">
        <v>1753</v>
      </c>
      <c r="F1365" s="120">
        <v>7.35</v>
      </c>
      <c r="G1365" s="119">
        <v>-3.2491721854304642E-2</v>
      </c>
    </row>
    <row r="1366" spans="2:7" x14ac:dyDescent="0.2">
      <c r="B1366" s="116" t="s">
        <v>2998</v>
      </c>
      <c r="C1366" s="117" t="s">
        <v>2999</v>
      </c>
      <c r="D1366" s="118" t="s">
        <v>34</v>
      </c>
      <c r="E1366" s="118" t="s">
        <v>319</v>
      </c>
      <c r="F1366" s="120"/>
      <c r="G1366" s="119">
        <v>0.42570039060616288</v>
      </c>
    </row>
    <row r="1367" spans="2:7" x14ac:dyDescent="0.2">
      <c r="B1367" s="116" t="s">
        <v>3000</v>
      </c>
      <c r="C1367" s="117" t="s">
        <v>3001</v>
      </c>
      <c r="D1367" s="118" t="s">
        <v>92</v>
      </c>
      <c r="E1367" s="118" t="s">
        <v>112</v>
      </c>
      <c r="F1367" s="120">
        <v>28.59</v>
      </c>
      <c r="G1367" s="119">
        <v>0.16875506694282119</v>
      </c>
    </row>
    <row r="1368" spans="2:7" x14ac:dyDescent="0.2">
      <c r="B1368" s="116" t="s">
        <v>3002</v>
      </c>
      <c r="C1368" s="117" t="s">
        <v>3003</v>
      </c>
      <c r="D1368" s="118" t="s">
        <v>115</v>
      </c>
      <c r="E1368" s="118" t="s">
        <v>522</v>
      </c>
      <c r="F1368" s="120">
        <v>9.81</v>
      </c>
      <c r="G1368" s="119">
        <v>0.55574125642562067</v>
      </c>
    </row>
    <row r="1369" spans="2:7" x14ac:dyDescent="0.2">
      <c r="B1369" s="116" t="s">
        <v>3004</v>
      </c>
      <c r="C1369" s="117" t="s">
        <v>3005</v>
      </c>
      <c r="D1369" s="118" t="s">
        <v>92</v>
      </c>
      <c r="E1369" s="118" t="s">
        <v>461</v>
      </c>
      <c r="F1369" s="120">
        <v>4.87</v>
      </c>
      <c r="G1369" s="119">
        <v>-0.1077578391300994</v>
      </c>
    </row>
    <row r="1370" spans="2:7" x14ac:dyDescent="0.2">
      <c r="B1370" s="116" t="s">
        <v>3006</v>
      </c>
      <c r="C1370" s="117" t="s">
        <v>3007</v>
      </c>
      <c r="D1370" s="118" t="s">
        <v>92</v>
      </c>
      <c r="E1370" s="118" t="s">
        <v>171</v>
      </c>
      <c r="F1370" s="120">
        <v>11.55</v>
      </c>
      <c r="G1370" s="119">
        <v>0.16304721080340401</v>
      </c>
    </row>
    <row r="1371" spans="2:7" x14ac:dyDescent="0.2">
      <c r="B1371" s="116" t="s">
        <v>3008</v>
      </c>
      <c r="C1371" s="117" t="s">
        <v>3009</v>
      </c>
      <c r="D1371" s="118" t="s">
        <v>34</v>
      </c>
      <c r="E1371" s="118" t="s">
        <v>2334</v>
      </c>
      <c r="F1371" s="120">
        <v>-5.63</v>
      </c>
      <c r="G1371" s="119">
        <v>-1.546023484119346E-2</v>
      </c>
    </row>
    <row r="1372" spans="2:7" x14ac:dyDescent="0.2">
      <c r="B1372" s="116" t="s">
        <v>3010</v>
      </c>
      <c r="C1372" s="117" t="s">
        <v>3011</v>
      </c>
      <c r="D1372" s="118" t="s">
        <v>78</v>
      </c>
      <c r="E1372" s="118" t="s">
        <v>79</v>
      </c>
      <c r="F1372" s="120">
        <v>8.0399999999999991</v>
      </c>
      <c r="G1372" s="119">
        <v>-0.11031180509437991</v>
      </c>
    </row>
    <row r="1373" spans="2:7" x14ac:dyDescent="0.2">
      <c r="B1373" s="116" t="s">
        <v>3012</v>
      </c>
      <c r="C1373" s="117" t="s">
        <v>3013</v>
      </c>
      <c r="D1373" s="118" t="s">
        <v>241</v>
      </c>
      <c r="E1373" s="118" t="s">
        <v>1005</v>
      </c>
      <c r="F1373" s="120">
        <v>-0.86</v>
      </c>
      <c r="G1373" s="119">
        <v>6.4906312039885949E-2</v>
      </c>
    </row>
    <row r="1374" spans="2:7" x14ac:dyDescent="0.2">
      <c r="B1374" s="116" t="s">
        <v>3014</v>
      </c>
      <c r="C1374" s="117" t="s">
        <v>3015</v>
      </c>
      <c r="D1374" s="118" t="s">
        <v>241</v>
      </c>
      <c r="E1374" s="118" t="s">
        <v>534</v>
      </c>
      <c r="F1374" s="120">
        <v>-10.31</v>
      </c>
      <c r="G1374" s="119">
        <v>-3.6176287495704278E-2</v>
      </c>
    </row>
    <row r="1375" spans="2:7" x14ac:dyDescent="0.2">
      <c r="B1375" s="116" t="s">
        <v>3016</v>
      </c>
      <c r="C1375" s="117" t="s">
        <v>3017</v>
      </c>
      <c r="D1375" s="118" t="s">
        <v>92</v>
      </c>
      <c r="E1375" s="118" t="s">
        <v>722</v>
      </c>
      <c r="F1375" s="120"/>
      <c r="G1375" s="119">
        <v>-1</v>
      </c>
    </row>
    <row r="1376" spans="2:7" x14ac:dyDescent="0.2">
      <c r="B1376" s="116" t="s">
        <v>3018</v>
      </c>
      <c r="C1376" s="117" t="s">
        <v>3019</v>
      </c>
      <c r="D1376" s="118" t="s">
        <v>92</v>
      </c>
      <c r="E1376" s="118" t="s">
        <v>93</v>
      </c>
      <c r="F1376" s="120">
        <v>22.59</v>
      </c>
      <c r="G1376" s="119">
        <v>8.3742727321133914E-2</v>
      </c>
    </row>
    <row r="1377" spans="2:7" x14ac:dyDescent="0.2">
      <c r="B1377" s="116" t="s">
        <v>3020</v>
      </c>
      <c r="C1377" s="117" t="s">
        <v>3021</v>
      </c>
      <c r="D1377" s="118" t="s">
        <v>241</v>
      </c>
      <c r="E1377" s="118" t="s">
        <v>2596</v>
      </c>
      <c r="F1377" s="120">
        <v>23.01</v>
      </c>
      <c r="G1377" s="119">
        <v>-5.0654367423796677E-2</v>
      </c>
    </row>
    <row r="1378" spans="2:7" x14ac:dyDescent="0.2">
      <c r="B1378" s="116" t="s">
        <v>3022</v>
      </c>
      <c r="C1378" s="117" t="s">
        <v>3023</v>
      </c>
      <c r="D1378" s="118" t="s">
        <v>34</v>
      </c>
      <c r="E1378" s="118" t="s">
        <v>1753</v>
      </c>
      <c r="F1378" s="120"/>
      <c r="G1378" s="119">
        <v>1.494127991749962E-2</v>
      </c>
    </row>
    <row r="1379" spans="2:7" x14ac:dyDescent="0.2">
      <c r="B1379" s="116" t="s">
        <v>3024</v>
      </c>
      <c r="C1379" s="117" t="s">
        <v>3025</v>
      </c>
      <c r="D1379" s="118" t="s">
        <v>145</v>
      </c>
      <c r="E1379" s="118" t="s">
        <v>1093</v>
      </c>
      <c r="F1379" s="120">
        <v>-35.75</v>
      </c>
      <c r="G1379" s="119">
        <v>-1.1916273116682211E-2</v>
      </c>
    </row>
    <row r="1380" spans="2:7" x14ac:dyDescent="0.2">
      <c r="B1380" s="116" t="s">
        <v>3026</v>
      </c>
      <c r="C1380" s="117" t="s">
        <v>3027</v>
      </c>
      <c r="D1380" s="118" t="s">
        <v>106</v>
      </c>
      <c r="E1380" s="118" t="s">
        <v>324</v>
      </c>
      <c r="F1380" s="120"/>
      <c r="G1380" s="119">
        <v>9.8817326171586242E-2</v>
      </c>
    </row>
    <row r="1381" spans="2:7" x14ac:dyDescent="0.2">
      <c r="B1381" s="116" t="s">
        <v>3028</v>
      </c>
      <c r="C1381" s="117" t="s">
        <v>3029</v>
      </c>
      <c r="D1381" s="118" t="s">
        <v>34</v>
      </c>
      <c r="E1381" s="118" t="s">
        <v>319</v>
      </c>
      <c r="F1381" s="120"/>
      <c r="G1381" s="119">
        <v>0.13440323374425331</v>
      </c>
    </row>
    <row r="1382" spans="2:7" x14ac:dyDescent="0.2">
      <c r="B1382" s="116" t="s">
        <v>3030</v>
      </c>
      <c r="C1382" s="117" t="s">
        <v>3031</v>
      </c>
      <c r="D1382" s="118" t="s">
        <v>39</v>
      </c>
      <c r="E1382" s="118" t="s">
        <v>1959</v>
      </c>
      <c r="F1382" s="120">
        <v>5.68</v>
      </c>
      <c r="G1382" s="119">
        <v>4.3771432658198862E-2</v>
      </c>
    </row>
    <row r="1383" spans="2:7" x14ac:dyDescent="0.2">
      <c r="B1383" s="116" t="s">
        <v>3032</v>
      </c>
      <c r="C1383" s="117" t="s">
        <v>3033</v>
      </c>
      <c r="D1383" s="118" t="s">
        <v>34</v>
      </c>
      <c r="E1383" s="118" t="s">
        <v>2627</v>
      </c>
      <c r="F1383" s="120">
        <v>8.07</v>
      </c>
      <c r="G1383" s="119">
        <v>-0.12712461737331951</v>
      </c>
    </row>
    <row r="1384" spans="2:7" x14ac:dyDescent="0.2">
      <c r="B1384" s="116" t="s">
        <v>3034</v>
      </c>
      <c r="C1384" s="117" t="s">
        <v>3035</v>
      </c>
      <c r="D1384" s="118" t="s">
        <v>48</v>
      </c>
      <c r="E1384" s="118" t="s">
        <v>49</v>
      </c>
      <c r="F1384" s="120"/>
      <c r="G1384" s="119">
        <v>-1</v>
      </c>
    </row>
    <row r="1385" spans="2:7" x14ac:dyDescent="0.2">
      <c r="B1385" s="116" t="s">
        <v>3036</v>
      </c>
      <c r="C1385" s="117" t="s">
        <v>3037</v>
      </c>
      <c r="D1385" s="118" t="s">
        <v>138</v>
      </c>
      <c r="E1385" s="118" t="s">
        <v>386</v>
      </c>
      <c r="F1385" s="120">
        <v>6.68</v>
      </c>
      <c r="G1385" s="119">
        <v>0.1006750219617292</v>
      </c>
    </row>
    <row r="1386" spans="2:7" x14ac:dyDescent="0.2">
      <c r="B1386" s="116" t="s">
        <v>3038</v>
      </c>
      <c r="C1386" s="117" t="s">
        <v>3039</v>
      </c>
      <c r="D1386" s="118" t="s">
        <v>92</v>
      </c>
      <c r="E1386" s="118" t="s">
        <v>434</v>
      </c>
      <c r="F1386" s="120">
        <v>9.4700000000000006</v>
      </c>
      <c r="G1386" s="119">
        <v>-7.4858949213827783E-2</v>
      </c>
    </row>
    <row r="1387" spans="2:7" x14ac:dyDescent="0.2">
      <c r="B1387" s="116" t="s">
        <v>3040</v>
      </c>
      <c r="C1387" s="117" t="s">
        <v>3041</v>
      </c>
      <c r="D1387" s="118" t="s">
        <v>68</v>
      </c>
      <c r="E1387" s="118" t="s">
        <v>75</v>
      </c>
      <c r="F1387" s="120">
        <v>9.6</v>
      </c>
      <c r="G1387" s="119">
        <v>9.3147088449378773E-2</v>
      </c>
    </row>
    <row r="1388" spans="2:7" x14ac:dyDescent="0.2">
      <c r="B1388" s="116" t="s">
        <v>3042</v>
      </c>
      <c r="C1388" s="117" t="s">
        <v>3043</v>
      </c>
      <c r="D1388" s="118" t="s">
        <v>34</v>
      </c>
      <c r="E1388" s="118" t="s">
        <v>99</v>
      </c>
      <c r="F1388" s="120">
        <v>-6.65</v>
      </c>
      <c r="G1388" s="119">
        <v>2.0294686112872481E-2</v>
      </c>
    </row>
    <row r="1389" spans="2:7" x14ac:dyDescent="0.2">
      <c r="B1389" s="116" t="s">
        <v>3044</v>
      </c>
      <c r="C1389" s="117" t="s">
        <v>3045</v>
      </c>
      <c r="D1389" s="118" t="s">
        <v>68</v>
      </c>
      <c r="E1389" s="118" t="s">
        <v>778</v>
      </c>
      <c r="F1389" s="120">
        <v>39.130000000000003</v>
      </c>
      <c r="G1389" s="119">
        <v>6.896558636210405E-2</v>
      </c>
    </row>
    <row r="1390" spans="2:7" x14ac:dyDescent="0.2">
      <c r="B1390" s="116" t="s">
        <v>3046</v>
      </c>
      <c r="C1390" s="117" t="s">
        <v>3047</v>
      </c>
      <c r="D1390" s="118" t="s">
        <v>78</v>
      </c>
      <c r="E1390" s="118" t="s">
        <v>340</v>
      </c>
      <c r="F1390" s="120">
        <v>5.99</v>
      </c>
      <c r="G1390" s="119">
        <v>3.115013228217366E-2</v>
      </c>
    </row>
    <row r="1391" spans="2:7" x14ac:dyDescent="0.2">
      <c r="B1391" s="116" t="s">
        <v>3048</v>
      </c>
      <c r="C1391" s="117" t="s">
        <v>3049</v>
      </c>
      <c r="D1391" s="118" t="s">
        <v>233</v>
      </c>
      <c r="E1391" s="118" t="s">
        <v>469</v>
      </c>
      <c r="F1391" s="120"/>
      <c r="G1391" s="119">
        <v>4.2468142236051073E-3</v>
      </c>
    </row>
    <row r="1392" spans="2:7" x14ac:dyDescent="0.2">
      <c r="B1392" s="116" t="s">
        <v>3050</v>
      </c>
      <c r="C1392" s="117" t="s">
        <v>3051</v>
      </c>
      <c r="D1392" s="118" t="s">
        <v>34</v>
      </c>
      <c r="E1392" s="118" t="s">
        <v>982</v>
      </c>
      <c r="F1392" s="120">
        <v>6.28</v>
      </c>
      <c r="G1392" s="119">
        <v>6.9248207207945792E-2</v>
      </c>
    </row>
    <row r="1393" spans="2:7" x14ac:dyDescent="0.2">
      <c r="B1393" s="116" t="s">
        <v>3052</v>
      </c>
      <c r="C1393" s="117" t="s">
        <v>3053</v>
      </c>
      <c r="D1393" s="118" t="s">
        <v>68</v>
      </c>
      <c r="E1393" s="118" t="s">
        <v>985</v>
      </c>
      <c r="F1393" s="120">
        <v>1.51</v>
      </c>
      <c r="G1393" s="119">
        <v>0.69188955614351655</v>
      </c>
    </row>
    <row r="1394" spans="2:7" x14ac:dyDescent="0.2">
      <c r="B1394" s="116" t="s">
        <v>3054</v>
      </c>
      <c r="C1394" s="117" t="s">
        <v>3055</v>
      </c>
      <c r="D1394" s="118" t="s">
        <v>115</v>
      </c>
      <c r="E1394" s="118" t="s">
        <v>522</v>
      </c>
      <c r="F1394" s="120">
        <v>57.01</v>
      </c>
      <c r="G1394" s="119">
        <v>0.39562034038502059</v>
      </c>
    </row>
    <row r="1395" spans="2:7" x14ac:dyDescent="0.2">
      <c r="B1395" s="116" t="s">
        <v>3056</v>
      </c>
      <c r="C1395" s="117" t="s">
        <v>3057</v>
      </c>
      <c r="D1395" s="118" t="s">
        <v>78</v>
      </c>
      <c r="E1395" s="118" t="s">
        <v>79</v>
      </c>
      <c r="F1395" s="120">
        <v>29.51</v>
      </c>
      <c r="G1395" s="119">
        <v>-0.20516591168091169</v>
      </c>
    </row>
    <row r="1396" spans="2:7" x14ac:dyDescent="0.2">
      <c r="B1396" s="116" t="s">
        <v>3058</v>
      </c>
      <c r="C1396" s="117" t="s">
        <v>3059</v>
      </c>
      <c r="D1396" s="118" t="s">
        <v>68</v>
      </c>
      <c r="E1396" s="118" t="s">
        <v>985</v>
      </c>
      <c r="F1396" s="120">
        <v>-7.46</v>
      </c>
      <c r="G1396" s="119">
        <v>3.3751809998656519E-2</v>
      </c>
    </row>
    <row r="1397" spans="2:7" x14ac:dyDescent="0.2">
      <c r="B1397" s="116" t="s">
        <v>3060</v>
      </c>
      <c r="C1397" s="117" t="s">
        <v>3061</v>
      </c>
      <c r="D1397" s="118" t="s">
        <v>78</v>
      </c>
      <c r="E1397" s="118" t="s">
        <v>340</v>
      </c>
      <c r="F1397" s="120"/>
      <c r="G1397" s="119">
        <v>4.1971101206604768E-3</v>
      </c>
    </row>
    <row r="1398" spans="2:7" x14ac:dyDescent="0.2">
      <c r="B1398" s="116" t="s">
        <v>3062</v>
      </c>
      <c r="C1398" s="117" t="s">
        <v>3063</v>
      </c>
      <c r="D1398" s="118" t="s">
        <v>34</v>
      </c>
      <c r="E1398" s="118" t="s">
        <v>202</v>
      </c>
      <c r="F1398" s="120">
        <v>39.549999999999997</v>
      </c>
      <c r="G1398" s="119">
        <v>0.19705785625909869</v>
      </c>
    </row>
    <row r="1399" spans="2:7" x14ac:dyDescent="0.2">
      <c r="B1399" s="116" t="s">
        <v>3064</v>
      </c>
      <c r="C1399" s="117" t="s">
        <v>3065</v>
      </c>
      <c r="D1399" s="118" t="s">
        <v>92</v>
      </c>
      <c r="E1399" s="118" t="s">
        <v>299</v>
      </c>
      <c r="F1399" s="120">
        <v>8.42</v>
      </c>
      <c r="G1399" s="119">
        <v>-0.27910460255411917</v>
      </c>
    </row>
    <row r="1400" spans="2:7" x14ac:dyDescent="0.2">
      <c r="B1400" s="116" t="s">
        <v>3066</v>
      </c>
      <c r="C1400" s="117" t="s">
        <v>3067</v>
      </c>
      <c r="D1400" s="118" t="s">
        <v>34</v>
      </c>
      <c r="E1400" s="118" t="s">
        <v>2334</v>
      </c>
      <c r="F1400" s="120">
        <v>-5.94</v>
      </c>
      <c r="G1400" s="119">
        <v>-8.6681150646950075E-2</v>
      </c>
    </row>
    <row r="1401" spans="2:7" x14ac:dyDescent="0.2">
      <c r="B1401" s="116" t="s">
        <v>3068</v>
      </c>
      <c r="C1401" s="117" t="s">
        <v>3069</v>
      </c>
      <c r="D1401" s="118" t="s">
        <v>198</v>
      </c>
      <c r="E1401" s="118" t="s">
        <v>199</v>
      </c>
      <c r="F1401" s="120">
        <v>13.9</v>
      </c>
      <c r="G1401" s="119">
        <v>0.45595607864334192</v>
      </c>
    </row>
    <row r="1402" spans="2:7" x14ac:dyDescent="0.2">
      <c r="B1402" s="116" t="s">
        <v>3070</v>
      </c>
      <c r="C1402" s="117" t="s">
        <v>3071</v>
      </c>
      <c r="D1402" s="118" t="s">
        <v>68</v>
      </c>
      <c r="E1402" s="118" t="s">
        <v>949</v>
      </c>
      <c r="F1402" s="120">
        <v>74.55</v>
      </c>
      <c r="G1402" s="119">
        <v>0.29939218970591752</v>
      </c>
    </row>
    <row r="1403" spans="2:7" x14ac:dyDescent="0.2">
      <c r="B1403" s="116" t="s">
        <v>3072</v>
      </c>
      <c r="C1403" s="117" t="s">
        <v>3073</v>
      </c>
      <c r="D1403" s="118" t="s">
        <v>198</v>
      </c>
      <c r="E1403" s="118" t="s">
        <v>199</v>
      </c>
      <c r="F1403" s="120">
        <v>5.79</v>
      </c>
      <c r="G1403" s="119">
        <v>6.7923323454407505E-2</v>
      </c>
    </row>
    <row r="1404" spans="2:7" x14ac:dyDescent="0.2">
      <c r="B1404" s="116" t="s">
        <v>3074</v>
      </c>
      <c r="C1404" s="117" t="s">
        <v>3075</v>
      </c>
      <c r="D1404" s="118" t="s">
        <v>34</v>
      </c>
      <c r="E1404" s="118" t="s">
        <v>319</v>
      </c>
      <c r="F1404" s="120">
        <v>38.97</v>
      </c>
      <c r="G1404" s="119">
        <v>0.28089870509779929</v>
      </c>
    </row>
    <row r="1405" spans="2:7" x14ac:dyDescent="0.2">
      <c r="B1405" s="116" t="s">
        <v>3076</v>
      </c>
      <c r="C1405" s="117" t="s">
        <v>3077</v>
      </c>
      <c r="D1405" s="118" t="s">
        <v>52</v>
      </c>
      <c r="E1405" s="118" t="s">
        <v>3078</v>
      </c>
      <c r="F1405" s="120">
        <v>9.74</v>
      </c>
      <c r="G1405" s="119">
        <v>3.27590869237737E-3</v>
      </c>
    </row>
    <row r="1406" spans="2:7" x14ac:dyDescent="0.2">
      <c r="B1406" s="116" t="s">
        <v>3079</v>
      </c>
      <c r="C1406" s="117" t="s">
        <v>3080</v>
      </c>
      <c r="D1406" s="118" t="s">
        <v>68</v>
      </c>
      <c r="E1406" s="118" t="s">
        <v>87</v>
      </c>
      <c r="F1406" s="120">
        <v>13.47</v>
      </c>
      <c r="G1406" s="119">
        <v>0.1085937031694235</v>
      </c>
    </row>
    <row r="1407" spans="2:7" x14ac:dyDescent="0.2">
      <c r="B1407" s="116" t="s">
        <v>3081</v>
      </c>
      <c r="C1407" s="117" t="s">
        <v>3082</v>
      </c>
      <c r="D1407" s="118" t="s">
        <v>145</v>
      </c>
      <c r="E1407" s="118" t="s">
        <v>402</v>
      </c>
      <c r="F1407" s="120">
        <v>9.56</v>
      </c>
      <c r="G1407" s="119">
        <v>-2.3576214923722569E-2</v>
      </c>
    </row>
    <row r="1408" spans="2:7" x14ac:dyDescent="0.2">
      <c r="B1408" s="116" t="s">
        <v>3083</v>
      </c>
      <c r="C1408" s="117" t="s">
        <v>3084</v>
      </c>
      <c r="D1408" s="118" t="s">
        <v>138</v>
      </c>
      <c r="E1408" s="118" t="s">
        <v>499</v>
      </c>
      <c r="F1408" s="120">
        <v>-0.78</v>
      </c>
      <c r="G1408" s="119">
        <v>-5.5593962262313591E-2</v>
      </c>
    </row>
    <row r="1409" spans="2:7" x14ac:dyDescent="0.2">
      <c r="B1409" s="116" t="s">
        <v>3085</v>
      </c>
      <c r="C1409" s="117" t="s">
        <v>3086</v>
      </c>
      <c r="D1409" s="118" t="s">
        <v>34</v>
      </c>
      <c r="E1409" s="118" t="s">
        <v>44</v>
      </c>
      <c r="F1409" s="120">
        <v>1.81</v>
      </c>
      <c r="G1409" s="119">
        <v>-4.0748725336002267E-2</v>
      </c>
    </row>
    <row r="1410" spans="2:7" x14ac:dyDescent="0.2">
      <c r="B1410" s="116" t="s">
        <v>3087</v>
      </c>
      <c r="C1410" s="117" t="s">
        <v>3088</v>
      </c>
      <c r="D1410" s="118" t="s">
        <v>138</v>
      </c>
      <c r="E1410" s="118" t="s">
        <v>499</v>
      </c>
      <c r="F1410" s="120">
        <v>-4.46</v>
      </c>
      <c r="G1410" s="119">
        <v>-7.7574581422335226E-2</v>
      </c>
    </row>
    <row r="1411" spans="2:7" x14ac:dyDescent="0.2">
      <c r="B1411" s="116" t="s">
        <v>3089</v>
      </c>
      <c r="C1411" s="117" t="s">
        <v>3090</v>
      </c>
      <c r="D1411" s="118" t="s">
        <v>138</v>
      </c>
      <c r="E1411" s="118" t="s">
        <v>793</v>
      </c>
      <c r="F1411" s="120">
        <v>6.25</v>
      </c>
      <c r="G1411" s="119">
        <v>-0.16121190194659649</v>
      </c>
    </row>
    <row r="1412" spans="2:7" x14ac:dyDescent="0.2">
      <c r="B1412" s="116" t="s">
        <v>3091</v>
      </c>
      <c r="C1412" s="117" t="s">
        <v>3092</v>
      </c>
      <c r="D1412" s="118" t="s">
        <v>34</v>
      </c>
      <c r="E1412" s="118" t="s">
        <v>35</v>
      </c>
      <c r="F1412" s="120">
        <v>7.24</v>
      </c>
      <c r="G1412" s="119">
        <v>2.4063699543031149E-2</v>
      </c>
    </row>
    <row r="1413" spans="2:7" x14ac:dyDescent="0.2">
      <c r="B1413" s="116" t="s">
        <v>3093</v>
      </c>
      <c r="C1413" s="117" t="s">
        <v>3094</v>
      </c>
      <c r="D1413" s="118" t="s">
        <v>138</v>
      </c>
      <c r="E1413" s="118" t="s">
        <v>139</v>
      </c>
      <c r="F1413" s="120">
        <v>32.69</v>
      </c>
      <c r="G1413" s="119">
        <v>0.31016085941270849</v>
      </c>
    </row>
    <row r="1414" spans="2:7" x14ac:dyDescent="0.2">
      <c r="B1414" s="116" t="s">
        <v>3095</v>
      </c>
      <c r="C1414" s="117" t="s">
        <v>3096</v>
      </c>
      <c r="D1414" s="118" t="s">
        <v>68</v>
      </c>
      <c r="E1414" s="118" t="s">
        <v>168</v>
      </c>
      <c r="F1414" s="120">
        <v>-0.7</v>
      </c>
      <c r="G1414" s="119">
        <v>-8.8892256815529924E-2</v>
      </c>
    </row>
    <row r="1415" spans="2:7" x14ac:dyDescent="0.2">
      <c r="B1415" s="116" t="s">
        <v>3097</v>
      </c>
      <c r="C1415" s="117" t="s">
        <v>3098</v>
      </c>
      <c r="D1415" s="118" t="s">
        <v>68</v>
      </c>
      <c r="E1415" s="118" t="s">
        <v>82</v>
      </c>
      <c r="F1415" s="120">
        <v>8.17</v>
      </c>
      <c r="G1415" s="119">
        <v>6.1455705405206652E-2</v>
      </c>
    </row>
    <row r="1416" spans="2:7" x14ac:dyDescent="0.2">
      <c r="B1416" s="116" t="s">
        <v>3099</v>
      </c>
      <c r="C1416" s="117" t="s">
        <v>3100</v>
      </c>
      <c r="D1416" s="118" t="s">
        <v>241</v>
      </c>
      <c r="E1416" s="118" t="s">
        <v>639</v>
      </c>
      <c r="F1416" s="120">
        <v>17</v>
      </c>
      <c r="G1416" s="119">
        <v>0.135283526208305</v>
      </c>
    </row>
    <row r="1417" spans="2:7" x14ac:dyDescent="0.2">
      <c r="B1417" s="116" t="s">
        <v>3101</v>
      </c>
      <c r="C1417" s="117" t="s">
        <v>3102</v>
      </c>
      <c r="D1417" s="118" t="s">
        <v>115</v>
      </c>
      <c r="E1417" s="118" t="s">
        <v>728</v>
      </c>
      <c r="F1417" s="120">
        <v>-23.31</v>
      </c>
      <c r="G1417" s="119">
        <v>-2.9524980972056251E-2</v>
      </c>
    </row>
    <row r="1418" spans="2:7" x14ac:dyDescent="0.2">
      <c r="B1418" s="116" t="s">
        <v>3103</v>
      </c>
      <c r="C1418" s="117" t="s">
        <v>3104</v>
      </c>
      <c r="D1418" s="118" t="s">
        <v>52</v>
      </c>
      <c r="E1418" s="118" t="s">
        <v>660</v>
      </c>
      <c r="F1418" s="120">
        <v>0.42</v>
      </c>
      <c r="G1418" s="119">
        <v>3.9603162720951227E-2</v>
      </c>
    </row>
    <row r="1419" spans="2:7" x14ac:dyDescent="0.2">
      <c r="B1419" s="116" t="s">
        <v>3105</v>
      </c>
      <c r="C1419" s="117" t="s">
        <v>3106</v>
      </c>
      <c r="D1419" s="118" t="s">
        <v>92</v>
      </c>
      <c r="E1419" s="118" t="s">
        <v>96</v>
      </c>
      <c r="F1419" s="120">
        <v>-0.26</v>
      </c>
      <c r="G1419" s="119">
        <v>6.0276392319159683E-2</v>
      </c>
    </row>
    <row r="1420" spans="2:7" x14ac:dyDescent="0.2">
      <c r="B1420" s="116" t="s">
        <v>3107</v>
      </c>
      <c r="C1420" s="117" t="s">
        <v>3108</v>
      </c>
      <c r="D1420" s="118" t="s">
        <v>78</v>
      </c>
      <c r="E1420" s="118" t="s">
        <v>340</v>
      </c>
      <c r="F1420" s="120">
        <v>20.13</v>
      </c>
      <c r="G1420" s="119">
        <v>-0.22222033344230149</v>
      </c>
    </row>
    <row r="1421" spans="2:7" x14ac:dyDescent="0.2">
      <c r="B1421" s="116" t="s">
        <v>3109</v>
      </c>
      <c r="C1421" s="117" t="s">
        <v>3110</v>
      </c>
      <c r="D1421" s="118" t="s">
        <v>52</v>
      </c>
      <c r="E1421" s="118" t="s">
        <v>3111</v>
      </c>
      <c r="F1421" s="120">
        <v>1.28</v>
      </c>
      <c r="G1421" s="119">
        <v>5.5324688773326159E-3</v>
      </c>
    </row>
    <row r="1422" spans="2:7" x14ac:dyDescent="0.2">
      <c r="B1422" s="116" t="s">
        <v>3112</v>
      </c>
      <c r="C1422" s="117" t="s">
        <v>3113</v>
      </c>
      <c r="D1422" s="118" t="s">
        <v>34</v>
      </c>
      <c r="E1422" s="118" t="s">
        <v>278</v>
      </c>
      <c r="F1422" s="120">
        <v>-6.4</v>
      </c>
      <c r="G1422" s="119">
        <v>-1</v>
      </c>
    </row>
    <row r="1423" spans="2:7" x14ac:dyDescent="0.2">
      <c r="B1423" s="116" t="s">
        <v>3114</v>
      </c>
      <c r="C1423" s="117" t="s">
        <v>3115</v>
      </c>
      <c r="D1423" s="118" t="s">
        <v>138</v>
      </c>
      <c r="E1423" s="118" t="s">
        <v>499</v>
      </c>
      <c r="F1423" s="120"/>
      <c r="G1423" s="119">
        <v>-9.8672859083934542E-2</v>
      </c>
    </row>
    <row r="1424" spans="2:7" x14ac:dyDescent="0.2">
      <c r="B1424" s="116" t="s">
        <v>3116</v>
      </c>
      <c r="C1424" s="117" t="s">
        <v>3117</v>
      </c>
      <c r="D1424" s="118" t="s">
        <v>52</v>
      </c>
      <c r="E1424" s="118" t="s">
        <v>660</v>
      </c>
      <c r="F1424" s="120">
        <v>7.65</v>
      </c>
      <c r="G1424" s="119">
        <v>5.6554170035457908E-2</v>
      </c>
    </row>
    <row r="1425" spans="2:7" x14ac:dyDescent="0.2">
      <c r="B1425" s="116" t="s">
        <v>3118</v>
      </c>
      <c r="C1425" s="117" t="s">
        <v>3119</v>
      </c>
      <c r="D1425" s="118" t="s">
        <v>138</v>
      </c>
      <c r="E1425" s="118" t="s">
        <v>499</v>
      </c>
      <c r="F1425" s="120">
        <v>1.86</v>
      </c>
      <c r="G1425" s="119">
        <v>-2.9696847808241791E-2</v>
      </c>
    </row>
    <row r="1426" spans="2:7" x14ac:dyDescent="0.2">
      <c r="B1426" s="116" t="s">
        <v>3120</v>
      </c>
      <c r="C1426" s="117" t="s">
        <v>3121</v>
      </c>
      <c r="D1426" s="118" t="s">
        <v>145</v>
      </c>
      <c r="E1426" s="118" t="s">
        <v>1467</v>
      </c>
      <c r="F1426" s="120"/>
      <c r="G1426" s="119">
        <v>3.7594920038838339E-2</v>
      </c>
    </row>
    <row r="1427" spans="2:7" x14ac:dyDescent="0.2">
      <c r="B1427" s="116" t="s">
        <v>3122</v>
      </c>
      <c r="C1427" s="117" t="s">
        <v>3123</v>
      </c>
      <c r="D1427" s="118" t="s">
        <v>34</v>
      </c>
      <c r="E1427" s="118" t="s">
        <v>278</v>
      </c>
      <c r="F1427" s="120">
        <v>-3.72</v>
      </c>
      <c r="G1427" s="119">
        <v>-1</v>
      </c>
    </row>
    <row r="1428" spans="2:7" x14ac:dyDescent="0.2">
      <c r="B1428" s="116" t="s">
        <v>3124</v>
      </c>
      <c r="C1428" s="117" t="s">
        <v>3125</v>
      </c>
      <c r="D1428" s="118" t="s">
        <v>92</v>
      </c>
      <c r="E1428" s="118" t="s">
        <v>96</v>
      </c>
      <c r="F1428" s="120">
        <v>6.32</v>
      </c>
      <c r="G1428" s="119">
        <v>-1</v>
      </c>
    </row>
    <row r="1429" spans="2:7" x14ac:dyDescent="0.2">
      <c r="B1429" s="116" t="s">
        <v>3126</v>
      </c>
      <c r="C1429" s="117" t="s">
        <v>3127</v>
      </c>
      <c r="D1429" s="118" t="s">
        <v>39</v>
      </c>
      <c r="E1429" s="118" t="s">
        <v>1162</v>
      </c>
      <c r="F1429" s="120">
        <v>2.57</v>
      </c>
      <c r="G1429" s="119">
        <v>7.744525245755135E-2</v>
      </c>
    </row>
    <row r="1430" spans="2:7" x14ac:dyDescent="0.2">
      <c r="B1430" s="116" t="s">
        <v>3128</v>
      </c>
      <c r="C1430" s="117" t="s">
        <v>3129</v>
      </c>
      <c r="D1430" s="118" t="s">
        <v>34</v>
      </c>
      <c r="E1430" s="118" t="s">
        <v>278</v>
      </c>
      <c r="F1430" s="120">
        <v>-9.26</v>
      </c>
      <c r="G1430" s="119">
        <v>-3.9514932977320831E-2</v>
      </c>
    </row>
    <row r="1431" spans="2:7" x14ac:dyDescent="0.2">
      <c r="B1431" s="116" t="s">
        <v>3130</v>
      </c>
      <c r="C1431" s="117" t="s">
        <v>3131</v>
      </c>
      <c r="D1431" s="118" t="s">
        <v>138</v>
      </c>
      <c r="E1431" s="118" t="s">
        <v>499</v>
      </c>
      <c r="F1431" s="120"/>
      <c r="G1431" s="119">
        <v>-1</v>
      </c>
    </row>
    <row r="1432" spans="2:7" x14ac:dyDescent="0.2">
      <c r="B1432" s="116" t="s">
        <v>3132</v>
      </c>
      <c r="C1432" s="117" t="s">
        <v>3133</v>
      </c>
      <c r="D1432" s="118" t="s">
        <v>138</v>
      </c>
      <c r="E1432" s="118" t="s">
        <v>793</v>
      </c>
      <c r="F1432" s="120">
        <v>-2.65</v>
      </c>
      <c r="G1432" s="119">
        <v>0.1063804974133149</v>
      </c>
    </row>
    <row r="1433" spans="2:7" x14ac:dyDescent="0.2">
      <c r="B1433" s="116" t="s">
        <v>3134</v>
      </c>
      <c r="C1433" s="117" t="s">
        <v>3135</v>
      </c>
      <c r="D1433" s="118" t="s">
        <v>233</v>
      </c>
      <c r="E1433" s="118" t="s">
        <v>469</v>
      </c>
      <c r="F1433" s="120">
        <v>3.47</v>
      </c>
      <c r="G1433" s="119">
        <v>1.923093703094169E-2</v>
      </c>
    </row>
    <row r="1434" spans="2:7" x14ac:dyDescent="0.2">
      <c r="B1434" s="116" t="s">
        <v>3136</v>
      </c>
      <c r="C1434" s="117" t="s">
        <v>3137</v>
      </c>
      <c r="D1434" s="118" t="s">
        <v>34</v>
      </c>
      <c r="E1434" s="118" t="s">
        <v>2856</v>
      </c>
      <c r="F1434" s="120"/>
      <c r="G1434" s="119">
        <v>0.31805430641072069</v>
      </c>
    </row>
    <row r="1435" spans="2:7" x14ac:dyDescent="0.2">
      <c r="B1435" s="116" t="s">
        <v>3138</v>
      </c>
      <c r="C1435" s="117" t="s">
        <v>3139</v>
      </c>
      <c r="D1435" s="118" t="s">
        <v>34</v>
      </c>
      <c r="E1435" s="118" t="s">
        <v>99</v>
      </c>
      <c r="F1435" s="120">
        <v>9.44</v>
      </c>
      <c r="G1435" s="119">
        <v>4.9788390737363603E-2</v>
      </c>
    </row>
    <row r="1436" spans="2:7" x14ac:dyDescent="0.2">
      <c r="B1436" s="116" t="s">
        <v>3140</v>
      </c>
      <c r="C1436" s="117" t="s">
        <v>3141</v>
      </c>
      <c r="D1436" s="118" t="s">
        <v>68</v>
      </c>
      <c r="E1436" s="118" t="s">
        <v>82</v>
      </c>
      <c r="F1436" s="120">
        <v>10.41</v>
      </c>
      <c r="G1436" s="119">
        <v>4.3894395270547712E-2</v>
      </c>
    </row>
    <row r="1437" spans="2:7" x14ac:dyDescent="0.2">
      <c r="B1437" s="116" t="s">
        <v>3142</v>
      </c>
      <c r="C1437" s="117" t="s">
        <v>3143</v>
      </c>
      <c r="D1437" s="118" t="s">
        <v>34</v>
      </c>
      <c r="E1437" s="118" t="s">
        <v>982</v>
      </c>
      <c r="F1437" s="120">
        <v>10.24</v>
      </c>
      <c r="G1437" s="119">
        <v>4.6528028169014163E-2</v>
      </c>
    </row>
    <row r="1438" spans="2:7" x14ac:dyDescent="0.2">
      <c r="B1438" s="116" t="s">
        <v>3144</v>
      </c>
      <c r="C1438" s="117" t="s">
        <v>3145</v>
      </c>
      <c r="D1438" s="118" t="s">
        <v>68</v>
      </c>
      <c r="E1438" s="118" t="s">
        <v>82</v>
      </c>
      <c r="F1438" s="120">
        <v>37.75</v>
      </c>
      <c r="G1438" s="119">
        <v>0.95402191765921562</v>
      </c>
    </row>
    <row r="1439" spans="2:7" x14ac:dyDescent="0.2">
      <c r="B1439" s="116" t="s">
        <v>3146</v>
      </c>
      <c r="C1439" s="117" t="s">
        <v>3147</v>
      </c>
      <c r="D1439" s="118" t="s">
        <v>106</v>
      </c>
      <c r="E1439" s="118" t="s">
        <v>125</v>
      </c>
      <c r="F1439" s="120">
        <v>11.8</v>
      </c>
      <c r="G1439" s="119">
        <v>-0.72971937767627748</v>
      </c>
    </row>
    <row r="1440" spans="2:7" x14ac:dyDescent="0.2">
      <c r="B1440" s="116" t="s">
        <v>3148</v>
      </c>
      <c r="C1440" s="117" t="s">
        <v>3149</v>
      </c>
      <c r="D1440" s="118" t="s">
        <v>34</v>
      </c>
      <c r="E1440" s="118" t="s">
        <v>944</v>
      </c>
      <c r="F1440" s="120"/>
      <c r="G1440" s="119">
        <v>-1.8036430252476129E-2</v>
      </c>
    </row>
    <row r="1441" spans="2:7" x14ac:dyDescent="0.2">
      <c r="B1441" s="116" t="s">
        <v>3150</v>
      </c>
      <c r="C1441" s="117" t="s">
        <v>3151</v>
      </c>
      <c r="D1441" s="118" t="s">
        <v>102</v>
      </c>
      <c r="E1441" s="118" t="s">
        <v>1081</v>
      </c>
      <c r="F1441" s="120">
        <v>16.239999999999998</v>
      </c>
      <c r="G1441" s="119">
        <v>-1.4537748870963671E-2</v>
      </c>
    </row>
    <row r="1442" spans="2:7" x14ac:dyDescent="0.2">
      <c r="B1442" s="116" t="s">
        <v>3152</v>
      </c>
      <c r="C1442" s="117" t="s">
        <v>3153</v>
      </c>
      <c r="D1442" s="118" t="s">
        <v>241</v>
      </c>
      <c r="E1442" s="118" t="s">
        <v>606</v>
      </c>
      <c r="F1442" s="120">
        <v>-0.71</v>
      </c>
      <c r="G1442" s="119">
        <v>-0.18936391282127221</v>
      </c>
    </row>
    <row r="1443" spans="2:7" x14ac:dyDescent="0.2">
      <c r="B1443" s="116" t="s">
        <v>3154</v>
      </c>
      <c r="C1443" s="117" t="s">
        <v>3155</v>
      </c>
      <c r="D1443" s="118" t="s">
        <v>52</v>
      </c>
      <c r="E1443" s="118" t="s">
        <v>2678</v>
      </c>
      <c r="F1443" s="120">
        <v>-2.95</v>
      </c>
      <c r="G1443" s="119">
        <v>9.2107340264160648E-2</v>
      </c>
    </row>
    <row r="1444" spans="2:7" x14ac:dyDescent="0.2">
      <c r="B1444" s="116" t="s">
        <v>3156</v>
      </c>
      <c r="C1444" s="117" t="s">
        <v>3157</v>
      </c>
      <c r="D1444" s="118" t="s">
        <v>92</v>
      </c>
      <c r="E1444" s="118" t="s">
        <v>1262</v>
      </c>
      <c r="F1444" s="120">
        <v>47.98</v>
      </c>
      <c r="G1444" s="119">
        <v>0.42753973276155122</v>
      </c>
    </row>
    <row r="1445" spans="2:7" x14ac:dyDescent="0.2">
      <c r="B1445" s="116" t="s">
        <v>3158</v>
      </c>
      <c r="C1445" s="117" t="s">
        <v>3159</v>
      </c>
      <c r="D1445" s="118" t="s">
        <v>102</v>
      </c>
      <c r="E1445" s="118" t="s">
        <v>1397</v>
      </c>
      <c r="F1445" s="120">
        <v>14.19</v>
      </c>
      <c r="G1445" s="119">
        <v>9.6276229448301123E-2</v>
      </c>
    </row>
    <row r="1446" spans="2:7" x14ac:dyDescent="0.2">
      <c r="B1446" s="116" t="s">
        <v>3160</v>
      </c>
      <c r="C1446" s="117" t="s">
        <v>3161</v>
      </c>
      <c r="D1446" s="118" t="s">
        <v>241</v>
      </c>
      <c r="E1446" s="118" t="s">
        <v>2596</v>
      </c>
      <c r="F1446" s="120">
        <v>7.34</v>
      </c>
      <c r="G1446" s="119">
        <v>-0.14047233117130861</v>
      </c>
    </row>
    <row r="1447" spans="2:7" x14ac:dyDescent="0.2">
      <c r="B1447" s="116" t="s">
        <v>3162</v>
      </c>
      <c r="C1447" s="117" t="s">
        <v>3163</v>
      </c>
      <c r="D1447" s="118" t="s">
        <v>106</v>
      </c>
      <c r="E1447" s="118" t="s">
        <v>324</v>
      </c>
      <c r="F1447" s="120">
        <v>-15.36</v>
      </c>
      <c r="G1447" s="119">
        <v>7.4996749681876099E-2</v>
      </c>
    </row>
    <row r="1448" spans="2:7" x14ac:dyDescent="0.2">
      <c r="B1448" s="116" t="s">
        <v>3164</v>
      </c>
      <c r="C1448" s="117" t="s">
        <v>3165</v>
      </c>
      <c r="D1448" s="118" t="s">
        <v>52</v>
      </c>
      <c r="E1448" s="118" t="s">
        <v>281</v>
      </c>
      <c r="F1448" s="120">
        <v>5.16</v>
      </c>
      <c r="G1448" s="119">
        <v>1.316219814241484E-2</v>
      </c>
    </row>
    <row r="1449" spans="2:7" x14ac:dyDescent="0.2">
      <c r="B1449" s="116" t="s">
        <v>3166</v>
      </c>
      <c r="C1449" s="117" t="s">
        <v>3167</v>
      </c>
      <c r="D1449" s="118" t="s">
        <v>34</v>
      </c>
      <c r="E1449" s="118" t="s">
        <v>1096</v>
      </c>
      <c r="F1449" s="120">
        <v>7.39</v>
      </c>
      <c r="G1449" s="119">
        <v>5.6563794878394073E-2</v>
      </c>
    </row>
    <row r="1450" spans="2:7" x14ac:dyDescent="0.2">
      <c r="B1450" s="116" t="s">
        <v>3168</v>
      </c>
      <c r="C1450" s="117" t="s">
        <v>3169</v>
      </c>
      <c r="D1450" s="118" t="s">
        <v>92</v>
      </c>
      <c r="E1450" s="118" t="s">
        <v>272</v>
      </c>
      <c r="F1450" s="120">
        <v>20.21</v>
      </c>
      <c r="G1450" s="119">
        <v>0.112389555584861</v>
      </c>
    </row>
    <row r="1451" spans="2:7" x14ac:dyDescent="0.2">
      <c r="B1451" s="116" t="s">
        <v>3170</v>
      </c>
      <c r="C1451" s="117" t="s">
        <v>3171</v>
      </c>
      <c r="D1451" s="118" t="s">
        <v>92</v>
      </c>
      <c r="E1451" s="118" t="s">
        <v>195</v>
      </c>
      <c r="F1451" s="120">
        <v>7.7</v>
      </c>
      <c r="G1451" s="119">
        <v>4.8309924431374003E-2</v>
      </c>
    </row>
    <row r="1452" spans="2:7" x14ac:dyDescent="0.2">
      <c r="B1452" s="116" t="s">
        <v>3172</v>
      </c>
      <c r="C1452" s="117" t="s">
        <v>3173</v>
      </c>
      <c r="D1452" s="118" t="s">
        <v>241</v>
      </c>
      <c r="E1452" s="118" t="s">
        <v>1017</v>
      </c>
      <c r="F1452" s="120">
        <v>5.43</v>
      </c>
      <c r="G1452" s="119">
        <v>-1.5246054071466659E-2</v>
      </c>
    </row>
    <row r="1453" spans="2:7" x14ac:dyDescent="0.2">
      <c r="B1453" s="116" t="s">
        <v>3174</v>
      </c>
      <c r="C1453" s="117" t="s">
        <v>3175</v>
      </c>
      <c r="D1453" s="118" t="s">
        <v>106</v>
      </c>
      <c r="E1453" s="118" t="s">
        <v>563</v>
      </c>
      <c r="F1453" s="120">
        <v>15</v>
      </c>
      <c r="G1453" s="119">
        <v>0.13695452269981009</v>
      </c>
    </row>
    <row r="1454" spans="2:7" x14ac:dyDescent="0.2">
      <c r="B1454" s="116" t="s">
        <v>3176</v>
      </c>
      <c r="C1454" s="117" t="s">
        <v>3177</v>
      </c>
      <c r="D1454" s="118" t="s">
        <v>92</v>
      </c>
      <c r="E1454" s="118" t="s">
        <v>96</v>
      </c>
      <c r="F1454" s="120">
        <v>3.16</v>
      </c>
      <c r="G1454" s="119">
        <v>2.5091483719701449E-2</v>
      </c>
    </row>
    <row r="1455" spans="2:7" x14ac:dyDescent="0.2">
      <c r="B1455" s="116" t="s">
        <v>3178</v>
      </c>
      <c r="C1455" s="117" t="s">
        <v>3179</v>
      </c>
      <c r="D1455" s="118" t="s">
        <v>39</v>
      </c>
      <c r="E1455" s="118" t="s">
        <v>3180</v>
      </c>
      <c r="F1455" s="120">
        <v>4.1900000000000004</v>
      </c>
      <c r="G1455" s="119">
        <v>7.459609905072404E-3</v>
      </c>
    </row>
    <row r="1456" spans="2:7" x14ac:dyDescent="0.2">
      <c r="B1456" s="116" t="s">
        <v>3181</v>
      </c>
      <c r="C1456" s="117" t="s">
        <v>3182</v>
      </c>
      <c r="D1456" s="118" t="s">
        <v>39</v>
      </c>
      <c r="E1456" s="118" t="s">
        <v>3183</v>
      </c>
      <c r="F1456" s="120">
        <v>-6.92</v>
      </c>
      <c r="G1456" s="119">
        <v>-5.6554992498619129E-3</v>
      </c>
    </row>
    <row r="1457" spans="2:7" x14ac:dyDescent="0.2">
      <c r="B1457" s="116" t="s">
        <v>3184</v>
      </c>
      <c r="C1457" s="117" t="s">
        <v>3185</v>
      </c>
      <c r="D1457" s="118" t="s">
        <v>52</v>
      </c>
      <c r="E1457" s="118" t="s">
        <v>714</v>
      </c>
      <c r="F1457" s="120"/>
      <c r="G1457" s="119">
        <v>5.4463758745907399E-2</v>
      </c>
    </row>
    <row r="1458" spans="2:7" x14ac:dyDescent="0.2">
      <c r="B1458" s="116" t="s">
        <v>3186</v>
      </c>
      <c r="C1458" s="117" t="s">
        <v>3187</v>
      </c>
      <c r="D1458" s="118" t="s">
        <v>52</v>
      </c>
      <c r="E1458" s="118" t="s">
        <v>1099</v>
      </c>
      <c r="F1458" s="120">
        <v>8.2899999999999991</v>
      </c>
      <c r="G1458" s="119">
        <v>6.6290386231915979E-2</v>
      </c>
    </row>
    <row r="1459" spans="2:7" x14ac:dyDescent="0.2">
      <c r="B1459" s="116" t="s">
        <v>3188</v>
      </c>
      <c r="C1459" s="117" t="s">
        <v>3189</v>
      </c>
      <c r="D1459" s="118" t="s">
        <v>115</v>
      </c>
      <c r="E1459" s="118" t="s">
        <v>799</v>
      </c>
      <c r="F1459" s="120">
        <v>30.23</v>
      </c>
      <c r="G1459" s="119">
        <v>0.26348680294100257</v>
      </c>
    </row>
    <row r="1460" spans="2:7" x14ac:dyDescent="0.2">
      <c r="B1460" s="116" t="s">
        <v>3190</v>
      </c>
      <c r="C1460" s="117" t="s">
        <v>3191</v>
      </c>
      <c r="D1460" s="118" t="s">
        <v>233</v>
      </c>
      <c r="E1460" s="118" t="s">
        <v>1314</v>
      </c>
      <c r="F1460" s="120">
        <v>61.4</v>
      </c>
      <c r="G1460" s="119">
        <v>0.1567520086183157</v>
      </c>
    </row>
    <row r="1461" spans="2:7" x14ac:dyDescent="0.2">
      <c r="B1461" s="116" t="s">
        <v>3192</v>
      </c>
      <c r="C1461" s="117" t="s">
        <v>3193</v>
      </c>
      <c r="D1461" s="118" t="s">
        <v>34</v>
      </c>
      <c r="E1461" s="118" t="s">
        <v>3194</v>
      </c>
      <c r="F1461" s="120">
        <v>7.6</v>
      </c>
      <c r="G1461" s="119">
        <v>-1</v>
      </c>
    </row>
    <row r="1462" spans="2:7" x14ac:dyDescent="0.2">
      <c r="B1462" s="116" t="s">
        <v>3195</v>
      </c>
      <c r="C1462" s="117" t="s">
        <v>3196</v>
      </c>
      <c r="D1462" s="118" t="s">
        <v>78</v>
      </c>
      <c r="E1462" s="118" t="s">
        <v>1654</v>
      </c>
      <c r="F1462" s="120">
        <v>0.51</v>
      </c>
      <c r="G1462" s="119">
        <v>6.4239632977129674E-2</v>
      </c>
    </row>
    <row r="1463" spans="2:7" x14ac:dyDescent="0.2">
      <c r="B1463" s="116" t="s">
        <v>3197</v>
      </c>
      <c r="C1463" s="117" t="s">
        <v>3198</v>
      </c>
      <c r="D1463" s="118" t="s">
        <v>34</v>
      </c>
      <c r="E1463" s="118" t="s">
        <v>278</v>
      </c>
      <c r="F1463" s="120">
        <v>-9.26</v>
      </c>
      <c r="G1463" s="119">
        <v>-6.2219707391117304E-3</v>
      </c>
    </row>
    <row r="1464" spans="2:7" x14ac:dyDescent="0.2">
      <c r="B1464" s="116" t="s">
        <v>3199</v>
      </c>
      <c r="C1464" s="117" t="s">
        <v>3200</v>
      </c>
      <c r="D1464" s="118" t="s">
        <v>115</v>
      </c>
      <c r="E1464" s="118" t="s">
        <v>2909</v>
      </c>
      <c r="F1464" s="120">
        <v>4.7699999999999996</v>
      </c>
      <c r="G1464" s="119">
        <v>0.2026551849235293</v>
      </c>
    </row>
    <row r="1465" spans="2:7" x14ac:dyDescent="0.2">
      <c r="B1465" s="116" t="s">
        <v>3201</v>
      </c>
      <c r="C1465" s="117" t="s">
        <v>3202</v>
      </c>
      <c r="D1465" s="118" t="s">
        <v>34</v>
      </c>
      <c r="E1465" s="118" t="s">
        <v>202</v>
      </c>
      <c r="F1465" s="120">
        <v>54.11</v>
      </c>
      <c r="G1465" s="119">
        <v>0.37075786209641931</v>
      </c>
    </row>
    <row r="1466" spans="2:7" x14ac:dyDescent="0.2">
      <c r="B1466" s="116" t="s">
        <v>3203</v>
      </c>
      <c r="C1466" s="117" t="s">
        <v>3204</v>
      </c>
      <c r="D1466" s="118" t="s">
        <v>34</v>
      </c>
      <c r="E1466" s="118" t="s">
        <v>44</v>
      </c>
      <c r="F1466" s="120">
        <v>7.03</v>
      </c>
      <c r="G1466" s="119">
        <v>-1</v>
      </c>
    </row>
    <row r="1467" spans="2:7" x14ac:dyDescent="0.2">
      <c r="B1467" s="116" t="s">
        <v>3205</v>
      </c>
      <c r="C1467" s="117" t="s">
        <v>3206</v>
      </c>
      <c r="D1467" s="118" t="s">
        <v>39</v>
      </c>
      <c r="E1467" s="118" t="s">
        <v>1056</v>
      </c>
      <c r="F1467" s="120">
        <v>9.84</v>
      </c>
      <c r="G1467" s="119">
        <v>-0.1979852605300001</v>
      </c>
    </row>
    <row r="1468" spans="2:7" x14ac:dyDescent="0.2">
      <c r="B1468" s="116" t="s">
        <v>3207</v>
      </c>
      <c r="C1468" s="117" t="s">
        <v>3208</v>
      </c>
      <c r="D1468" s="118" t="s">
        <v>233</v>
      </c>
      <c r="E1468" s="118" t="s">
        <v>469</v>
      </c>
      <c r="F1468" s="120">
        <v>1.1100000000000001</v>
      </c>
      <c r="G1468" s="119">
        <v>1.6574675373049561E-3</v>
      </c>
    </row>
    <row r="1469" spans="2:7" x14ac:dyDescent="0.2">
      <c r="B1469" s="116" t="s">
        <v>3209</v>
      </c>
      <c r="C1469" s="117" t="s">
        <v>3210</v>
      </c>
      <c r="D1469" s="118" t="s">
        <v>115</v>
      </c>
      <c r="E1469" s="118" t="s">
        <v>394</v>
      </c>
      <c r="F1469" s="120">
        <v>15.49</v>
      </c>
      <c r="G1469" s="119">
        <v>2.8840574278872409E-2</v>
      </c>
    </row>
    <row r="1470" spans="2:7" x14ac:dyDescent="0.2">
      <c r="B1470" s="116" t="s">
        <v>3211</v>
      </c>
      <c r="C1470" s="117" t="s">
        <v>3212</v>
      </c>
      <c r="D1470" s="118" t="s">
        <v>138</v>
      </c>
      <c r="E1470" s="118" t="s">
        <v>499</v>
      </c>
      <c r="F1470" s="120">
        <v>1.91</v>
      </c>
      <c r="G1470" s="119">
        <v>3.5774039769535387E-2</v>
      </c>
    </row>
    <row r="1471" spans="2:7" x14ac:dyDescent="0.2">
      <c r="B1471" s="116" t="s">
        <v>3213</v>
      </c>
      <c r="C1471" s="117" t="s">
        <v>3214</v>
      </c>
      <c r="D1471" s="118" t="s">
        <v>115</v>
      </c>
      <c r="E1471" s="118" t="s">
        <v>728</v>
      </c>
      <c r="F1471" s="120">
        <v>-3.38</v>
      </c>
      <c r="G1471" s="119">
        <v>5.0960207202406967E-3</v>
      </c>
    </row>
    <row r="1472" spans="2:7" x14ac:dyDescent="0.2">
      <c r="B1472" s="116" t="s">
        <v>3215</v>
      </c>
      <c r="C1472" s="117" t="s">
        <v>3216</v>
      </c>
      <c r="D1472" s="118" t="s">
        <v>52</v>
      </c>
      <c r="E1472" s="118" t="s">
        <v>1324</v>
      </c>
      <c r="F1472" s="120"/>
      <c r="G1472" s="119">
        <v>-0.1087932581287326</v>
      </c>
    </row>
    <row r="1473" spans="2:7" x14ac:dyDescent="0.2">
      <c r="B1473" s="116" t="s">
        <v>3217</v>
      </c>
      <c r="C1473" s="117" t="s">
        <v>3218</v>
      </c>
      <c r="D1473" s="118" t="s">
        <v>34</v>
      </c>
      <c r="E1473" s="118" t="s">
        <v>319</v>
      </c>
      <c r="F1473" s="120">
        <v>55.57</v>
      </c>
      <c r="G1473" s="119">
        <v>0.71663979263771593</v>
      </c>
    </row>
    <row r="1474" spans="2:7" x14ac:dyDescent="0.2">
      <c r="B1474" s="116" t="s">
        <v>3219</v>
      </c>
      <c r="C1474" s="117" t="s">
        <v>3220</v>
      </c>
      <c r="D1474" s="118" t="s">
        <v>92</v>
      </c>
      <c r="E1474" s="118" t="s">
        <v>171</v>
      </c>
      <c r="F1474" s="120">
        <v>14.91</v>
      </c>
      <c r="G1474" s="119">
        <v>-0.69081525924393405</v>
      </c>
    </row>
    <row r="1475" spans="2:7" x14ac:dyDescent="0.2">
      <c r="B1475" s="116" t="s">
        <v>3221</v>
      </c>
      <c r="C1475" s="117" t="s">
        <v>3222</v>
      </c>
      <c r="D1475" s="118" t="s">
        <v>34</v>
      </c>
      <c r="E1475" s="118" t="s">
        <v>319</v>
      </c>
      <c r="F1475" s="120">
        <v>17.690000000000001</v>
      </c>
      <c r="G1475" s="119">
        <v>0.17061688294613389</v>
      </c>
    </row>
    <row r="1476" spans="2:7" x14ac:dyDescent="0.2">
      <c r="B1476" s="116" t="s">
        <v>3223</v>
      </c>
      <c r="C1476" s="117" t="s">
        <v>3224</v>
      </c>
      <c r="D1476" s="118" t="s">
        <v>145</v>
      </c>
      <c r="E1476" s="118" t="s">
        <v>1467</v>
      </c>
      <c r="F1476" s="120">
        <v>8.43</v>
      </c>
      <c r="G1476" s="119">
        <v>-7.1377965569019111E-2</v>
      </c>
    </row>
    <row r="1477" spans="2:7" x14ac:dyDescent="0.2">
      <c r="B1477" s="116" t="s">
        <v>3225</v>
      </c>
      <c r="C1477" s="117" t="s">
        <v>3226</v>
      </c>
      <c r="D1477" s="118" t="s">
        <v>34</v>
      </c>
      <c r="E1477" s="118" t="s">
        <v>1753</v>
      </c>
      <c r="F1477" s="120">
        <v>5.19</v>
      </c>
      <c r="G1477" s="119">
        <v>-6.9334267612772379E-2</v>
      </c>
    </row>
    <row r="1478" spans="2:7" x14ac:dyDescent="0.2">
      <c r="B1478" s="116" t="s">
        <v>3227</v>
      </c>
      <c r="C1478" s="117" t="s">
        <v>3228</v>
      </c>
      <c r="D1478" s="118" t="s">
        <v>52</v>
      </c>
      <c r="E1478" s="118" t="s">
        <v>725</v>
      </c>
      <c r="F1478" s="120">
        <v>11.2</v>
      </c>
      <c r="G1478" s="119">
        <v>0.1159876620073655</v>
      </c>
    </row>
    <row r="1479" spans="2:7" x14ac:dyDescent="0.2">
      <c r="B1479" s="116" t="s">
        <v>3229</v>
      </c>
      <c r="C1479" s="117" t="s">
        <v>3230</v>
      </c>
      <c r="D1479" s="118" t="s">
        <v>198</v>
      </c>
      <c r="E1479" s="118" t="s">
        <v>456</v>
      </c>
      <c r="F1479" s="120">
        <v>0.55000000000000004</v>
      </c>
      <c r="G1479" s="119">
        <v>-1.772112868594327E-2</v>
      </c>
    </row>
    <row r="1480" spans="2:7" x14ac:dyDescent="0.2">
      <c r="B1480" s="116" t="s">
        <v>3231</v>
      </c>
      <c r="C1480" s="117" t="s">
        <v>3232</v>
      </c>
      <c r="D1480" s="118" t="s">
        <v>34</v>
      </c>
      <c r="E1480" s="118" t="s">
        <v>990</v>
      </c>
      <c r="F1480" s="120">
        <v>17.3</v>
      </c>
      <c r="G1480" s="119">
        <v>0.17334918954751519</v>
      </c>
    </row>
    <row r="1481" spans="2:7" x14ac:dyDescent="0.2">
      <c r="B1481" s="116" t="s">
        <v>3233</v>
      </c>
      <c r="C1481" s="117" t="s">
        <v>3234</v>
      </c>
      <c r="D1481" s="118" t="s">
        <v>115</v>
      </c>
      <c r="E1481" s="118" t="s">
        <v>899</v>
      </c>
      <c r="F1481" s="120">
        <v>12.93</v>
      </c>
      <c r="G1481" s="119">
        <v>3.2535836354918697E-2</v>
      </c>
    </row>
    <row r="1482" spans="2:7" x14ac:dyDescent="0.2">
      <c r="B1482" s="116" t="s">
        <v>3235</v>
      </c>
      <c r="C1482" s="117" t="s">
        <v>3236</v>
      </c>
      <c r="D1482" s="118" t="s">
        <v>48</v>
      </c>
      <c r="E1482" s="118" t="s">
        <v>49</v>
      </c>
      <c r="F1482" s="120">
        <v>1.53</v>
      </c>
      <c r="G1482" s="119">
        <v>4.6863272643633637E-2</v>
      </c>
    </row>
    <row r="1483" spans="2:7" x14ac:dyDescent="0.2">
      <c r="B1483" s="116" t="s">
        <v>3237</v>
      </c>
      <c r="C1483" s="117" t="s">
        <v>3238</v>
      </c>
      <c r="D1483" s="118" t="s">
        <v>92</v>
      </c>
      <c r="E1483" s="118" t="s">
        <v>299</v>
      </c>
      <c r="F1483" s="120">
        <v>-2.84</v>
      </c>
      <c r="G1483" s="119">
        <v>-0.30403721592010863</v>
      </c>
    </row>
    <row r="1484" spans="2:7" x14ac:dyDescent="0.2">
      <c r="B1484" s="116" t="s">
        <v>3239</v>
      </c>
      <c r="C1484" s="117" t="s">
        <v>3240</v>
      </c>
      <c r="D1484" s="118" t="s">
        <v>92</v>
      </c>
      <c r="E1484" s="118" t="s">
        <v>614</v>
      </c>
      <c r="F1484" s="120">
        <v>16.63</v>
      </c>
      <c r="G1484" s="119">
        <v>-0.14099805063620141</v>
      </c>
    </row>
    <row r="1485" spans="2:7" x14ac:dyDescent="0.2">
      <c r="B1485" s="116" t="s">
        <v>3241</v>
      </c>
      <c r="C1485" s="117" t="s">
        <v>3242</v>
      </c>
      <c r="D1485" s="118" t="s">
        <v>34</v>
      </c>
      <c r="E1485" s="118" t="s">
        <v>202</v>
      </c>
      <c r="F1485" s="120"/>
      <c r="G1485" s="119">
        <v>0.35128092273406419</v>
      </c>
    </row>
    <row r="1486" spans="2:7" x14ac:dyDescent="0.2">
      <c r="B1486" s="116" t="s">
        <v>3243</v>
      </c>
      <c r="C1486" s="117" t="s">
        <v>3244</v>
      </c>
      <c r="D1486" s="118" t="s">
        <v>92</v>
      </c>
      <c r="E1486" s="118" t="s">
        <v>93</v>
      </c>
      <c r="F1486" s="120">
        <v>6.15</v>
      </c>
      <c r="G1486" s="119">
        <v>6.8965286666794148E-2</v>
      </c>
    </row>
    <row r="1487" spans="2:7" x14ac:dyDescent="0.2">
      <c r="B1487" s="116" t="s">
        <v>3245</v>
      </c>
      <c r="C1487" s="117" t="s">
        <v>3246</v>
      </c>
      <c r="D1487" s="118" t="s">
        <v>138</v>
      </c>
      <c r="E1487" s="118" t="s">
        <v>386</v>
      </c>
      <c r="F1487" s="120">
        <v>0.91</v>
      </c>
      <c r="G1487" s="119">
        <v>-2.318593161856964E-2</v>
      </c>
    </row>
    <row r="1488" spans="2:7" x14ac:dyDescent="0.2">
      <c r="B1488" s="116" t="s">
        <v>3247</v>
      </c>
      <c r="C1488" s="117" t="s">
        <v>3248</v>
      </c>
      <c r="D1488" s="118" t="s">
        <v>241</v>
      </c>
      <c r="E1488" s="118" t="s">
        <v>937</v>
      </c>
      <c r="F1488" s="120">
        <v>-0.68</v>
      </c>
      <c r="G1488" s="119">
        <v>-1</v>
      </c>
    </row>
    <row r="1489" spans="2:7" x14ac:dyDescent="0.2">
      <c r="B1489" s="116" t="s">
        <v>3249</v>
      </c>
      <c r="C1489" s="117" t="s">
        <v>3250</v>
      </c>
      <c r="D1489" s="118" t="s">
        <v>48</v>
      </c>
      <c r="E1489" s="118" t="s">
        <v>207</v>
      </c>
      <c r="F1489" s="120">
        <v>5.29</v>
      </c>
      <c r="G1489" s="119">
        <v>1.315835922636659E-2</v>
      </c>
    </row>
    <row r="1490" spans="2:7" x14ac:dyDescent="0.2">
      <c r="B1490" s="116" t="s">
        <v>3251</v>
      </c>
      <c r="C1490" s="117" t="s">
        <v>3252</v>
      </c>
      <c r="D1490" s="118" t="s">
        <v>68</v>
      </c>
      <c r="E1490" s="118" t="s">
        <v>1563</v>
      </c>
      <c r="F1490" s="120">
        <v>7.18</v>
      </c>
      <c r="G1490" s="119">
        <v>4.8054318120212131E-2</v>
      </c>
    </row>
    <row r="1491" spans="2:7" x14ac:dyDescent="0.2">
      <c r="B1491" s="116" t="s">
        <v>3253</v>
      </c>
      <c r="C1491" s="117" t="s">
        <v>3254</v>
      </c>
      <c r="D1491" s="118" t="s">
        <v>34</v>
      </c>
      <c r="E1491" s="118" t="s">
        <v>1253</v>
      </c>
      <c r="F1491" s="120">
        <v>18.059999999999999</v>
      </c>
      <c r="G1491" s="119">
        <v>-1</v>
      </c>
    </row>
    <row r="1492" spans="2:7" x14ac:dyDescent="0.2">
      <c r="B1492" s="116" t="s">
        <v>3255</v>
      </c>
      <c r="C1492" s="117" t="s">
        <v>3256</v>
      </c>
      <c r="D1492" s="118" t="s">
        <v>78</v>
      </c>
      <c r="E1492" s="118" t="s">
        <v>796</v>
      </c>
      <c r="F1492" s="120"/>
      <c r="G1492" s="119">
        <v>-2.4920160701888031E-2</v>
      </c>
    </row>
    <row r="1493" spans="2:7" x14ac:dyDescent="0.2">
      <c r="B1493" s="116" t="s">
        <v>3257</v>
      </c>
      <c r="C1493" s="117" t="s">
        <v>3258</v>
      </c>
      <c r="D1493" s="118" t="s">
        <v>52</v>
      </c>
      <c r="E1493" s="118" t="s">
        <v>1099</v>
      </c>
      <c r="F1493" s="120">
        <v>20.18</v>
      </c>
      <c r="G1493" s="119">
        <v>0.10356250018610549</v>
      </c>
    </row>
    <row r="1494" spans="2:7" x14ac:dyDescent="0.2">
      <c r="B1494" s="116" t="s">
        <v>3259</v>
      </c>
      <c r="C1494" s="117" t="s">
        <v>3260</v>
      </c>
      <c r="D1494" s="118" t="s">
        <v>92</v>
      </c>
      <c r="E1494" s="118" t="s">
        <v>351</v>
      </c>
      <c r="F1494" s="120">
        <v>7.6</v>
      </c>
      <c r="G1494" s="119">
        <v>-2.7442054937106362E-2</v>
      </c>
    </row>
    <row r="1495" spans="2:7" x14ac:dyDescent="0.2">
      <c r="B1495" s="116" t="s">
        <v>3261</v>
      </c>
      <c r="C1495" s="117" t="s">
        <v>3262</v>
      </c>
      <c r="D1495" s="118" t="s">
        <v>92</v>
      </c>
      <c r="E1495" s="118" t="s">
        <v>598</v>
      </c>
      <c r="F1495" s="120">
        <v>6.14</v>
      </c>
      <c r="G1495" s="119">
        <v>-8.6206391052823114E-2</v>
      </c>
    </row>
    <row r="1496" spans="2:7" x14ac:dyDescent="0.2">
      <c r="B1496" s="116" t="s">
        <v>3263</v>
      </c>
      <c r="C1496" s="117" t="s">
        <v>3264</v>
      </c>
      <c r="D1496" s="118" t="s">
        <v>78</v>
      </c>
      <c r="E1496" s="118" t="s">
        <v>796</v>
      </c>
      <c r="F1496" s="120"/>
      <c r="G1496" s="119">
        <v>-2.1026411779641301E-2</v>
      </c>
    </row>
    <row r="1497" spans="2:7" x14ac:dyDescent="0.2">
      <c r="B1497" s="116" t="s">
        <v>3265</v>
      </c>
      <c r="C1497" s="117" t="s">
        <v>3266</v>
      </c>
      <c r="D1497" s="118" t="s">
        <v>92</v>
      </c>
      <c r="E1497" s="118" t="s">
        <v>299</v>
      </c>
      <c r="F1497" s="120"/>
      <c r="G1497" s="119">
        <v>-0.1710807551235847</v>
      </c>
    </row>
    <row r="1498" spans="2:7" x14ac:dyDescent="0.2">
      <c r="B1498" s="116" t="s">
        <v>3267</v>
      </c>
      <c r="C1498" s="117" t="s">
        <v>3268</v>
      </c>
      <c r="D1498" s="118" t="s">
        <v>39</v>
      </c>
      <c r="E1498" s="118" t="s">
        <v>979</v>
      </c>
      <c r="F1498" s="120">
        <v>5.0999999999999996</v>
      </c>
      <c r="G1498" s="119">
        <v>8.3815407105258505E-2</v>
      </c>
    </row>
    <row r="1499" spans="2:7" x14ac:dyDescent="0.2">
      <c r="B1499" s="116" t="s">
        <v>3269</v>
      </c>
      <c r="C1499" s="117" t="s">
        <v>3270</v>
      </c>
      <c r="D1499" s="118" t="s">
        <v>68</v>
      </c>
      <c r="E1499" s="118" t="s">
        <v>296</v>
      </c>
      <c r="F1499" s="120">
        <v>14.11</v>
      </c>
      <c r="G1499" s="119">
        <v>7.0657083276242302E-2</v>
      </c>
    </row>
    <row r="1500" spans="2:7" x14ac:dyDescent="0.2">
      <c r="B1500" s="116" t="s">
        <v>3271</v>
      </c>
      <c r="C1500" s="117" t="s">
        <v>3272</v>
      </c>
      <c r="D1500" s="118" t="s">
        <v>92</v>
      </c>
      <c r="E1500" s="118" t="s">
        <v>158</v>
      </c>
      <c r="F1500" s="120">
        <v>2.6</v>
      </c>
      <c r="G1500" s="119">
        <v>4.0213224123809142E-2</v>
      </c>
    </row>
    <row r="1501" spans="2:7" x14ac:dyDescent="0.2">
      <c r="B1501" s="116" t="s">
        <v>3273</v>
      </c>
      <c r="C1501" s="117" t="s">
        <v>3274</v>
      </c>
      <c r="D1501" s="118" t="s">
        <v>48</v>
      </c>
      <c r="E1501" s="118" t="s">
        <v>835</v>
      </c>
      <c r="F1501" s="120">
        <v>-0.87</v>
      </c>
      <c r="G1501" s="119">
        <v>-1.422790688507353E-2</v>
      </c>
    </row>
    <row r="1502" spans="2:7" x14ac:dyDescent="0.2">
      <c r="B1502" s="116" t="s">
        <v>3275</v>
      </c>
      <c r="C1502" s="117" t="s">
        <v>3276</v>
      </c>
      <c r="D1502" s="118" t="s">
        <v>145</v>
      </c>
      <c r="E1502" s="118" t="s">
        <v>179</v>
      </c>
      <c r="F1502" s="120">
        <v>-3.19</v>
      </c>
      <c r="G1502" s="119">
        <v>0.15890959745149141</v>
      </c>
    </row>
    <row r="1503" spans="2:7" x14ac:dyDescent="0.2">
      <c r="B1503" s="116" t="s">
        <v>3277</v>
      </c>
      <c r="C1503" s="117" t="s">
        <v>3278</v>
      </c>
      <c r="D1503" s="118" t="s">
        <v>92</v>
      </c>
      <c r="E1503" s="118" t="s">
        <v>299</v>
      </c>
      <c r="F1503" s="120"/>
      <c r="G1503" s="119">
        <v>-0.17869823393908379</v>
      </c>
    </row>
    <row r="1504" spans="2:7" x14ac:dyDescent="0.2">
      <c r="B1504" s="116" t="s">
        <v>3279</v>
      </c>
      <c r="C1504" s="117" t="s">
        <v>3280</v>
      </c>
      <c r="D1504" s="118" t="s">
        <v>48</v>
      </c>
      <c r="E1504" s="118" t="s">
        <v>1341</v>
      </c>
      <c r="F1504" s="120">
        <v>5.65</v>
      </c>
      <c r="G1504" s="119">
        <v>3.395454850336059E-2</v>
      </c>
    </row>
    <row r="1505" spans="2:7" x14ac:dyDescent="0.2">
      <c r="B1505" s="116" t="s">
        <v>3281</v>
      </c>
      <c r="C1505" s="117" t="s">
        <v>3282</v>
      </c>
      <c r="D1505" s="118" t="s">
        <v>102</v>
      </c>
      <c r="E1505" s="118" t="s">
        <v>424</v>
      </c>
      <c r="F1505" s="120">
        <v>9.36</v>
      </c>
      <c r="G1505" s="119">
        <v>0.16265487510873619</v>
      </c>
    </row>
    <row r="1506" spans="2:7" x14ac:dyDescent="0.2">
      <c r="B1506" s="116" t="s">
        <v>3283</v>
      </c>
      <c r="C1506" s="117" t="s">
        <v>3284</v>
      </c>
      <c r="D1506" s="118" t="s">
        <v>92</v>
      </c>
      <c r="E1506" s="118" t="s">
        <v>461</v>
      </c>
      <c r="F1506" s="120">
        <v>5.21</v>
      </c>
      <c r="G1506" s="119">
        <v>-0.1098311712900097</v>
      </c>
    </row>
    <row r="1507" spans="2:7" x14ac:dyDescent="0.2">
      <c r="B1507" s="116" t="s">
        <v>3285</v>
      </c>
      <c r="C1507" s="117" t="s">
        <v>3286</v>
      </c>
      <c r="D1507" s="118" t="s">
        <v>78</v>
      </c>
      <c r="E1507" s="118" t="s">
        <v>340</v>
      </c>
      <c r="F1507" s="120">
        <v>2.0499999999999998</v>
      </c>
      <c r="G1507" s="119">
        <v>5.0826896794208869E-2</v>
      </c>
    </row>
    <row r="1508" spans="2:7" x14ac:dyDescent="0.2">
      <c r="B1508" s="116" t="s">
        <v>3287</v>
      </c>
      <c r="C1508" s="117" t="s">
        <v>3288</v>
      </c>
      <c r="D1508" s="118" t="s">
        <v>34</v>
      </c>
      <c r="E1508" s="118" t="s">
        <v>982</v>
      </c>
      <c r="F1508" s="120">
        <v>0.19</v>
      </c>
      <c r="G1508" s="119">
        <v>8.5329190824300245E-3</v>
      </c>
    </row>
    <row r="1509" spans="2:7" x14ac:dyDescent="0.2">
      <c r="B1509" s="116" t="s">
        <v>3289</v>
      </c>
      <c r="C1509" s="117" t="s">
        <v>3290</v>
      </c>
      <c r="D1509" s="118" t="s">
        <v>92</v>
      </c>
      <c r="E1509" s="118" t="s">
        <v>722</v>
      </c>
      <c r="F1509" s="120"/>
      <c r="G1509" s="119">
        <v>-3.6962365591397921E-2</v>
      </c>
    </row>
    <row r="1510" spans="2:7" x14ac:dyDescent="0.2">
      <c r="B1510" s="116" t="s">
        <v>3291</v>
      </c>
      <c r="C1510" s="117" t="s">
        <v>3292</v>
      </c>
      <c r="D1510" s="118" t="s">
        <v>68</v>
      </c>
      <c r="E1510" s="118" t="s">
        <v>985</v>
      </c>
      <c r="F1510" s="120">
        <v>5.95</v>
      </c>
      <c r="G1510" s="119">
        <v>-0.15507186386533969</v>
      </c>
    </row>
    <row r="1511" spans="2:7" x14ac:dyDescent="0.2">
      <c r="B1511" s="116" t="s">
        <v>3293</v>
      </c>
      <c r="C1511" s="117" t="s">
        <v>3294</v>
      </c>
      <c r="D1511" s="118" t="s">
        <v>678</v>
      </c>
      <c r="E1511" s="118" t="s">
        <v>679</v>
      </c>
      <c r="F1511" s="120">
        <v>1.43</v>
      </c>
      <c r="G1511" s="119">
        <v>0.1598183203260102</v>
      </c>
    </row>
    <row r="1512" spans="2:7" x14ac:dyDescent="0.2">
      <c r="B1512" s="116" t="s">
        <v>3295</v>
      </c>
      <c r="C1512" s="117" t="s">
        <v>3296</v>
      </c>
      <c r="D1512" s="118" t="s">
        <v>106</v>
      </c>
      <c r="E1512" s="118" t="s">
        <v>131</v>
      </c>
      <c r="F1512" s="120">
        <v>13.69</v>
      </c>
      <c r="G1512" s="119">
        <v>0.1120153054490757</v>
      </c>
    </row>
    <row r="1513" spans="2:7" x14ac:dyDescent="0.2">
      <c r="B1513" s="116" t="s">
        <v>3297</v>
      </c>
      <c r="C1513" s="117" t="s">
        <v>3298</v>
      </c>
      <c r="D1513" s="118" t="s">
        <v>115</v>
      </c>
      <c r="E1513" s="118" t="s">
        <v>806</v>
      </c>
      <c r="F1513" s="120">
        <v>13.69</v>
      </c>
      <c r="G1513" s="119">
        <v>0.5004275741239893</v>
      </c>
    </row>
    <row r="1514" spans="2:7" x14ac:dyDescent="0.2">
      <c r="B1514" s="116" t="s">
        <v>3299</v>
      </c>
      <c r="C1514" s="117" t="s">
        <v>3300</v>
      </c>
      <c r="D1514" s="118" t="s">
        <v>145</v>
      </c>
      <c r="E1514" s="118" t="s">
        <v>1416</v>
      </c>
      <c r="F1514" s="120">
        <v>2.7</v>
      </c>
      <c r="G1514" s="119">
        <v>8.0568822419685604E-2</v>
      </c>
    </row>
    <row r="1515" spans="2:7" x14ac:dyDescent="0.2">
      <c r="B1515" s="116" t="s">
        <v>3301</v>
      </c>
      <c r="C1515" s="117" t="s">
        <v>3302</v>
      </c>
      <c r="D1515" s="118" t="s">
        <v>68</v>
      </c>
      <c r="E1515" s="118" t="s">
        <v>82</v>
      </c>
      <c r="F1515" s="120">
        <v>-1.28</v>
      </c>
      <c r="G1515" s="119">
        <v>9.587609879757461E-2</v>
      </c>
    </row>
    <row r="1516" spans="2:7" x14ac:dyDescent="0.2">
      <c r="B1516" s="116" t="s">
        <v>3303</v>
      </c>
      <c r="C1516" s="117" t="s">
        <v>3304</v>
      </c>
      <c r="D1516" s="118" t="s">
        <v>34</v>
      </c>
      <c r="E1516" s="118" t="s">
        <v>319</v>
      </c>
      <c r="F1516" s="120">
        <v>28.77</v>
      </c>
      <c r="G1516" s="119">
        <v>0.23134613377251481</v>
      </c>
    </row>
    <row r="1517" spans="2:7" x14ac:dyDescent="0.2">
      <c r="B1517" s="116" t="s">
        <v>3305</v>
      </c>
      <c r="C1517" s="117" t="s">
        <v>3306</v>
      </c>
      <c r="D1517" s="118" t="s">
        <v>138</v>
      </c>
      <c r="E1517" s="118" t="s">
        <v>427</v>
      </c>
      <c r="F1517" s="120"/>
      <c r="G1517" s="119">
        <v>-1</v>
      </c>
    </row>
    <row r="1518" spans="2:7" x14ac:dyDescent="0.2">
      <c r="B1518" s="116" t="s">
        <v>3307</v>
      </c>
      <c r="C1518" s="117" t="s">
        <v>3308</v>
      </c>
      <c r="D1518" s="118" t="s">
        <v>138</v>
      </c>
      <c r="E1518" s="118" t="s">
        <v>499</v>
      </c>
      <c r="F1518" s="120">
        <v>-15.12</v>
      </c>
      <c r="G1518" s="119">
        <v>-1.7935281752146141E-2</v>
      </c>
    </row>
    <row r="1519" spans="2:7" x14ac:dyDescent="0.2">
      <c r="B1519" s="116" t="s">
        <v>3309</v>
      </c>
      <c r="C1519" s="117" t="s">
        <v>3310</v>
      </c>
      <c r="D1519" s="118" t="s">
        <v>92</v>
      </c>
      <c r="E1519" s="118" t="s">
        <v>272</v>
      </c>
      <c r="F1519" s="120">
        <v>-5.0199999999999996</v>
      </c>
      <c r="G1519" s="119">
        <v>-7.3044114256639201E-3</v>
      </c>
    </row>
    <row r="1520" spans="2:7" x14ac:dyDescent="0.2">
      <c r="B1520" s="116" t="s">
        <v>3311</v>
      </c>
      <c r="C1520" s="117" t="s">
        <v>3312</v>
      </c>
      <c r="D1520" s="118" t="s">
        <v>115</v>
      </c>
      <c r="E1520" s="118" t="s">
        <v>899</v>
      </c>
      <c r="F1520" s="120">
        <v>2.0699999999999998</v>
      </c>
      <c r="G1520" s="119">
        <v>-0.14422056502217551</v>
      </c>
    </row>
    <row r="1521" spans="2:7" x14ac:dyDescent="0.2">
      <c r="B1521" s="116" t="s">
        <v>3313</v>
      </c>
      <c r="C1521" s="117" t="s">
        <v>3314</v>
      </c>
      <c r="D1521" s="118" t="s">
        <v>34</v>
      </c>
      <c r="E1521" s="118" t="s">
        <v>1493</v>
      </c>
      <c r="F1521" s="120">
        <v>5.4</v>
      </c>
      <c r="G1521" s="119">
        <v>0.1331051793512463</v>
      </c>
    </row>
    <row r="1522" spans="2:7" x14ac:dyDescent="0.2">
      <c r="B1522" s="116" t="s">
        <v>3315</v>
      </c>
      <c r="C1522" s="117" t="s">
        <v>3316</v>
      </c>
      <c r="D1522" s="118" t="s">
        <v>115</v>
      </c>
      <c r="E1522" s="118" t="s">
        <v>1086</v>
      </c>
      <c r="F1522" s="120">
        <v>-1.35</v>
      </c>
      <c r="G1522" s="119">
        <v>-7.3825048288650458E-3</v>
      </c>
    </row>
    <row r="1523" spans="2:7" x14ac:dyDescent="0.2">
      <c r="B1523" s="116" t="s">
        <v>3317</v>
      </c>
      <c r="C1523" s="117" t="s">
        <v>3318</v>
      </c>
      <c r="D1523" s="118" t="s">
        <v>34</v>
      </c>
      <c r="E1523" s="118" t="s">
        <v>287</v>
      </c>
      <c r="F1523" s="120">
        <v>-12.49</v>
      </c>
      <c r="G1523" s="119">
        <v>3.4380279571795153E-2</v>
      </c>
    </row>
    <row r="1524" spans="2:7" x14ac:dyDescent="0.2">
      <c r="B1524" s="116" t="s">
        <v>3319</v>
      </c>
      <c r="C1524" s="117" t="s">
        <v>3320</v>
      </c>
      <c r="D1524" s="118" t="s">
        <v>92</v>
      </c>
      <c r="E1524" s="118" t="s">
        <v>272</v>
      </c>
      <c r="F1524" s="120"/>
      <c r="G1524" s="119">
        <v>-1.1239648989955249E-2</v>
      </c>
    </row>
    <row r="1525" spans="2:7" x14ac:dyDescent="0.2">
      <c r="B1525" s="116" t="s">
        <v>3321</v>
      </c>
      <c r="C1525" s="117" t="s">
        <v>3322</v>
      </c>
      <c r="D1525" s="118" t="s">
        <v>34</v>
      </c>
      <c r="E1525" s="118" t="s">
        <v>1448</v>
      </c>
      <c r="F1525" s="120">
        <v>33.06</v>
      </c>
      <c r="G1525" s="119">
        <v>5.3270973278561902E-2</v>
      </c>
    </row>
    <row r="1526" spans="2:7" x14ac:dyDescent="0.2">
      <c r="B1526" s="116" t="s">
        <v>3323</v>
      </c>
      <c r="C1526" s="117" t="s">
        <v>3324</v>
      </c>
      <c r="D1526" s="118" t="s">
        <v>92</v>
      </c>
      <c r="E1526" s="118" t="s">
        <v>434</v>
      </c>
      <c r="F1526" s="120">
        <v>24.02</v>
      </c>
      <c r="G1526" s="119">
        <v>-0.45750297543008012</v>
      </c>
    </row>
    <row r="1527" spans="2:7" x14ac:dyDescent="0.2">
      <c r="B1527" s="116" t="s">
        <v>3325</v>
      </c>
      <c r="C1527" s="117" t="s">
        <v>3326</v>
      </c>
      <c r="D1527" s="118" t="s">
        <v>138</v>
      </c>
      <c r="E1527" s="118" t="s">
        <v>499</v>
      </c>
      <c r="F1527" s="120">
        <v>-1.83</v>
      </c>
      <c r="G1527" s="119">
        <v>-1.9710769910062341E-2</v>
      </c>
    </row>
    <row r="1528" spans="2:7" x14ac:dyDescent="0.2">
      <c r="B1528" s="116" t="s">
        <v>3327</v>
      </c>
      <c r="C1528" s="117" t="s">
        <v>3328</v>
      </c>
      <c r="D1528" s="118" t="s">
        <v>138</v>
      </c>
      <c r="E1528" s="118" t="s">
        <v>499</v>
      </c>
      <c r="F1528" s="120"/>
      <c r="G1528" s="119">
        <v>5.1083788900470203E-2</v>
      </c>
    </row>
    <row r="1529" spans="2:7" x14ac:dyDescent="0.2">
      <c r="B1529" s="116" t="s">
        <v>3329</v>
      </c>
      <c r="C1529" s="117" t="s">
        <v>3330</v>
      </c>
      <c r="D1529" s="118" t="s">
        <v>233</v>
      </c>
      <c r="E1529" s="118" t="s">
        <v>234</v>
      </c>
      <c r="F1529" s="120"/>
      <c r="G1529" s="119">
        <v>-1</v>
      </c>
    </row>
    <row r="1530" spans="2:7" x14ac:dyDescent="0.2">
      <c r="B1530" s="116" t="s">
        <v>3331</v>
      </c>
      <c r="C1530" s="117" t="s">
        <v>3332</v>
      </c>
      <c r="D1530" s="118" t="s">
        <v>241</v>
      </c>
      <c r="E1530" s="118" t="s">
        <v>1216</v>
      </c>
      <c r="F1530" s="120">
        <v>-0.35</v>
      </c>
      <c r="G1530" s="119">
        <v>-8.7090219767074276E-2</v>
      </c>
    </row>
    <row r="1531" spans="2:7" x14ac:dyDescent="0.2">
      <c r="B1531" s="116" t="s">
        <v>3333</v>
      </c>
      <c r="C1531" s="117" t="s">
        <v>3334</v>
      </c>
      <c r="D1531" s="118" t="s">
        <v>145</v>
      </c>
      <c r="E1531" s="118" t="s">
        <v>3335</v>
      </c>
      <c r="F1531" s="120"/>
      <c r="G1531" s="119">
        <v>-3.199268941028173E-2</v>
      </c>
    </row>
    <row r="1532" spans="2:7" x14ac:dyDescent="0.2">
      <c r="B1532" s="116" t="s">
        <v>3336</v>
      </c>
      <c r="C1532" s="117" t="s">
        <v>3337</v>
      </c>
      <c r="D1532" s="118" t="s">
        <v>233</v>
      </c>
      <c r="E1532" s="118" t="s">
        <v>234</v>
      </c>
      <c r="F1532" s="120">
        <v>10.08</v>
      </c>
      <c r="G1532" s="119">
        <v>3.315215790183471E-3</v>
      </c>
    </row>
    <row r="1533" spans="2:7" x14ac:dyDescent="0.2">
      <c r="B1533" s="116" t="s">
        <v>3338</v>
      </c>
      <c r="C1533" s="117" t="s">
        <v>3339</v>
      </c>
      <c r="D1533" s="118" t="s">
        <v>92</v>
      </c>
      <c r="E1533" s="118" t="s">
        <v>399</v>
      </c>
      <c r="F1533" s="120">
        <v>15.54</v>
      </c>
      <c r="G1533" s="119">
        <v>-0.18850463929482719</v>
      </c>
    </row>
    <row r="1534" spans="2:7" x14ac:dyDescent="0.2">
      <c r="B1534" s="116" t="s">
        <v>3340</v>
      </c>
      <c r="C1534" s="117" t="s">
        <v>3341</v>
      </c>
      <c r="D1534" s="118" t="s">
        <v>102</v>
      </c>
      <c r="E1534" s="118" t="s">
        <v>176</v>
      </c>
      <c r="F1534" s="120">
        <v>9.6199999999999992</v>
      </c>
      <c r="G1534" s="119">
        <v>0.11592765014704989</v>
      </c>
    </row>
    <row r="1535" spans="2:7" x14ac:dyDescent="0.2">
      <c r="B1535" s="116" t="s">
        <v>3342</v>
      </c>
      <c r="C1535" s="117" t="s">
        <v>3343</v>
      </c>
      <c r="D1535" s="118" t="s">
        <v>39</v>
      </c>
      <c r="E1535" s="118" t="s">
        <v>3183</v>
      </c>
      <c r="F1535" s="120">
        <v>-1.48</v>
      </c>
      <c r="G1535" s="119">
        <v>5.9416627374743493E-2</v>
      </c>
    </row>
    <row r="1536" spans="2:7" x14ac:dyDescent="0.2">
      <c r="B1536" s="116" t="s">
        <v>3344</v>
      </c>
      <c r="C1536" s="117" t="s">
        <v>3345</v>
      </c>
      <c r="D1536" s="118" t="s">
        <v>34</v>
      </c>
      <c r="E1536" s="118" t="s">
        <v>99</v>
      </c>
      <c r="F1536" s="120">
        <v>10.6</v>
      </c>
      <c r="G1536" s="119">
        <v>0.1173221116558949</v>
      </c>
    </row>
    <row r="1537" spans="2:7" x14ac:dyDescent="0.2">
      <c r="B1537" s="116" t="s">
        <v>3346</v>
      </c>
      <c r="C1537" s="117" t="s">
        <v>3347</v>
      </c>
      <c r="D1537" s="118" t="s">
        <v>92</v>
      </c>
      <c r="E1537" s="118" t="s">
        <v>272</v>
      </c>
      <c r="F1537" s="120">
        <v>-5.04</v>
      </c>
      <c r="G1537" s="119">
        <v>-6.9368508864363118E-2</v>
      </c>
    </row>
    <row r="1538" spans="2:7" x14ac:dyDescent="0.2">
      <c r="B1538" s="116" t="s">
        <v>3348</v>
      </c>
      <c r="C1538" s="117" t="s">
        <v>3349</v>
      </c>
      <c r="D1538" s="118" t="s">
        <v>241</v>
      </c>
      <c r="E1538" s="118" t="s">
        <v>306</v>
      </c>
      <c r="F1538" s="120">
        <v>45.19</v>
      </c>
      <c r="G1538" s="119">
        <v>0.1076691018627519</v>
      </c>
    </row>
    <row r="1539" spans="2:7" x14ac:dyDescent="0.2">
      <c r="B1539" s="116" t="s">
        <v>3350</v>
      </c>
      <c r="C1539" s="117" t="s">
        <v>3351</v>
      </c>
      <c r="D1539" s="118" t="s">
        <v>34</v>
      </c>
      <c r="E1539" s="118" t="s">
        <v>278</v>
      </c>
      <c r="F1539" s="120"/>
      <c r="G1539" s="119">
        <v>3.1743373073415508E-3</v>
      </c>
    </row>
    <row r="1540" spans="2:7" x14ac:dyDescent="0.2">
      <c r="B1540" s="116" t="s">
        <v>3352</v>
      </c>
      <c r="C1540" s="117" t="s">
        <v>3353</v>
      </c>
      <c r="D1540" s="118" t="s">
        <v>241</v>
      </c>
      <c r="E1540" s="118" t="s">
        <v>1634</v>
      </c>
      <c r="F1540" s="120"/>
      <c r="G1540" s="119">
        <v>-3.850617583930669E-2</v>
      </c>
    </row>
    <row r="1541" spans="2:7" x14ac:dyDescent="0.2">
      <c r="B1541" s="116" t="s">
        <v>3354</v>
      </c>
      <c r="C1541" s="117" t="s">
        <v>3355</v>
      </c>
      <c r="D1541" s="118" t="s">
        <v>92</v>
      </c>
      <c r="E1541" s="118" t="s">
        <v>378</v>
      </c>
      <c r="F1541" s="120">
        <v>-4.66</v>
      </c>
      <c r="G1541" s="119">
        <v>-0.86168498825463935</v>
      </c>
    </row>
    <row r="1542" spans="2:7" x14ac:dyDescent="0.2">
      <c r="B1542" s="116" t="s">
        <v>3356</v>
      </c>
      <c r="C1542" s="117" t="s">
        <v>3357</v>
      </c>
      <c r="D1542" s="118" t="s">
        <v>34</v>
      </c>
      <c r="E1542" s="118" t="s">
        <v>99</v>
      </c>
      <c r="F1542" s="120">
        <v>2.41</v>
      </c>
      <c r="G1542" s="119">
        <v>0.1144923683675544</v>
      </c>
    </row>
    <row r="1543" spans="2:7" x14ac:dyDescent="0.2">
      <c r="B1543" s="116" t="s">
        <v>3358</v>
      </c>
      <c r="C1543" s="117" t="s">
        <v>3359</v>
      </c>
      <c r="D1543" s="118" t="s">
        <v>106</v>
      </c>
      <c r="E1543" s="118" t="s">
        <v>563</v>
      </c>
      <c r="F1543" s="120">
        <v>7.05</v>
      </c>
      <c r="G1543" s="119">
        <v>7.9473516763391996E-2</v>
      </c>
    </row>
    <row r="1544" spans="2:7" x14ac:dyDescent="0.2">
      <c r="B1544" s="116" t="s">
        <v>3360</v>
      </c>
      <c r="C1544" s="117" t="s">
        <v>3361</v>
      </c>
      <c r="D1544" s="118" t="s">
        <v>34</v>
      </c>
      <c r="E1544" s="118" t="s">
        <v>1493</v>
      </c>
      <c r="F1544" s="120">
        <v>4.59</v>
      </c>
      <c r="G1544" s="119">
        <v>1.436825600632104E-2</v>
      </c>
    </row>
    <row r="1545" spans="2:7" x14ac:dyDescent="0.2">
      <c r="B1545" s="116" t="s">
        <v>3362</v>
      </c>
      <c r="C1545" s="117" t="s">
        <v>3363</v>
      </c>
      <c r="D1545" s="118" t="s">
        <v>68</v>
      </c>
      <c r="E1545" s="118" t="s">
        <v>87</v>
      </c>
      <c r="F1545" s="120">
        <v>47.9</v>
      </c>
      <c r="G1545" s="119">
        <v>0.2169152415015094</v>
      </c>
    </row>
    <row r="1546" spans="2:7" x14ac:dyDescent="0.2">
      <c r="B1546" s="116" t="s">
        <v>3364</v>
      </c>
      <c r="C1546" s="117" t="s">
        <v>3365</v>
      </c>
      <c r="D1546" s="118" t="s">
        <v>34</v>
      </c>
      <c r="E1546" s="118" t="s">
        <v>1253</v>
      </c>
      <c r="F1546" s="120">
        <v>8.9600000000000009</v>
      </c>
      <c r="G1546" s="119">
        <v>0.1237407192519315</v>
      </c>
    </row>
    <row r="1547" spans="2:7" x14ac:dyDescent="0.2">
      <c r="B1547" s="116" t="s">
        <v>3366</v>
      </c>
      <c r="C1547" s="117" t="s">
        <v>3367</v>
      </c>
      <c r="D1547" s="118" t="s">
        <v>145</v>
      </c>
      <c r="E1547" s="118" t="s">
        <v>360</v>
      </c>
      <c r="F1547" s="120">
        <v>15.27</v>
      </c>
      <c r="G1547" s="119">
        <v>-3.6653792902426548E-2</v>
      </c>
    </row>
    <row r="1548" spans="2:7" x14ac:dyDescent="0.2">
      <c r="B1548" s="116" t="s">
        <v>3368</v>
      </c>
      <c r="C1548" s="117" t="s">
        <v>3369</v>
      </c>
      <c r="D1548" s="118" t="s">
        <v>138</v>
      </c>
      <c r="E1548" s="118" t="s">
        <v>139</v>
      </c>
      <c r="F1548" s="120">
        <v>39.33</v>
      </c>
      <c r="G1548" s="119">
        <v>0.38271926509186349</v>
      </c>
    </row>
    <row r="1549" spans="2:7" x14ac:dyDescent="0.2">
      <c r="B1549" s="116" t="s">
        <v>3370</v>
      </c>
      <c r="C1549" s="117" t="s">
        <v>3371</v>
      </c>
      <c r="D1549" s="118" t="s">
        <v>92</v>
      </c>
      <c r="E1549" s="118" t="s">
        <v>272</v>
      </c>
      <c r="F1549" s="120">
        <v>4.05</v>
      </c>
      <c r="G1549" s="119">
        <v>6.6500890328127036E-3</v>
      </c>
    </row>
    <row r="1550" spans="2:7" x14ac:dyDescent="0.2">
      <c r="B1550" s="116" t="s">
        <v>3372</v>
      </c>
      <c r="C1550" s="117" t="s">
        <v>3373</v>
      </c>
      <c r="D1550" s="118" t="s">
        <v>145</v>
      </c>
      <c r="E1550" s="118" t="s">
        <v>360</v>
      </c>
      <c r="F1550" s="120">
        <v>7.83</v>
      </c>
      <c r="G1550" s="119">
        <v>4.5418809628008837E-2</v>
      </c>
    </row>
    <row r="1551" spans="2:7" x14ac:dyDescent="0.2">
      <c r="B1551" s="116" t="s">
        <v>3374</v>
      </c>
      <c r="C1551" s="117" t="s">
        <v>3375</v>
      </c>
      <c r="D1551" s="118" t="s">
        <v>233</v>
      </c>
      <c r="E1551" s="118" t="s">
        <v>469</v>
      </c>
      <c r="F1551" s="120">
        <v>1.99</v>
      </c>
      <c r="G1551" s="119">
        <v>-2.8067741792920379E-2</v>
      </c>
    </row>
    <row r="1552" spans="2:7" x14ac:dyDescent="0.2">
      <c r="B1552" s="116" t="s">
        <v>3376</v>
      </c>
      <c r="C1552" s="117" t="s">
        <v>3377</v>
      </c>
      <c r="D1552" s="118" t="s">
        <v>34</v>
      </c>
      <c r="E1552" s="118" t="s">
        <v>982</v>
      </c>
      <c r="F1552" s="120">
        <v>0.28000000000000003</v>
      </c>
      <c r="G1552" s="119">
        <v>3.7978649427263629E-3</v>
      </c>
    </row>
    <row r="1553" spans="2:7" x14ac:dyDescent="0.2">
      <c r="B1553" s="116" t="s">
        <v>3378</v>
      </c>
      <c r="C1553" s="117" t="s">
        <v>3379</v>
      </c>
      <c r="D1553" s="118" t="s">
        <v>52</v>
      </c>
      <c r="E1553" s="118" t="s">
        <v>281</v>
      </c>
      <c r="F1553" s="120">
        <v>48.58</v>
      </c>
      <c r="G1553" s="119">
        <v>0.35920261919969548</v>
      </c>
    </row>
    <row r="1554" spans="2:7" x14ac:dyDescent="0.2">
      <c r="B1554" s="116" t="s">
        <v>3380</v>
      </c>
      <c r="C1554" s="117" t="s">
        <v>3381</v>
      </c>
      <c r="D1554" s="118" t="s">
        <v>48</v>
      </c>
      <c r="E1554" s="118" t="s">
        <v>207</v>
      </c>
      <c r="F1554" s="120">
        <v>11.75</v>
      </c>
      <c r="G1554" s="119">
        <v>0.90231904068934699</v>
      </c>
    </row>
    <row r="1555" spans="2:7" x14ac:dyDescent="0.2">
      <c r="B1555" s="116" t="s">
        <v>3382</v>
      </c>
      <c r="C1555" s="117" t="s">
        <v>3383</v>
      </c>
      <c r="D1555" s="118" t="s">
        <v>92</v>
      </c>
      <c r="E1555" s="118" t="s">
        <v>598</v>
      </c>
      <c r="F1555" s="120">
        <v>25.44</v>
      </c>
      <c r="G1555" s="119">
        <v>1.1012493033624461E-2</v>
      </c>
    </row>
    <row r="1556" spans="2:7" x14ac:dyDescent="0.2">
      <c r="B1556" s="116" t="s">
        <v>3384</v>
      </c>
      <c r="C1556" s="117" t="s">
        <v>3385</v>
      </c>
      <c r="D1556" s="118" t="s">
        <v>34</v>
      </c>
      <c r="E1556" s="118" t="s">
        <v>628</v>
      </c>
      <c r="F1556" s="120">
        <v>4.95</v>
      </c>
      <c r="G1556" s="119">
        <v>8.4213510308150073E-3</v>
      </c>
    </row>
    <row r="1557" spans="2:7" x14ac:dyDescent="0.2">
      <c r="B1557" s="116" t="s">
        <v>3386</v>
      </c>
      <c r="C1557" s="117" t="s">
        <v>3387</v>
      </c>
      <c r="D1557" s="118" t="s">
        <v>34</v>
      </c>
      <c r="E1557" s="118" t="s">
        <v>2856</v>
      </c>
      <c r="F1557" s="120">
        <v>50.62</v>
      </c>
      <c r="G1557" s="119">
        <v>6.6084206177408428E-2</v>
      </c>
    </row>
    <row r="1558" spans="2:7" x14ac:dyDescent="0.2">
      <c r="B1558" s="116" t="s">
        <v>3388</v>
      </c>
      <c r="C1558" s="117" t="s">
        <v>3389</v>
      </c>
      <c r="D1558" s="118" t="s">
        <v>233</v>
      </c>
      <c r="E1558" s="118" t="s">
        <v>234</v>
      </c>
      <c r="F1558" s="120">
        <v>8.68</v>
      </c>
      <c r="G1558" s="119">
        <v>-3.0655995823544741E-2</v>
      </c>
    </row>
    <row r="1559" spans="2:7" x14ac:dyDescent="0.2">
      <c r="B1559" s="116" t="s">
        <v>3390</v>
      </c>
      <c r="C1559" s="117" t="s">
        <v>3391</v>
      </c>
      <c r="D1559" s="118" t="s">
        <v>92</v>
      </c>
      <c r="E1559" s="118" t="s">
        <v>299</v>
      </c>
      <c r="F1559" s="120"/>
      <c r="G1559" s="119">
        <v>-0.46312082201783822</v>
      </c>
    </row>
    <row r="1560" spans="2:7" x14ac:dyDescent="0.2">
      <c r="B1560" s="116" t="s">
        <v>3392</v>
      </c>
      <c r="C1560" s="117" t="s">
        <v>3393</v>
      </c>
      <c r="D1560" s="118" t="s">
        <v>92</v>
      </c>
      <c r="E1560" s="118" t="s">
        <v>399</v>
      </c>
      <c r="F1560" s="120">
        <v>9.6300000000000008</v>
      </c>
      <c r="G1560" s="119">
        <v>-5.8387686603425262E-2</v>
      </c>
    </row>
    <row r="1561" spans="2:7" x14ac:dyDescent="0.2">
      <c r="B1561" s="116" t="s">
        <v>3394</v>
      </c>
      <c r="C1561" s="117" t="s">
        <v>3395</v>
      </c>
      <c r="D1561" s="118" t="s">
        <v>68</v>
      </c>
      <c r="E1561" s="118" t="s">
        <v>296</v>
      </c>
      <c r="F1561" s="120">
        <v>13.21</v>
      </c>
      <c r="G1561" s="119">
        <v>0.33693659872343151</v>
      </c>
    </row>
    <row r="1562" spans="2:7" x14ac:dyDescent="0.2">
      <c r="B1562" s="116" t="s">
        <v>3396</v>
      </c>
      <c r="C1562" s="117" t="s">
        <v>3397</v>
      </c>
      <c r="D1562" s="118" t="s">
        <v>106</v>
      </c>
      <c r="E1562" s="118" t="s">
        <v>842</v>
      </c>
      <c r="F1562" s="120">
        <v>30.2</v>
      </c>
      <c r="G1562" s="119">
        <v>9.1830117775150655E-2</v>
      </c>
    </row>
    <row r="1563" spans="2:7" x14ac:dyDescent="0.2">
      <c r="B1563" s="116" t="s">
        <v>3398</v>
      </c>
      <c r="C1563" s="117" t="s">
        <v>3399</v>
      </c>
      <c r="D1563" s="118" t="s">
        <v>34</v>
      </c>
      <c r="E1563" s="118" t="s">
        <v>319</v>
      </c>
      <c r="F1563" s="120">
        <v>36.68</v>
      </c>
      <c r="G1563" s="119">
        <v>0.2683627869235839</v>
      </c>
    </row>
    <row r="1564" spans="2:7" x14ac:dyDescent="0.2">
      <c r="B1564" s="116" t="s">
        <v>3400</v>
      </c>
      <c r="C1564" s="117" t="s">
        <v>3401</v>
      </c>
      <c r="D1564" s="118" t="s">
        <v>34</v>
      </c>
      <c r="E1564" s="118" t="s">
        <v>2334</v>
      </c>
      <c r="F1564" s="120">
        <v>8.4499999999999993</v>
      </c>
      <c r="G1564" s="119">
        <v>-5.5308527973920579E-4</v>
      </c>
    </row>
    <row r="1565" spans="2:7" x14ac:dyDescent="0.2">
      <c r="B1565" s="116" t="s">
        <v>3402</v>
      </c>
      <c r="C1565" s="117" t="s">
        <v>3403</v>
      </c>
      <c r="D1565" s="118" t="s">
        <v>138</v>
      </c>
      <c r="E1565" s="118" t="s">
        <v>139</v>
      </c>
      <c r="F1565" s="120">
        <v>11.86</v>
      </c>
      <c r="G1565" s="119">
        <v>8.2948356012760675E-3</v>
      </c>
    </row>
    <row r="1566" spans="2:7" x14ac:dyDescent="0.2">
      <c r="B1566" s="116" t="s">
        <v>3404</v>
      </c>
      <c r="C1566" s="117" t="s">
        <v>3405</v>
      </c>
      <c r="D1566" s="118" t="s">
        <v>102</v>
      </c>
      <c r="E1566" s="118" t="s">
        <v>103</v>
      </c>
      <c r="F1566" s="120"/>
      <c r="G1566" s="119">
        <v>5.9421802802946663E-2</v>
      </c>
    </row>
    <row r="1567" spans="2:7" x14ac:dyDescent="0.2">
      <c r="B1567" s="116" t="s">
        <v>3406</v>
      </c>
      <c r="C1567" s="117" t="s">
        <v>3407</v>
      </c>
      <c r="D1567" s="118" t="s">
        <v>92</v>
      </c>
      <c r="E1567" s="118" t="s">
        <v>272</v>
      </c>
      <c r="F1567" s="120">
        <v>8.2799999999999994</v>
      </c>
      <c r="G1567" s="119">
        <v>0.1014840697798107</v>
      </c>
    </row>
    <row r="1568" spans="2:7" x14ac:dyDescent="0.2">
      <c r="B1568" s="116" t="s">
        <v>3408</v>
      </c>
      <c r="C1568" s="117" t="s">
        <v>3409</v>
      </c>
      <c r="D1568" s="118" t="s">
        <v>52</v>
      </c>
      <c r="E1568" s="118" t="s">
        <v>725</v>
      </c>
      <c r="F1568" s="120">
        <v>-8.0500000000000007</v>
      </c>
      <c r="G1568" s="119">
        <v>6.7730197365938355E-2</v>
      </c>
    </row>
    <row r="1569" spans="2:7" x14ac:dyDescent="0.2">
      <c r="B1569" s="116" t="s">
        <v>3410</v>
      </c>
      <c r="C1569" s="117" t="s">
        <v>3411</v>
      </c>
      <c r="D1569" s="118" t="s">
        <v>241</v>
      </c>
      <c r="E1569" s="118" t="s">
        <v>2596</v>
      </c>
      <c r="F1569" s="120">
        <v>13.85</v>
      </c>
      <c r="G1569" s="119">
        <v>0.43959641356995011</v>
      </c>
    </row>
    <row r="1570" spans="2:7" x14ac:dyDescent="0.2">
      <c r="B1570" s="116" t="s">
        <v>3412</v>
      </c>
      <c r="C1570" s="117" t="s">
        <v>3413</v>
      </c>
      <c r="D1570" s="118" t="s">
        <v>106</v>
      </c>
      <c r="E1570" s="118" t="s">
        <v>131</v>
      </c>
      <c r="F1570" s="120">
        <v>17.43</v>
      </c>
      <c r="G1570" s="119">
        <v>0.16269829965698351</v>
      </c>
    </row>
    <row r="1571" spans="2:7" x14ac:dyDescent="0.2">
      <c r="B1571" s="116" t="s">
        <v>3414</v>
      </c>
      <c r="C1571" s="117" t="s">
        <v>3415</v>
      </c>
      <c r="D1571" s="118" t="s">
        <v>92</v>
      </c>
      <c r="E1571" s="118" t="s">
        <v>195</v>
      </c>
      <c r="F1571" s="120">
        <v>-0.51</v>
      </c>
      <c r="G1571" s="119">
        <v>-1</v>
      </c>
    </row>
    <row r="1572" spans="2:7" x14ac:dyDescent="0.2">
      <c r="B1572" s="116" t="s">
        <v>3416</v>
      </c>
      <c r="C1572" s="117" t="s">
        <v>3417</v>
      </c>
      <c r="D1572" s="118" t="s">
        <v>92</v>
      </c>
      <c r="E1572" s="118" t="s">
        <v>461</v>
      </c>
      <c r="F1572" s="120">
        <v>3.61</v>
      </c>
      <c r="G1572" s="119">
        <v>-0.17488411903819509</v>
      </c>
    </row>
    <row r="1573" spans="2:7" x14ac:dyDescent="0.2">
      <c r="B1573" s="116" t="s">
        <v>3418</v>
      </c>
      <c r="C1573" s="117" t="s">
        <v>3419</v>
      </c>
      <c r="D1573" s="118" t="s">
        <v>115</v>
      </c>
      <c r="E1573" s="118" t="s">
        <v>806</v>
      </c>
      <c r="F1573" s="120"/>
      <c r="G1573" s="119">
        <v>0.1084458779443255</v>
      </c>
    </row>
    <row r="1574" spans="2:7" x14ac:dyDescent="0.2">
      <c r="B1574" s="116" t="s">
        <v>3420</v>
      </c>
      <c r="C1574" s="117" t="s">
        <v>3421</v>
      </c>
      <c r="D1574" s="118" t="s">
        <v>115</v>
      </c>
      <c r="E1574" s="118" t="s">
        <v>1201</v>
      </c>
      <c r="F1574" s="120">
        <v>1.17</v>
      </c>
      <c r="G1574" s="119">
        <v>-2.992690355088656E-2</v>
      </c>
    </row>
    <row r="1575" spans="2:7" x14ac:dyDescent="0.2">
      <c r="B1575" s="116" t="s">
        <v>3422</v>
      </c>
      <c r="C1575" s="117" t="s">
        <v>3423</v>
      </c>
      <c r="D1575" s="118" t="s">
        <v>68</v>
      </c>
      <c r="E1575" s="118" t="s">
        <v>75</v>
      </c>
      <c r="F1575" s="120"/>
      <c r="G1575" s="119">
        <v>4.4471962172371177E-2</v>
      </c>
    </row>
    <row r="1576" spans="2:7" x14ac:dyDescent="0.2">
      <c r="B1576" s="116" t="s">
        <v>3424</v>
      </c>
      <c r="C1576" s="117" t="s">
        <v>3425</v>
      </c>
      <c r="D1576" s="118" t="s">
        <v>34</v>
      </c>
      <c r="E1576" s="118" t="s">
        <v>990</v>
      </c>
      <c r="F1576" s="120">
        <v>2.76</v>
      </c>
      <c r="G1576" s="119">
        <v>2.8391787274229759E-2</v>
      </c>
    </row>
    <row r="1577" spans="2:7" x14ac:dyDescent="0.2">
      <c r="B1577" s="116" t="s">
        <v>3426</v>
      </c>
      <c r="C1577" s="117" t="s">
        <v>3427</v>
      </c>
      <c r="D1577" s="118" t="s">
        <v>34</v>
      </c>
      <c r="E1577" s="118" t="s">
        <v>245</v>
      </c>
      <c r="F1577" s="120">
        <v>43.39</v>
      </c>
      <c r="G1577" s="119">
        <v>0.26640881232400182</v>
      </c>
    </row>
    <row r="1578" spans="2:7" x14ac:dyDescent="0.2">
      <c r="B1578" s="116" t="s">
        <v>3428</v>
      </c>
      <c r="C1578" s="117" t="s">
        <v>3429</v>
      </c>
      <c r="D1578" s="118" t="s">
        <v>48</v>
      </c>
      <c r="E1578" s="118" t="s">
        <v>835</v>
      </c>
      <c r="F1578" s="120"/>
      <c r="G1578" s="119">
        <v>4.3216731629854163E-2</v>
      </c>
    </row>
    <row r="1579" spans="2:7" x14ac:dyDescent="0.2">
      <c r="B1579" s="116" t="s">
        <v>3430</v>
      </c>
      <c r="C1579" s="117" t="s">
        <v>3431</v>
      </c>
      <c r="D1579" s="118" t="s">
        <v>145</v>
      </c>
      <c r="E1579" s="118" t="s">
        <v>917</v>
      </c>
      <c r="F1579" s="120">
        <v>20.94</v>
      </c>
      <c r="G1579" s="119">
        <v>-2.645856745801977E-2</v>
      </c>
    </row>
    <row r="1580" spans="2:7" x14ac:dyDescent="0.2">
      <c r="B1580" s="116" t="s">
        <v>3432</v>
      </c>
      <c r="C1580" s="117" t="s">
        <v>3433</v>
      </c>
      <c r="D1580" s="118" t="s">
        <v>92</v>
      </c>
      <c r="E1580" s="118" t="s">
        <v>192</v>
      </c>
      <c r="F1580" s="120">
        <v>24.3</v>
      </c>
      <c r="G1580" s="119">
        <v>5.8127091507106703E-2</v>
      </c>
    </row>
    <row r="1581" spans="2:7" x14ac:dyDescent="0.2">
      <c r="B1581" s="116" t="s">
        <v>3434</v>
      </c>
      <c r="C1581" s="117" t="s">
        <v>3435</v>
      </c>
      <c r="D1581" s="118" t="s">
        <v>106</v>
      </c>
      <c r="E1581" s="118" t="s">
        <v>842</v>
      </c>
      <c r="F1581" s="120">
        <v>2.73</v>
      </c>
      <c r="G1581" s="119">
        <v>4.810418264717712E-2</v>
      </c>
    </row>
    <row r="1582" spans="2:7" x14ac:dyDescent="0.2">
      <c r="B1582" s="116" t="s">
        <v>3436</v>
      </c>
      <c r="C1582" s="117" t="s">
        <v>3437</v>
      </c>
      <c r="D1582" s="118" t="s">
        <v>241</v>
      </c>
      <c r="E1582" s="118" t="s">
        <v>937</v>
      </c>
      <c r="F1582" s="120">
        <v>3.87</v>
      </c>
      <c r="G1582" s="119">
        <v>-3.348892125259044E-2</v>
      </c>
    </row>
    <row r="1583" spans="2:7" x14ac:dyDescent="0.2">
      <c r="B1583" s="116" t="s">
        <v>3438</v>
      </c>
      <c r="C1583" s="117" t="s">
        <v>3439</v>
      </c>
      <c r="D1583" s="118" t="s">
        <v>52</v>
      </c>
      <c r="E1583" s="118" t="s">
        <v>714</v>
      </c>
      <c r="F1583" s="120">
        <v>0.18</v>
      </c>
      <c r="G1583" s="119">
        <v>8.3248312648454947E-2</v>
      </c>
    </row>
    <row r="1584" spans="2:7" x14ac:dyDescent="0.2">
      <c r="B1584" s="116" t="s">
        <v>3440</v>
      </c>
      <c r="C1584" s="117" t="s">
        <v>3441</v>
      </c>
      <c r="D1584" s="118" t="s">
        <v>52</v>
      </c>
      <c r="E1584" s="118" t="s">
        <v>714</v>
      </c>
      <c r="F1584" s="120">
        <v>1.6</v>
      </c>
      <c r="G1584" s="119">
        <v>2.3776377562426489E-2</v>
      </c>
    </row>
    <row r="1585" spans="2:7" x14ac:dyDescent="0.2">
      <c r="B1585" s="116" t="s">
        <v>3442</v>
      </c>
      <c r="C1585" s="117" t="s">
        <v>3443</v>
      </c>
      <c r="D1585" s="118" t="s">
        <v>106</v>
      </c>
      <c r="E1585" s="118" t="s">
        <v>1053</v>
      </c>
      <c r="F1585" s="120">
        <v>11.57</v>
      </c>
      <c r="G1585" s="119">
        <v>9.1287838338895089E-2</v>
      </c>
    </row>
    <row r="1586" spans="2:7" x14ac:dyDescent="0.2">
      <c r="B1586" s="116" t="s">
        <v>3444</v>
      </c>
      <c r="C1586" s="117" t="s">
        <v>3445</v>
      </c>
      <c r="D1586" s="118" t="s">
        <v>92</v>
      </c>
      <c r="E1586" s="118" t="s">
        <v>272</v>
      </c>
      <c r="F1586" s="120">
        <v>-0.87</v>
      </c>
      <c r="G1586" s="119">
        <v>0.38605448613008481</v>
      </c>
    </row>
    <row r="1587" spans="2:7" x14ac:dyDescent="0.2">
      <c r="B1587" s="116" t="s">
        <v>3446</v>
      </c>
      <c r="C1587" s="117" t="s">
        <v>3447</v>
      </c>
      <c r="D1587" s="118" t="s">
        <v>145</v>
      </c>
      <c r="E1587" s="118" t="s">
        <v>402</v>
      </c>
      <c r="F1587" s="120">
        <v>8.2100000000000009</v>
      </c>
      <c r="G1587" s="119">
        <v>8.2245840732484518E-2</v>
      </c>
    </row>
    <row r="1588" spans="2:7" x14ac:dyDescent="0.2">
      <c r="B1588" s="116" t="s">
        <v>3448</v>
      </c>
      <c r="C1588" s="117" t="s">
        <v>3449</v>
      </c>
      <c r="D1588" s="118" t="s">
        <v>106</v>
      </c>
      <c r="E1588" s="118" t="s">
        <v>1764</v>
      </c>
      <c r="F1588" s="120"/>
      <c r="G1588" s="119">
        <v>-0.2381290279829211</v>
      </c>
    </row>
    <row r="1589" spans="2:7" x14ac:dyDescent="0.2">
      <c r="B1589" s="116" t="s">
        <v>3450</v>
      </c>
      <c r="C1589" s="117" t="s">
        <v>3451</v>
      </c>
      <c r="D1589" s="118" t="s">
        <v>241</v>
      </c>
      <c r="E1589" s="118" t="s">
        <v>306</v>
      </c>
      <c r="F1589" s="120">
        <v>-10.89</v>
      </c>
      <c r="G1589" s="119">
        <v>1.145579653679644E-2</v>
      </c>
    </row>
    <row r="1590" spans="2:7" x14ac:dyDescent="0.2">
      <c r="B1590" s="116" t="s">
        <v>3452</v>
      </c>
      <c r="C1590" s="117" t="s">
        <v>3453</v>
      </c>
      <c r="D1590" s="118" t="s">
        <v>92</v>
      </c>
      <c r="E1590" s="118" t="s">
        <v>96</v>
      </c>
      <c r="F1590" s="120">
        <v>2.3199999999999998</v>
      </c>
      <c r="G1590" s="119">
        <v>-1.152066201660243E-2</v>
      </c>
    </row>
    <row r="1591" spans="2:7" x14ac:dyDescent="0.2">
      <c r="B1591" s="116" t="s">
        <v>3454</v>
      </c>
      <c r="C1591" s="117" t="s">
        <v>3455</v>
      </c>
      <c r="D1591" s="118" t="s">
        <v>92</v>
      </c>
      <c r="E1591" s="118" t="s">
        <v>112</v>
      </c>
      <c r="F1591" s="120">
        <v>1.49</v>
      </c>
      <c r="G1591" s="119">
        <v>-9.8682142520945065E-2</v>
      </c>
    </row>
    <row r="1592" spans="2:7" x14ac:dyDescent="0.2">
      <c r="B1592" s="116" t="s">
        <v>3456</v>
      </c>
      <c r="C1592" s="117" t="s">
        <v>3457</v>
      </c>
      <c r="D1592" s="118" t="s">
        <v>145</v>
      </c>
      <c r="E1592" s="118" t="s">
        <v>1093</v>
      </c>
      <c r="F1592" s="120">
        <v>26.89</v>
      </c>
      <c r="G1592" s="119">
        <v>0.15082755340771609</v>
      </c>
    </row>
    <row r="1593" spans="2:7" x14ac:dyDescent="0.2">
      <c r="B1593" s="116" t="s">
        <v>3458</v>
      </c>
      <c r="C1593" s="117" t="s">
        <v>3459</v>
      </c>
      <c r="D1593" s="118" t="s">
        <v>52</v>
      </c>
      <c r="E1593" s="118" t="s">
        <v>2678</v>
      </c>
      <c r="F1593" s="120">
        <v>4.3899999999999997</v>
      </c>
      <c r="G1593" s="119">
        <v>3.1298463041228353E-2</v>
      </c>
    </row>
    <row r="1594" spans="2:7" x14ac:dyDescent="0.2">
      <c r="B1594" s="116" t="s">
        <v>3460</v>
      </c>
      <c r="C1594" s="117" t="s">
        <v>3461</v>
      </c>
      <c r="D1594" s="118" t="s">
        <v>102</v>
      </c>
      <c r="E1594" s="118" t="s">
        <v>1977</v>
      </c>
      <c r="F1594" s="120">
        <v>3.38</v>
      </c>
      <c r="G1594" s="119">
        <v>4.419675145436764E-2</v>
      </c>
    </row>
    <row r="1595" spans="2:7" x14ac:dyDescent="0.2">
      <c r="B1595" s="116" t="s">
        <v>3462</v>
      </c>
      <c r="C1595" s="117" t="s">
        <v>3463</v>
      </c>
      <c r="D1595" s="118" t="s">
        <v>68</v>
      </c>
      <c r="E1595" s="118" t="s">
        <v>72</v>
      </c>
      <c r="F1595" s="120">
        <v>5.56</v>
      </c>
      <c r="G1595" s="119">
        <v>5.7431553511121433E-2</v>
      </c>
    </row>
    <row r="1596" spans="2:7" x14ac:dyDescent="0.2">
      <c r="B1596" s="116" t="s">
        <v>3464</v>
      </c>
      <c r="C1596" s="117" t="s">
        <v>3465</v>
      </c>
      <c r="D1596" s="118" t="s">
        <v>92</v>
      </c>
      <c r="E1596" s="118" t="s">
        <v>351</v>
      </c>
      <c r="F1596" s="120">
        <v>14.52</v>
      </c>
      <c r="G1596" s="119">
        <v>-4.8829032849583481E-2</v>
      </c>
    </row>
    <row r="1597" spans="2:7" x14ac:dyDescent="0.2">
      <c r="B1597" s="116" t="s">
        <v>3466</v>
      </c>
      <c r="C1597" s="117" t="s">
        <v>3467</v>
      </c>
      <c r="D1597" s="118" t="s">
        <v>138</v>
      </c>
      <c r="E1597" s="118" t="s">
        <v>427</v>
      </c>
      <c r="F1597" s="120">
        <v>1.43</v>
      </c>
      <c r="G1597" s="119">
        <v>4.8893328878759967E-2</v>
      </c>
    </row>
    <row r="1598" spans="2:7" x14ac:dyDescent="0.2">
      <c r="B1598" s="116" t="s">
        <v>3468</v>
      </c>
      <c r="C1598" s="117" t="s">
        <v>3469</v>
      </c>
      <c r="D1598" s="118" t="s">
        <v>34</v>
      </c>
      <c r="E1598" s="118" t="s">
        <v>2985</v>
      </c>
      <c r="F1598" s="120">
        <v>0.87</v>
      </c>
      <c r="G1598" s="119">
        <v>2.5025247619656209E-2</v>
      </c>
    </row>
    <row r="1599" spans="2:7" x14ac:dyDescent="0.2">
      <c r="B1599" s="116" t="s">
        <v>3470</v>
      </c>
      <c r="C1599" s="117" t="s">
        <v>3471</v>
      </c>
      <c r="D1599" s="118" t="s">
        <v>106</v>
      </c>
      <c r="E1599" s="118" t="s">
        <v>131</v>
      </c>
      <c r="F1599" s="120">
        <v>0</v>
      </c>
      <c r="G1599" s="119">
        <v>-4.6319782107014297E-2</v>
      </c>
    </row>
    <row r="1600" spans="2:7" x14ac:dyDescent="0.2">
      <c r="B1600" s="116" t="s">
        <v>3472</v>
      </c>
      <c r="C1600" s="117" t="s">
        <v>3473</v>
      </c>
      <c r="D1600" s="118" t="s">
        <v>34</v>
      </c>
      <c r="E1600" s="118" t="s">
        <v>1493</v>
      </c>
      <c r="F1600" s="120">
        <v>57.46</v>
      </c>
      <c r="G1600" s="119">
        <v>0.13558907451521229</v>
      </c>
    </row>
    <row r="1601" spans="2:7" x14ac:dyDescent="0.2">
      <c r="B1601" s="116" t="s">
        <v>3474</v>
      </c>
      <c r="C1601" s="117" t="s">
        <v>3475</v>
      </c>
      <c r="D1601" s="118" t="s">
        <v>34</v>
      </c>
      <c r="E1601" s="118" t="s">
        <v>2985</v>
      </c>
      <c r="F1601" s="120">
        <v>5.8</v>
      </c>
      <c r="G1601" s="119">
        <v>0.24874475357608139</v>
      </c>
    </row>
    <row r="1602" spans="2:7" x14ac:dyDescent="0.2">
      <c r="B1602" s="116" t="s">
        <v>3476</v>
      </c>
      <c r="C1602" s="117" t="s">
        <v>3477</v>
      </c>
      <c r="D1602" s="118" t="s">
        <v>115</v>
      </c>
      <c r="E1602" s="118" t="s">
        <v>1772</v>
      </c>
      <c r="F1602" s="120">
        <v>12.46</v>
      </c>
      <c r="G1602" s="119">
        <v>6.1067512362932647E-2</v>
      </c>
    </row>
    <row r="1603" spans="2:7" x14ac:dyDescent="0.2">
      <c r="B1603" s="116" t="s">
        <v>3478</v>
      </c>
      <c r="C1603" s="117" t="s">
        <v>3479</v>
      </c>
      <c r="D1603" s="118" t="s">
        <v>102</v>
      </c>
      <c r="E1603" s="118" t="s">
        <v>1397</v>
      </c>
      <c r="F1603" s="120">
        <v>-0.65</v>
      </c>
      <c r="G1603" s="119">
        <v>-0.10252808988764051</v>
      </c>
    </row>
    <row r="1604" spans="2:7" x14ac:dyDescent="0.2">
      <c r="B1604" s="116" t="s">
        <v>3480</v>
      </c>
      <c r="C1604" s="117" t="s">
        <v>3481</v>
      </c>
      <c r="D1604" s="118" t="s">
        <v>115</v>
      </c>
      <c r="E1604" s="118" t="s">
        <v>806</v>
      </c>
      <c r="F1604" s="120">
        <v>-4.88</v>
      </c>
      <c r="G1604" s="119">
        <v>5.1185438819638801E-2</v>
      </c>
    </row>
    <row r="1605" spans="2:7" x14ac:dyDescent="0.2">
      <c r="B1605" s="116" t="s">
        <v>3482</v>
      </c>
      <c r="C1605" s="117" t="s">
        <v>3483</v>
      </c>
      <c r="D1605" s="118" t="s">
        <v>115</v>
      </c>
      <c r="E1605" s="118" t="s">
        <v>799</v>
      </c>
      <c r="F1605" s="120">
        <v>9.6300000000000008</v>
      </c>
      <c r="G1605" s="119">
        <v>1.2737045340192901E-2</v>
      </c>
    </row>
    <row r="1606" spans="2:7" x14ac:dyDescent="0.2">
      <c r="B1606" s="116" t="s">
        <v>3484</v>
      </c>
      <c r="C1606" s="117" t="s">
        <v>3485</v>
      </c>
      <c r="D1606" s="118" t="s">
        <v>241</v>
      </c>
      <c r="E1606" s="118" t="s">
        <v>306</v>
      </c>
      <c r="F1606" s="120">
        <v>3.98</v>
      </c>
      <c r="G1606" s="119">
        <v>4.4997135552495657E-3</v>
      </c>
    </row>
    <row r="1607" spans="2:7" x14ac:dyDescent="0.2">
      <c r="B1607" s="116" t="s">
        <v>3486</v>
      </c>
      <c r="C1607" s="117" t="s">
        <v>3487</v>
      </c>
      <c r="D1607" s="118" t="s">
        <v>138</v>
      </c>
      <c r="E1607" s="118" t="s">
        <v>139</v>
      </c>
      <c r="F1607" s="120">
        <v>0.55000000000000004</v>
      </c>
      <c r="G1607" s="119">
        <v>2.9013394296610911E-2</v>
      </c>
    </row>
    <row r="1608" spans="2:7" x14ac:dyDescent="0.2">
      <c r="B1608" s="116" t="s">
        <v>3488</v>
      </c>
      <c r="C1608" s="117" t="s">
        <v>3489</v>
      </c>
      <c r="D1608" s="118" t="s">
        <v>34</v>
      </c>
      <c r="E1608" s="118" t="s">
        <v>3490</v>
      </c>
      <c r="F1608" s="120">
        <v>5.82</v>
      </c>
      <c r="G1608" s="119">
        <v>0.12218277629583139</v>
      </c>
    </row>
    <row r="1609" spans="2:7" x14ac:dyDescent="0.2">
      <c r="B1609" s="116" t="s">
        <v>3491</v>
      </c>
      <c r="C1609" s="117" t="s">
        <v>3492</v>
      </c>
      <c r="D1609" s="118" t="s">
        <v>138</v>
      </c>
      <c r="E1609" s="118" t="s">
        <v>386</v>
      </c>
      <c r="F1609" s="120"/>
      <c r="G1609" s="119">
        <v>0.16205365443053299</v>
      </c>
    </row>
    <row r="1610" spans="2:7" x14ac:dyDescent="0.2">
      <c r="B1610" s="116" t="s">
        <v>3493</v>
      </c>
      <c r="C1610" s="117" t="s">
        <v>3494</v>
      </c>
      <c r="D1610" s="118" t="s">
        <v>241</v>
      </c>
      <c r="E1610" s="118" t="s">
        <v>606</v>
      </c>
      <c r="F1610" s="120">
        <v>-6.02</v>
      </c>
      <c r="G1610" s="119">
        <v>-6.2885278692817667E-2</v>
      </c>
    </row>
    <row r="1611" spans="2:7" x14ac:dyDescent="0.2">
      <c r="B1611" s="116" t="s">
        <v>3495</v>
      </c>
      <c r="C1611" s="117" t="s">
        <v>3496</v>
      </c>
      <c r="D1611" s="118" t="s">
        <v>48</v>
      </c>
      <c r="E1611" s="118" t="s">
        <v>370</v>
      </c>
      <c r="F1611" s="120">
        <v>56.18</v>
      </c>
      <c r="G1611" s="119">
        <v>-1.0170741362347311E-2</v>
      </c>
    </row>
    <row r="1612" spans="2:7" x14ac:dyDescent="0.2">
      <c r="B1612" s="116" t="s">
        <v>3497</v>
      </c>
      <c r="C1612" s="117" t="s">
        <v>3498</v>
      </c>
      <c r="D1612" s="118" t="s">
        <v>68</v>
      </c>
      <c r="E1612" s="118" t="s">
        <v>72</v>
      </c>
      <c r="F1612" s="120">
        <v>10.36</v>
      </c>
      <c r="G1612" s="119">
        <v>1.0009357047888849E-3</v>
      </c>
    </row>
    <row r="1613" spans="2:7" x14ac:dyDescent="0.2">
      <c r="B1613" s="116" t="s">
        <v>3499</v>
      </c>
      <c r="C1613" s="117" t="s">
        <v>3500</v>
      </c>
      <c r="D1613" s="118" t="s">
        <v>39</v>
      </c>
      <c r="E1613" s="118" t="s">
        <v>421</v>
      </c>
      <c r="F1613" s="120">
        <v>-18.21</v>
      </c>
      <c r="G1613" s="119">
        <v>-7.1483183112919721E-2</v>
      </c>
    </row>
    <row r="1614" spans="2:7" x14ac:dyDescent="0.2">
      <c r="B1614" s="116" t="s">
        <v>3501</v>
      </c>
      <c r="C1614" s="117" t="s">
        <v>3502</v>
      </c>
      <c r="D1614" s="118" t="s">
        <v>39</v>
      </c>
      <c r="E1614" s="118" t="s">
        <v>383</v>
      </c>
      <c r="F1614" s="120">
        <v>8.85</v>
      </c>
      <c r="G1614" s="119">
        <v>3.0161282888419391E-2</v>
      </c>
    </row>
    <row r="1615" spans="2:7" x14ac:dyDescent="0.2">
      <c r="B1615" s="116" t="s">
        <v>3503</v>
      </c>
      <c r="C1615" s="117" t="s">
        <v>3504</v>
      </c>
      <c r="D1615" s="118" t="s">
        <v>92</v>
      </c>
      <c r="E1615" s="118" t="s">
        <v>96</v>
      </c>
      <c r="F1615" s="120">
        <v>9.99</v>
      </c>
      <c r="G1615" s="119">
        <v>-1</v>
      </c>
    </row>
    <row r="1616" spans="2:7" x14ac:dyDescent="0.2">
      <c r="B1616" s="116" t="s">
        <v>3505</v>
      </c>
      <c r="C1616" s="117" t="s">
        <v>3506</v>
      </c>
      <c r="D1616" s="118" t="s">
        <v>34</v>
      </c>
      <c r="E1616" s="118" t="s">
        <v>202</v>
      </c>
      <c r="F1616" s="120">
        <v>9.3800000000000008</v>
      </c>
      <c r="G1616" s="119">
        <v>6.5726282988871176E-2</v>
      </c>
    </row>
    <row r="1617" spans="2:7" x14ac:dyDescent="0.2">
      <c r="B1617" s="116" t="s">
        <v>3507</v>
      </c>
      <c r="C1617" s="117" t="s">
        <v>3508</v>
      </c>
      <c r="D1617" s="118" t="s">
        <v>233</v>
      </c>
      <c r="E1617" s="118" t="s">
        <v>469</v>
      </c>
      <c r="F1617" s="120">
        <v>4.68</v>
      </c>
      <c r="G1617" s="119">
        <v>5.167662095606302E-2</v>
      </c>
    </row>
    <row r="1618" spans="2:7" x14ac:dyDescent="0.2">
      <c r="B1618" s="116" t="s">
        <v>3509</v>
      </c>
      <c r="C1618" s="117" t="s">
        <v>3510</v>
      </c>
      <c r="D1618" s="118" t="s">
        <v>34</v>
      </c>
      <c r="E1618" s="118" t="s">
        <v>2856</v>
      </c>
      <c r="F1618" s="120">
        <v>17.37</v>
      </c>
      <c r="G1618" s="119">
        <v>0.46763550282977812</v>
      </c>
    </row>
    <row r="1619" spans="2:7" x14ac:dyDescent="0.2">
      <c r="B1619" s="116" t="s">
        <v>3511</v>
      </c>
      <c r="C1619" s="117" t="s">
        <v>3512</v>
      </c>
      <c r="D1619" s="118" t="s">
        <v>241</v>
      </c>
      <c r="E1619" s="118" t="s">
        <v>606</v>
      </c>
      <c r="F1619" s="120">
        <v>-0.77</v>
      </c>
      <c r="G1619" s="119">
        <v>-8.6778555702390472E-2</v>
      </c>
    </row>
    <row r="1620" spans="2:7" x14ac:dyDescent="0.2">
      <c r="B1620" s="116" t="s">
        <v>3513</v>
      </c>
      <c r="C1620" s="117" t="s">
        <v>3514</v>
      </c>
      <c r="D1620" s="118" t="s">
        <v>52</v>
      </c>
      <c r="E1620" s="118" t="s">
        <v>725</v>
      </c>
      <c r="F1620" s="120">
        <v>-21.9</v>
      </c>
      <c r="G1620" s="119">
        <v>-1.8497172995780541E-2</v>
      </c>
    </row>
    <row r="1621" spans="2:7" x14ac:dyDescent="0.2">
      <c r="B1621" s="116" t="s">
        <v>3515</v>
      </c>
      <c r="C1621" s="117" t="s">
        <v>3516</v>
      </c>
      <c r="D1621" s="118" t="s">
        <v>52</v>
      </c>
      <c r="E1621" s="118" t="s">
        <v>725</v>
      </c>
      <c r="F1621" s="120"/>
      <c r="G1621" s="119">
        <v>5.0944299465240657E-2</v>
      </c>
    </row>
    <row r="1622" spans="2:7" x14ac:dyDescent="0.2">
      <c r="B1622" s="116" t="s">
        <v>3517</v>
      </c>
      <c r="C1622" s="117" t="s">
        <v>3518</v>
      </c>
      <c r="D1622" s="118" t="s">
        <v>34</v>
      </c>
      <c r="E1622" s="118" t="s">
        <v>2856</v>
      </c>
      <c r="F1622" s="120">
        <v>40.82</v>
      </c>
      <c r="G1622" s="119">
        <v>0.54867081750417623</v>
      </c>
    </row>
    <row r="1623" spans="2:7" x14ac:dyDescent="0.2">
      <c r="B1623" s="116" t="s">
        <v>3519</v>
      </c>
      <c r="C1623" s="117" t="s">
        <v>3520</v>
      </c>
      <c r="D1623" s="118" t="s">
        <v>34</v>
      </c>
      <c r="E1623" s="118" t="s">
        <v>3521</v>
      </c>
      <c r="F1623" s="120">
        <v>21.28</v>
      </c>
      <c r="G1623" s="119">
        <v>1.2278906128782061E-2</v>
      </c>
    </row>
    <row r="1624" spans="2:7" x14ac:dyDescent="0.2">
      <c r="B1624" s="116" t="s">
        <v>3522</v>
      </c>
      <c r="C1624" s="117" t="s">
        <v>3523</v>
      </c>
      <c r="D1624" s="118" t="s">
        <v>68</v>
      </c>
      <c r="E1624" s="118" t="s">
        <v>75</v>
      </c>
      <c r="F1624" s="120">
        <v>13.43</v>
      </c>
      <c r="G1624" s="119">
        <v>2.6594398013337758E-3</v>
      </c>
    </row>
    <row r="1625" spans="2:7" x14ac:dyDescent="0.2">
      <c r="B1625" s="116" t="s">
        <v>3524</v>
      </c>
      <c r="C1625" s="117" t="s">
        <v>3525</v>
      </c>
      <c r="D1625" s="118" t="s">
        <v>39</v>
      </c>
      <c r="E1625" s="118" t="s">
        <v>1817</v>
      </c>
      <c r="F1625" s="120">
        <v>18.809999999999999</v>
      </c>
      <c r="G1625" s="119">
        <v>6.8339231863442484E-2</v>
      </c>
    </row>
    <row r="1626" spans="2:7" x14ac:dyDescent="0.2">
      <c r="B1626" s="116" t="s">
        <v>3526</v>
      </c>
      <c r="C1626" s="117" t="s">
        <v>3527</v>
      </c>
      <c r="D1626" s="118" t="s">
        <v>34</v>
      </c>
      <c r="E1626" s="118" t="s">
        <v>319</v>
      </c>
      <c r="F1626" s="120">
        <v>45.86</v>
      </c>
      <c r="G1626" s="119">
        <v>0.35330440083507308</v>
      </c>
    </row>
    <row r="1627" spans="2:7" x14ac:dyDescent="0.2">
      <c r="B1627" s="116" t="s">
        <v>3528</v>
      </c>
      <c r="C1627" s="117" t="s">
        <v>3529</v>
      </c>
      <c r="D1627" s="118" t="s">
        <v>92</v>
      </c>
      <c r="E1627" s="118" t="s">
        <v>598</v>
      </c>
      <c r="F1627" s="120">
        <v>7.95</v>
      </c>
      <c r="G1627" s="119">
        <v>-5.9839406528189948E-2</v>
      </c>
    </row>
    <row r="1628" spans="2:7" x14ac:dyDescent="0.2">
      <c r="B1628" s="116" t="s">
        <v>3530</v>
      </c>
      <c r="C1628" s="117" t="s">
        <v>3531</v>
      </c>
      <c r="D1628" s="118" t="s">
        <v>115</v>
      </c>
      <c r="E1628" s="118" t="s">
        <v>799</v>
      </c>
      <c r="F1628" s="120">
        <v>7.57</v>
      </c>
      <c r="G1628" s="119">
        <v>0.66566173212376412</v>
      </c>
    </row>
    <row r="1629" spans="2:7" x14ac:dyDescent="0.2">
      <c r="B1629" s="116" t="s">
        <v>3532</v>
      </c>
      <c r="C1629" s="117" t="s">
        <v>3533</v>
      </c>
      <c r="D1629" s="118" t="s">
        <v>48</v>
      </c>
      <c r="E1629" s="118" t="s">
        <v>49</v>
      </c>
      <c r="F1629" s="120"/>
      <c r="G1629" s="119">
        <v>0.123834489893439</v>
      </c>
    </row>
    <row r="1630" spans="2:7" x14ac:dyDescent="0.2">
      <c r="B1630" s="116" t="s">
        <v>3534</v>
      </c>
      <c r="C1630" s="117" t="s">
        <v>3535</v>
      </c>
      <c r="D1630" s="118" t="s">
        <v>34</v>
      </c>
      <c r="E1630" s="118" t="s">
        <v>202</v>
      </c>
      <c r="F1630" s="120"/>
      <c r="G1630" s="119">
        <v>0.32594109100515128</v>
      </c>
    </row>
    <row r="1631" spans="2:7" x14ac:dyDescent="0.2">
      <c r="B1631" s="116" t="s">
        <v>3536</v>
      </c>
      <c r="C1631" s="117" t="s">
        <v>3537</v>
      </c>
      <c r="D1631" s="118" t="s">
        <v>34</v>
      </c>
      <c r="E1631" s="118" t="s">
        <v>1253</v>
      </c>
      <c r="F1631" s="120">
        <v>1.18</v>
      </c>
      <c r="G1631" s="119">
        <v>1.2837213567947999E-2</v>
      </c>
    </row>
    <row r="1632" spans="2:7" x14ac:dyDescent="0.2">
      <c r="B1632" s="116" t="s">
        <v>3538</v>
      </c>
      <c r="C1632" s="117" t="s">
        <v>3539</v>
      </c>
      <c r="D1632" s="118" t="s">
        <v>48</v>
      </c>
      <c r="E1632" s="118" t="s">
        <v>370</v>
      </c>
      <c r="F1632" s="120"/>
      <c r="G1632" s="119">
        <v>0.25784625809424871</v>
      </c>
    </row>
    <row r="1633" spans="2:7" x14ac:dyDescent="0.2">
      <c r="B1633" s="116" t="s">
        <v>3540</v>
      </c>
      <c r="C1633" s="117" t="s">
        <v>3541</v>
      </c>
      <c r="D1633" s="118" t="s">
        <v>68</v>
      </c>
      <c r="E1633" s="118" t="s">
        <v>985</v>
      </c>
      <c r="F1633" s="120">
        <v>5.37</v>
      </c>
      <c r="G1633" s="119">
        <v>7.121856480686696E-2</v>
      </c>
    </row>
    <row r="1634" spans="2:7" x14ac:dyDescent="0.2">
      <c r="B1634" s="116" t="s">
        <v>3542</v>
      </c>
      <c r="C1634" s="117" t="s">
        <v>3543</v>
      </c>
      <c r="D1634" s="118" t="s">
        <v>92</v>
      </c>
      <c r="E1634" s="118" t="s">
        <v>142</v>
      </c>
      <c r="F1634" s="120"/>
      <c r="G1634" s="119">
        <v>-0.91236773569309026</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B2:J1634"/>
  <sheetViews>
    <sheetView zoomScale="140" zoomScaleNormal="140" workbookViewId="0">
      <selection activeCell="I35" sqref="I35"/>
    </sheetView>
  </sheetViews>
  <sheetFormatPr baseColWidth="10" defaultColWidth="9.1640625" defaultRowHeight="15" x14ac:dyDescent="0.2"/>
  <cols>
    <col min="1" max="1" width="9.1640625" style="2" customWidth="1"/>
    <col min="2" max="2" width="29" style="2" customWidth="1"/>
    <col min="3" max="3" width="29" style="3" customWidth="1"/>
    <col min="4" max="5" width="33" style="3" customWidth="1"/>
    <col min="6" max="7" width="20.33203125" style="3" customWidth="1"/>
    <col min="8" max="8" width="9.1640625" style="2" customWidth="1"/>
    <col min="9" max="16384" width="9.1640625" style="2"/>
  </cols>
  <sheetData>
    <row r="2" spans="2:10" ht="16" customHeight="1" thickBot="1" x14ac:dyDescent="0.25"/>
    <row r="3" spans="2:10" x14ac:dyDescent="0.2">
      <c r="B3" s="112" t="s">
        <v>25</v>
      </c>
      <c r="C3" s="113" t="s">
        <v>26</v>
      </c>
      <c r="D3" s="113" t="s">
        <v>27</v>
      </c>
      <c r="E3" s="113" t="s">
        <v>28</v>
      </c>
      <c r="F3" s="114" t="s">
        <v>3544</v>
      </c>
      <c r="G3" s="115" t="s">
        <v>3545</v>
      </c>
      <c r="J3" s="2" t="s">
        <v>3546</v>
      </c>
    </row>
    <row r="4" spans="2:10" x14ac:dyDescent="0.2">
      <c r="B4" s="116" t="s">
        <v>32</v>
      </c>
      <c r="C4" s="117" t="s">
        <v>33</v>
      </c>
      <c r="D4" s="118" t="s">
        <v>34</v>
      </c>
      <c r="E4" s="118" t="s">
        <v>35</v>
      </c>
      <c r="F4" s="119">
        <v>0.1365313653136532</v>
      </c>
      <c r="G4" s="119">
        <v>0.10714285714285721</v>
      </c>
      <c r="J4" s="2" t="s">
        <v>36</v>
      </c>
    </row>
    <row r="5" spans="2:10" x14ac:dyDescent="0.2">
      <c r="B5" s="116" t="s">
        <v>37</v>
      </c>
      <c r="C5" s="117" t="s">
        <v>38</v>
      </c>
      <c r="D5" s="118" t="s">
        <v>39</v>
      </c>
      <c r="E5" s="118" t="s">
        <v>40</v>
      </c>
      <c r="F5" s="119">
        <v>-1.0794117647058821</v>
      </c>
      <c r="G5" s="119">
        <v>4.6296296296296298</v>
      </c>
      <c r="J5" s="2" t="s">
        <v>41</v>
      </c>
    </row>
    <row r="6" spans="2:10" x14ac:dyDescent="0.2">
      <c r="B6" s="116" t="s">
        <v>42</v>
      </c>
      <c r="C6" s="117" t="s">
        <v>43</v>
      </c>
      <c r="D6" s="118" t="s">
        <v>34</v>
      </c>
      <c r="E6" s="118" t="s">
        <v>44</v>
      </c>
      <c r="F6" s="119">
        <v>-0.43999999999999989</v>
      </c>
      <c r="G6" s="119">
        <v>0.35714285714285698</v>
      </c>
      <c r="J6" s="2" t="s">
        <v>45</v>
      </c>
    </row>
    <row r="7" spans="2:10" x14ac:dyDescent="0.2">
      <c r="B7" s="116" t="s">
        <v>46</v>
      </c>
      <c r="C7" s="117" t="s">
        <v>47</v>
      </c>
      <c r="D7" s="118" t="s">
        <v>48</v>
      </c>
      <c r="E7" s="118" t="s">
        <v>49</v>
      </c>
      <c r="F7" s="119">
        <v>8.4070796460177177E-2</v>
      </c>
      <c r="G7" s="119">
        <v>0.13673469387755099</v>
      </c>
    </row>
    <row r="8" spans="2:10" x14ac:dyDescent="0.2">
      <c r="B8" s="116" t="s">
        <v>50</v>
      </c>
      <c r="C8" s="117" t="s">
        <v>51</v>
      </c>
      <c r="D8" s="118" t="s">
        <v>52</v>
      </c>
      <c r="E8" s="118" t="s">
        <v>53</v>
      </c>
      <c r="F8" s="119">
        <v>0.1691394658753709</v>
      </c>
      <c r="G8" s="119">
        <v>0.13705583756345191</v>
      </c>
    </row>
    <row r="9" spans="2:10" x14ac:dyDescent="0.2">
      <c r="B9" s="116" t="s">
        <v>54</v>
      </c>
      <c r="C9" s="117" t="s">
        <v>55</v>
      </c>
      <c r="D9" s="118" t="s">
        <v>52</v>
      </c>
      <c r="E9" s="118" t="s">
        <v>56</v>
      </c>
      <c r="F9" s="119">
        <v>0.1211267605633803</v>
      </c>
      <c r="G9" s="119">
        <v>0.13693467336683429</v>
      </c>
    </row>
    <row r="10" spans="2:10" x14ac:dyDescent="0.2">
      <c r="B10" s="116" t="s">
        <v>57</v>
      </c>
      <c r="C10" s="117" t="s">
        <v>58</v>
      </c>
      <c r="D10" s="118" t="s">
        <v>34</v>
      </c>
      <c r="E10" s="118" t="s">
        <v>59</v>
      </c>
      <c r="F10" s="119">
        <v>-6.7969413763806349E-3</v>
      </c>
      <c r="G10" s="119">
        <v>0.1137724550898204</v>
      </c>
    </row>
    <row r="11" spans="2:10" x14ac:dyDescent="0.2">
      <c r="B11" s="116" t="s">
        <v>60</v>
      </c>
      <c r="C11" s="117" t="s">
        <v>61</v>
      </c>
      <c r="D11" s="118" t="s">
        <v>39</v>
      </c>
      <c r="E11" s="118" t="s">
        <v>62</v>
      </c>
      <c r="F11" s="119">
        <v>0.2307692307692307</v>
      </c>
      <c r="G11" s="119">
        <v>0.34375000000000011</v>
      </c>
    </row>
    <row r="12" spans="2:10" x14ac:dyDescent="0.2">
      <c r="B12" s="116" t="s">
        <v>63</v>
      </c>
      <c r="C12" s="117" t="s">
        <v>64</v>
      </c>
      <c r="D12" s="118" t="s">
        <v>39</v>
      </c>
      <c r="E12" s="118" t="s">
        <v>65</v>
      </c>
      <c r="F12" s="119">
        <v>-0.38571428571428568</v>
      </c>
      <c r="G12" s="119">
        <v>0.22093023255813959</v>
      </c>
    </row>
    <row r="13" spans="2:10" x14ac:dyDescent="0.2">
      <c r="B13" s="116" t="s">
        <v>66</v>
      </c>
      <c r="C13" s="117" t="s">
        <v>67</v>
      </c>
      <c r="D13" s="118" t="s">
        <v>68</v>
      </c>
      <c r="E13" s="118" t="s">
        <v>69</v>
      </c>
      <c r="F13" s="119">
        <v>0.12232030264817161</v>
      </c>
      <c r="G13" s="119">
        <v>3.7078651685393267E-2</v>
      </c>
    </row>
    <row r="14" spans="2:10" x14ac:dyDescent="0.2">
      <c r="B14" s="116" t="s">
        <v>70</v>
      </c>
      <c r="C14" s="117" t="s">
        <v>71</v>
      </c>
      <c r="D14" s="118" t="s">
        <v>68</v>
      </c>
      <c r="E14" s="118" t="s">
        <v>72</v>
      </c>
      <c r="F14" s="119">
        <v>8.7962962962962868E-2</v>
      </c>
      <c r="G14" s="119">
        <v>7.3758865248227015E-2</v>
      </c>
    </row>
    <row r="15" spans="2:10" x14ac:dyDescent="0.2">
      <c r="B15" s="116" t="s">
        <v>73</v>
      </c>
      <c r="C15" s="117" t="s">
        <v>74</v>
      </c>
      <c r="D15" s="118" t="s">
        <v>68</v>
      </c>
      <c r="E15" s="118" t="s">
        <v>75</v>
      </c>
      <c r="F15" s="119">
        <v>-4.878048780487796E-2</v>
      </c>
      <c r="G15" s="119">
        <v>0.10256410256410251</v>
      </c>
    </row>
    <row r="16" spans="2:10" x14ac:dyDescent="0.2">
      <c r="B16" s="116" t="s">
        <v>76</v>
      </c>
      <c r="C16" s="117" t="s">
        <v>77</v>
      </c>
      <c r="D16" s="118" t="s">
        <v>78</v>
      </c>
      <c r="E16" s="118" t="s">
        <v>79</v>
      </c>
      <c r="F16" s="119">
        <v>-9.5238095238095191E-2</v>
      </c>
      <c r="G16" s="119">
        <v>0.15789473684210531</v>
      </c>
    </row>
    <row r="17" spans="2:7" x14ac:dyDescent="0.2">
      <c r="B17" s="116" t="s">
        <v>80</v>
      </c>
      <c r="C17" s="117" t="s">
        <v>81</v>
      </c>
      <c r="D17" s="118" t="s">
        <v>68</v>
      </c>
      <c r="E17" s="118" t="s">
        <v>82</v>
      </c>
      <c r="F17" s="119">
        <v>1.38067061143983E-2</v>
      </c>
      <c r="G17" s="119">
        <v>7.7821011673151821E-3</v>
      </c>
    </row>
    <row r="18" spans="2:7" x14ac:dyDescent="0.2">
      <c r="B18" s="116" t="s">
        <v>83</v>
      </c>
      <c r="C18" s="117" t="s">
        <v>84</v>
      </c>
      <c r="D18" s="118" t="s">
        <v>68</v>
      </c>
      <c r="E18" s="118" t="s">
        <v>75</v>
      </c>
      <c r="F18" s="119">
        <v>0.1211072664359862</v>
      </c>
      <c r="G18" s="119">
        <v>0.12037037037037029</v>
      </c>
    </row>
    <row r="19" spans="2:7" x14ac:dyDescent="0.2">
      <c r="B19" s="116" t="s">
        <v>85</v>
      </c>
      <c r="C19" s="117" t="s">
        <v>86</v>
      </c>
      <c r="D19" s="118" t="s">
        <v>68</v>
      </c>
      <c r="E19" s="118" t="s">
        <v>87</v>
      </c>
      <c r="F19" s="119">
        <v>0.1055276381909548</v>
      </c>
      <c r="G19" s="119">
        <v>0.28651685393258419</v>
      </c>
    </row>
    <row r="20" spans="2:7" x14ac:dyDescent="0.2">
      <c r="B20" s="116" t="s">
        <v>88</v>
      </c>
      <c r="C20" s="117" t="s">
        <v>89</v>
      </c>
      <c r="D20" s="118" t="s">
        <v>68</v>
      </c>
      <c r="E20" s="118" t="s">
        <v>75</v>
      </c>
      <c r="F20" s="119">
        <v>0.65217391304347838</v>
      </c>
      <c r="G20" s="119">
        <v>1.25</v>
      </c>
    </row>
    <row r="21" spans="2:7" x14ac:dyDescent="0.2">
      <c r="B21" s="116" t="s">
        <v>90</v>
      </c>
      <c r="C21" s="117" t="s">
        <v>91</v>
      </c>
      <c r="D21" s="118" t="s">
        <v>92</v>
      </c>
      <c r="E21" s="118" t="s">
        <v>93</v>
      </c>
      <c r="F21" s="119">
        <v>4.7619047619047561E-2</v>
      </c>
      <c r="G21" s="119">
        <v>3.305785123966945E-2</v>
      </c>
    </row>
    <row r="22" spans="2:7" x14ac:dyDescent="0.2">
      <c r="B22" s="116" t="s">
        <v>94</v>
      </c>
      <c r="C22" s="117" t="s">
        <v>95</v>
      </c>
      <c r="D22" s="118" t="s">
        <v>92</v>
      </c>
      <c r="E22" s="118" t="s">
        <v>96</v>
      </c>
      <c r="F22" s="119">
        <v>0.33649289099526059</v>
      </c>
      <c r="G22" s="119">
        <v>6.3829787234042618E-2</v>
      </c>
    </row>
    <row r="23" spans="2:7" x14ac:dyDescent="0.2">
      <c r="B23" s="116" t="s">
        <v>97</v>
      </c>
      <c r="C23" s="117" t="s">
        <v>98</v>
      </c>
      <c r="D23" s="118" t="s">
        <v>34</v>
      </c>
      <c r="E23" s="118" t="s">
        <v>99</v>
      </c>
      <c r="F23" s="119">
        <v>-1</v>
      </c>
      <c r="G23" s="119" t="e">
        <v>#DIV/0!</v>
      </c>
    </row>
    <row r="24" spans="2:7" x14ac:dyDescent="0.2">
      <c r="B24" s="116" t="s">
        <v>100</v>
      </c>
      <c r="C24" s="117" t="s">
        <v>101</v>
      </c>
      <c r="D24" s="118" t="s">
        <v>102</v>
      </c>
      <c r="E24" s="118" t="s">
        <v>103</v>
      </c>
      <c r="F24" s="119">
        <v>3.7453183520599287E-2</v>
      </c>
      <c r="G24" s="119">
        <v>0.16967509025270769</v>
      </c>
    </row>
    <row r="25" spans="2:7" x14ac:dyDescent="0.2">
      <c r="B25" s="116" t="s">
        <v>104</v>
      </c>
      <c r="C25" s="117" t="s">
        <v>105</v>
      </c>
      <c r="D25" s="118" t="s">
        <v>106</v>
      </c>
      <c r="E25" s="118" t="s">
        <v>107</v>
      </c>
      <c r="F25" s="119">
        <v>8.4583901773533435E-2</v>
      </c>
      <c r="G25" s="119">
        <v>8.6792452830188729E-2</v>
      </c>
    </row>
    <row r="26" spans="2:7" x14ac:dyDescent="0.2">
      <c r="B26" s="116" t="s">
        <v>108</v>
      </c>
      <c r="C26" s="117" t="s">
        <v>109</v>
      </c>
      <c r="D26" s="118" t="s">
        <v>34</v>
      </c>
      <c r="E26" s="118" t="s">
        <v>99</v>
      </c>
      <c r="F26" s="119">
        <v>0.15000000000000011</v>
      </c>
      <c r="G26" s="119">
        <v>0.23913043478260859</v>
      </c>
    </row>
    <row r="27" spans="2:7" x14ac:dyDescent="0.2">
      <c r="B27" s="116" t="s">
        <v>110</v>
      </c>
      <c r="C27" s="117" t="s">
        <v>111</v>
      </c>
      <c r="D27" s="118" t="s">
        <v>92</v>
      </c>
      <c r="E27" s="118" t="s">
        <v>112</v>
      </c>
      <c r="F27" s="119">
        <v>5.5749128919860523E-2</v>
      </c>
      <c r="G27" s="119">
        <v>7.9207920792079278E-2</v>
      </c>
    </row>
    <row r="28" spans="2:7" x14ac:dyDescent="0.2">
      <c r="B28" s="116" t="s">
        <v>113</v>
      </c>
      <c r="C28" s="117" t="s">
        <v>114</v>
      </c>
      <c r="D28" s="118" t="s">
        <v>115</v>
      </c>
      <c r="E28" s="118" t="s">
        <v>116</v>
      </c>
      <c r="F28" s="119">
        <v>0.14316239316239321</v>
      </c>
      <c r="G28" s="119">
        <v>0.1364485981308412</v>
      </c>
    </row>
    <row r="29" spans="2:7" x14ac:dyDescent="0.2">
      <c r="B29" s="116" t="s">
        <v>117</v>
      </c>
      <c r="C29" s="117" t="s">
        <v>118</v>
      </c>
      <c r="D29" s="118" t="s">
        <v>34</v>
      </c>
      <c r="E29" s="118" t="s">
        <v>119</v>
      </c>
      <c r="F29" s="119">
        <v>-0.1231028667790893</v>
      </c>
      <c r="G29" s="119">
        <v>1.7307692307692281E-2</v>
      </c>
    </row>
    <row r="30" spans="2:7" x14ac:dyDescent="0.2">
      <c r="B30" s="116" t="s">
        <v>120</v>
      </c>
      <c r="C30" s="117" t="s">
        <v>121</v>
      </c>
      <c r="D30" s="118" t="s">
        <v>78</v>
      </c>
      <c r="E30" s="118" t="s">
        <v>122</v>
      </c>
      <c r="F30" s="119">
        <v>-0.21348314606741581</v>
      </c>
      <c r="G30" s="119">
        <v>0.25000000000000011</v>
      </c>
    </row>
    <row r="31" spans="2:7" x14ac:dyDescent="0.2">
      <c r="B31" s="116" t="s">
        <v>123</v>
      </c>
      <c r="C31" s="117" t="s">
        <v>124</v>
      </c>
      <c r="D31" s="118" t="s">
        <v>106</v>
      </c>
      <c r="E31" s="118" t="s">
        <v>125</v>
      </c>
      <c r="F31" s="119">
        <v>0.13235294117647051</v>
      </c>
      <c r="G31" s="119">
        <v>0.1298701298701298</v>
      </c>
    </row>
    <row r="32" spans="2:7" x14ac:dyDescent="0.2">
      <c r="B32" s="116" t="s">
        <v>126</v>
      </c>
      <c r="C32" s="117" t="s">
        <v>127</v>
      </c>
      <c r="D32" s="118" t="s">
        <v>78</v>
      </c>
      <c r="E32" s="118" t="s">
        <v>128</v>
      </c>
      <c r="F32" s="119">
        <v>1.12994350282486E-2</v>
      </c>
      <c r="G32" s="119">
        <v>5.0279329608938467E-2</v>
      </c>
    </row>
    <row r="33" spans="2:7" x14ac:dyDescent="0.2">
      <c r="B33" s="116" t="s">
        <v>129</v>
      </c>
      <c r="C33" s="117" t="s">
        <v>130</v>
      </c>
      <c r="D33" s="118" t="s">
        <v>106</v>
      </c>
      <c r="E33" s="118" t="s">
        <v>131</v>
      </c>
      <c r="F33" s="119">
        <v>-0.1401498457470251</v>
      </c>
      <c r="G33" s="119">
        <v>0.19784725781650431</v>
      </c>
    </row>
    <row r="34" spans="2:7" x14ac:dyDescent="0.2">
      <c r="B34" s="116" t="s">
        <v>132</v>
      </c>
      <c r="C34" s="117" t="s">
        <v>133</v>
      </c>
      <c r="D34" s="118" t="s">
        <v>34</v>
      </c>
      <c r="E34" s="118" t="s">
        <v>99</v>
      </c>
      <c r="F34" s="119">
        <v>1.8265306122448981</v>
      </c>
      <c r="G34" s="119">
        <v>0.63537906137184119</v>
      </c>
    </row>
    <row r="35" spans="2:7" x14ac:dyDescent="0.2">
      <c r="B35" s="116" t="s">
        <v>134</v>
      </c>
      <c r="C35" s="117" t="s">
        <v>135</v>
      </c>
      <c r="D35" s="118" t="s">
        <v>39</v>
      </c>
      <c r="E35" s="118" t="s">
        <v>62</v>
      </c>
      <c r="F35" s="119">
        <v>9.4117647058823611E-2</v>
      </c>
      <c r="G35" s="119">
        <v>8.6021505376344037E-2</v>
      </c>
    </row>
    <row r="36" spans="2:7" x14ac:dyDescent="0.2">
      <c r="B36" s="116" t="s">
        <v>136</v>
      </c>
      <c r="C36" s="117" t="s">
        <v>137</v>
      </c>
      <c r="D36" s="118" t="s">
        <v>138</v>
      </c>
      <c r="E36" s="118" t="s">
        <v>139</v>
      </c>
      <c r="F36" s="119">
        <v>-4.7058823529411667E-2</v>
      </c>
      <c r="G36" s="119">
        <v>7.716049382716049E-2</v>
      </c>
    </row>
    <row r="37" spans="2:7" x14ac:dyDescent="0.2">
      <c r="B37" s="116" t="s">
        <v>140</v>
      </c>
      <c r="C37" s="117" t="s">
        <v>141</v>
      </c>
      <c r="D37" s="118" t="s">
        <v>92</v>
      </c>
      <c r="E37" s="118" t="s">
        <v>142</v>
      </c>
      <c r="F37" s="119">
        <v>0.89189189189189177</v>
      </c>
      <c r="G37" s="119">
        <v>0.24285714285714291</v>
      </c>
    </row>
    <row r="38" spans="2:7" x14ac:dyDescent="0.2">
      <c r="B38" s="116" t="s">
        <v>143</v>
      </c>
      <c r="C38" s="117" t="s">
        <v>144</v>
      </c>
      <c r="D38" s="118" t="s">
        <v>145</v>
      </c>
      <c r="E38" s="118" t="s">
        <v>146</v>
      </c>
      <c r="F38" s="119">
        <v>3.2105263157894739</v>
      </c>
      <c r="G38" s="119">
        <v>0.83749999999999991</v>
      </c>
    </row>
    <row r="39" spans="2:7" x14ac:dyDescent="0.2">
      <c r="B39" s="116" t="s">
        <v>147</v>
      </c>
      <c r="C39" s="117" t="s">
        <v>148</v>
      </c>
      <c r="D39" s="118" t="s">
        <v>138</v>
      </c>
      <c r="E39" s="118" t="s">
        <v>139</v>
      </c>
      <c r="F39" s="119">
        <v>4.8101265822784678E-2</v>
      </c>
      <c r="G39" s="119">
        <v>6.5217391304347949E-2</v>
      </c>
    </row>
    <row r="40" spans="2:7" x14ac:dyDescent="0.2">
      <c r="B40" s="116" t="s">
        <v>149</v>
      </c>
      <c r="C40" s="117" t="s">
        <v>150</v>
      </c>
      <c r="D40" s="118" t="s">
        <v>92</v>
      </c>
      <c r="E40" s="118" t="s">
        <v>151</v>
      </c>
      <c r="F40" s="119">
        <v>0.13043478260869559</v>
      </c>
      <c r="G40" s="119">
        <v>-4.487179487179483E-2</v>
      </c>
    </row>
    <row r="41" spans="2:7" x14ac:dyDescent="0.2">
      <c r="B41" s="116" t="s">
        <v>152</v>
      </c>
      <c r="C41" s="117" t="s">
        <v>153</v>
      </c>
      <c r="D41" s="118" t="s">
        <v>138</v>
      </c>
      <c r="E41" s="118" t="s">
        <v>139</v>
      </c>
      <c r="F41" s="119">
        <v>0.10743801652892571</v>
      </c>
      <c r="G41" s="119">
        <v>7.4626865671641687E-2</v>
      </c>
    </row>
    <row r="42" spans="2:7" x14ac:dyDescent="0.2">
      <c r="B42" s="116" t="s">
        <v>154</v>
      </c>
      <c r="C42" s="117" t="s">
        <v>155</v>
      </c>
      <c r="D42" s="118" t="s">
        <v>92</v>
      </c>
      <c r="E42" s="118" t="s">
        <v>96</v>
      </c>
      <c r="F42" s="119">
        <v>1.884570082449943E-2</v>
      </c>
      <c r="G42" s="119">
        <v>4.9710982658959513E-2</v>
      </c>
    </row>
    <row r="43" spans="2:7" x14ac:dyDescent="0.2">
      <c r="B43" s="116" t="s">
        <v>156</v>
      </c>
      <c r="C43" s="117" t="s">
        <v>157</v>
      </c>
      <c r="D43" s="118" t="s">
        <v>92</v>
      </c>
      <c r="E43" s="118" t="s">
        <v>158</v>
      </c>
      <c r="F43" s="119">
        <v>6.3725490196078372E-2</v>
      </c>
      <c r="G43" s="119">
        <v>3.4562211981566907E-2</v>
      </c>
    </row>
    <row r="44" spans="2:7" x14ac:dyDescent="0.2">
      <c r="B44" s="116" t="s">
        <v>159</v>
      </c>
      <c r="C44" s="117" t="s">
        <v>160</v>
      </c>
      <c r="D44" s="118" t="s">
        <v>48</v>
      </c>
      <c r="E44" s="118" t="s">
        <v>49</v>
      </c>
      <c r="F44" s="119">
        <v>-0.16770186335403731</v>
      </c>
      <c r="G44" s="119">
        <v>0.462686567164179</v>
      </c>
    </row>
    <row r="45" spans="2:7" x14ac:dyDescent="0.2">
      <c r="B45" s="116" t="s">
        <v>161</v>
      </c>
      <c r="C45" s="117" t="s">
        <v>162</v>
      </c>
      <c r="D45" s="118" t="s">
        <v>39</v>
      </c>
      <c r="E45" s="118" t="s">
        <v>163</v>
      </c>
      <c r="F45" s="119">
        <v>0.336842105263158</v>
      </c>
      <c r="G45" s="119">
        <v>9.2519685039370025E-2</v>
      </c>
    </row>
    <row r="46" spans="2:7" x14ac:dyDescent="0.2">
      <c r="B46" s="116" t="s">
        <v>164</v>
      </c>
      <c r="C46" s="117" t="s">
        <v>165</v>
      </c>
      <c r="D46" s="118" t="s">
        <v>92</v>
      </c>
      <c r="E46" s="118" t="s">
        <v>142</v>
      </c>
      <c r="F46" s="119">
        <v>0.23580786026200881</v>
      </c>
      <c r="G46" s="119">
        <v>-0.1095406360424028</v>
      </c>
    </row>
    <row r="47" spans="2:7" x14ac:dyDescent="0.2">
      <c r="B47" s="116" t="s">
        <v>166</v>
      </c>
      <c r="C47" s="117" t="s">
        <v>167</v>
      </c>
      <c r="D47" s="118" t="s">
        <v>68</v>
      </c>
      <c r="E47" s="118" t="s">
        <v>168</v>
      </c>
      <c r="F47" s="119">
        <v>7.2463768115942637E-3</v>
      </c>
      <c r="G47" s="119">
        <v>1.3189448441246931E-2</v>
      </c>
    </row>
    <row r="48" spans="2:7" x14ac:dyDescent="0.2">
      <c r="B48" s="116" t="s">
        <v>169</v>
      </c>
      <c r="C48" s="117" t="s">
        <v>170</v>
      </c>
      <c r="D48" s="118" t="s">
        <v>92</v>
      </c>
      <c r="E48" s="118" t="s">
        <v>171</v>
      </c>
      <c r="F48" s="119">
        <v>-0.1926229508196721</v>
      </c>
      <c r="G48" s="119">
        <v>-5.0761421319797002E-3</v>
      </c>
    </row>
    <row r="49" spans="2:7" x14ac:dyDescent="0.2">
      <c r="B49" s="116" t="s">
        <v>172</v>
      </c>
      <c r="C49" s="117" t="s">
        <v>173</v>
      </c>
      <c r="D49" s="118" t="s">
        <v>138</v>
      </c>
      <c r="E49" s="118" t="s">
        <v>139</v>
      </c>
      <c r="F49" s="119">
        <v>-4.4052863436124367E-3</v>
      </c>
      <c r="G49" s="119">
        <v>8.4070796460177177E-2</v>
      </c>
    </row>
    <row r="50" spans="2:7" x14ac:dyDescent="0.2">
      <c r="B50" s="116" t="s">
        <v>174</v>
      </c>
      <c r="C50" s="117" t="s">
        <v>175</v>
      </c>
      <c r="D50" s="118" t="s">
        <v>102</v>
      </c>
      <c r="E50" s="118" t="s">
        <v>176</v>
      </c>
      <c r="F50" s="119">
        <v>0.1126373626373626</v>
      </c>
      <c r="G50" s="119">
        <v>-5.1851851851851843E-2</v>
      </c>
    </row>
    <row r="51" spans="2:7" x14ac:dyDescent="0.2">
      <c r="B51" s="116" t="s">
        <v>177</v>
      </c>
      <c r="C51" s="117" t="s">
        <v>178</v>
      </c>
      <c r="D51" s="118" t="s">
        <v>145</v>
      </c>
      <c r="E51" s="118" t="s">
        <v>179</v>
      </c>
      <c r="F51" s="119">
        <v>-0.18807339449541291</v>
      </c>
      <c r="G51" s="119">
        <v>1.6949152542372899E-2</v>
      </c>
    </row>
    <row r="52" spans="2:7" x14ac:dyDescent="0.2">
      <c r="B52" s="116" t="s">
        <v>180</v>
      </c>
      <c r="C52" s="117" t="s">
        <v>181</v>
      </c>
      <c r="D52" s="118" t="s">
        <v>92</v>
      </c>
      <c r="E52" s="118" t="s">
        <v>142</v>
      </c>
      <c r="F52" s="119">
        <v>1.28</v>
      </c>
      <c r="G52" s="119">
        <v>1.949317738791381E-3</v>
      </c>
    </row>
    <row r="53" spans="2:7" x14ac:dyDescent="0.2">
      <c r="B53" s="116" t="s">
        <v>182</v>
      </c>
      <c r="C53" s="117" t="s">
        <v>183</v>
      </c>
      <c r="D53" s="118" t="s">
        <v>145</v>
      </c>
      <c r="E53" s="118" t="s">
        <v>179</v>
      </c>
      <c r="F53" s="119">
        <v>-2.4793388429752091E-2</v>
      </c>
      <c r="G53" s="119">
        <v>9.3220338983050932E-2</v>
      </c>
    </row>
    <row r="54" spans="2:7" x14ac:dyDescent="0.2">
      <c r="B54" s="116" t="s">
        <v>184</v>
      </c>
      <c r="C54" s="117" t="s">
        <v>185</v>
      </c>
      <c r="D54" s="118" t="s">
        <v>48</v>
      </c>
      <c r="E54" s="118" t="s">
        <v>49</v>
      </c>
      <c r="F54" s="119">
        <v>1.0357142857142849</v>
      </c>
      <c r="G54" s="119">
        <v>0.13596491228070179</v>
      </c>
    </row>
    <row r="55" spans="2:7" x14ac:dyDescent="0.2">
      <c r="B55" s="116" t="s">
        <v>186</v>
      </c>
      <c r="C55" s="117" t="s">
        <v>187</v>
      </c>
      <c r="D55" s="118" t="s">
        <v>92</v>
      </c>
      <c r="E55" s="118" t="s">
        <v>93</v>
      </c>
      <c r="F55" s="119">
        <v>-3.1250000000000028E-2</v>
      </c>
      <c r="G55" s="119">
        <v>5.2419354838709638E-2</v>
      </c>
    </row>
    <row r="56" spans="2:7" x14ac:dyDescent="0.2">
      <c r="B56" s="116" t="s">
        <v>188</v>
      </c>
      <c r="C56" s="117" t="s">
        <v>189</v>
      </c>
      <c r="D56" s="118" t="s">
        <v>92</v>
      </c>
      <c r="E56" s="118" t="s">
        <v>142</v>
      </c>
      <c r="F56" s="119">
        <v>0.55319148936170215</v>
      </c>
      <c r="G56" s="119">
        <v>0.1095890410958905</v>
      </c>
    </row>
    <row r="57" spans="2:7" x14ac:dyDescent="0.2">
      <c r="B57" s="116" t="s">
        <v>190</v>
      </c>
      <c r="C57" s="117" t="s">
        <v>191</v>
      </c>
      <c r="D57" s="118" t="s">
        <v>92</v>
      </c>
      <c r="E57" s="118" t="s">
        <v>192</v>
      </c>
      <c r="F57" s="119">
        <v>6.1224489795918352E-2</v>
      </c>
      <c r="G57" s="119">
        <v>0.14835164835164821</v>
      </c>
    </row>
    <row r="58" spans="2:7" x14ac:dyDescent="0.2">
      <c r="B58" s="116" t="s">
        <v>193</v>
      </c>
      <c r="C58" s="117" t="s">
        <v>194</v>
      </c>
      <c r="D58" s="118" t="s">
        <v>92</v>
      </c>
      <c r="E58" s="118" t="s">
        <v>195</v>
      </c>
      <c r="F58" s="119">
        <v>0.2068965517241379</v>
      </c>
      <c r="G58" s="119">
        <v>8.5714285714285798E-2</v>
      </c>
    </row>
    <row r="59" spans="2:7" x14ac:dyDescent="0.2">
      <c r="B59" s="116" t="s">
        <v>196</v>
      </c>
      <c r="C59" s="117" t="s">
        <v>197</v>
      </c>
      <c r="D59" s="118" t="s">
        <v>198</v>
      </c>
      <c r="E59" s="118" t="s">
        <v>199</v>
      </c>
      <c r="F59" s="119">
        <v>1.6483516483516501E-2</v>
      </c>
      <c r="G59" s="119">
        <v>9.7297297297297136E-2</v>
      </c>
    </row>
    <row r="60" spans="2:7" x14ac:dyDescent="0.2">
      <c r="B60" s="116" t="s">
        <v>200</v>
      </c>
      <c r="C60" s="117" t="s">
        <v>201</v>
      </c>
      <c r="D60" s="118" t="s">
        <v>34</v>
      </c>
      <c r="E60" s="118" t="s">
        <v>202</v>
      </c>
      <c r="F60" s="119">
        <v>0.19943820224719089</v>
      </c>
      <c r="G60" s="119">
        <v>0.1030444964871195</v>
      </c>
    </row>
    <row r="61" spans="2:7" x14ac:dyDescent="0.2">
      <c r="B61" s="116" t="s">
        <v>203</v>
      </c>
      <c r="C61" s="117" t="s">
        <v>204</v>
      </c>
      <c r="D61" s="118" t="s">
        <v>145</v>
      </c>
      <c r="E61" s="118" t="s">
        <v>179</v>
      </c>
      <c r="F61" s="119">
        <v>0.29761904761904778</v>
      </c>
      <c r="G61" s="119">
        <v>0.3761467889908256</v>
      </c>
    </row>
    <row r="62" spans="2:7" x14ac:dyDescent="0.2">
      <c r="B62" s="116" t="s">
        <v>205</v>
      </c>
      <c r="C62" s="117" t="s">
        <v>206</v>
      </c>
      <c r="D62" s="118" t="s">
        <v>48</v>
      </c>
      <c r="E62" s="118" t="s">
        <v>207</v>
      </c>
      <c r="F62" s="119">
        <v>-2.4253731343283558E-2</v>
      </c>
      <c r="G62" s="119">
        <v>0.2370936902485658</v>
      </c>
    </row>
    <row r="63" spans="2:7" x14ac:dyDescent="0.2">
      <c r="B63" s="116" t="s">
        <v>208</v>
      </c>
      <c r="C63" s="117" t="s">
        <v>209</v>
      </c>
      <c r="D63" s="118" t="s">
        <v>145</v>
      </c>
      <c r="E63" s="118" t="s">
        <v>179</v>
      </c>
      <c r="F63" s="119">
        <v>0.1731123388581953</v>
      </c>
      <c r="G63" s="119">
        <v>3.7676609105180572E-2</v>
      </c>
    </row>
    <row r="64" spans="2:7" x14ac:dyDescent="0.2">
      <c r="B64" s="116" t="s">
        <v>210</v>
      </c>
      <c r="C64" s="117" t="s">
        <v>211</v>
      </c>
      <c r="D64" s="118" t="s">
        <v>138</v>
      </c>
      <c r="E64" s="118" t="s">
        <v>139</v>
      </c>
      <c r="F64" s="119">
        <v>7.9881656804733733E-2</v>
      </c>
      <c r="G64" s="119">
        <v>4.9315068493150732E-2</v>
      </c>
    </row>
    <row r="65" spans="2:7" x14ac:dyDescent="0.2">
      <c r="B65" s="116" t="s">
        <v>212</v>
      </c>
      <c r="C65" s="117" t="s">
        <v>213</v>
      </c>
      <c r="D65" s="118" t="s">
        <v>68</v>
      </c>
      <c r="E65" s="118" t="s">
        <v>72</v>
      </c>
      <c r="F65" s="119">
        <v>7.3921971252566804E-2</v>
      </c>
      <c r="G65" s="119">
        <v>0.26003824091778188</v>
      </c>
    </row>
    <row r="66" spans="2:7" x14ac:dyDescent="0.2">
      <c r="B66" s="116" t="s">
        <v>214</v>
      </c>
      <c r="C66" s="117" t="s">
        <v>215</v>
      </c>
      <c r="D66" s="118" t="s">
        <v>48</v>
      </c>
      <c r="E66" s="118" t="s">
        <v>49</v>
      </c>
      <c r="F66" s="119">
        <v>0.33033707865168532</v>
      </c>
      <c r="G66" s="119">
        <v>0.18750000000000011</v>
      </c>
    </row>
    <row r="67" spans="2:7" x14ac:dyDescent="0.2">
      <c r="B67" s="116" t="s">
        <v>216</v>
      </c>
      <c r="C67" s="117" t="s">
        <v>217</v>
      </c>
      <c r="D67" s="118" t="s">
        <v>68</v>
      </c>
      <c r="E67" s="118" t="s">
        <v>87</v>
      </c>
      <c r="F67" s="119">
        <v>0.7142857142857143</v>
      </c>
      <c r="G67" s="119">
        <v>-1.3611111111111109</v>
      </c>
    </row>
    <row r="68" spans="2:7" x14ac:dyDescent="0.2">
      <c r="B68" s="116" t="s">
        <v>218</v>
      </c>
      <c r="C68" s="117" t="s">
        <v>219</v>
      </c>
      <c r="D68" s="118" t="s">
        <v>92</v>
      </c>
      <c r="E68" s="118" t="s">
        <v>96</v>
      </c>
      <c r="F68" s="119">
        <v>0.2093908629441624</v>
      </c>
      <c r="G68" s="119">
        <v>6.925498426023087E-2</v>
      </c>
    </row>
    <row r="69" spans="2:7" x14ac:dyDescent="0.2">
      <c r="B69" s="116" t="s">
        <v>220</v>
      </c>
      <c r="C69" s="117" t="s">
        <v>221</v>
      </c>
      <c r="D69" s="118" t="s">
        <v>39</v>
      </c>
      <c r="E69" s="118" t="s">
        <v>62</v>
      </c>
      <c r="F69" s="119">
        <v>7.5723830734966552E-2</v>
      </c>
      <c r="G69" s="119">
        <v>9.5238095238095233E-2</v>
      </c>
    </row>
    <row r="70" spans="2:7" x14ac:dyDescent="0.2">
      <c r="B70" s="116" t="s">
        <v>222</v>
      </c>
      <c r="C70" s="117" t="s">
        <v>223</v>
      </c>
      <c r="D70" s="118" t="s">
        <v>68</v>
      </c>
      <c r="E70" s="118" t="s">
        <v>87</v>
      </c>
      <c r="F70" s="119">
        <v>-0.50000000000000011</v>
      </c>
      <c r="G70" s="119">
        <v>-0.33333333333333331</v>
      </c>
    </row>
    <row r="71" spans="2:7" x14ac:dyDescent="0.2">
      <c r="B71" s="116" t="s">
        <v>224</v>
      </c>
      <c r="C71" s="117" t="s">
        <v>225</v>
      </c>
      <c r="D71" s="118" t="s">
        <v>68</v>
      </c>
      <c r="E71" s="118" t="s">
        <v>87</v>
      </c>
      <c r="F71" s="119">
        <v>0.16738197424892709</v>
      </c>
      <c r="G71" s="119">
        <v>-0.28865979381443302</v>
      </c>
    </row>
    <row r="72" spans="2:7" x14ac:dyDescent="0.2">
      <c r="B72" s="116" t="s">
        <v>226</v>
      </c>
      <c r="C72" s="117" t="s">
        <v>227</v>
      </c>
      <c r="D72" s="118" t="s">
        <v>92</v>
      </c>
      <c r="E72" s="118" t="s">
        <v>228</v>
      </c>
      <c r="F72" s="119">
        <v>0.15432098765432101</v>
      </c>
      <c r="G72" s="119">
        <v>0.12834224598930469</v>
      </c>
    </row>
    <row r="73" spans="2:7" x14ac:dyDescent="0.2">
      <c r="B73" s="116" t="s">
        <v>229</v>
      </c>
      <c r="C73" s="117" t="s">
        <v>230</v>
      </c>
      <c r="D73" s="118" t="s">
        <v>68</v>
      </c>
      <c r="E73" s="118" t="s">
        <v>87</v>
      </c>
      <c r="F73" s="119">
        <v>-0.28683385579937321</v>
      </c>
      <c r="G73" s="119">
        <v>7.917174177831926E-2</v>
      </c>
    </row>
    <row r="74" spans="2:7" x14ac:dyDescent="0.2">
      <c r="B74" s="116" t="s">
        <v>231</v>
      </c>
      <c r="C74" s="117" t="s">
        <v>232</v>
      </c>
      <c r="D74" s="118" t="s">
        <v>233</v>
      </c>
      <c r="E74" s="118" t="s">
        <v>234</v>
      </c>
      <c r="F74" s="119">
        <v>5.206073752711482E-2</v>
      </c>
      <c r="G74" s="119">
        <v>-6.8041237113402084E-2</v>
      </c>
    </row>
    <row r="75" spans="2:7" x14ac:dyDescent="0.2">
      <c r="B75" s="116" t="s">
        <v>235</v>
      </c>
      <c r="C75" s="117" t="s">
        <v>236</v>
      </c>
      <c r="D75" s="118" t="s">
        <v>233</v>
      </c>
      <c r="E75" s="118" t="s">
        <v>234</v>
      </c>
      <c r="F75" s="119">
        <v>-0.15744680851063819</v>
      </c>
      <c r="G75" s="119">
        <v>0.15824915824915819</v>
      </c>
    </row>
    <row r="76" spans="2:7" x14ac:dyDescent="0.2">
      <c r="B76" s="116" t="s">
        <v>237</v>
      </c>
      <c r="C76" s="117" t="s">
        <v>238</v>
      </c>
      <c r="D76" s="118" t="s">
        <v>68</v>
      </c>
      <c r="E76" s="118" t="s">
        <v>87</v>
      </c>
      <c r="F76" s="119">
        <v>0.30830039525691699</v>
      </c>
      <c r="G76" s="119">
        <v>9.1641490433031242E-2</v>
      </c>
    </row>
    <row r="77" spans="2:7" x14ac:dyDescent="0.2">
      <c r="B77" s="116" t="s">
        <v>239</v>
      </c>
      <c r="C77" s="117" t="s">
        <v>240</v>
      </c>
      <c r="D77" s="118" t="s">
        <v>241</v>
      </c>
      <c r="E77" s="118" t="s">
        <v>242</v>
      </c>
      <c r="F77" s="119">
        <v>0.31481481481481471</v>
      </c>
      <c r="G77" s="119">
        <v>0.323943661971831</v>
      </c>
    </row>
    <row r="78" spans="2:7" x14ac:dyDescent="0.2">
      <c r="B78" s="116" t="s">
        <v>243</v>
      </c>
      <c r="C78" s="117" t="s">
        <v>244</v>
      </c>
      <c r="D78" s="118" t="s">
        <v>34</v>
      </c>
      <c r="E78" s="118" t="s">
        <v>245</v>
      </c>
      <c r="F78" s="119">
        <v>8.2474226804123626E-2</v>
      </c>
      <c r="G78" s="119">
        <v>8.2539682539682621E-2</v>
      </c>
    </row>
    <row r="79" spans="2:7" x14ac:dyDescent="0.2">
      <c r="B79" s="116" t="s">
        <v>246</v>
      </c>
      <c r="C79" s="117" t="s">
        <v>247</v>
      </c>
      <c r="D79" s="118" t="s">
        <v>34</v>
      </c>
      <c r="E79" s="118" t="s">
        <v>248</v>
      </c>
      <c r="F79" s="119">
        <v>-0.3258426966292135</v>
      </c>
      <c r="G79" s="119">
        <v>0.1033333333333333</v>
      </c>
    </row>
    <row r="80" spans="2:7" x14ac:dyDescent="0.2">
      <c r="B80" s="116" t="s">
        <v>249</v>
      </c>
      <c r="C80" s="117" t="s">
        <v>250</v>
      </c>
      <c r="D80" s="118" t="s">
        <v>34</v>
      </c>
      <c r="E80" s="118" t="s">
        <v>251</v>
      </c>
      <c r="F80" s="119">
        <v>0.36956521739130432</v>
      </c>
      <c r="G80" s="119">
        <v>0.69841269841269848</v>
      </c>
    </row>
    <row r="81" spans="2:7" x14ac:dyDescent="0.2">
      <c r="B81" s="116" t="s">
        <v>252</v>
      </c>
      <c r="C81" s="117" t="s">
        <v>253</v>
      </c>
      <c r="D81" s="118" t="s">
        <v>34</v>
      </c>
      <c r="E81" s="118" t="s">
        <v>35</v>
      </c>
      <c r="F81" s="119">
        <v>0.25382262996941879</v>
      </c>
      <c r="G81" s="119">
        <v>6.0975609756097567E-2</v>
      </c>
    </row>
    <row r="82" spans="2:7" x14ac:dyDescent="0.2">
      <c r="B82" s="116" t="s">
        <v>254</v>
      </c>
      <c r="C82" s="117" t="s">
        <v>255</v>
      </c>
      <c r="D82" s="118" t="s">
        <v>68</v>
      </c>
      <c r="E82" s="118" t="s">
        <v>256</v>
      </c>
      <c r="F82" s="119">
        <v>0.15363128491620109</v>
      </c>
      <c r="G82" s="119">
        <v>0.13559322033898319</v>
      </c>
    </row>
    <row r="83" spans="2:7" x14ac:dyDescent="0.2">
      <c r="B83" s="116" t="s">
        <v>257</v>
      </c>
      <c r="C83" s="117" t="s">
        <v>258</v>
      </c>
      <c r="D83" s="118" t="s">
        <v>92</v>
      </c>
      <c r="E83" s="118" t="s">
        <v>195</v>
      </c>
      <c r="F83" s="119">
        <v>-6.6850447966919413E-2</v>
      </c>
      <c r="G83" s="119">
        <v>7.1639586410635211E-2</v>
      </c>
    </row>
    <row r="84" spans="2:7" x14ac:dyDescent="0.2">
      <c r="B84" s="116" t="s">
        <v>259</v>
      </c>
      <c r="C84" s="117" t="s">
        <v>260</v>
      </c>
      <c r="D84" s="118" t="s">
        <v>68</v>
      </c>
      <c r="E84" s="118" t="s">
        <v>87</v>
      </c>
      <c r="F84" s="119">
        <v>3.5087719298246109E-3</v>
      </c>
      <c r="G84" s="119">
        <v>7.8321678321678259E-2</v>
      </c>
    </row>
    <row r="85" spans="2:7" x14ac:dyDescent="0.2">
      <c r="B85" s="116" t="s">
        <v>261</v>
      </c>
      <c r="C85" s="117" t="s">
        <v>262</v>
      </c>
      <c r="D85" s="118" t="s">
        <v>92</v>
      </c>
      <c r="E85" s="118" t="s">
        <v>93</v>
      </c>
      <c r="F85" s="119">
        <v>3.738317757009349E-2</v>
      </c>
      <c r="G85" s="119">
        <v>8.1081081081080947E-2</v>
      </c>
    </row>
    <row r="86" spans="2:7" x14ac:dyDescent="0.2">
      <c r="B86" s="116" t="s">
        <v>263</v>
      </c>
      <c r="C86" s="117" t="s">
        <v>264</v>
      </c>
      <c r="D86" s="118" t="s">
        <v>48</v>
      </c>
      <c r="E86" s="118" t="s">
        <v>265</v>
      </c>
      <c r="F86" s="119">
        <v>0.1111111111111112</v>
      </c>
      <c r="G86" s="119">
        <v>1.5</v>
      </c>
    </row>
    <row r="87" spans="2:7" x14ac:dyDescent="0.2">
      <c r="B87" s="116" t="s">
        <v>266</v>
      </c>
      <c r="C87" s="117" t="s">
        <v>267</v>
      </c>
      <c r="D87" s="118" t="s">
        <v>92</v>
      </c>
      <c r="E87" s="118" t="s">
        <v>195</v>
      </c>
      <c r="F87" s="119">
        <v>9.2579986385296201E-2</v>
      </c>
      <c r="G87" s="119">
        <v>0.1140186915887849</v>
      </c>
    </row>
    <row r="88" spans="2:7" x14ac:dyDescent="0.2">
      <c r="B88" s="116" t="s">
        <v>268</v>
      </c>
      <c r="C88" s="117" t="s">
        <v>269</v>
      </c>
      <c r="D88" s="118" t="s">
        <v>68</v>
      </c>
      <c r="E88" s="118" t="s">
        <v>87</v>
      </c>
      <c r="F88" s="119">
        <v>0.68965517241379304</v>
      </c>
      <c r="G88" s="119">
        <v>2.7777777777777781</v>
      </c>
    </row>
    <row r="89" spans="2:7" x14ac:dyDescent="0.2">
      <c r="B89" s="116" t="s">
        <v>270</v>
      </c>
      <c r="C89" s="117" t="s">
        <v>271</v>
      </c>
      <c r="D89" s="118" t="s">
        <v>92</v>
      </c>
      <c r="E89" s="118" t="s">
        <v>272</v>
      </c>
      <c r="F89" s="119">
        <v>1.2690355329948971E-3</v>
      </c>
      <c r="G89" s="119">
        <v>0.120405576679341</v>
      </c>
    </row>
    <row r="90" spans="2:7" x14ac:dyDescent="0.2">
      <c r="B90" s="116" t="s">
        <v>273</v>
      </c>
      <c r="C90" s="117" t="s">
        <v>274</v>
      </c>
      <c r="D90" s="118" t="s">
        <v>92</v>
      </c>
      <c r="E90" s="118" t="s">
        <v>275</v>
      </c>
      <c r="F90" s="119">
        <v>0.21818181818181809</v>
      </c>
      <c r="G90" s="119">
        <v>-1.4925373134328261E-2</v>
      </c>
    </row>
    <row r="91" spans="2:7" x14ac:dyDescent="0.2">
      <c r="B91" s="116" t="s">
        <v>276</v>
      </c>
      <c r="C91" s="117" t="s">
        <v>277</v>
      </c>
      <c r="D91" s="118" t="s">
        <v>34</v>
      </c>
      <c r="E91" s="118" t="s">
        <v>278</v>
      </c>
      <c r="F91" s="119">
        <v>0.11392405063291131</v>
      </c>
      <c r="G91" s="119">
        <v>0.32954545454545447</v>
      </c>
    </row>
    <row r="92" spans="2:7" x14ac:dyDescent="0.2">
      <c r="B92" s="116" t="s">
        <v>279</v>
      </c>
      <c r="C92" s="117" t="s">
        <v>280</v>
      </c>
      <c r="D92" s="118" t="s">
        <v>52</v>
      </c>
      <c r="E92" s="118" t="s">
        <v>281</v>
      </c>
      <c r="F92" s="119">
        <v>0.21878172588832501</v>
      </c>
      <c r="G92" s="119">
        <v>0.34735526863806743</v>
      </c>
    </row>
    <row r="93" spans="2:7" x14ac:dyDescent="0.2">
      <c r="B93" s="116" t="s">
        <v>282</v>
      </c>
      <c r="C93" s="117" t="s">
        <v>283</v>
      </c>
      <c r="D93" s="118" t="s">
        <v>52</v>
      </c>
      <c r="E93" s="118" t="s">
        <v>284</v>
      </c>
      <c r="F93" s="119">
        <v>-3.3039647577092587E-2</v>
      </c>
      <c r="G93" s="119">
        <v>4.7835990888382682E-2</v>
      </c>
    </row>
    <row r="94" spans="2:7" x14ac:dyDescent="0.2">
      <c r="B94" s="116" t="s">
        <v>285</v>
      </c>
      <c r="C94" s="117" t="s">
        <v>286</v>
      </c>
      <c r="D94" s="118" t="s">
        <v>34</v>
      </c>
      <c r="E94" s="118" t="s">
        <v>287</v>
      </c>
      <c r="F94" s="119">
        <v>0.25355756791720557</v>
      </c>
      <c r="G94" s="119">
        <v>8.9783281733746237E-2</v>
      </c>
    </row>
    <row r="95" spans="2:7" x14ac:dyDescent="0.2">
      <c r="B95" s="116" t="s">
        <v>288</v>
      </c>
      <c r="C95" s="117" t="s">
        <v>289</v>
      </c>
      <c r="D95" s="118" t="s">
        <v>34</v>
      </c>
      <c r="E95" s="118" t="s">
        <v>202</v>
      </c>
      <c r="F95" s="119">
        <v>-0.78947368421052633</v>
      </c>
      <c r="G95" s="119">
        <v>0.49999999999999989</v>
      </c>
    </row>
    <row r="96" spans="2:7" x14ac:dyDescent="0.2">
      <c r="B96" s="116" t="s">
        <v>290</v>
      </c>
      <c r="C96" s="117" t="s">
        <v>291</v>
      </c>
      <c r="D96" s="118" t="s">
        <v>115</v>
      </c>
      <c r="E96" s="118" t="s">
        <v>116</v>
      </c>
      <c r="F96" s="119">
        <v>0.40909090909090912</v>
      </c>
      <c r="G96" s="119">
        <v>0.25806451612903231</v>
      </c>
    </row>
    <row r="97" spans="2:7" x14ac:dyDescent="0.2">
      <c r="B97" s="116" t="s">
        <v>292</v>
      </c>
      <c r="C97" s="117" t="s">
        <v>293</v>
      </c>
      <c r="D97" s="118" t="s">
        <v>34</v>
      </c>
      <c r="E97" s="118" t="s">
        <v>99</v>
      </c>
      <c r="F97" s="119">
        <v>0.16479400749063669</v>
      </c>
      <c r="G97" s="119">
        <v>7.8778135048231543E-2</v>
      </c>
    </row>
    <row r="98" spans="2:7" x14ac:dyDescent="0.2">
      <c r="B98" s="116" t="s">
        <v>294</v>
      </c>
      <c r="C98" s="117" t="s">
        <v>295</v>
      </c>
      <c r="D98" s="118" t="s">
        <v>68</v>
      </c>
      <c r="E98" s="118" t="s">
        <v>296</v>
      </c>
      <c r="F98" s="119">
        <v>0.23627075351213281</v>
      </c>
      <c r="G98" s="119">
        <v>0.18388429752066129</v>
      </c>
    </row>
    <row r="99" spans="2:7" x14ac:dyDescent="0.2">
      <c r="B99" s="116" t="s">
        <v>297</v>
      </c>
      <c r="C99" s="117" t="s">
        <v>298</v>
      </c>
      <c r="D99" s="118" t="s">
        <v>92</v>
      </c>
      <c r="E99" s="118" t="s">
        <v>299</v>
      </c>
      <c r="F99" s="119">
        <v>1.2422360248447079E-2</v>
      </c>
      <c r="G99" s="119">
        <v>-1.226993865030662E-2</v>
      </c>
    </row>
    <row r="100" spans="2:7" x14ac:dyDescent="0.2">
      <c r="B100" s="116" t="s">
        <v>300</v>
      </c>
      <c r="C100" s="117" t="s">
        <v>301</v>
      </c>
      <c r="D100" s="118" t="s">
        <v>92</v>
      </c>
      <c r="E100" s="118" t="s">
        <v>192</v>
      </c>
      <c r="F100" s="119">
        <v>0.1217712177121769</v>
      </c>
      <c r="G100" s="119">
        <v>0.13486842105263161</v>
      </c>
    </row>
    <row r="101" spans="2:7" x14ac:dyDescent="0.2">
      <c r="B101" s="116" t="s">
        <v>302</v>
      </c>
      <c r="C101" s="117" t="s">
        <v>303</v>
      </c>
      <c r="D101" s="118" t="s">
        <v>39</v>
      </c>
      <c r="E101" s="118" t="s">
        <v>65</v>
      </c>
      <c r="F101" s="119">
        <v>-7.7519379844961309E-2</v>
      </c>
      <c r="G101" s="119">
        <v>0.1302521008403362</v>
      </c>
    </row>
    <row r="102" spans="2:7" x14ac:dyDescent="0.2">
      <c r="B102" s="116" t="s">
        <v>304</v>
      </c>
      <c r="C102" s="117" t="s">
        <v>305</v>
      </c>
      <c r="D102" s="118" t="s">
        <v>241</v>
      </c>
      <c r="E102" s="118" t="s">
        <v>306</v>
      </c>
      <c r="F102" s="119">
        <v>-0.86127167630057799</v>
      </c>
      <c r="G102" s="119">
        <v>3.375</v>
      </c>
    </row>
    <row r="103" spans="2:7" x14ac:dyDescent="0.2">
      <c r="B103" s="116" t="s">
        <v>307</v>
      </c>
      <c r="C103" s="117" t="s">
        <v>308</v>
      </c>
      <c r="D103" s="118" t="s">
        <v>145</v>
      </c>
      <c r="E103" s="118" t="s">
        <v>179</v>
      </c>
      <c r="F103" s="119">
        <v>0.10604026845637581</v>
      </c>
      <c r="G103" s="119">
        <v>0.137135922330097</v>
      </c>
    </row>
    <row r="104" spans="2:7" x14ac:dyDescent="0.2">
      <c r="B104" s="116" t="s">
        <v>309</v>
      </c>
      <c r="C104" s="117" t="s">
        <v>310</v>
      </c>
      <c r="D104" s="118" t="s">
        <v>34</v>
      </c>
      <c r="E104" s="118" t="s">
        <v>311</v>
      </c>
      <c r="F104" s="119">
        <v>-1.689189189189183E-2</v>
      </c>
      <c r="G104" s="119">
        <v>0.25085910652920962</v>
      </c>
    </row>
    <row r="105" spans="2:7" x14ac:dyDescent="0.2">
      <c r="B105" s="116" t="s">
        <v>312</v>
      </c>
      <c r="C105" s="117" t="s">
        <v>313</v>
      </c>
      <c r="D105" s="118" t="s">
        <v>34</v>
      </c>
      <c r="E105" s="118" t="s">
        <v>314</v>
      </c>
      <c r="F105" s="119">
        <v>-3.2432432432432462E-2</v>
      </c>
      <c r="G105" s="119">
        <v>0.1173184357541899</v>
      </c>
    </row>
    <row r="106" spans="2:7" x14ac:dyDescent="0.2">
      <c r="B106" s="116" t="s">
        <v>315</v>
      </c>
      <c r="C106" s="117" t="s">
        <v>316</v>
      </c>
      <c r="D106" s="118" t="s">
        <v>92</v>
      </c>
      <c r="E106" s="118" t="s">
        <v>195</v>
      </c>
      <c r="F106" s="119">
        <v>6.9666666666666677</v>
      </c>
      <c r="G106" s="119">
        <v>0.20083682008368201</v>
      </c>
    </row>
    <row r="107" spans="2:7" x14ac:dyDescent="0.2">
      <c r="B107" s="116" t="s">
        <v>317</v>
      </c>
      <c r="C107" s="117" t="s">
        <v>318</v>
      </c>
      <c r="D107" s="118" t="s">
        <v>34</v>
      </c>
      <c r="E107" s="118" t="s">
        <v>319</v>
      </c>
      <c r="F107" s="119">
        <v>6.0240963855421742E-2</v>
      </c>
      <c r="G107" s="119">
        <v>-0.43181818181818182</v>
      </c>
    </row>
    <row r="108" spans="2:7" x14ac:dyDescent="0.2">
      <c r="B108" s="116" t="s">
        <v>320</v>
      </c>
      <c r="C108" s="117" t="s">
        <v>321</v>
      </c>
      <c r="D108" s="118" t="s">
        <v>34</v>
      </c>
      <c r="E108" s="118" t="s">
        <v>319</v>
      </c>
      <c r="F108" s="119">
        <v>5.4545454545454591E-2</v>
      </c>
      <c r="G108" s="119">
        <v>0.28846153846153849</v>
      </c>
    </row>
    <row r="109" spans="2:7" x14ac:dyDescent="0.2">
      <c r="B109" s="116" t="s">
        <v>322</v>
      </c>
      <c r="C109" s="117" t="s">
        <v>323</v>
      </c>
      <c r="D109" s="118" t="s">
        <v>106</v>
      </c>
      <c r="E109" s="118" t="s">
        <v>324</v>
      </c>
      <c r="F109" s="119">
        <v>-5.8365758754862574E-3</v>
      </c>
      <c r="G109" s="119">
        <v>0.12915851272015641</v>
      </c>
    </row>
    <row r="110" spans="2:7" x14ac:dyDescent="0.2">
      <c r="B110" s="116" t="s">
        <v>325</v>
      </c>
      <c r="C110" s="117" t="s">
        <v>326</v>
      </c>
      <c r="D110" s="118" t="s">
        <v>138</v>
      </c>
      <c r="E110" s="118" t="s">
        <v>139</v>
      </c>
      <c r="F110" s="119">
        <v>-4.5454545454545491E-2</v>
      </c>
      <c r="G110" s="119">
        <v>4.7619047619047658E-2</v>
      </c>
    </row>
    <row r="111" spans="2:7" x14ac:dyDescent="0.2">
      <c r="B111" s="116" t="s">
        <v>327</v>
      </c>
      <c r="C111" s="117" t="s">
        <v>328</v>
      </c>
      <c r="D111" s="118" t="s">
        <v>92</v>
      </c>
      <c r="E111" s="118" t="s">
        <v>329</v>
      </c>
      <c r="F111" s="119">
        <v>0.14110429447852771</v>
      </c>
      <c r="G111" s="119">
        <v>-2.1505376344086041E-2</v>
      </c>
    </row>
    <row r="112" spans="2:7" x14ac:dyDescent="0.2">
      <c r="B112" s="116" t="s">
        <v>330</v>
      </c>
      <c r="C112" s="117" t="s">
        <v>331</v>
      </c>
      <c r="D112" s="118" t="s">
        <v>92</v>
      </c>
      <c r="E112" s="118" t="s">
        <v>272</v>
      </c>
      <c r="F112" s="119">
        <v>5.5975794251134657E-2</v>
      </c>
      <c r="G112" s="119">
        <v>6.1604584527220577E-2</v>
      </c>
    </row>
    <row r="113" spans="2:7" x14ac:dyDescent="0.2">
      <c r="B113" s="116" t="s">
        <v>332</v>
      </c>
      <c r="C113" s="117" t="s">
        <v>333</v>
      </c>
      <c r="D113" s="118" t="s">
        <v>92</v>
      </c>
      <c r="E113" s="118" t="s">
        <v>195</v>
      </c>
      <c r="F113" s="119">
        <v>0.13533834586466159</v>
      </c>
      <c r="G113" s="119">
        <v>0.2251655629139073</v>
      </c>
    </row>
    <row r="114" spans="2:7" x14ac:dyDescent="0.2">
      <c r="B114" s="116" t="s">
        <v>334</v>
      </c>
      <c r="C114" s="117" t="s">
        <v>335</v>
      </c>
      <c r="D114" s="118" t="s">
        <v>68</v>
      </c>
      <c r="E114" s="118" t="s">
        <v>87</v>
      </c>
      <c r="F114" s="119">
        <v>-1.1382978723404249</v>
      </c>
      <c r="G114" s="119">
        <v>-0.5970149253731345</v>
      </c>
    </row>
    <row r="115" spans="2:7" x14ac:dyDescent="0.2">
      <c r="B115" s="116" t="s">
        <v>336</v>
      </c>
      <c r="C115" s="117" t="s">
        <v>337</v>
      </c>
      <c r="D115" s="118" t="s">
        <v>145</v>
      </c>
      <c r="E115" s="118" t="s">
        <v>179</v>
      </c>
      <c r="F115" s="119">
        <v>-0.26475849731663681</v>
      </c>
      <c r="G115" s="119">
        <v>6.0827250608271209E-3</v>
      </c>
    </row>
    <row r="116" spans="2:7" x14ac:dyDescent="0.2">
      <c r="B116" s="116" t="s">
        <v>338</v>
      </c>
      <c r="C116" s="117" t="s">
        <v>339</v>
      </c>
      <c r="D116" s="118" t="s">
        <v>78</v>
      </c>
      <c r="E116" s="118" t="s">
        <v>340</v>
      </c>
      <c r="F116" s="119">
        <v>-4.4247787610618532E-3</v>
      </c>
      <c r="G116" s="119">
        <v>0.1066666666666668</v>
      </c>
    </row>
    <row r="117" spans="2:7" x14ac:dyDescent="0.2">
      <c r="B117" s="116" t="s">
        <v>341</v>
      </c>
      <c r="C117" s="117" t="s">
        <v>342</v>
      </c>
      <c r="D117" s="118" t="s">
        <v>145</v>
      </c>
      <c r="E117" s="118" t="s">
        <v>343</v>
      </c>
      <c r="F117" s="119">
        <v>0.54545454545454541</v>
      </c>
      <c r="G117" s="119">
        <v>0.17156862745098039</v>
      </c>
    </row>
    <row r="118" spans="2:7" x14ac:dyDescent="0.2">
      <c r="B118" s="116" t="s">
        <v>344</v>
      </c>
      <c r="C118" s="117" t="s">
        <v>345</v>
      </c>
      <c r="D118" s="118" t="s">
        <v>34</v>
      </c>
      <c r="E118" s="118" t="s">
        <v>346</v>
      </c>
      <c r="F118" s="119">
        <v>-0.17800453514739231</v>
      </c>
      <c r="G118" s="119">
        <v>9.5172413793103497E-2</v>
      </c>
    </row>
    <row r="119" spans="2:7" x14ac:dyDescent="0.2">
      <c r="B119" s="116" t="s">
        <v>347</v>
      </c>
      <c r="C119" s="117" t="s">
        <v>348</v>
      </c>
      <c r="D119" s="118" t="s">
        <v>39</v>
      </c>
      <c r="E119" s="118" t="s">
        <v>62</v>
      </c>
      <c r="F119" s="119">
        <v>4.1666666666666713E-2</v>
      </c>
      <c r="G119" s="119">
        <v>0.12000000000000011</v>
      </c>
    </row>
    <row r="120" spans="2:7" x14ac:dyDescent="0.2">
      <c r="B120" s="116" t="s">
        <v>349</v>
      </c>
      <c r="C120" s="117" t="s">
        <v>350</v>
      </c>
      <c r="D120" s="118" t="s">
        <v>92</v>
      </c>
      <c r="E120" s="118" t="s">
        <v>351</v>
      </c>
      <c r="F120" s="119">
        <v>-3.9800995024875552E-2</v>
      </c>
      <c r="G120" s="119">
        <v>2.0725388601036291E-2</v>
      </c>
    </row>
    <row r="121" spans="2:7" x14ac:dyDescent="0.2">
      <c r="B121" s="116" t="s">
        <v>352</v>
      </c>
      <c r="C121" s="117" t="s">
        <v>353</v>
      </c>
      <c r="D121" s="118" t="s">
        <v>78</v>
      </c>
      <c r="E121" s="118" t="s">
        <v>340</v>
      </c>
      <c r="F121" s="119">
        <v>-2.2857142857142881E-2</v>
      </c>
      <c r="G121" s="119">
        <v>9.941520467836254E-2</v>
      </c>
    </row>
    <row r="122" spans="2:7" x14ac:dyDescent="0.2">
      <c r="B122" s="116" t="s">
        <v>354</v>
      </c>
      <c r="C122" s="117" t="s">
        <v>355</v>
      </c>
      <c r="D122" s="118" t="s">
        <v>233</v>
      </c>
      <c r="E122" s="118" t="s">
        <v>234</v>
      </c>
      <c r="F122" s="119">
        <v>-0.21590909090909099</v>
      </c>
      <c r="G122" s="119">
        <v>0.2137681159420291</v>
      </c>
    </row>
    <row r="123" spans="2:7" x14ac:dyDescent="0.2">
      <c r="B123" s="116" t="s">
        <v>356</v>
      </c>
      <c r="C123" s="117" t="s">
        <v>357</v>
      </c>
      <c r="D123" s="118" t="s">
        <v>34</v>
      </c>
      <c r="E123" s="118" t="s">
        <v>245</v>
      </c>
      <c r="F123" s="119">
        <v>4.5558086560364509E-2</v>
      </c>
      <c r="G123" s="119">
        <v>8.9324618736383476E-2</v>
      </c>
    </row>
    <row r="124" spans="2:7" x14ac:dyDescent="0.2">
      <c r="B124" s="116" t="s">
        <v>358</v>
      </c>
      <c r="C124" s="117" t="s">
        <v>359</v>
      </c>
      <c r="D124" s="118" t="s">
        <v>145</v>
      </c>
      <c r="E124" s="118" t="s">
        <v>360</v>
      </c>
      <c r="F124" s="119">
        <v>-0.24022346368715081</v>
      </c>
      <c r="G124" s="119">
        <v>0.28308823529411759</v>
      </c>
    </row>
    <row r="125" spans="2:7" x14ac:dyDescent="0.2">
      <c r="B125" s="116" t="s">
        <v>361</v>
      </c>
      <c r="C125" s="117" t="s">
        <v>362</v>
      </c>
      <c r="D125" s="118" t="s">
        <v>39</v>
      </c>
      <c r="E125" s="118" t="s">
        <v>363</v>
      </c>
      <c r="F125" s="119">
        <v>0.1006564551422319</v>
      </c>
      <c r="G125" s="119">
        <v>0.1182902584493041</v>
      </c>
    </row>
    <row r="126" spans="2:7" x14ac:dyDescent="0.2">
      <c r="B126" s="116" t="s">
        <v>364</v>
      </c>
      <c r="C126" s="117" t="s">
        <v>365</v>
      </c>
      <c r="D126" s="118" t="s">
        <v>34</v>
      </c>
      <c r="E126" s="118" t="s">
        <v>248</v>
      </c>
      <c r="F126" s="119">
        <v>-1.4492753623188481E-2</v>
      </c>
      <c r="G126" s="119">
        <v>0.40441176470588253</v>
      </c>
    </row>
    <row r="127" spans="2:7" x14ac:dyDescent="0.2">
      <c r="B127" s="116" t="s">
        <v>366</v>
      </c>
      <c r="C127" s="117" t="s">
        <v>367</v>
      </c>
      <c r="D127" s="118" t="s">
        <v>68</v>
      </c>
      <c r="E127" s="118" t="s">
        <v>87</v>
      </c>
      <c r="F127" s="119">
        <v>-0.37564766839378227</v>
      </c>
      <c r="G127" s="119">
        <v>7.5329566854990496E-2</v>
      </c>
    </row>
    <row r="128" spans="2:7" x14ac:dyDescent="0.2">
      <c r="B128" s="116" t="s">
        <v>368</v>
      </c>
      <c r="C128" s="117" t="s">
        <v>369</v>
      </c>
      <c r="D128" s="118" t="s">
        <v>48</v>
      </c>
      <c r="E128" s="118" t="s">
        <v>370</v>
      </c>
      <c r="F128" s="119">
        <v>7.9952267303102606E-2</v>
      </c>
      <c r="G128" s="119">
        <v>4.1988950276242977E-2</v>
      </c>
    </row>
    <row r="129" spans="2:7" x14ac:dyDescent="0.2">
      <c r="B129" s="116" t="s">
        <v>371</v>
      </c>
      <c r="C129" s="117" t="s">
        <v>372</v>
      </c>
      <c r="D129" s="118" t="s">
        <v>34</v>
      </c>
      <c r="E129" s="118" t="s">
        <v>251</v>
      </c>
      <c r="F129" s="119">
        <v>-0.34210526315789469</v>
      </c>
      <c r="G129" s="119">
        <v>0.32000000000000012</v>
      </c>
    </row>
    <row r="130" spans="2:7" x14ac:dyDescent="0.2">
      <c r="B130" s="116" t="s">
        <v>373</v>
      </c>
      <c r="C130" s="117" t="s">
        <v>374</v>
      </c>
      <c r="D130" s="118" t="s">
        <v>34</v>
      </c>
      <c r="E130" s="118" t="s">
        <v>375</v>
      </c>
      <c r="F130" s="119">
        <v>-0.36653386454183262</v>
      </c>
      <c r="G130" s="119">
        <v>0.27044025157232698</v>
      </c>
    </row>
    <row r="131" spans="2:7" x14ac:dyDescent="0.2">
      <c r="B131" s="116" t="s">
        <v>376</v>
      </c>
      <c r="C131" s="117" t="s">
        <v>377</v>
      </c>
      <c r="D131" s="118" t="s">
        <v>92</v>
      </c>
      <c r="E131" s="118" t="s">
        <v>378</v>
      </c>
      <c r="F131" s="119">
        <v>0.20648464163822519</v>
      </c>
      <c r="G131" s="119">
        <v>0.13437057991513429</v>
      </c>
    </row>
    <row r="132" spans="2:7" x14ac:dyDescent="0.2">
      <c r="B132" s="116" t="s">
        <v>379</v>
      </c>
      <c r="C132" s="117" t="s">
        <v>380</v>
      </c>
      <c r="D132" s="118" t="s">
        <v>34</v>
      </c>
      <c r="E132" s="118" t="s">
        <v>202</v>
      </c>
      <c r="F132" s="119">
        <v>0.16193181818181809</v>
      </c>
      <c r="G132" s="119">
        <v>0.18337408312958439</v>
      </c>
    </row>
    <row r="133" spans="2:7" x14ac:dyDescent="0.2">
      <c r="B133" s="116" t="s">
        <v>381</v>
      </c>
      <c r="C133" s="117" t="s">
        <v>382</v>
      </c>
      <c r="D133" s="118" t="s">
        <v>39</v>
      </c>
      <c r="E133" s="118" t="s">
        <v>383</v>
      </c>
      <c r="F133" s="119">
        <v>5.0724637681159472E-2</v>
      </c>
      <c r="G133" s="119">
        <v>5.5172413793103503E-2</v>
      </c>
    </row>
    <row r="134" spans="2:7" x14ac:dyDescent="0.2">
      <c r="B134" s="116" t="s">
        <v>384</v>
      </c>
      <c r="C134" s="117" t="s">
        <v>385</v>
      </c>
      <c r="D134" s="118" t="s">
        <v>138</v>
      </c>
      <c r="E134" s="118" t="s">
        <v>386</v>
      </c>
      <c r="F134" s="119">
        <v>9.5959595959595939E-2</v>
      </c>
      <c r="G134" s="119">
        <v>6.6820276497695869E-2</v>
      </c>
    </row>
    <row r="135" spans="2:7" x14ac:dyDescent="0.2">
      <c r="B135" s="116" t="s">
        <v>387</v>
      </c>
      <c r="C135" s="117" t="s">
        <v>388</v>
      </c>
      <c r="D135" s="118" t="s">
        <v>39</v>
      </c>
      <c r="E135" s="118" t="s">
        <v>389</v>
      </c>
      <c r="F135" s="119">
        <v>6.8877551020408281E-2</v>
      </c>
      <c r="G135" s="119">
        <v>0.12410501193317409</v>
      </c>
    </row>
    <row r="136" spans="2:7" x14ac:dyDescent="0.2">
      <c r="B136" s="116" t="s">
        <v>390</v>
      </c>
      <c r="C136" s="117" t="s">
        <v>391</v>
      </c>
      <c r="D136" s="118" t="s">
        <v>34</v>
      </c>
      <c r="E136" s="118" t="s">
        <v>287</v>
      </c>
      <c r="F136" s="119">
        <v>4.4545454545454541</v>
      </c>
      <c r="G136" s="119">
        <v>1.368421052631579</v>
      </c>
    </row>
    <row r="137" spans="2:7" x14ac:dyDescent="0.2">
      <c r="B137" s="116" t="s">
        <v>392</v>
      </c>
      <c r="C137" s="117" t="s">
        <v>393</v>
      </c>
      <c r="D137" s="118" t="s">
        <v>115</v>
      </c>
      <c r="E137" s="118" t="s">
        <v>394</v>
      </c>
      <c r="F137" s="119">
        <v>-0.15</v>
      </c>
      <c r="G137" s="119">
        <v>0.1538461538461538</v>
      </c>
    </row>
    <row r="138" spans="2:7" x14ac:dyDescent="0.2">
      <c r="B138" s="116" t="s">
        <v>395</v>
      </c>
      <c r="C138" s="117" t="s">
        <v>396</v>
      </c>
      <c r="D138" s="118" t="s">
        <v>145</v>
      </c>
      <c r="E138" s="118" t="s">
        <v>146</v>
      </c>
      <c r="F138" s="119">
        <v>1.7551020408163269</v>
      </c>
      <c r="G138" s="119">
        <v>0.6</v>
      </c>
    </row>
    <row r="139" spans="2:7" x14ac:dyDescent="0.2">
      <c r="B139" s="116" t="s">
        <v>397</v>
      </c>
      <c r="C139" s="117" t="s">
        <v>398</v>
      </c>
      <c r="D139" s="118" t="s">
        <v>92</v>
      </c>
      <c r="E139" s="118" t="s">
        <v>399</v>
      </c>
      <c r="F139" s="119">
        <v>7.2727272727272788E-3</v>
      </c>
      <c r="G139" s="119">
        <v>7.9422382671480218E-2</v>
      </c>
    </row>
    <row r="140" spans="2:7" x14ac:dyDescent="0.2">
      <c r="B140" s="116" t="s">
        <v>400</v>
      </c>
      <c r="C140" s="117" t="s">
        <v>401</v>
      </c>
      <c r="D140" s="118" t="s">
        <v>145</v>
      </c>
      <c r="E140" s="118" t="s">
        <v>402</v>
      </c>
      <c r="F140" s="119">
        <v>0.37037037037037041</v>
      </c>
      <c r="G140" s="119">
        <v>0.26126126126126109</v>
      </c>
    </row>
    <row r="141" spans="2:7" x14ac:dyDescent="0.2">
      <c r="B141" s="116" t="s">
        <v>403</v>
      </c>
      <c r="C141" s="117" t="s">
        <v>404</v>
      </c>
      <c r="D141" s="118" t="s">
        <v>145</v>
      </c>
      <c r="E141" s="118" t="s">
        <v>146</v>
      </c>
      <c r="F141" s="119">
        <v>-0.45454545454545459</v>
      </c>
      <c r="G141" s="119">
        <v>0.66666666666666685</v>
      </c>
    </row>
    <row r="142" spans="2:7" x14ac:dyDescent="0.2">
      <c r="B142" s="116" t="s">
        <v>405</v>
      </c>
      <c r="C142" s="117" t="s">
        <v>406</v>
      </c>
      <c r="D142" s="118" t="s">
        <v>138</v>
      </c>
      <c r="E142" s="118" t="s">
        <v>139</v>
      </c>
      <c r="F142" s="119">
        <v>-4.3478260869565147E-2</v>
      </c>
      <c r="G142" s="119">
        <v>-1.5151515151515169E-2</v>
      </c>
    </row>
    <row r="143" spans="2:7" x14ac:dyDescent="0.2">
      <c r="B143" s="116" t="s">
        <v>407</v>
      </c>
      <c r="C143" s="117" t="s">
        <v>408</v>
      </c>
      <c r="D143" s="118" t="s">
        <v>92</v>
      </c>
      <c r="E143" s="118" t="s">
        <v>195</v>
      </c>
      <c r="F143" s="119">
        <v>6.1728395061728308E-2</v>
      </c>
      <c r="G143" s="119">
        <v>0.1162790697674418</v>
      </c>
    </row>
    <row r="144" spans="2:7" x14ac:dyDescent="0.2">
      <c r="B144" s="116" t="s">
        <v>409</v>
      </c>
      <c r="C144" s="117" t="s">
        <v>410</v>
      </c>
      <c r="D144" s="118" t="s">
        <v>92</v>
      </c>
      <c r="E144" s="118" t="s">
        <v>93</v>
      </c>
      <c r="F144" s="119">
        <v>3.4406215316315263E-2</v>
      </c>
      <c r="G144" s="119">
        <v>5.2575107296137361E-2</v>
      </c>
    </row>
    <row r="145" spans="2:7" x14ac:dyDescent="0.2">
      <c r="B145" s="116" t="s">
        <v>411</v>
      </c>
      <c r="C145" s="117" t="s">
        <v>412</v>
      </c>
      <c r="D145" s="118" t="s">
        <v>34</v>
      </c>
      <c r="E145" s="118" t="s">
        <v>251</v>
      </c>
      <c r="F145" s="119">
        <v>3.6027263875365242E-2</v>
      </c>
      <c r="G145" s="119">
        <v>8.3646616541353261E-2</v>
      </c>
    </row>
    <row r="146" spans="2:7" x14ac:dyDescent="0.2">
      <c r="B146" s="116" t="s">
        <v>413</v>
      </c>
      <c r="C146" s="117" t="s">
        <v>414</v>
      </c>
      <c r="D146" s="118" t="s">
        <v>34</v>
      </c>
      <c r="E146" s="118" t="s">
        <v>319</v>
      </c>
      <c r="F146" s="119">
        <v>0.676056338028169</v>
      </c>
      <c r="G146" s="119">
        <v>1.0869565217391299</v>
      </c>
    </row>
    <row r="147" spans="2:7" x14ac:dyDescent="0.2">
      <c r="B147" s="116" t="s">
        <v>415</v>
      </c>
      <c r="C147" s="117" t="s">
        <v>416</v>
      </c>
      <c r="D147" s="118" t="s">
        <v>34</v>
      </c>
      <c r="E147" s="118" t="s">
        <v>346</v>
      </c>
      <c r="F147" s="119">
        <v>-0.23076923076923081</v>
      </c>
      <c r="G147" s="119">
        <v>0.3125</v>
      </c>
    </row>
    <row r="148" spans="2:7" x14ac:dyDescent="0.2">
      <c r="B148" s="116" t="s">
        <v>417</v>
      </c>
      <c r="C148" s="117" t="s">
        <v>418</v>
      </c>
      <c r="D148" s="118" t="s">
        <v>92</v>
      </c>
      <c r="E148" s="118" t="s">
        <v>378</v>
      </c>
      <c r="F148" s="119">
        <v>7.3825503355704758E-2</v>
      </c>
      <c r="G148" s="119">
        <v>-6.2500000000000056E-2</v>
      </c>
    </row>
    <row r="149" spans="2:7" x14ac:dyDescent="0.2">
      <c r="B149" s="116" t="s">
        <v>419</v>
      </c>
      <c r="C149" s="117" t="s">
        <v>420</v>
      </c>
      <c r="D149" s="118" t="s">
        <v>39</v>
      </c>
      <c r="E149" s="118" t="s">
        <v>421</v>
      </c>
      <c r="F149" s="119">
        <v>8.2781456953642391E-2</v>
      </c>
      <c r="G149" s="119">
        <v>8.4097859327217098E-2</v>
      </c>
    </row>
    <row r="150" spans="2:7" x14ac:dyDescent="0.2">
      <c r="B150" s="116" t="s">
        <v>422</v>
      </c>
      <c r="C150" s="117" t="s">
        <v>423</v>
      </c>
      <c r="D150" s="118" t="s">
        <v>102</v>
      </c>
      <c r="E150" s="118" t="s">
        <v>424</v>
      </c>
      <c r="F150" s="119">
        <v>0.21808510638297879</v>
      </c>
      <c r="G150" s="119">
        <v>0.1200873362445414</v>
      </c>
    </row>
    <row r="151" spans="2:7" x14ac:dyDescent="0.2">
      <c r="B151" s="116" t="s">
        <v>425</v>
      </c>
      <c r="C151" s="117" t="s">
        <v>426</v>
      </c>
      <c r="D151" s="118" t="s">
        <v>138</v>
      </c>
      <c r="E151" s="118" t="s">
        <v>427</v>
      </c>
      <c r="F151" s="119">
        <v>9.0909090909090995E-2</v>
      </c>
      <c r="G151" s="119">
        <v>8.3333333333333287E-2</v>
      </c>
    </row>
    <row r="152" spans="2:7" x14ac:dyDescent="0.2">
      <c r="B152" s="116" t="s">
        <v>428</v>
      </c>
      <c r="C152" s="117" t="s">
        <v>429</v>
      </c>
      <c r="D152" s="118" t="s">
        <v>138</v>
      </c>
      <c r="E152" s="118" t="s">
        <v>427</v>
      </c>
      <c r="F152" s="119">
        <v>0.21965317919075139</v>
      </c>
      <c r="G152" s="119">
        <v>2.8436018957346001E-2</v>
      </c>
    </row>
    <row r="153" spans="2:7" x14ac:dyDescent="0.2">
      <c r="B153" s="116" t="s">
        <v>430</v>
      </c>
      <c r="C153" s="117" t="s">
        <v>431</v>
      </c>
      <c r="D153" s="118" t="s">
        <v>92</v>
      </c>
      <c r="E153" s="118" t="s">
        <v>142</v>
      </c>
      <c r="F153" s="119">
        <v>8.5034013605442174E-2</v>
      </c>
      <c r="G153" s="119">
        <v>2.821316614420058E-2</v>
      </c>
    </row>
    <row r="154" spans="2:7" x14ac:dyDescent="0.2">
      <c r="B154" s="116" t="s">
        <v>432</v>
      </c>
      <c r="C154" s="117" t="s">
        <v>433</v>
      </c>
      <c r="D154" s="118" t="s">
        <v>92</v>
      </c>
      <c r="E154" s="118" t="s">
        <v>434</v>
      </c>
      <c r="F154" s="119">
        <v>9.8782138024357174E-2</v>
      </c>
      <c r="G154" s="119">
        <v>0.1046798029556652</v>
      </c>
    </row>
    <row r="155" spans="2:7" x14ac:dyDescent="0.2">
      <c r="B155" s="116" t="s">
        <v>435</v>
      </c>
      <c r="C155" s="117" t="s">
        <v>436</v>
      </c>
      <c r="D155" s="118" t="s">
        <v>92</v>
      </c>
      <c r="E155" s="118" t="s">
        <v>96</v>
      </c>
      <c r="F155" s="119">
        <v>1.1531914893617019</v>
      </c>
      <c r="G155" s="119">
        <v>4.1501976284584977E-2</v>
      </c>
    </row>
    <row r="156" spans="2:7" x14ac:dyDescent="0.2">
      <c r="B156" s="116" t="s">
        <v>437</v>
      </c>
      <c r="C156" s="117" t="s">
        <v>438</v>
      </c>
      <c r="D156" s="118" t="s">
        <v>145</v>
      </c>
      <c r="E156" s="118" t="s">
        <v>360</v>
      </c>
      <c r="F156" s="119">
        <v>0.42063492063492058</v>
      </c>
      <c r="G156" s="119">
        <v>9.4972067039106101E-2</v>
      </c>
    </row>
    <row r="157" spans="2:7" x14ac:dyDescent="0.2">
      <c r="B157" s="116" t="s">
        <v>439</v>
      </c>
      <c r="C157" s="117" t="s">
        <v>440</v>
      </c>
      <c r="D157" s="118" t="s">
        <v>102</v>
      </c>
      <c r="E157" s="118" t="s">
        <v>441</v>
      </c>
      <c r="F157" s="119">
        <v>6.61157024793389E-2</v>
      </c>
      <c r="G157" s="119">
        <v>-1</v>
      </c>
    </row>
    <row r="158" spans="2:7" x14ac:dyDescent="0.2">
      <c r="B158" s="116" t="s">
        <v>442</v>
      </c>
      <c r="C158" s="117" t="s">
        <v>443</v>
      </c>
      <c r="D158" s="118" t="s">
        <v>34</v>
      </c>
      <c r="E158" s="118" t="s">
        <v>319</v>
      </c>
      <c r="F158" s="119">
        <v>17</v>
      </c>
      <c r="G158" s="119">
        <v>0.52083333333333337</v>
      </c>
    </row>
    <row r="159" spans="2:7" x14ac:dyDescent="0.2">
      <c r="B159" s="116" t="s">
        <v>444</v>
      </c>
      <c r="C159" s="117" t="s">
        <v>445</v>
      </c>
      <c r="D159" s="118" t="s">
        <v>68</v>
      </c>
      <c r="E159" s="118" t="s">
        <v>69</v>
      </c>
      <c r="F159" s="119">
        <v>9.7560975609756184E-2</v>
      </c>
      <c r="G159" s="119">
        <v>0.16111111111111101</v>
      </c>
    </row>
    <row r="160" spans="2:7" x14ac:dyDescent="0.2">
      <c r="B160" s="116" t="s">
        <v>446</v>
      </c>
      <c r="C160" s="117" t="s">
        <v>447</v>
      </c>
      <c r="D160" s="118" t="s">
        <v>52</v>
      </c>
      <c r="E160" s="118" t="s">
        <v>56</v>
      </c>
      <c r="F160" s="119">
        <v>4.8792193249080219E-2</v>
      </c>
      <c r="G160" s="119">
        <v>0.10951799877974359</v>
      </c>
    </row>
    <row r="161" spans="2:7" x14ac:dyDescent="0.2">
      <c r="B161" s="116" t="s">
        <v>448</v>
      </c>
      <c r="C161" s="117" t="s">
        <v>449</v>
      </c>
      <c r="D161" s="118" t="s">
        <v>34</v>
      </c>
      <c r="E161" s="118" t="s">
        <v>99</v>
      </c>
      <c r="F161" s="119">
        <v>4.1782729805014032E-2</v>
      </c>
      <c r="G161" s="119">
        <v>0.1203208556149733</v>
      </c>
    </row>
    <row r="162" spans="2:7" x14ac:dyDescent="0.2">
      <c r="B162" s="116" t="s">
        <v>450</v>
      </c>
      <c r="C162" s="117" t="s">
        <v>451</v>
      </c>
      <c r="D162" s="118" t="s">
        <v>92</v>
      </c>
      <c r="E162" s="118" t="s">
        <v>142</v>
      </c>
      <c r="F162" s="119">
        <v>0.1071428571428571</v>
      </c>
      <c r="G162" s="119">
        <v>4.6082949308755797E-2</v>
      </c>
    </row>
    <row r="163" spans="2:7" x14ac:dyDescent="0.2">
      <c r="B163" s="116" t="s">
        <v>452</v>
      </c>
      <c r="C163" s="117" t="s">
        <v>453</v>
      </c>
      <c r="D163" s="118" t="s">
        <v>48</v>
      </c>
      <c r="E163" s="118" t="s">
        <v>49</v>
      </c>
      <c r="F163" s="119">
        <v>0.55319148936170215</v>
      </c>
      <c r="G163" s="119">
        <v>0.44292237442922378</v>
      </c>
    </row>
    <row r="164" spans="2:7" x14ac:dyDescent="0.2">
      <c r="B164" s="116" t="s">
        <v>454</v>
      </c>
      <c r="C164" s="117" t="s">
        <v>455</v>
      </c>
      <c r="D164" s="118" t="s">
        <v>198</v>
      </c>
      <c r="E164" s="118" t="s">
        <v>456</v>
      </c>
      <c r="F164" s="119">
        <v>-0.72841965471447545</v>
      </c>
      <c r="G164" s="119">
        <v>4.2322738386308068</v>
      </c>
    </row>
    <row r="165" spans="2:7" x14ac:dyDescent="0.2">
      <c r="B165" s="116" t="s">
        <v>457</v>
      </c>
      <c r="C165" s="117" t="s">
        <v>458</v>
      </c>
      <c r="D165" s="118" t="s">
        <v>52</v>
      </c>
      <c r="E165" s="118" t="s">
        <v>281</v>
      </c>
      <c r="F165" s="119">
        <v>0.31743119266055042</v>
      </c>
      <c r="G165" s="119">
        <v>0.23955431754874659</v>
      </c>
    </row>
    <row r="166" spans="2:7" x14ac:dyDescent="0.2">
      <c r="B166" s="116" t="s">
        <v>459</v>
      </c>
      <c r="C166" s="117" t="s">
        <v>460</v>
      </c>
      <c r="D166" s="118" t="s">
        <v>92</v>
      </c>
      <c r="E166" s="118" t="s">
        <v>461</v>
      </c>
      <c r="F166" s="119">
        <v>0.1102362204724409</v>
      </c>
      <c r="G166" s="119">
        <v>8.1560283687943255E-2</v>
      </c>
    </row>
    <row r="167" spans="2:7" x14ac:dyDescent="0.2">
      <c r="B167" s="116" t="s">
        <v>462</v>
      </c>
      <c r="C167" s="117" t="s">
        <v>463</v>
      </c>
      <c r="D167" s="118" t="s">
        <v>198</v>
      </c>
      <c r="E167" s="118" t="s">
        <v>199</v>
      </c>
      <c r="F167" s="119">
        <v>0.1474654377880186</v>
      </c>
      <c r="G167" s="119">
        <v>-3.2128514056224917E-2</v>
      </c>
    </row>
    <row r="168" spans="2:7" x14ac:dyDescent="0.2">
      <c r="B168" s="116" t="s">
        <v>464</v>
      </c>
      <c r="C168" s="117" t="s">
        <v>465</v>
      </c>
      <c r="D168" s="118" t="s">
        <v>106</v>
      </c>
      <c r="E168" s="118" t="s">
        <v>466</v>
      </c>
      <c r="F168" s="119">
        <v>0.1249999999999999</v>
      </c>
      <c r="G168" s="119">
        <v>0.1209150326797386</v>
      </c>
    </row>
    <row r="169" spans="2:7" x14ac:dyDescent="0.2">
      <c r="B169" s="116" t="s">
        <v>467</v>
      </c>
      <c r="C169" s="117" t="s">
        <v>468</v>
      </c>
      <c r="D169" s="118" t="s">
        <v>233</v>
      </c>
      <c r="E169" s="118" t="s">
        <v>469</v>
      </c>
      <c r="F169" s="119">
        <v>-0.2286919831223628</v>
      </c>
      <c r="G169" s="119">
        <v>0.13894967177242881</v>
      </c>
    </row>
    <row r="170" spans="2:7" x14ac:dyDescent="0.2">
      <c r="B170" s="116" t="s">
        <v>470</v>
      </c>
      <c r="C170" s="117" t="s">
        <v>471</v>
      </c>
      <c r="D170" s="118" t="s">
        <v>92</v>
      </c>
      <c r="E170" s="118" t="s">
        <v>299</v>
      </c>
      <c r="F170" s="119">
        <v>7.0687418936446283E-2</v>
      </c>
      <c r="G170" s="119">
        <v>0.1005451241671714</v>
      </c>
    </row>
    <row r="171" spans="2:7" x14ac:dyDescent="0.2">
      <c r="B171" s="116" t="s">
        <v>472</v>
      </c>
      <c r="C171" s="117" t="s">
        <v>473</v>
      </c>
      <c r="D171" s="118" t="s">
        <v>145</v>
      </c>
      <c r="E171" s="118" t="s">
        <v>179</v>
      </c>
      <c r="F171" s="119">
        <v>-0.35087719298245612</v>
      </c>
      <c r="G171" s="119">
        <v>9.0090090090089961E-2</v>
      </c>
    </row>
    <row r="172" spans="2:7" x14ac:dyDescent="0.2">
      <c r="B172" s="116" t="s">
        <v>474</v>
      </c>
      <c r="C172" s="117" t="s">
        <v>475</v>
      </c>
      <c r="D172" s="118" t="s">
        <v>68</v>
      </c>
      <c r="E172" s="118" t="s">
        <v>75</v>
      </c>
      <c r="F172" s="119">
        <v>0.12333333333333341</v>
      </c>
      <c r="G172" s="119">
        <v>0.1216617210682492</v>
      </c>
    </row>
    <row r="173" spans="2:7" x14ac:dyDescent="0.2">
      <c r="B173" s="116" t="s">
        <v>476</v>
      </c>
      <c r="C173" s="117" t="s">
        <v>477</v>
      </c>
      <c r="D173" s="118" t="s">
        <v>68</v>
      </c>
      <c r="E173" s="118" t="s">
        <v>69</v>
      </c>
      <c r="F173" s="119">
        <v>0.14110429447852771</v>
      </c>
      <c r="G173" s="119">
        <v>0.1236559139784945</v>
      </c>
    </row>
    <row r="174" spans="2:7" x14ac:dyDescent="0.2">
      <c r="B174" s="116" t="s">
        <v>478</v>
      </c>
      <c r="C174" s="117" t="s">
        <v>479</v>
      </c>
      <c r="D174" s="118" t="s">
        <v>34</v>
      </c>
      <c r="E174" s="118" t="s">
        <v>278</v>
      </c>
      <c r="F174" s="119">
        <v>-0.6470588235294118</v>
      </c>
      <c r="G174" s="119">
        <v>1.166666666666667</v>
      </c>
    </row>
    <row r="175" spans="2:7" x14ac:dyDescent="0.2">
      <c r="B175" s="116" t="s">
        <v>480</v>
      </c>
      <c r="C175" s="117" t="s">
        <v>481</v>
      </c>
      <c r="D175" s="118" t="s">
        <v>48</v>
      </c>
      <c r="E175" s="118" t="s">
        <v>49</v>
      </c>
      <c r="F175" s="119">
        <v>1.0000000000000011E-2</v>
      </c>
      <c r="G175" s="119">
        <v>-9.9009900990099098E-3</v>
      </c>
    </row>
    <row r="176" spans="2:7" x14ac:dyDescent="0.2">
      <c r="B176" s="116" t="s">
        <v>482</v>
      </c>
      <c r="C176" s="117" t="s">
        <v>483</v>
      </c>
      <c r="D176" s="118" t="s">
        <v>92</v>
      </c>
      <c r="E176" s="118" t="s">
        <v>299</v>
      </c>
      <c r="F176" s="119">
        <v>0.1285714285714287</v>
      </c>
      <c r="G176" s="119">
        <v>8.8607594936708792E-2</v>
      </c>
    </row>
    <row r="177" spans="2:7" x14ac:dyDescent="0.2">
      <c r="B177" s="116" t="s">
        <v>484</v>
      </c>
      <c r="C177" s="117" t="s">
        <v>485</v>
      </c>
      <c r="D177" s="118" t="s">
        <v>145</v>
      </c>
      <c r="E177" s="118" t="s">
        <v>402</v>
      </c>
      <c r="F177" s="119">
        <v>0.1092896174863386</v>
      </c>
      <c r="G177" s="119">
        <v>-0.12807881773398999</v>
      </c>
    </row>
    <row r="178" spans="2:7" x14ac:dyDescent="0.2">
      <c r="B178" s="116" t="s">
        <v>486</v>
      </c>
      <c r="C178" s="117" t="s">
        <v>487</v>
      </c>
      <c r="D178" s="118" t="s">
        <v>92</v>
      </c>
      <c r="E178" s="118" t="s">
        <v>461</v>
      </c>
      <c r="F178" s="119">
        <v>3.2581453634085183E-2</v>
      </c>
      <c r="G178" s="119">
        <v>9.9514563106796142E-2</v>
      </c>
    </row>
    <row r="179" spans="2:7" x14ac:dyDescent="0.2">
      <c r="B179" s="116" t="s">
        <v>488</v>
      </c>
      <c r="C179" s="117" t="s">
        <v>489</v>
      </c>
      <c r="D179" s="118" t="s">
        <v>92</v>
      </c>
      <c r="E179" s="118" t="s">
        <v>299</v>
      </c>
      <c r="F179" s="119">
        <v>-0.15476190476190479</v>
      </c>
      <c r="G179" s="119">
        <v>-7.0422535211267512E-2</v>
      </c>
    </row>
    <row r="180" spans="2:7" x14ac:dyDescent="0.2">
      <c r="B180" s="116" t="s">
        <v>490</v>
      </c>
      <c r="C180" s="117" t="s">
        <v>491</v>
      </c>
      <c r="D180" s="118" t="s">
        <v>52</v>
      </c>
      <c r="E180" s="118" t="s">
        <v>53</v>
      </c>
      <c r="F180" s="119">
        <v>0.1100386100386101</v>
      </c>
      <c r="G180" s="119">
        <v>4.8695652173913077E-2</v>
      </c>
    </row>
    <row r="181" spans="2:7" x14ac:dyDescent="0.2">
      <c r="B181" s="116" t="s">
        <v>492</v>
      </c>
      <c r="C181" s="117" t="s">
        <v>493</v>
      </c>
      <c r="D181" s="118" t="s">
        <v>115</v>
      </c>
      <c r="E181" s="118" t="s">
        <v>494</v>
      </c>
      <c r="F181" s="119">
        <v>-9.808102345415777E-2</v>
      </c>
      <c r="G181" s="119">
        <v>0.2222222222222221</v>
      </c>
    </row>
    <row r="182" spans="2:7" x14ac:dyDescent="0.2">
      <c r="B182" s="116" t="s">
        <v>495</v>
      </c>
      <c r="C182" s="117" t="s">
        <v>496</v>
      </c>
      <c r="D182" s="118" t="s">
        <v>233</v>
      </c>
      <c r="E182" s="118" t="s">
        <v>234</v>
      </c>
      <c r="F182" s="119">
        <v>-9.5505617977528046E-2</v>
      </c>
      <c r="G182" s="119">
        <v>0.1925465838509316</v>
      </c>
    </row>
    <row r="183" spans="2:7" x14ac:dyDescent="0.2">
      <c r="B183" s="116" t="s">
        <v>497</v>
      </c>
      <c r="C183" s="117" t="s">
        <v>498</v>
      </c>
      <c r="D183" s="118" t="s">
        <v>138</v>
      </c>
      <c r="E183" s="118" t="s">
        <v>499</v>
      </c>
      <c r="F183" s="119">
        <v>2.2813688212927782E-2</v>
      </c>
      <c r="G183" s="119">
        <v>5.2044609665427559E-2</v>
      </c>
    </row>
    <row r="184" spans="2:7" x14ac:dyDescent="0.2">
      <c r="B184" s="116" t="s">
        <v>500</v>
      </c>
      <c r="C184" s="117" t="s">
        <v>501</v>
      </c>
      <c r="D184" s="118" t="s">
        <v>92</v>
      </c>
      <c r="E184" s="118" t="s">
        <v>299</v>
      </c>
      <c r="F184" s="119">
        <v>1.1363636363636369E-2</v>
      </c>
      <c r="G184" s="119">
        <v>8.4269662921348257E-2</v>
      </c>
    </row>
    <row r="185" spans="2:7" x14ac:dyDescent="0.2">
      <c r="B185" s="116" t="s">
        <v>502</v>
      </c>
      <c r="C185" s="117" t="s">
        <v>503</v>
      </c>
      <c r="D185" s="118" t="s">
        <v>102</v>
      </c>
      <c r="E185" s="118" t="s">
        <v>103</v>
      </c>
      <c r="F185" s="119">
        <v>-0.13636363636363649</v>
      </c>
      <c r="G185" s="119">
        <v>2.1052631578947389E-2</v>
      </c>
    </row>
    <row r="186" spans="2:7" x14ac:dyDescent="0.2">
      <c r="B186" s="116" t="s">
        <v>504</v>
      </c>
      <c r="C186" s="117" t="s">
        <v>505</v>
      </c>
      <c r="D186" s="118" t="s">
        <v>106</v>
      </c>
      <c r="E186" s="118" t="s">
        <v>125</v>
      </c>
      <c r="F186" s="119">
        <v>0.24698795180722891</v>
      </c>
      <c r="G186" s="119">
        <v>0.20289855072463789</v>
      </c>
    </row>
    <row r="187" spans="2:7" x14ac:dyDescent="0.2">
      <c r="B187" s="116" t="s">
        <v>506</v>
      </c>
      <c r="C187" s="117" t="s">
        <v>507</v>
      </c>
      <c r="D187" s="118" t="s">
        <v>145</v>
      </c>
      <c r="E187" s="118" t="s">
        <v>360</v>
      </c>
      <c r="F187" s="119">
        <v>6.5789473684210583E-3</v>
      </c>
      <c r="G187" s="119">
        <v>8.8235294117647065E-2</v>
      </c>
    </row>
    <row r="188" spans="2:7" x14ac:dyDescent="0.2">
      <c r="B188" s="116" t="s">
        <v>508</v>
      </c>
      <c r="C188" s="117" t="s">
        <v>509</v>
      </c>
      <c r="D188" s="118" t="s">
        <v>92</v>
      </c>
      <c r="E188" s="118" t="s">
        <v>299</v>
      </c>
      <c r="F188" s="119">
        <v>2.7777777777777801E-2</v>
      </c>
      <c r="G188" s="119">
        <v>6.3063063063062919E-2</v>
      </c>
    </row>
    <row r="189" spans="2:7" x14ac:dyDescent="0.2">
      <c r="B189" s="116" t="s">
        <v>510</v>
      </c>
      <c r="C189" s="117" t="s">
        <v>511</v>
      </c>
      <c r="D189" s="118" t="s">
        <v>68</v>
      </c>
      <c r="E189" s="118" t="s">
        <v>72</v>
      </c>
      <c r="F189" s="119">
        <v>6.0853769300635782E-2</v>
      </c>
      <c r="G189" s="119">
        <v>0.1095890410958905</v>
      </c>
    </row>
    <row r="190" spans="2:7" x14ac:dyDescent="0.2">
      <c r="B190" s="116" t="s">
        <v>512</v>
      </c>
      <c r="C190" s="117" t="s">
        <v>513</v>
      </c>
      <c r="D190" s="118" t="s">
        <v>92</v>
      </c>
      <c r="E190" s="118" t="s">
        <v>195</v>
      </c>
      <c r="F190" s="119">
        <v>-0.232484076433121</v>
      </c>
      <c r="G190" s="119">
        <v>0.15352697095435669</v>
      </c>
    </row>
    <row r="191" spans="2:7" x14ac:dyDescent="0.2">
      <c r="B191" s="116" t="s">
        <v>514</v>
      </c>
      <c r="C191" s="117" t="s">
        <v>515</v>
      </c>
      <c r="D191" s="118" t="s">
        <v>39</v>
      </c>
      <c r="E191" s="118" t="s">
        <v>389</v>
      </c>
      <c r="F191" s="119">
        <v>1.7910447761194041E-2</v>
      </c>
      <c r="G191" s="119">
        <v>0.25513196480938422</v>
      </c>
    </row>
    <row r="192" spans="2:7" x14ac:dyDescent="0.2">
      <c r="B192" s="116" t="s">
        <v>516</v>
      </c>
      <c r="C192" s="117" t="s">
        <v>517</v>
      </c>
      <c r="D192" s="118" t="s">
        <v>78</v>
      </c>
      <c r="E192" s="118" t="s">
        <v>79</v>
      </c>
      <c r="F192" s="119">
        <v>5.8823529411764761E-2</v>
      </c>
      <c r="G192" s="119">
        <v>-1</v>
      </c>
    </row>
    <row r="193" spans="2:7" x14ac:dyDescent="0.2">
      <c r="B193" s="116" t="s">
        <v>518</v>
      </c>
      <c r="C193" s="117" t="s">
        <v>519</v>
      </c>
      <c r="D193" s="118" t="s">
        <v>78</v>
      </c>
      <c r="E193" s="118" t="s">
        <v>79</v>
      </c>
      <c r="F193" s="119">
        <v>5.2941176470588283E-2</v>
      </c>
      <c r="G193" s="119">
        <v>7.8212290502793241E-2</v>
      </c>
    </row>
    <row r="194" spans="2:7" x14ac:dyDescent="0.2">
      <c r="B194" s="116" t="s">
        <v>520</v>
      </c>
      <c r="C194" s="117" t="s">
        <v>521</v>
      </c>
      <c r="D194" s="118" t="s">
        <v>115</v>
      </c>
      <c r="E194" s="118" t="s">
        <v>522</v>
      </c>
      <c r="F194" s="119">
        <v>0.15238095238095239</v>
      </c>
      <c r="G194" s="119">
        <v>0.1432506887052343</v>
      </c>
    </row>
    <row r="195" spans="2:7" x14ac:dyDescent="0.2">
      <c r="B195" s="116" t="s">
        <v>523</v>
      </c>
      <c r="C195" s="117" t="s">
        <v>524</v>
      </c>
      <c r="D195" s="118" t="s">
        <v>145</v>
      </c>
      <c r="E195" s="118" t="s">
        <v>525</v>
      </c>
      <c r="F195" s="119">
        <v>0.28368794326241148</v>
      </c>
      <c r="G195" s="119">
        <v>-3.8674033149171297E-2</v>
      </c>
    </row>
    <row r="196" spans="2:7" x14ac:dyDescent="0.2">
      <c r="B196" s="116" t="s">
        <v>526</v>
      </c>
      <c r="C196" s="117" t="s">
        <v>527</v>
      </c>
      <c r="D196" s="118" t="s">
        <v>68</v>
      </c>
      <c r="E196" s="118" t="s">
        <v>87</v>
      </c>
      <c r="F196" s="119">
        <v>-0.1616161616161616</v>
      </c>
      <c r="G196" s="119">
        <v>-0.1452173913043478</v>
      </c>
    </row>
    <row r="197" spans="2:7" x14ac:dyDescent="0.2">
      <c r="B197" s="116" t="s">
        <v>528</v>
      </c>
      <c r="C197" s="117" t="s">
        <v>529</v>
      </c>
      <c r="D197" s="118" t="s">
        <v>68</v>
      </c>
      <c r="E197" s="118" t="s">
        <v>168</v>
      </c>
      <c r="F197" s="119">
        <v>0.1128608923884515</v>
      </c>
      <c r="G197" s="119">
        <v>3.7735849056603807E-2</v>
      </c>
    </row>
    <row r="198" spans="2:7" x14ac:dyDescent="0.2">
      <c r="B198" s="116" t="s">
        <v>530</v>
      </c>
      <c r="C198" s="117" t="s">
        <v>531</v>
      </c>
      <c r="D198" s="118" t="s">
        <v>92</v>
      </c>
      <c r="E198" s="118" t="s">
        <v>378</v>
      </c>
      <c r="F198" s="119">
        <v>0.13929040735873841</v>
      </c>
      <c r="G198" s="119">
        <v>0.1372549019607843</v>
      </c>
    </row>
    <row r="199" spans="2:7" x14ac:dyDescent="0.2">
      <c r="B199" s="116" t="s">
        <v>532</v>
      </c>
      <c r="C199" s="117" t="s">
        <v>533</v>
      </c>
      <c r="D199" s="118" t="s">
        <v>241</v>
      </c>
      <c r="E199" s="118" t="s">
        <v>534</v>
      </c>
      <c r="F199" s="119">
        <v>0.51562499999999989</v>
      </c>
      <c r="G199" s="119">
        <v>0.47422680412371132</v>
      </c>
    </row>
    <row r="200" spans="2:7" x14ac:dyDescent="0.2">
      <c r="B200" s="116" t="s">
        <v>535</v>
      </c>
      <c r="C200" s="117" t="s">
        <v>536</v>
      </c>
      <c r="D200" s="118" t="s">
        <v>52</v>
      </c>
      <c r="E200" s="118" t="s">
        <v>281</v>
      </c>
      <c r="F200" s="119">
        <v>0.2135922330097087</v>
      </c>
      <c r="G200" s="119">
        <v>0.43200000000000011</v>
      </c>
    </row>
    <row r="201" spans="2:7" x14ac:dyDescent="0.2">
      <c r="B201" s="116" t="s">
        <v>537</v>
      </c>
      <c r="C201" s="117" t="s">
        <v>538</v>
      </c>
      <c r="D201" s="118" t="s">
        <v>145</v>
      </c>
      <c r="E201" s="118" t="s">
        <v>402</v>
      </c>
      <c r="F201" s="119">
        <v>0.1065573770491802</v>
      </c>
      <c r="G201" s="119">
        <v>-0.1234567901234568</v>
      </c>
    </row>
    <row r="202" spans="2:7" x14ac:dyDescent="0.2">
      <c r="B202" s="116" t="s">
        <v>539</v>
      </c>
      <c r="C202" s="117" t="s">
        <v>540</v>
      </c>
      <c r="D202" s="118" t="s">
        <v>34</v>
      </c>
      <c r="E202" s="118" t="s">
        <v>202</v>
      </c>
      <c r="F202" s="119">
        <v>-0.48078920041536871</v>
      </c>
      <c r="G202" s="119">
        <v>0.41</v>
      </c>
    </row>
    <row r="203" spans="2:7" x14ac:dyDescent="0.2">
      <c r="B203" s="116" t="s">
        <v>541</v>
      </c>
      <c r="C203" s="117" t="s">
        <v>542</v>
      </c>
      <c r="D203" s="118" t="s">
        <v>68</v>
      </c>
      <c r="E203" s="118" t="s">
        <v>87</v>
      </c>
      <c r="F203" s="119">
        <v>0.25309597523219818</v>
      </c>
      <c r="G203" s="119">
        <v>-6.1766522544781603E-3</v>
      </c>
    </row>
    <row r="204" spans="2:7" x14ac:dyDescent="0.2">
      <c r="B204" s="116" t="s">
        <v>543</v>
      </c>
      <c r="C204" s="117" t="s">
        <v>544</v>
      </c>
      <c r="D204" s="118" t="s">
        <v>34</v>
      </c>
      <c r="E204" s="118" t="s">
        <v>202</v>
      </c>
      <c r="F204" s="119">
        <v>-0.48387096774193561</v>
      </c>
      <c r="G204" s="119">
        <v>0.36956521739130438</v>
      </c>
    </row>
    <row r="205" spans="2:7" x14ac:dyDescent="0.2">
      <c r="B205" s="116" t="s">
        <v>545</v>
      </c>
      <c r="C205" s="117" t="s">
        <v>546</v>
      </c>
      <c r="D205" s="118" t="s">
        <v>68</v>
      </c>
      <c r="E205" s="118" t="s">
        <v>75</v>
      </c>
      <c r="F205" s="119">
        <v>0.34146341463414642</v>
      </c>
      <c r="G205" s="119">
        <v>0.2587412587412587</v>
      </c>
    </row>
    <row r="206" spans="2:7" x14ac:dyDescent="0.2">
      <c r="B206" s="116" t="s">
        <v>547</v>
      </c>
      <c r="C206" s="117" t="s">
        <v>548</v>
      </c>
      <c r="D206" s="118" t="s">
        <v>138</v>
      </c>
      <c r="E206" s="118" t="s">
        <v>139</v>
      </c>
      <c r="F206" s="119">
        <v>0.10610932475884249</v>
      </c>
      <c r="G206" s="119">
        <v>0.15697674418604651</v>
      </c>
    </row>
    <row r="207" spans="2:7" x14ac:dyDescent="0.2">
      <c r="B207" s="116" t="s">
        <v>549</v>
      </c>
      <c r="C207" s="117" t="s">
        <v>550</v>
      </c>
      <c r="D207" s="118" t="s">
        <v>115</v>
      </c>
      <c r="E207" s="118" t="s">
        <v>551</v>
      </c>
      <c r="F207" s="119">
        <v>0.1653543307086614</v>
      </c>
      <c r="G207" s="119">
        <v>0.1216216216216216</v>
      </c>
    </row>
    <row r="208" spans="2:7" x14ac:dyDescent="0.2">
      <c r="B208" s="116" t="s">
        <v>552</v>
      </c>
      <c r="C208" s="117" t="s">
        <v>553</v>
      </c>
      <c r="D208" s="118" t="s">
        <v>92</v>
      </c>
      <c r="E208" s="118" t="s">
        <v>461</v>
      </c>
      <c r="F208" s="119">
        <v>-4.6004842615012087E-2</v>
      </c>
      <c r="G208" s="119">
        <v>6.59898477157361E-2</v>
      </c>
    </row>
    <row r="209" spans="2:7" x14ac:dyDescent="0.2">
      <c r="B209" s="116" t="s">
        <v>554</v>
      </c>
      <c r="C209" s="117" t="s">
        <v>555</v>
      </c>
      <c r="D209" s="118" t="s">
        <v>92</v>
      </c>
      <c r="E209" s="118" t="s">
        <v>299</v>
      </c>
      <c r="F209" s="119">
        <v>-0.44444444444444448</v>
      </c>
      <c r="G209" s="119">
        <v>0.66666666666666674</v>
      </c>
    </row>
    <row r="210" spans="2:7" x14ac:dyDescent="0.2">
      <c r="B210" s="116" t="s">
        <v>556</v>
      </c>
      <c r="C210" s="117" t="s">
        <v>557</v>
      </c>
      <c r="D210" s="118" t="s">
        <v>92</v>
      </c>
      <c r="E210" s="118" t="s">
        <v>558</v>
      </c>
      <c r="F210" s="119">
        <v>-0.26825127334465199</v>
      </c>
      <c r="G210" s="119">
        <v>0.1252900232018562</v>
      </c>
    </row>
    <row r="211" spans="2:7" x14ac:dyDescent="0.2">
      <c r="B211" s="116" t="s">
        <v>559</v>
      </c>
      <c r="C211" s="117" t="s">
        <v>560</v>
      </c>
      <c r="D211" s="118" t="s">
        <v>138</v>
      </c>
      <c r="E211" s="118" t="s">
        <v>139</v>
      </c>
      <c r="F211" s="119">
        <v>8.7976539589442234E-3</v>
      </c>
      <c r="G211" s="119">
        <v>7.2674418604651167E-2</v>
      </c>
    </row>
    <row r="212" spans="2:7" x14ac:dyDescent="0.2">
      <c r="B212" s="116" t="s">
        <v>561</v>
      </c>
      <c r="C212" s="117" t="s">
        <v>562</v>
      </c>
      <c r="D212" s="118" t="s">
        <v>106</v>
      </c>
      <c r="E212" s="118" t="s">
        <v>563</v>
      </c>
      <c r="F212" s="119">
        <v>3.8043478260869477E-2</v>
      </c>
      <c r="G212" s="119">
        <v>0.1518324607329844</v>
      </c>
    </row>
    <row r="213" spans="2:7" x14ac:dyDescent="0.2">
      <c r="B213" s="116" t="s">
        <v>564</v>
      </c>
      <c r="C213" s="117" t="s">
        <v>565</v>
      </c>
      <c r="D213" s="118" t="s">
        <v>52</v>
      </c>
      <c r="E213" s="118" t="s">
        <v>281</v>
      </c>
      <c r="F213" s="119">
        <v>0.1401942181046992</v>
      </c>
      <c r="G213" s="119">
        <v>0.14419970631424359</v>
      </c>
    </row>
    <row r="214" spans="2:7" x14ac:dyDescent="0.2">
      <c r="B214" s="116" t="s">
        <v>566</v>
      </c>
      <c r="C214" s="117" t="s">
        <v>567</v>
      </c>
      <c r="D214" s="118" t="s">
        <v>92</v>
      </c>
      <c r="E214" s="118" t="s">
        <v>299</v>
      </c>
      <c r="F214" s="119">
        <v>9.2307692307692216E-2</v>
      </c>
      <c r="G214" s="119">
        <v>-0.12676056338028169</v>
      </c>
    </row>
    <row r="215" spans="2:7" x14ac:dyDescent="0.2">
      <c r="B215" s="116" t="s">
        <v>568</v>
      </c>
      <c r="C215" s="117" t="s">
        <v>569</v>
      </c>
      <c r="D215" s="118" t="s">
        <v>92</v>
      </c>
      <c r="E215" s="118" t="s">
        <v>461</v>
      </c>
      <c r="F215" s="119">
        <v>-5.8631921824104143E-2</v>
      </c>
      <c r="G215" s="119">
        <v>8.304498269896185E-2</v>
      </c>
    </row>
    <row r="216" spans="2:7" x14ac:dyDescent="0.2">
      <c r="B216" s="116" t="s">
        <v>570</v>
      </c>
      <c r="C216" s="117" t="s">
        <v>571</v>
      </c>
      <c r="D216" s="118" t="s">
        <v>102</v>
      </c>
      <c r="E216" s="118" t="s">
        <v>424</v>
      </c>
      <c r="F216" s="119">
        <v>0.25059665871121711</v>
      </c>
      <c r="G216" s="119">
        <v>9.9236641221373961E-2</v>
      </c>
    </row>
    <row r="217" spans="2:7" x14ac:dyDescent="0.2">
      <c r="B217" s="116" t="s">
        <v>572</v>
      </c>
      <c r="C217" s="117" t="s">
        <v>573</v>
      </c>
      <c r="D217" s="118" t="s">
        <v>92</v>
      </c>
      <c r="E217" s="118" t="s">
        <v>195</v>
      </c>
      <c r="F217" s="119">
        <v>9.9046221570065866E-3</v>
      </c>
      <c r="G217" s="119">
        <v>0.1136941518343625</v>
      </c>
    </row>
    <row r="218" spans="2:7" x14ac:dyDescent="0.2">
      <c r="B218" s="116" t="s">
        <v>574</v>
      </c>
      <c r="C218" s="117" t="s">
        <v>575</v>
      </c>
      <c r="D218" s="118" t="s">
        <v>34</v>
      </c>
      <c r="E218" s="118" t="s">
        <v>99</v>
      </c>
      <c r="F218" s="119">
        <v>-0.1124497991967872</v>
      </c>
      <c r="G218" s="119">
        <v>9.0497737556561167E-2</v>
      </c>
    </row>
    <row r="219" spans="2:7" x14ac:dyDescent="0.2">
      <c r="B219" s="116" t="s">
        <v>576</v>
      </c>
      <c r="C219" s="117" t="s">
        <v>577</v>
      </c>
      <c r="D219" s="118" t="s">
        <v>39</v>
      </c>
      <c r="E219" s="118" t="s">
        <v>578</v>
      </c>
      <c r="F219" s="119">
        <v>0.17727272727272711</v>
      </c>
      <c r="G219" s="119">
        <v>0.18146718146718149</v>
      </c>
    </row>
    <row r="220" spans="2:7" x14ac:dyDescent="0.2">
      <c r="B220" s="116" t="s">
        <v>579</v>
      </c>
      <c r="C220" s="117" t="s">
        <v>580</v>
      </c>
      <c r="D220" s="118" t="s">
        <v>68</v>
      </c>
      <c r="E220" s="118" t="s">
        <v>87</v>
      </c>
      <c r="F220" s="119">
        <v>-0.22955390334572501</v>
      </c>
      <c r="G220" s="119">
        <v>1.2093726379440679E-2</v>
      </c>
    </row>
    <row r="221" spans="2:7" x14ac:dyDescent="0.2">
      <c r="B221" s="116" t="s">
        <v>581</v>
      </c>
      <c r="C221" s="117" t="s">
        <v>582</v>
      </c>
      <c r="D221" s="118" t="s">
        <v>92</v>
      </c>
      <c r="E221" s="118" t="s">
        <v>299</v>
      </c>
      <c r="F221" s="119">
        <v>4.2709867452135501E-2</v>
      </c>
      <c r="G221" s="119">
        <v>4.8022598870056478E-2</v>
      </c>
    </row>
    <row r="222" spans="2:7" x14ac:dyDescent="0.2">
      <c r="B222" s="116" t="s">
        <v>583</v>
      </c>
      <c r="C222" s="117" t="s">
        <v>584</v>
      </c>
      <c r="D222" s="118" t="s">
        <v>68</v>
      </c>
      <c r="E222" s="118" t="s">
        <v>87</v>
      </c>
      <c r="F222" s="119">
        <v>0.2461538461538462</v>
      </c>
      <c r="G222" s="119">
        <v>1.049382716049382</v>
      </c>
    </row>
    <row r="223" spans="2:7" x14ac:dyDescent="0.2">
      <c r="B223" s="116" t="s">
        <v>585</v>
      </c>
      <c r="C223" s="117" t="s">
        <v>586</v>
      </c>
      <c r="D223" s="118" t="s">
        <v>115</v>
      </c>
      <c r="E223" s="118" t="s">
        <v>587</v>
      </c>
      <c r="F223" s="119">
        <v>4.854368932038839E-2</v>
      </c>
      <c r="G223" s="119">
        <v>0.1574074074074073</v>
      </c>
    </row>
    <row r="224" spans="2:7" x14ac:dyDescent="0.2">
      <c r="B224" s="116" t="s">
        <v>588</v>
      </c>
      <c r="C224" s="117" t="s">
        <v>589</v>
      </c>
      <c r="D224" s="118" t="s">
        <v>68</v>
      </c>
      <c r="E224" s="118" t="s">
        <v>69</v>
      </c>
      <c r="F224" s="119">
        <v>0.10282776349614391</v>
      </c>
      <c r="G224" s="119">
        <v>0.24941724941724949</v>
      </c>
    </row>
    <row r="225" spans="2:7" x14ac:dyDescent="0.2">
      <c r="B225" s="116" t="s">
        <v>590</v>
      </c>
      <c r="C225" s="117" t="s">
        <v>591</v>
      </c>
      <c r="D225" s="118" t="s">
        <v>92</v>
      </c>
      <c r="E225" s="118" t="s">
        <v>299</v>
      </c>
      <c r="F225" s="119">
        <v>-6.1281337047353703E-2</v>
      </c>
      <c r="G225" s="119">
        <v>-5.9347181008902131E-3</v>
      </c>
    </row>
    <row r="226" spans="2:7" x14ac:dyDescent="0.2">
      <c r="B226" s="116" t="s">
        <v>592</v>
      </c>
      <c r="C226" s="117" t="s">
        <v>593</v>
      </c>
      <c r="D226" s="118" t="s">
        <v>92</v>
      </c>
      <c r="E226" s="118" t="s">
        <v>299</v>
      </c>
      <c r="F226" s="119">
        <v>7.5187969924812104E-3</v>
      </c>
      <c r="G226" s="119">
        <v>5.5970149253731297E-2</v>
      </c>
    </row>
    <row r="227" spans="2:7" x14ac:dyDescent="0.2">
      <c r="B227" s="116" t="s">
        <v>594</v>
      </c>
      <c r="C227" s="117" t="s">
        <v>595</v>
      </c>
      <c r="D227" s="118" t="s">
        <v>145</v>
      </c>
      <c r="E227" s="118" t="s">
        <v>179</v>
      </c>
      <c r="F227" s="119">
        <v>1.5384615384615399E-2</v>
      </c>
      <c r="G227" s="119">
        <v>6.060606060606049E-2</v>
      </c>
    </row>
    <row r="228" spans="2:7" x14ac:dyDescent="0.2">
      <c r="B228" s="116" t="s">
        <v>596</v>
      </c>
      <c r="C228" s="117" t="s">
        <v>597</v>
      </c>
      <c r="D228" s="118" t="s">
        <v>92</v>
      </c>
      <c r="E228" s="118" t="s">
        <v>598</v>
      </c>
      <c r="F228" s="119">
        <v>5.471698113207548E-2</v>
      </c>
      <c r="G228" s="119">
        <v>1.9677996422182521E-2</v>
      </c>
    </row>
    <row r="229" spans="2:7" x14ac:dyDescent="0.2">
      <c r="B229" s="116" t="s">
        <v>599</v>
      </c>
      <c r="C229" s="117" t="s">
        <v>600</v>
      </c>
      <c r="D229" s="118" t="s">
        <v>92</v>
      </c>
      <c r="E229" s="118" t="s">
        <v>601</v>
      </c>
      <c r="F229" s="119">
        <v>5.0724637681159368E-2</v>
      </c>
      <c r="G229" s="119">
        <v>3.0344827586206859E-2</v>
      </c>
    </row>
    <row r="230" spans="2:7" x14ac:dyDescent="0.2">
      <c r="B230" s="116" t="s">
        <v>602</v>
      </c>
      <c r="C230" s="117" t="s">
        <v>603</v>
      </c>
      <c r="D230" s="118" t="s">
        <v>39</v>
      </c>
      <c r="E230" s="118" t="s">
        <v>363</v>
      </c>
      <c r="F230" s="119">
        <v>0.34799999999999998</v>
      </c>
      <c r="G230" s="119">
        <v>8.6053412462908013E-2</v>
      </c>
    </row>
    <row r="231" spans="2:7" x14ac:dyDescent="0.2">
      <c r="B231" s="116" t="s">
        <v>604</v>
      </c>
      <c r="C231" s="117" t="s">
        <v>605</v>
      </c>
      <c r="D231" s="118" t="s">
        <v>241</v>
      </c>
      <c r="E231" s="118" t="s">
        <v>606</v>
      </c>
      <c r="F231" s="119">
        <v>-0.13802816901408449</v>
      </c>
      <c r="G231" s="119">
        <v>0.15686274509803921</v>
      </c>
    </row>
    <row r="232" spans="2:7" x14ac:dyDescent="0.2">
      <c r="B232" s="116" t="s">
        <v>607</v>
      </c>
      <c r="C232" s="117" t="s">
        <v>608</v>
      </c>
      <c r="D232" s="118" t="s">
        <v>241</v>
      </c>
      <c r="E232" s="118" t="s">
        <v>609</v>
      </c>
      <c r="F232" s="119">
        <v>1.8657243816254421</v>
      </c>
      <c r="G232" s="119">
        <v>0.12653061224489781</v>
      </c>
    </row>
    <row r="233" spans="2:7" x14ac:dyDescent="0.2">
      <c r="B233" s="116" t="s">
        <v>610</v>
      </c>
      <c r="C233" s="117" t="s">
        <v>611</v>
      </c>
      <c r="D233" s="118" t="s">
        <v>68</v>
      </c>
      <c r="E233" s="118" t="s">
        <v>87</v>
      </c>
      <c r="F233" s="119">
        <v>-0.60934579439252334</v>
      </c>
      <c r="G233" s="119">
        <v>-1.9744483159117299E-2</v>
      </c>
    </row>
    <row r="234" spans="2:7" x14ac:dyDescent="0.2">
      <c r="B234" s="116" t="s">
        <v>612</v>
      </c>
      <c r="C234" s="117" t="s">
        <v>613</v>
      </c>
      <c r="D234" s="118" t="s">
        <v>92</v>
      </c>
      <c r="E234" s="118" t="s">
        <v>614</v>
      </c>
      <c r="F234" s="119">
        <v>0.35140562248995982</v>
      </c>
      <c r="G234" s="119">
        <v>5.4977711738484279E-2</v>
      </c>
    </row>
    <row r="235" spans="2:7" x14ac:dyDescent="0.2">
      <c r="B235" s="116" t="s">
        <v>615</v>
      </c>
      <c r="C235" s="117" t="s">
        <v>616</v>
      </c>
      <c r="D235" s="118" t="s">
        <v>106</v>
      </c>
      <c r="E235" s="118" t="s">
        <v>125</v>
      </c>
      <c r="F235" s="119">
        <v>0.1010752688172042</v>
      </c>
      <c r="G235" s="119">
        <v>9.5703125000000042E-2</v>
      </c>
    </row>
    <row r="236" spans="2:7" x14ac:dyDescent="0.2">
      <c r="B236" s="116" t="s">
        <v>617</v>
      </c>
      <c r="C236" s="117" t="s">
        <v>618</v>
      </c>
      <c r="D236" s="118" t="s">
        <v>233</v>
      </c>
      <c r="E236" s="118" t="s">
        <v>619</v>
      </c>
      <c r="F236" s="119">
        <v>2.3529411764705899E-2</v>
      </c>
      <c r="G236" s="119">
        <v>1.7241379310344841E-2</v>
      </c>
    </row>
    <row r="237" spans="2:7" x14ac:dyDescent="0.2">
      <c r="B237" s="116" t="s">
        <v>620</v>
      </c>
      <c r="C237" s="117" t="s">
        <v>621</v>
      </c>
      <c r="D237" s="118" t="s">
        <v>78</v>
      </c>
      <c r="E237" s="118" t="s">
        <v>340</v>
      </c>
      <c r="F237" s="119">
        <v>1.058139534883721</v>
      </c>
      <c r="G237" s="119">
        <v>6.3999999999999986</v>
      </c>
    </row>
    <row r="238" spans="2:7" x14ac:dyDescent="0.2">
      <c r="B238" s="116" t="s">
        <v>622</v>
      </c>
      <c r="C238" s="117" t="s">
        <v>623</v>
      </c>
      <c r="D238" s="118" t="s">
        <v>92</v>
      </c>
      <c r="E238" s="118" t="s">
        <v>96</v>
      </c>
      <c r="F238" s="119">
        <v>5.4822335025380808E-2</v>
      </c>
      <c r="G238" s="119">
        <v>7.3147256977863312E-2</v>
      </c>
    </row>
    <row r="239" spans="2:7" x14ac:dyDescent="0.2">
      <c r="B239" s="116" t="s">
        <v>624</v>
      </c>
      <c r="C239" s="117" t="s">
        <v>625</v>
      </c>
      <c r="D239" s="118" t="s">
        <v>241</v>
      </c>
      <c r="E239" s="118" t="s">
        <v>606</v>
      </c>
      <c r="F239" s="119">
        <v>-0.62553191489361704</v>
      </c>
      <c r="G239" s="119">
        <v>-0.60227272727272729</v>
      </c>
    </row>
    <row r="240" spans="2:7" x14ac:dyDescent="0.2">
      <c r="B240" s="116" t="s">
        <v>626</v>
      </c>
      <c r="C240" s="117" t="s">
        <v>627</v>
      </c>
      <c r="D240" s="118" t="s">
        <v>34</v>
      </c>
      <c r="E240" s="118" t="s">
        <v>628</v>
      </c>
      <c r="F240" s="119">
        <v>0.15000000000000011</v>
      </c>
      <c r="G240" s="119">
        <v>0.14285714285714279</v>
      </c>
    </row>
    <row r="241" spans="2:7" x14ac:dyDescent="0.2">
      <c r="B241" s="116" t="s">
        <v>629</v>
      </c>
      <c r="C241" s="117" t="s">
        <v>630</v>
      </c>
      <c r="D241" s="118" t="s">
        <v>92</v>
      </c>
      <c r="E241" s="118" t="s">
        <v>192</v>
      </c>
      <c r="F241" s="119">
        <v>0.13008130081300809</v>
      </c>
      <c r="G241" s="119">
        <v>7.9136690647482091E-2</v>
      </c>
    </row>
    <row r="242" spans="2:7" x14ac:dyDescent="0.2">
      <c r="B242" s="116" t="s">
        <v>631</v>
      </c>
      <c r="C242" s="117" t="s">
        <v>632</v>
      </c>
      <c r="D242" s="118" t="s">
        <v>92</v>
      </c>
      <c r="E242" s="118" t="s">
        <v>112</v>
      </c>
      <c r="F242" s="119">
        <v>1.5957446808510651E-2</v>
      </c>
      <c r="G242" s="119">
        <v>3.1413612565445052E-2</v>
      </c>
    </row>
    <row r="243" spans="2:7" x14ac:dyDescent="0.2">
      <c r="B243" s="116" t="s">
        <v>633</v>
      </c>
      <c r="C243" s="117" t="s">
        <v>634</v>
      </c>
      <c r="D243" s="118" t="s">
        <v>92</v>
      </c>
      <c r="E243" s="118" t="s">
        <v>299</v>
      </c>
      <c r="F243" s="119">
        <v>-3.5714285714285747E-2</v>
      </c>
      <c r="G243" s="119">
        <v>0.126984126984127</v>
      </c>
    </row>
    <row r="244" spans="2:7" x14ac:dyDescent="0.2">
      <c r="B244" s="116" t="s">
        <v>635</v>
      </c>
      <c r="C244" s="117" t="s">
        <v>636</v>
      </c>
      <c r="D244" s="118" t="s">
        <v>92</v>
      </c>
      <c r="E244" s="118" t="s">
        <v>299</v>
      </c>
      <c r="F244" s="119">
        <v>6.8965517241379379E-2</v>
      </c>
      <c r="G244" s="119">
        <v>0.1182795698924731</v>
      </c>
    </row>
    <row r="245" spans="2:7" x14ac:dyDescent="0.2">
      <c r="B245" s="116" t="s">
        <v>637</v>
      </c>
      <c r="C245" s="117" t="s">
        <v>638</v>
      </c>
      <c r="D245" s="118" t="s">
        <v>241</v>
      </c>
      <c r="E245" s="118" t="s">
        <v>639</v>
      </c>
      <c r="F245" s="119">
        <v>8.7912087912087863E-2</v>
      </c>
      <c r="G245" s="119">
        <v>8.0808080808080884E-2</v>
      </c>
    </row>
    <row r="246" spans="2:7" x14ac:dyDescent="0.2">
      <c r="B246" s="116" t="s">
        <v>640</v>
      </c>
      <c r="C246" s="117" t="s">
        <v>641</v>
      </c>
      <c r="D246" s="118" t="s">
        <v>92</v>
      </c>
      <c r="E246" s="118" t="s">
        <v>299</v>
      </c>
      <c r="F246" s="119">
        <v>8.1081081081081155E-2</v>
      </c>
      <c r="G246" s="119">
        <v>2.499999999999988E-2</v>
      </c>
    </row>
    <row r="247" spans="2:7" x14ac:dyDescent="0.2">
      <c r="B247" s="116" t="s">
        <v>642</v>
      </c>
      <c r="C247" s="117" t="s">
        <v>643</v>
      </c>
      <c r="D247" s="118" t="s">
        <v>68</v>
      </c>
      <c r="E247" s="118" t="s">
        <v>75</v>
      </c>
      <c r="F247" s="119">
        <v>0.1223021582733814</v>
      </c>
      <c r="G247" s="119">
        <v>0.14743589743589741</v>
      </c>
    </row>
    <row r="248" spans="2:7" x14ac:dyDescent="0.2">
      <c r="B248" s="116" t="s">
        <v>644</v>
      </c>
      <c r="C248" s="117" t="s">
        <v>645</v>
      </c>
      <c r="D248" s="118" t="s">
        <v>92</v>
      </c>
      <c r="E248" s="118" t="s">
        <v>558</v>
      </c>
      <c r="F248" s="119">
        <v>0.1243243243243243</v>
      </c>
      <c r="G248" s="119">
        <v>5.2884615384615322E-2</v>
      </c>
    </row>
    <row r="249" spans="2:7" x14ac:dyDescent="0.2">
      <c r="B249" s="116" t="s">
        <v>646</v>
      </c>
      <c r="C249" s="117" t="s">
        <v>647</v>
      </c>
      <c r="D249" s="118" t="s">
        <v>145</v>
      </c>
      <c r="E249" s="118" t="s">
        <v>146</v>
      </c>
      <c r="F249" s="119">
        <v>0.1764705882352941</v>
      </c>
      <c r="G249" s="119">
        <v>0.74999999999999978</v>
      </c>
    </row>
    <row r="250" spans="2:7" x14ac:dyDescent="0.2">
      <c r="B250" s="116" t="s">
        <v>648</v>
      </c>
      <c r="C250" s="117" t="s">
        <v>649</v>
      </c>
      <c r="D250" s="118" t="s">
        <v>78</v>
      </c>
      <c r="E250" s="118" t="s">
        <v>650</v>
      </c>
      <c r="F250" s="119">
        <v>4.7872340425531963E-2</v>
      </c>
      <c r="G250" s="119">
        <v>9.1370558375634486E-2</v>
      </c>
    </row>
    <row r="251" spans="2:7" x14ac:dyDescent="0.2">
      <c r="B251" s="116" t="s">
        <v>651</v>
      </c>
      <c r="C251" s="117" t="s">
        <v>652</v>
      </c>
      <c r="D251" s="118" t="s">
        <v>138</v>
      </c>
      <c r="E251" s="118" t="s">
        <v>499</v>
      </c>
      <c r="F251" s="119">
        <v>-0.1337209302325581</v>
      </c>
      <c r="G251" s="119">
        <v>2.6845637583892641E-2</v>
      </c>
    </row>
    <row r="252" spans="2:7" x14ac:dyDescent="0.2">
      <c r="B252" s="116" t="s">
        <v>653</v>
      </c>
      <c r="C252" s="117" t="s">
        <v>654</v>
      </c>
      <c r="D252" s="118" t="s">
        <v>78</v>
      </c>
      <c r="E252" s="118" t="s">
        <v>79</v>
      </c>
      <c r="F252" s="119">
        <v>0.24324324324324309</v>
      </c>
      <c r="G252" s="119">
        <v>-5.1383399209486133E-2</v>
      </c>
    </row>
    <row r="253" spans="2:7" x14ac:dyDescent="0.2">
      <c r="B253" s="116" t="s">
        <v>655</v>
      </c>
      <c r="C253" s="117" t="s">
        <v>656</v>
      </c>
      <c r="D253" s="118" t="s">
        <v>52</v>
      </c>
      <c r="E253" s="118" t="s">
        <v>657</v>
      </c>
      <c r="F253" s="119">
        <v>4.7619047619047658E-2</v>
      </c>
      <c r="G253" s="119">
        <v>9.9999999999999881E-2</v>
      </c>
    </row>
    <row r="254" spans="2:7" x14ac:dyDescent="0.2">
      <c r="B254" s="116" t="s">
        <v>658</v>
      </c>
      <c r="C254" s="117" t="s">
        <v>659</v>
      </c>
      <c r="D254" s="118" t="s">
        <v>52</v>
      </c>
      <c r="E254" s="118" t="s">
        <v>660</v>
      </c>
      <c r="F254" s="119">
        <v>0.13166144200626961</v>
      </c>
      <c r="G254" s="119">
        <v>0.13434903047091409</v>
      </c>
    </row>
    <row r="255" spans="2:7" x14ac:dyDescent="0.2">
      <c r="B255" s="116" t="s">
        <v>661</v>
      </c>
      <c r="C255" s="117" t="s">
        <v>662</v>
      </c>
      <c r="D255" s="118" t="s">
        <v>145</v>
      </c>
      <c r="E255" s="118" t="s">
        <v>663</v>
      </c>
      <c r="F255" s="119">
        <v>0.63636363636363635</v>
      </c>
      <c r="G255" s="119">
        <v>0.27777777777777762</v>
      </c>
    </row>
    <row r="256" spans="2:7" x14ac:dyDescent="0.2">
      <c r="B256" s="116" t="s">
        <v>664</v>
      </c>
      <c r="C256" s="117" t="s">
        <v>665</v>
      </c>
      <c r="D256" s="118" t="s">
        <v>106</v>
      </c>
      <c r="E256" s="118" t="s">
        <v>107</v>
      </c>
      <c r="F256" s="119">
        <v>2.6548672566371709E-2</v>
      </c>
      <c r="G256" s="119">
        <v>8.6206896551724227E-2</v>
      </c>
    </row>
    <row r="257" spans="2:7" x14ac:dyDescent="0.2">
      <c r="B257" s="116" t="s">
        <v>666</v>
      </c>
      <c r="C257" s="117" t="s">
        <v>667</v>
      </c>
      <c r="D257" s="118" t="s">
        <v>233</v>
      </c>
      <c r="E257" s="118" t="s">
        <v>234</v>
      </c>
      <c r="F257" s="119">
        <v>-0.1080459770114942</v>
      </c>
      <c r="G257" s="119">
        <v>7.216494845360831E-2</v>
      </c>
    </row>
    <row r="258" spans="2:7" x14ac:dyDescent="0.2">
      <c r="B258" s="116" t="s">
        <v>668</v>
      </c>
      <c r="C258" s="117" t="s">
        <v>669</v>
      </c>
      <c r="D258" s="118" t="s">
        <v>34</v>
      </c>
      <c r="E258" s="118" t="s">
        <v>44</v>
      </c>
      <c r="F258" s="119">
        <v>0.11160714285714279</v>
      </c>
      <c r="G258" s="119">
        <v>0.1164658634538151</v>
      </c>
    </row>
    <row r="259" spans="2:7" x14ac:dyDescent="0.2">
      <c r="B259" s="116" t="s">
        <v>670</v>
      </c>
      <c r="C259" s="117" t="s">
        <v>671</v>
      </c>
      <c r="D259" s="118" t="s">
        <v>92</v>
      </c>
      <c r="E259" s="118" t="s">
        <v>195</v>
      </c>
      <c r="F259" s="119">
        <v>-1.282051282051274E-2</v>
      </c>
      <c r="G259" s="119">
        <v>0.31168831168831163</v>
      </c>
    </row>
    <row r="260" spans="2:7" x14ac:dyDescent="0.2">
      <c r="B260" s="116" t="s">
        <v>672</v>
      </c>
      <c r="C260" s="117" t="s">
        <v>673</v>
      </c>
      <c r="D260" s="118" t="s">
        <v>92</v>
      </c>
      <c r="E260" s="118" t="s">
        <v>171</v>
      </c>
      <c r="F260" s="119">
        <v>-6.6202090592334478E-2</v>
      </c>
      <c r="G260" s="119">
        <v>-7.462686567164185E-3</v>
      </c>
    </row>
    <row r="261" spans="2:7" x14ac:dyDescent="0.2">
      <c r="B261" s="116" t="s">
        <v>674</v>
      </c>
      <c r="C261" s="117" t="s">
        <v>675</v>
      </c>
      <c r="D261" s="118" t="s">
        <v>92</v>
      </c>
      <c r="E261" s="118" t="s">
        <v>272</v>
      </c>
      <c r="F261" s="119">
        <v>9.8437499999999983E-2</v>
      </c>
      <c r="G261" s="119">
        <v>5.4054054054054043E-2</v>
      </c>
    </row>
    <row r="262" spans="2:7" x14ac:dyDescent="0.2">
      <c r="B262" s="116" t="s">
        <v>676</v>
      </c>
      <c r="C262" s="117" t="s">
        <v>677</v>
      </c>
      <c r="D262" s="118" t="s">
        <v>678</v>
      </c>
      <c r="E262" s="118" t="s">
        <v>679</v>
      </c>
      <c r="F262" s="119">
        <v>-1.8633540372670818E-2</v>
      </c>
      <c r="G262" s="119">
        <v>1.898734177215191E-2</v>
      </c>
    </row>
    <row r="263" spans="2:7" x14ac:dyDescent="0.2">
      <c r="B263" s="116" t="s">
        <v>680</v>
      </c>
      <c r="C263" s="117" t="s">
        <v>681</v>
      </c>
      <c r="D263" s="118" t="s">
        <v>92</v>
      </c>
      <c r="E263" s="118" t="s">
        <v>461</v>
      </c>
      <c r="F263" s="119">
        <v>0.1527987897125567</v>
      </c>
      <c r="G263" s="119">
        <v>0.12992125984251959</v>
      </c>
    </row>
    <row r="264" spans="2:7" x14ac:dyDescent="0.2">
      <c r="B264" s="116" t="s">
        <v>682</v>
      </c>
      <c r="C264" s="117" t="s">
        <v>683</v>
      </c>
      <c r="D264" s="118" t="s">
        <v>78</v>
      </c>
      <c r="E264" s="118" t="s">
        <v>79</v>
      </c>
      <c r="F264" s="119">
        <v>0.17307692307692299</v>
      </c>
      <c r="G264" s="119">
        <v>9.8360655737705013E-2</v>
      </c>
    </row>
    <row r="265" spans="2:7" x14ac:dyDescent="0.2">
      <c r="B265" s="116" t="s">
        <v>684</v>
      </c>
      <c r="C265" s="117" t="s">
        <v>685</v>
      </c>
      <c r="D265" s="118" t="s">
        <v>115</v>
      </c>
      <c r="E265" s="118" t="s">
        <v>686</v>
      </c>
      <c r="F265" s="119">
        <v>-1.493043773328801E-2</v>
      </c>
      <c r="G265" s="119">
        <v>0.27075439200826729</v>
      </c>
    </row>
    <row r="266" spans="2:7" x14ac:dyDescent="0.2">
      <c r="B266" s="116" t="s">
        <v>687</v>
      </c>
      <c r="C266" s="117" t="s">
        <v>688</v>
      </c>
      <c r="D266" s="118" t="s">
        <v>92</v>
      </c>
      <c r="E266" s="118" t="s">
        <v>228</v>
      </c>
      <c r="F266" s="119">
        <v>0.240850470547229</v>
      </c>
      <c r="G266" s="119">
        <v>5.56179775280898E-2</v>
      </c>
    </row>
    <row r="267" spans="2:7" x14ac:dyDescent="0.2">
      <c r="B267" s="116" t="s">
        <v>689</v>
      </c>
      <c r="C267" s="117" t="s">
        <v>690</v>
      </c>
      <c r="D267" s="118" t="s">
        <v>34</v>
      </c>
      <c r="E267" s="118" t="s">
        <v>691</v>
      </c>
      <c r="F267" s="119">
        <v>0.13572101790763441</v>
      </c>
      <c r="G267" s="119">
        <v>0.121161825726141</v>
      </c>
    </row>
    <row r="268" spans="2:7" x14ac:dyDescent="0.2">
      <c r="B268" s="116" t="s">
        <v>692</v>
      </c>
      <c r="C268" s="117" t="s">
        <v>693</v>
      </c>
      <c r="D268" s="118" t="s">
        <v>198</v>
      </c>
      <c r="E268" s="118" t="s">
        <v>199</v>
      </c>
      <c r="F268" s="119">
        <v>0.1333333333333333</v>
      </c>
      <c r="G268" s="119">
        <v>0.1176470588235293</v>
      </c>
    </row>
    <row r="269" spans="2:7" x14ac:dyDescent="0.2">
      <c r="B269" s="116" t="s">
        <v>694</v>
      </c>
      <c r="C269" s="117" t="s">
        <v>695</v>
      </c>
      <c r="D269" s="118" t="s">
        <v>78</v>
      </c>
      <c r="E269" s="118" t="s">
        <v>340</v>
      </c>
      <c r="F269" s="119">
        <v>1.9323671497584561E-2</v>
      </c>
      <c r="G269" s="119">
        <v>0.10900473933649291</v>
      </c>
    </row>
    <row r="270" spans="2:7" x14ac:dyDescent="0.2">
      <c r="B270" s="116" t="s">
        <v>696</v>
      </c>
      <c r="C270" s="117" t="s">
        <v>697</v>
      </c>
      <c r="D270" s="118" t="s">
        <v>68</v>
      </c>
      <c r="E270" s="118" t="s">
        <v>72</v>
      </c>
      <c r="F270" s="119">
        <v>-2.1568627450980281E-2</v>
      </c>
      <c r="G270" s="119">
        <v>5.4108216432865647E-2</v>
      </c>
    </row>
    <row r="271" spans="2:7" x14ac:dyDescent="0.2">
      <c r="B271" s="116" t="s">
        <v>698</v>
      </c>
      <c r="C271" s="117" t="s">
        <v>699</v>
      </c>
      <c r="D271" s="118" t="s">
        <v>34</v>
      </c>
      <c r="E271" s="118" t="s">
        <v>700</v>
      </c>
      <c r="F271" s="119">
        <v>-0.25603864734299508</v>
      </c>
      <c r="G271" s="119">
        <v>0.12337662337662331</v>
      </c>
    </row>
    <row r="272" spans="2:7" x14ac:dyDescent="0.2">
      <c r="B272" s="116" t="s">
        <v>701</v>
      </c>
      <c r="C272" s="117" t="s">
        <v>702</v>
      </c>
      <c r="D272" s="118" t="s">
        <v>233</v>
      </c>
      <c r="E272" s="118" t="s">
        <v>703</v>
      </c>
      <c r="F272" s="119">
        <v>0.57142857142857129</v>
      </c>
      <c r="G272" s="119">
        <v>0.47727272727272729</v>
      </c>
    </row>
    <row r="273" spans="2:7" x14ac:dyDescent="0.2">
      <c r="B273" s="116" t="s">
        <v>704</v>
      </c>
      <c r="C273" s="117" t="s">
        <v>705</v>
      </c>
      <c r="D273" s="118" t="s">
        <v>52</v>
      </c>
      <c r="E273" s="118" t="s">
        <v>706</v>
      </c>
      <c r="F273" s="119">
        <v>0.1961538461538461</v>
      </c>
      <c r="G273" s="119">
        <v>7.0739549839228366E-2</v>
      </c>
    </row>
    <row r="274" spans="2:7" x14ac:dyDescent="0.2">
      <c r="B274" s="116" t="s">
        <v>707</v>
      </c>
      <c r="C274" s="117" t="s">
        <v>708</v>
      </c>
      <c r="D274" s="118" t="s">
        <v>39</v>
      </c>
      <c r="E274" s="118" t="s">
        <v>709</v>
      </c>
      <c r="F274" s="119">
        <v>3.4334763948497119E-3</v>
      </c>
      <c r="G274" s="119">
        <v>3.4217279726261797E-2</v>
      </c>
    </row>
    <row r="275" spans="2:7" x14ac:dyDescent="0.2">
      <c r="B275" s="116" t="s">
        <v>710</v>
      </c>
      <c r="C275" s="117" t="s">
        <v>711</v>
      </c>
      <c r="D275" s="118" t="s">
        <v>92</v>
      </c>
      <c r="E275" s="118" t="s">
        <v>96</v>
      </c>
      <c r="F275" s="119">
        <v>0.1122994652406418</v>
      </c>
      <c r="G275" s="119">
        <v>6.6346153846153791E-2</v>
      </c>
    </row>
    <row r="276" spans="2:7" x14ac:dyDescent="0.2">
      <c r="B276" s="116" t="s">
        <v>712</v>
      </c>
      <c r="C276" s="117" t="s">
        <v>713</v>
      </c>
      <c r="D276" s="118" t="s">
        <v>52</v>
      </c>
      <c r="E276" s="118" t="s">
        <v>714</v>
      </c>
      <c r="F276" s="119">
        <v>7.0000000000000062E-2</v>
      </c>
      <c r="G276" s="119">
        <v>0.22429906542056069</v>
      </c>
    </row>
    <row r="277" spans="2:7" x14ac:dyDescent="0.2">
      <c r="B277" s="116" t="s">
        <v>715</v>
      </c>
      <c r="C277" s="117" t="s">
        <v>716</v>
      </c>
      <c r="D277" s="118" t="s">
        <v>92</v>
      </c>
      <c r="E277" s="118" t="s">
        <v>717</v>
      </c>
      <c r="F277" s="119">
        <v>-6.1983471074380132E-2</v>
      </c>
      <c r="G277" s="119">
        <v>0.13436123348017631</v>
      </c>
    </row>
    <row r="278" spans="2:7" x14ac:dyDescent="0.2">
      <c r="B278" s="116" t="s">
        <v>718</v>
      </c>
      <c r="C278" s="117" t="s">
        <v>719</v>
      </c>
      <c r="D278" s="118" t="s">
        <v>68</v>
      </c>
      <c r="E278" s="118" t="s">
        <v>87</v>
      </c>
      <c r="F278" s="119">
        <v>-2.3923444976076051E-3</v>
      </c>
      <c r="G278" s="119">
        <v>5.035971223021582E-2</v>
      </c>
    </row>
    <row r="279" spans="2:7" x14ac:dyDescent="0.2">
      <c r="B279" s="116" t="s">
        <v>720</v>
      </c>
      <c r="C279" s="117" t="s">
        <v>721</v>
      </c>
      <c r="D279" s="118" t="s">
        <v>92</v>
      </c>
      <c r="E279" s="118" t="s">
        <v>722</v>
      </c>
      <c r="F279" s="119">
        <v>0.17554858934169279</v>
      </c>
      <c r="G279" s="119">
        <v>7.9999999999999946E-2</v>
      </c>
    </row>
    <row r="280" spans="2:7" x14ac:dyDescent="0.2">
      <c r="B280" s="116" t="s">
        <v>723</v>
      </c>
      <c r="C280" s="117" t="s">
        <v>724</v>
      </c>
      <c r="D280" s="118" t="s">
        <v>52</v>
      </c>
      <c r="E280" s="118" t="s">
        <v>725</v>
      </c>
      <c r="F280" s="119">
        <v>1.3333333333333249E-2</v>
      </c>
      <c r="G280" s="119">
        <v>4.0570175438596603E-2</v>
      </c>
    </row>
    <row r="281" spans="2:7" x14ac:dyDescent="0.2">
      <c r="B281" s="116" t="s">
        <v>726</v>
      </c>
      <c r="C281" s="117" t="s">
        <v>727</v>
      </c>
      <c r="D281" s="118" t="s">
        <v>115</v>
      </c>
      <c r="E281" s="118" t="s">
        <v>728</v>
      </c>
      <c r="F281" s="119">
        <v>4.9808429118774082E-2</v>
      </c>
      <c r="G281" s="119">
        <v>0.15328467153284669</v>
      </c>
    </row>
    <row r="282" spans="2:7" x14ac:dyDescent="0.2">
      <c r="B282" s="116" t="s">
        <v>729</v>
      </c>
      <c r="C282" s="117" t="s">
        <v>730</v>
      </c>
      <c r="D282" s="118" t="s">
        <v>92</v>
      </c>
      <c r="E282" s="118" t="s">
        <v>399</v>
      </c>
      <c r="F282" s="119">
        <v>-6.1349693251532443E-3</v>
      </c>
      <c r="G282" s="119">
        <v>6.1728395061727073E-3</v>
      </c>
    </row>
    <row r="283" spans="2:7" x14ac:dyDescent="0.2">
      <c r="B283" s="116" t="s">
        <v>731</v>
      </c>
      <c r="C283" s="117" t="s">
        <v>732</v>
      </c>
      <c r="D283" s="118" t="s">
        <v>102</v>
      </c>
      <c r="E283" s="118" t="s">
        <v>733</v>
      </c>
      <c r="F283" s="119">
        <v>-2.5839793281654342E-3</v>
      </c>
      <c r="G283" s="119">
        <v>7.2538860103626895E-2</v>
      </c>
    </row>
    <row r="284" spans="2:7" x14ac:dyDescent="0.2">
      <c r="B284" s="116" t="s">
        <v>734</v>
      </c>
      <c r="C284" s="117" t="s">
        <v>735</v>
      </c>
      <c r="D284" s="118" t="s">
        <v>78</v>
      </c>
      <c r="E284" s="118" t="s">
        <v>736</v>
      </c>
      <c r="F284" s="119">
        <v>9.8425196850393692E-2</v>
      </c>
      <c r="G284" s="119">
        <v>9.3189964157706015E-2</v>
      </c>
    </row>
    <row r="285" spans="2:7" x14ac:dyDescent="0.2">
      <c r="B285" s="116" t="s">
        <v>737</v>
      </c>
      <c r="C285" s="117" t="s">
        <v>738</v>
      </c>
      <c r="D285" s="118" t="s">
        <v>78</v>
      </c>
      <c r="E285" s="118" t="s">
        <v>736</v>
      </c>
      <c r="F285" s="119">
        <v>6.5789473684210583E-3</v>
      </c>
      <c r="G285" s="119">
        <v>0.1176470588235294</v>
      </c>
    </row>
    <row r="286" spans="2:7" x14ac:dyDescent="0.2">
      <c r="B286" s="116" t="s">
        <v>739</v>
      </c>
      <c r="C286" s="117" t="s">
        <v>740</v>
      </c>
      <c r="D286" s="118" t="s">
        <v>92</v>
      </c>
      <c r="E286" s="118" t="s">
        <v>272</v>
      </c>
      <c r="F286" s="119">
        <v>7.4410163339382968E-2</v>
      </c>
      <c r="G286" s="119">
        <v>7.2635135135135087E-2</v>
      </c>
    </row>
    <row r="287" spans="2:7" x14ac:dyDescent="0.2">
      <c r="B287" s="116" t="s">
        <v>741</v>
      </c>
      <c r="C287" s="117" t="s">
        <v>742</v>
      </c>
      <c r="D287" s="118" t="s">
        <v>145</v>
      </c>
      <c r="E287" s="118" t="s">
        <v>402</v>
      </c>
      <c r="F287" s="119">
        <v>-1.05</v>
      </c>
      <c r="G287" s="119">
        <v>14</v>
      </c>
    </row>
    <row r="288" spans="2:7" x14ac:dyDescent="0.2">
      <c r="B288" s="116" t="s">
        <v>743</v>
      </c>
      <c r="C288" s="117" t="s">
        <v>744</v>
      </c>
      <c r="D288" s="118" t="s">
        <v>39</v>
      </c>
      <c r="E288" s="118" t="s">
        <v>578</v>
      </c>
      <c r="F288" s="119">
        <v>-2.1153846153846211E-2</v>
      </c>
      <c r="G288" s="119">
        <v>7.8585461689587494E-2</v>
      </c>
    </row>
    <row r="289" spans="2:7" x14ac:dyDescent="0.2">
      <c r="B289" s="116" t="s">
        <v>745</v>
      </c>
      <c r="C289" s="117" t="s">
        <v>746</v>
      </c>
      <c r="D289" s="118" t="s">
        <v>115</v>
      </c>
      <c r="E289" s="118" t="s">
        <v>747</v>
      </c>
      <c r="F289" s="119">
        <v>1.8823529411764722E-2</v>
      </c>
      <c r="G289" s="119">
        <v>9.4688221709006953E-2</v>
      </c>
    </row>
    <row r="290" spans="2:7" x14ac:dyDescent="0.2">
      <c r="B290" s="116" t="s">
        <v>748</v>
      </c>
      <c r="C290" s="117" t="s">
        <v>749</v>
      </c>
      <c r="D290" s="118" t="s">
        <v>78</v>
      </c>
      <c r="E290" s="118" t="s">
        <v>736</v>
      </c>
      <c r="F290" s="119">
        <v>-0.12820512820512819</v>
      </c>
      <c r="G290" s="119">
        <v>2.941176470588221E-2</v>
      </c>
    </row>
    <row r="291" spans="2:7" x14ac:dyDescent="0.2">
      <c r="B291" s="116" t="s">
        <v>750</v>
      </c>
      <c r="C291" s="117" t="s">
        <v>751</v>
      </c>
      <c r="D291" s="118" t="s">
        <v>34</v>
      </c>
      <c r="E291" s="118" t="s">
        <v>251</v>
      </c>
      <c r="F291" s="119">
        <v>0.32023575638506868</v>
      </c>
      <c r="G291" s="119">
        <v>0.10267857142857149</v>
      </c>
    </row>
    <row r="292" spans="2:7" x14ac:dyDescent="0.2">
      <c r="B292" s="116" t="s">
        <v>752</v>
      </c>
      <c r="C292" s="117" t="s">
        <v>753</v>
      </c>
      <c r="D292" s="118" t="s">
        <v>241</v>
      </c>
      <c r="E292" s="118" t="s">
        <v>754</v>
      </c>
      <c r="F292" s="119">
        <v>-0.16521739130434779</v>
      </c>
      <c r="G292" s="119">
        <v>-0.17708333333333329</v>
      </c>
    </row>
    <row r="293" spans="2:7" x14ac:dyDescent="0.2">
      <c r="B293" s="116" t="s">
        <v>755</v>
      </c>
      <c r="C293" s="117" t="s">
        <v>756</v>
      </c>
      <c r="D293" s="118" t="s">
        <v>78</v>
      </c>
      <c r="E293" s="118" t="s">
        <v>79</v>
      </c>
      <c r="F293" s="119">
        <v>0.2424242424242424</v>
      </c>
      <c r="G293" s="119">
        <v>-3.2520325203252057E-2</v>
      </c>
    </row>
    <row r="294" spans="2:7" x14ac:dyDescent="0.2">
      <c r="B294" s="116" t="s">
        <v>757</v>
      </c>
      <c r="C294" s="117" t="s">
        <v>758</v>
      </c>
      <c r="D294" s="118" t="s">
        <v>34</v>
      </c>
      <c r="E294" s="118" t="s">
        <v>319</v>
      </c>
      <c r="F294" s="119">
        <v>6.5555555555555554</v>
      </c>
      <c r="G294" s="119">
        <v>0.3600000000000001</v>
      </c>
    </row>
    <row r="295" spans="2:7" x14ac:dyDescent="0.2">
      <c r="B295" s="116" t="s">
        <v>759</v>
      </c>
      <c r="C295" s="117" t="s">
        <v>760</v>
      </c>
      <c r="D295" s="118" t="s">
        <v>92</v>
      </c>
      <c r="E295" s="118" t="s">
        <v>722</v>
      </c>
      <c r="F295" s="119">
        <v>2.222222222222224E-2</v>
      </c>
      <c r="G295" s="119">
        <v>-4.3478260869565251E-2</v>
      </c>
    </row>
    <row r="296" spans="2:7" x14ac:dyDescent="0.2">
      <c r="B296" s="116" t="s">
        <v>761</v>
      </c>
      <c r="C296" s="117" t="s">
        <v>762</v>
      </c>
      <c r="D296" s="118" t="s">
        <v>34</v>
      </c>
      <c r="E296" s="118" t="s">
        <v>245</v>
      </c>
      <c r="F296" s="119">
        <v>-9.5744680851063801E-2</v>
      </c>
      <c r="G296" s="119">
        <v>4.4117647058823498E-2</v>
      </c>
    </row>
    <row r="297" spans="2:7" x14ac:dyDescent="0.2">
      <c r="B297" s="116" t="s">
        <v>763</v>
      </c>
      <c r="C297" s="117" t="s">
        <v>764</v>
      </c>
      <c r="D297" s="118" t="s">
        <v>34</v>
      </c>
      <c r="E297" s="118" t="s">
        <v>99</v>
      </c>
      <c r="F297" s="119">
        <v>0.1813186813186812</v>
      </c>
      <c r="G297" s="119">
        <v>6.9767441860465074E-2</v>
      </c>
    </row>
    <row r="298" spans="2:7" x14ac:dyDescent="0.2">
      <c r="B298" s="116" t="s">
        <v>765</v>
      </c>
      <c r="C298" s="117" t="s">
        <v>766</v>
      </c>
      <c r="D298" s="118" t="s">
        <v>34</v>
      </c>
      <c r="E298" s="118" t="s">
        <v>245</v>
      </c>
      <c r="F298" s="119">
        <v>0.16039603960396051</v>
      </c>
      <c r="G298" s="119">
        <v>8.3617747440272921E-2</v>
      </c>
    </row>
    <row r="299" spans="2:7" x14ac:dyDescent="0.2">
      <c r="B299" s="116" t="s">
        <v>767</v>
      </c>
      <c r="C299" s="117" t="s">
        <v>768</v>
      </c>
      <c r="D299" s="118" t="s">
        <v>145</v>
      </c>
      <c r="E299" s="118" t="s">
        <v>360</v>
      </c>
      <c r="F299" s="119">
        <v>-8.3935018050541488E-2</v>
      </c>
      <c r="G299" s="119">
        <v>0.1172413793103448</v>
      </c>
    </row>
    <row r="300" spans="2:7" x14ac:dyDescent="0.2">
      <c r="B300" s="116" t="s">
        <v>769</v>
      </c>
      <c r="C300" s="117" t="s">
        <v>770</v>
      </c>
      <c r="D300" s="118" t="s">
        <v>48</v>
      </c>
      <c r="E300" s="118" t="s">
        <v>49</v>
      </c>
      <c r="F300" s="119">
        <v>0.89583333333333348</v>
      </c>
      <c r="G300" s="119">
        <v>0.15384615384615391</v>
      </c>
    </row>
    <row r="301" spans="2:7" x14ac:dyDescent="0.2">
      <c r="B301" s="116" t="s">
        <v>771</v>
      </c>
      <c r="C301" s="117" t="s">
        <v>772</v>
      </c>
      <c r="D301" s="118" t="s">
        <v>68</v>
      </c>
      <c r="E301" s="118" t="s">
        <v>87</v>
      </c>
      <c r="F301" s="119">
        <v>0.23977272727272719</v>
      </c>
      <c r="G301" s="119">
        <v>8.4326306141154897E-2</v>
      </c>
    </row>
    <row r="302" spans="2:7" x14ac:dyDescent="0.2">
      <c r="B302" s="116" t="s">
        <v>773</v>
      </c>
      <c r="C302" s="117" t="s">
        <v>774</v>
      </c>
      <c r="D302" s="118" t="s">
        <v>241</v>
      </c>
      <c r="E302" s="118" t="s">
        <v>775</v>
      </c>
      <c r="F302" s="119">
        <v>-0.1043388429752066</v>
      </c>
      <c r="G302" s="119">
        <v>1.153402537485558E-3</v>
      </c>
    </row>
    <row r="303" spans="2:7" x14ac:dyDescent="0.2">
      <c r="B303" s="116" t="s">
        <v>776</v>
      </c>
      <c r="C303" s="117" t="s">
        <v>777</v>
      </c>
      <c r="D303" s="118" t="s">
        <v>68</v>
      </c>
      <c r="E303" s="118" t="s">
        <v>778</v>
      </c>
      <c r="F303" s="119">
        <v>8.9430894308943173E-2</v>
      </c>
      <c r="G303" s="119">
        <v>0.18656716417910449</v>
      </c>
    </row>
    <row r="304" spans="2:7" x14ac:dyDescent="0.2">
      <c r="B304" s="116" t="s">
        <v>779</v>
      </c>
      <c r="C304" s="117" t="s">
        <v>780</v>
      </c>
      <c r="D304" s="118" t="s">
        <v>145</v>
      </c>
      <c r="E304" s="118" t="s">
        <v>781</v>
      </c>
      <c r="F304" s="119">
        <v>0.54729729729729737</v>
      </c>
      <c r="G304" s="119">
        <v>0.20960698689956331</v>
      </c>
    </row>
    <row r="305" spans="2:7" x14ac:dyDescent="0.2">
      <c r="B305" s="116" t="s">
        <v>782</v>
      </c>
      <c r="C305" s="117" t="s">
        <v>783</v>
      </c>
      <c r="D305" s="118" t="s">
        <v>92</v>
      </c>
      <c r="E305" s="118" t="s">
        <v>784</v>
      </c>
      <c r="F305" s="119">
        <v>8.5227272727272679E-2</v>
      </c>
      <c r="G305" s="119">
        <v>4.9738219895287948E-2</v>
      </c>
    </row>
    <row r="306" spans="2:7" x14ac:dyDescent="0.2">
      <c r="B306" s="116" t="s">
        <v>785</v>
      </c>
      <c r="C306" s="117" t="s">
        <v>786</v>
      </c>
      <c r="D306" s="118" t="s">
        <v>39</v>
      </c>
      <c r="E306" s="118" t="s">
        <v>383</v>
      </c>
      <c r="F306" s="119">
        <v>-0.1244444444444445</v>
      </c>
      <c r="G306" s="119">
        <v>0.1522842639593909</v>
      </c>
    </row>
    <row r="307" spans="2:7" x14ac:dyDescent="0.2">
      <c r="B307" s="116" t="s">
        <v>787</v>
      </c>
      <c r="C307" s="117" t="s">
        <v>788</v>
      </c>
      <c r="D307" s="118" t="s">
        <v>68</v>
      </c>
      <c r="E307" s="118" t="s">
        <v>75</v>
      </c>
      <c r="F307" s="119">
        <v>-1.0092592592592591</v>
      </c>
      <c r="G307" s="119">
        <v>0.81566820276497698</v>
      </c>
    </row>
    <row r="308" spans="2:7" x14ac:dyDescent="0.2">
      <c r="B308" s="116" t="s">
        <v>789</v>
      </c>
      <c r="C308" s="117" t="s">
        <v>790</v>
      </c>
      <c r="D308" s="118" t="s">
        <v>34</v>
      </c>
      <c r="E308" s="118" t="s">
        <v>35</v>
      </c>
      <c r="F308" s="119">
        <v>-0.30081300813008133</v>
      </c>
      <c r="G308" s="119">
        <v>0.26744186046511642</v>
      </c>
    </row>
    <row r="309" spans="2:7" x14ac:dyDescent="0.2">
      <c r="B309" s="116" t="s">
        <v>791</v>
      </c>
      <c r="C309" s="117" t="s">
        <v>792</v>
      </c>
      <c r="D309" s="118" t="s">
        <v>138</v>
      </c>
      <c r="E309" s="118" t="s">
        <v>793</v>
      </c>
      <c r="F309" s="119">
        <v>6.5217391304347755E-2</v>
      </c>
      <c r="G309" s="119">
        <v>7.6530612244898599E-3</v>
      </c>
    </row>
    <row r="310" spans="2:7" x14ac:dyDescent="0.2">
      <c r="B310" s="116" t="s">
        <v>794</v>
      </c>
      <c r="C310" s="117" t="s">
        <v>795</v>
      </c>
      <c r="D310" s="118" t="s">
        <v>78</v>
      </c>
      <c r="E310" s="118" t="s">
        <v>796</v>
      </c>
      <c r="F310" s="119">
        <v>8.2969432314410452E-2</v>
      </c>
      <c r="G310" s="119">
        <v>8.8709677419354913E-2</v>
      </c>
    </row>
    <row r="311" spans="2:7" x14ac:dyDescent="0.2">
      <c r="B311" s="116" t="s">
        <v>797</v>
      </c>
      <c r="C311" s="117" t="s">
        <v>798</v>
      </c>
      <c r="D311" s="118" t="s">
        <v>115</v>
      </c>
      <c r="E311" s="118" t="s">
        <v>799</v>
      </c>
      <c r="F311" s="119">
        <v>0.18508287292817679</v>
      </c>
      <c r="G311" s="119">
        <v>-6.75990675990676E-2</v>
      </c>
    </row>
    <row r="312" spans="2:7" x14ac:dyDescent="0.2">
      <c r="B312" s="116" t="s">
        <v>800</v>
      </c>
      <c r="C312" s="117" t="s">
        <v>801</v>
      </c>
      <c r="D312" s="118" t="s">
        <v>68</v>
      </c>
      <c r="E312" s="118" t="s">
        <v>256</v>
      </c>
      <c r="F312" s="119">
        <v>0.1611814345991561</v>
      </c>
      <c r="G312" s="119">
        <v>0.13081395348837219</v>
      </c>
    </row>
    <row r="313" spans="2:7" x14ac:dyDescent="0.2">
      <c r="B313" s="116" t="s">
        <v>802</v>
      </c>
      <c r="C313" s="117" t="s">
        <v>803</v>
      </c>
      <c r="D313" s="118" t="s">
        <v>34</v>
      </c>
      <c r="E313" s="118" t="s">
        <v>319</v>
      </c>
      <c r="F313" s="119">
        <v>0.52</v>
      </c>
      <c r="G313" s="119">
        <v>0.22368421052631579</v>
      </c>
    </row>
    <row r="314" spans="2:7" x14ac:dyDescent="0.2">
      <c r="B314" s="116" t="s">
        <v>804</v>
      </c>
      <c r="C314" s="117" t="s">
        <v>805</v>
      </c>
      <c r="D314" s="118" t="s">
        <v>115</v>
      </c>
      <c r="E314" s="118" t="s">
        <v>806</v>
      </c>
      <c r="F314" s="119">
        <v>0.1012987012987013</v>
      </c>
      <c r="G314" s="119">
        <v>4.0094339622641487E-2</v>
      </c>
    </row>
    <row r="315" spans="2:7" x14ac:dyDescent="0.2">
      <c r="B315" s="116" t="s">
        <v>807</v>
      </c>
      <c r="C315" s="117" t="s">
        <v>808</v>
      </c>
      <c r="D315" s="118" t="s">
        <v>34</v>
      </c>
      <c r="E315" s="118" t="s">
        <v>809</v>
      </c>
      <c r="F315" s="119">
        <v>6.5140845070422559E-2</v>
      </c>
      <c r="G315" s="119">
        <v>6.2809917355371891E-2</v>
      </c>
    </row>
    <row r="316" spans="2:7" x14ac:dyDescent="0.2">
      <c r="B316" s="116" t="s">
        <v>810</v>
      </c>
      <c r="C316" s="117" t="s">
        <v>811</v>
      </c>
      <c r="D316" s="118" t="s">
        <v>34</v>
      </c>
      <c r="E316" s="118" t="s">
        <v>278</v>
      </c>
      <c r="F316" s="119">
        <v>-7.2769953051643105E-2</v>
      </c>
      <c r="G316" s="119">
        <v>-2.5316455696203109E-3</v>
      </c>
    </row>
    <row r="317" spans="2:7" x14ac:dyDescent="0.2">
      <c r="B317" s="116" t="s">
        <v>812</v>
      </c>
      <c r="C317" s="117" t="s">
        <v>813</v>
      </c>
      <c r="D317" s="118" t="s">
        <v>48</v>
      </c>
      <c r="E317" s="118" t="s">
        <v>370</v>
      </c>
      <c r="F317" s="119">
        <v>3.9301310043668061E-2</v>
      </c>
      <c r="G317" s="119">
        <v>3.5714285714285698E-2</v>
      </c>
    </row>
    <row r="318" spans="2:7" x14ac:dyDescent="0.2">
      <c r="B318" s="116" t="s">
        <v>814</v>
      </c>
      <c r="C318" s="117" t="s">
        <v>815</v>
      </c>
      <c r="D318" s="118" t="s">
        <v>115</v>
      </c>
      <c r="E318" s="118" t="s">
        <v>686</v>
      </c>
      <c r="F318" s="119">
        <v>0.19202898550724651</v>
      </c>
      <c r="G318" s="119">
        <v>0.87841945288753787</v>
      </c>
    </row>
    <row r="319" spans="2:7" x14ac:dyDescent="0.2">
      <c r="B319" s="116" t="s">
        <v>816</v>
      </c>
      <c r="C319" s="117" t="s">
        <v>817</v>
      </c>
      <c r="D319" s="118" t="s">
        <v>34</v>
      </c>
      <c r="E319" s="118" t="s">
        <v>278</v>
      </c>
      <c r="F319" s="119">
        <v>0.44186046511627908</v>
      </c>
      <c r="G319" s="119">
        <v>0.2419354838709678</v>
      </c>
    </row>
    <row r="320" spans="2:7" x14ac:dyDescent="0.2">
      <c r="B320" s="116" t="s">
        <v>818</v>
      </c>
      <c r="C320" s="117" t="s">
        <v>819</v>
      </c>
      <c r="D320" s="118" t="s">
        <v>92</v>
      </c>
      <c r="E320" s="118" t="s">
        <v>142</v>
      </c>
      <c r="F320" s="119">
        <v>0.16864111498257839</v>
      </c>
      <c r="G320" s="119">
        <v>0.11508646392367319</v>
      </c>
    </row>
    <row r="321" spans="2:7" x14ac:dyDescent="0.2">
      <c r="B321" s="116" t="s">
        <v>820</v>
      </c>
      <c r="C321" s="117" t="s">
        <v>821</v>
      </c>
      <c r="D321" s="118" t="s">
        <v>92</v>
      </c>
      <c r="E321" s="118" t="s">
        <v>299</v>
      </c>
      <c r="F321" s="119">
        <v>-4.9140049140050284E-3</v>
      </c>
      <c r="G321" s="119">
        <v>0.17530864197530871</v>
      </c>
    </row>
    <row r="322" spans="2:7" x14ac:dyDescent="0.2">
      <c r="B322" s="116" t="s">
        <v>822</v>
      </c>
      <c r="C322" s="117" t="s">
        <v>823</v>
      </c>
      <c r="D322" s="118" t="s">
        <v>48</v>
      </c>
      <c r="E322" s="118" t="s">
        <v>265</v>
      </c>
      <c r="F322" s="119">
        <v>2.666666666666667</v>
      </c>
      <c r="G322" s="119">
        <v>-0.96969696969696972</v>
      </c>
    </row>
    <row r="323" spans="2:7" x14ac:dyDescent="0.2">
      <c r="B323" s="116" t="s">
        <v>824</v>
      </c>
      <c r="C323" s="117" t="s">
        <v>825</v>
      </c>
      <c r="D323" s="118" t="s">
        <v>34</v>
      </c>
      <c r="E323" s="118" t="s">
        <v>826</v>
      </c>
      <c r="F323" s="119">
        <v>0.58823529411764708</v>
      </c>
      <c r="G323" s="119">
        <v>0.18981481481481469</v>
      </c>
    </row>
    <row r="324" spans="2:7" x14ac:dyDescent="0.2">
      <c r="B324" s="116" t="s">
        <v>827</v>
      </c>
      <c r="C324" s="117" t="s">
        <v>828</v>
      </c>
      <c r="D324" s="118" t="s">
        <v>92</v>
      </c>
      <c r="E324" s="118" t="s">
        <v>171</v>
      </c>
      <c r="F324" s="119">
        <v>-8.1896551724137914E-2</v>
      </c>
      <c r="G324" s="119">
        <v>-9.3896713615023563E-3</v>
      </c>
    </row>
    <row r="325" spans="2:7" x14ac:dyDescent="0.2">
      <c r="B325" s="116" t="s">
        <v>829</v>
      </c>
      <c r="C325" s="117" t="s">
        <v>830</v>
      </c>
      <c r="D325" s="118" t="s">
        <v>92</v>
      </c>
      <c r="E325" s="118" t="s">
        <v>96</v>
      </c>
      <c r="F325" s="119">
        <v>0.18296529968454259</v>
      </c>
      <c r="G325" s="119">
        <v>-7.9999999999999481E-3</v>
      </c>
    </row>
    <row r="326" spans="2:7" x14ac:dyDescent="0.2">
      <c r="B326" s="116" t="s">
        <v>831</v>
      </c>
      <c r="C326" s="117" t="s">
        <v>832</v>
      </c>
      <c r="D326" s="118" t="s">
        <v>92</v>
      </c>
      <c r="E326" s="118" t="s">
        <v>434</v>
      </c>
      <c r="F326" s="119">
        <v>0.25692695214105787</v>
      </c>
      <c r="G326" s="119">
        <v>6.4128256513025922E-2</v>
      </c>
    </row>
    <row r="327" spans="2:7" x14ac:dyDescent="0.2">
      <c r="B327" s="116" t="s">
        <v>833</v>
      </c>
      <c r="C327" s="117" t="s">
        <v>834</v>
      </c>
      <c r="D327" s="118" t="s">
        <v>48</v>
      </c>
      <c r="E327" s="118" t="s">
        <v>835</v>
      </c>
      <c r="F327" s="119">
        <v>5.0000000000000037E-2</v>
      </c>
      <c r="G327" s="119">
        <v>4.7619047619047658E-2</v>
      </c>
    </row>
    <row r="328" spans="2:7" x14ac:dyDescent="0.2">
      <c r="B328" s="116" t="s">
        <v>836</v>
      </c>
      <c r="C328" s="117" t="s">
        <v>837</v>
      </c>
      <c r="D328" s="118" t="s">
        <v>78</v>
      </c>
      <c r="E328" s="118" t="s">
        <v>796</v>
      </c>
      <c r="F328" s="119">
        <v>-4.0540540540540577E-2</v>
      </c>
      <c r="G328" s="119">
        <v>7.7464788732394443E-2</v>
      </c>
    </row>
    <row r="329" spans="2:7" x14ac:dyDescent="0.2">
      <c r="B329" s="116" t="s">
        <v>838</v>
      </c>
      <c r="C329" s="117" t="s">
        <v>839</v>
      </c>
      <c r="D329" s="118" t="s">
        <v>106</v>
      </c>
      <c r="E329" s="118" t="s">
        <v>107</v>
      </c>
      <c r="F329" s="119">
        <v>-3.3088235294117758E-2</v>
      </c>
      <c r="G329" s="119">
        <v>8.7452471482889732E-2</v>
      </c>
    </row>
    <row r="330" spans="2:7" x14ac:dyDescent="0.2">
      <c r="B330" s="116" t="s">
        <v>840</v>
      </c>
      <c r="C330" s="117" t="s">
        <v>841</v>
      </c>
      <c r="D330" s="118" t="s">
        <v>106</v>
      </c>
      <c r="E330" s="118" t="s">
        <v>842</v>
      </c>
      <c r="F330" s="119">
        <v>0.63025210084033612</v>
      </c>
      <c r="G330" s="119">
        <v>0.21649484536082469</v>
      </c>
    </row>
    <row r="331" spans="2:7" x14ac:dyDescent="0.2">
      <c r="B331" s="116" t="s">
        <v>843</v>
      </c>
      <c r="C331" s="117" t="s">
        <v>844</v>
      </c>
      <c r="D331" s="118" t="s">
        <v>138</v>
      </c>
      <c r="E331" s="118" t="s">
        <v>139</v>
      </c>
      <c r="F331" s="119">
        <v>-0.64383561643835618</v>
      </c>
      <c r="G331" s="119">
        <v>1.5</v>
      </c>
    </row>
    <row r="332" spans="2:7" x14ac:dyDescent="0.2">
      <c r="B332" s="116" t="s">
        <v>845</v>
      </c>
      <c r="C332" s="117" t="s">
        <v>846</v>
      </c>
      <c r="D332" s="118" t="s">
        <v>241</v>
      </c>
      <c r="E332" s="118" t="s">
        <v>306</v>
      </c>
      <c r="F332" s="119">
        <v>-0.19310344827586209</v>
      </c>
      <c r="G332" s="119">
        <v>0.23504273504273521</v>
      </c>
    </row>
    <row r="333" spans="2:7" x14ac:dyDescent="0.2">
      <c r="B333" s="116" t="s">
        <v>847</v>
      </c>
      <c r="C333" s="117" t="s">
        <v>848</v>
      </c>
      <c r="D333" s="118" t="s">
        <v>78</v>
      </c>
      <c r="E333" s="118" t="s">
        <v>796</v>
      </c>
      <c r="F333" s="119">
        <v>1.7488076311605771E-2</v>
      </c>
      <c r="G333" s="119">
        <v>4.6874999999999972E-2</v>
      </c>
    </row>
    <row r="334" spans="2:7" x14ac:dyDescent="0.2">
      <c r="B334" s="116" t="s">
        <v>849</v>
      </c>
      <c r="C334" s="117" t="s">
        <v>850</v>
      </c>
      <c r="D334" s="118" t="s">
        <v>92</v>
      </c>
      <c r="E334" s="118" t="s">
        <v>299</v>
      </c>
      <c r="F334" s="119">
        <v>-1.8338727076591149E-2</v>
      </c>
      <c r="G334" s="119">
        <v>1.428571428571437E-2</v>
      </c>
    </row>
    <row r="335" spans="2:7" x14ac:dyDescent="0.2">
      <c r="B335" s="116" t="s">
        <v>851</v>
      </c>
      <c r="C335" s="117" t="s">
        <v>852</v>
      </c>
      <c r="D335" s="118" t="s">
        <v>92</v>
      </c>
      <c r="E335" s="118" t="s">
        <v>461</v>
      </c>
      <c r="F335" s="119">
        <v>9.7493036211699191E-2</v>
      </c>
      <c r="G335" s="119">
        <v>-3.1725888324873087E-2</v>
      </c>
    </row>
    <row r="336" spans="2:7" x14ac:dyDescent="0.2">
      <c r="B336" s="116" t="s">
        <v>853</v>
      </c>
      <c r="C336" s="117" t="s">
        <v>854</v>
      </c>
      <c r="D336" s="118" t="s">
        <v>115</v>
      </c>
      <c r="E336" s="118" t="s">
        <v>686</v>
      </c>
      <c r="F336" s="119">
        <v>0.21653543307086609</v>
      </c>
      <c r="G336" s="119">
        <v>0.1003236245954693</v>
      </c>
    </row>
    <row r="337" spans="2:7" x14ac:dyDescent="0.2">
      <c r="B337" s="116" t="s">
        <v>855</v>
      </c>
      <c r="C337" s="117" t="s">
        <v>856</v>
      </c>
      <c r="D337" s="118" t="s">
        <v>68</v>
      </c>
      <c r="E337" s="118" t="s">
        <v>82</v>
      </c>
      <c r="F337" s="119">
        <v>0.1148936170212766</v>
      </c>
      <c r="G337" s="119">
        <v>0.1679389312977099</v>
      </c>
    </row>
    <row r="338" spans="2:7" x14ac:dyDescent="0.2">
      <c r="B338" s="116" t="s">
        <v>857</v>
      </c>
      <c r="C338" s="117" t="s">
        <v>858</v>
      </c>
      <c r="D338" s="118" t="s">
        <v>92</v>
      </c>
      <c r="E338" s="118" t="s">
        <v>717</v>
      </c>
      <c r="F338" s="119">
        <v>-1.029411764705873E-2</v>
      </c>
      <c r="G338" s="119">
        <v>9.6582466567607647E-2</v>
      </c>
    </row>
    <row r="339" spans="2:7" x14ac:dyDescent="0.2">
      <c r="B339" s="116" t="s">
        <v>859</v>
      </c>
      <c r="C339" s="117" t="s">
        <v>860</v>
      </c>
      <c r="D339" s="118" t="s">
        <v>52</v>
      </c>
      <c r="E339" s="118" t="s">
        <v>725</v>
      </c>
      <c r="F339" s="119">
        <v>0.56440281030444972</v>
      </c>
      <c r="G339" s="119">
        <v>0.2836826347305389</v>
      </c>
    </row>
    <row r="340" spans="2:7" x14ac:dyDescent="0.2">
      <c r="B340" s="116" t="s">
        <v>861</v>
      </c>
      <c r="C340" s="117" t="s">
        <v>862</v>
      </c>
      <c r="D340" s="118" t="s">
        <v>233</v>
      </c>
      <c r="E340" s="118" t="s">
        <v>863</v>
      </c>
      <c r="F340" s="119">
        <v>0.16385011021307869</v>
      </c>
      <c r="G340" s="119">
        <v>-9.1540404040403991E-2</v>
      </c>
    </row>
    <row r="341" spans="2:7" x14ac:dyDescent="0.2">
      <c r="B341" s="116" t="s">
        <v>864</v>
      </c>
      <c r="C341" s="117" t="s">
        <v>865</v>
      </c>
      <c r="D341" s="118" t="s">
        <v>52</v>
      </c>
      <c r="E341" s="118" t="s">
        <v>725</v>
      </c>
      <c r="F341" s="119">
        <v>7.0707070707070774E-2</v>
      </c>
      <c r="G341" s="119">
        <v>9.4339622641509302E-2</v>
      </c>
    </row>
    <row r="342" spans="2:7" x14ac:dyDescent="0.2">
      <c r="B342" s="116" t="s">
        <v>866</v>
      </c>
      <c r="C342" s="117" t="s">
        <v>867</v>
      </c>
      <c r="D342" s="118" t="s">
        <v>39</v>
      </c>
      <c r="E342" s="118" t="s">
        <v>868</v>
      </c>
      <c r="F342" s="119">
        <v>0.35627530364372462</v>
      </c>
      <c r="G342" s="119">
        <v>0.29552238805970138</v>
      </c>
    </row>
    <row r="343" spans="2:7" x14ac:dyDescent="0.2">
      <c r="B343" s="116" t="s">
        <v>869</v>
      </c>
      <c r="C343" s="117" t="s">
        <v>870</v>
      </c>
      <c r="D343" s="118" t="s">
        <v>138</v>
      </c>
      <c r="E343" s="118" t="s">
        <v>139</v>
      </c>
      <c r="F343" s="119">
        <v>6.4102564102564263E-2</v>
      </c>
      <c r="G343" s="119">
        <v>6.4257028112449668E-2</v>
      </c>
    </row>
    <row r="344" spans="2:7" x14ac:dyDescent="0.2">
      <c r="B344" s="116" t="s">
        <v>871</v>
      </c>
      <c r="C344" s="117" t="s">
        <v>872</v>
      </c>
      <c r="D344" s="118" t="s">
        <v>92</v>
      </c>
      <c r="E344" s="118" t="s">
        <v>96</v>
      </c>
      <c r="F344" s="119">
        <v>4.7619047619047492E-2</v>
      </c>
      <c r="G344" s="119">
        <v>-2.6315789473684081E-2</v>
      </c>
    </row>
    <row r="345" spans="2:7" x14ac:dyDescent="0.2">
      <c r="B345" s="116" t="s">
        <v>873</v>
      </c>
      <c r="C345" s="117" t="s">
        <v>874</v>
      </c>
      <c r="D345" s="118" t="s">
        <v>68</v>
      </c>
      <c r="E345" s="118" t="s">
        <v>296</v>
      </c>
      <c r="F345" s="119">
        <v>0.25212464589235128</v>
      </c>
      <c r="G345" s="119">
        <v>0.1199095022624435</v>
      </c>
    </row>
    <row r="346" spans="2:7" x14ac:dyDescent="0.2">
      <c r="B346" s="116" t="s">
        <v>875</v>
      </c>
      <c r="C346" s="117" t="s">
        <v>876</v>
      </c>
      <c r="D346" s="118" t="s">
        <v>233</v>
      </c>
      <c r="E346" s="118" t="s">
        <v>469</v>
      </c>
      <c r="F346" s="119">
        <v>0.16438356164383561</v>
      </c>
      <c r="G346" s="119">
        <v>5.8823529411764761E-2</v>
      </c>
    </row>
    <row r="347" spans="2:7" x14ac:dyDescent="0.2">
      <c r="B347" s="116" t="s">
        <v>877</v>
      </c>
      <c r="C347" s="117" t="s">
        <v>878</v>
      </c>
      <c r="D347" s="118" t="s">
        <v>48</v>
      </c>
      <c r="E347" s="118" t="s">
        <v>835</v>
      </c>
      <c r="F347" s="119">
        <v>0.1274038461538462</v>
      </c>
      <c r="G347" s="119">
        <v>0.1236673773987205</v>
      </c>
    </row>
    <row r="348" spans="2:7" x14ac:dyDescent="0.2">
      <c r="B348" s="116" t="s">
        <v>879</v>
      </c>
      <c r="C348" s="117" t="s">
        <v>880</v>
      </c>
      <c r="D348" s="118" t="s">
        <v>115</v>
      </c>
      <c r="E348" s="118" t="s">
        <v>747</v>
      </c>
      <c r="F348" s="119">
        <v>0.1142857142857142</v>
      </c>
      <c r="G348" s="119">
        <v>4.2735042735042778E-2</v>
      </c>
    </row>
    <row r="349" spans="2:7" x14ac:dyDescent="0.2">
      <c r="B349" s="116" t="s">
        <v>881</v>
      </c>
      <c r="C349" s="117" t="s">
        <v>882</v>
      </c>
      <c r="D349" s="118" t="s">
        <v>138</v>
      </c>
      <c r="E349" s="118" t="s">
        <v>139</v>
      </c>
      <c r="F349" s="119">
        <v>3.7735849056603668E-2</v>
      </c>
      <c r="G349" s="119">
        <v>9.0909090909090995E-2</v>
      </c>
    </row>
    <row r="350" spans="2:7" x14ac:dyDescent="0.2">
      <c r="B350" s="116" t="s">
        <v>883</v>
      </c>
      <c r="C350" s="117" t="s">
        <v>884</v>
      </c>
      <c r="D350" s="118" t="s">
        <v>241</v>
      </c>
      <c r="E350" s="118" t="s">
        <v>885</v>
      </c>
      <c r="F350" s="119">
        <v>-5.5335968379446522E-2</v>
      </c>
      <c r="G350" s="119">
        <v>-0.22594142259414229</v>
      </c>
    </row>
    <row r="351" spans="2:7" x14ac:dyDescent="0.2">
      <c r="B351" s="116" t="s">
        <v>886</v>
      </c>
      <c r="C351" s="117" t="s">
        <v>887</v>
      </c>
      <c r="D351" s="118" t="s">
        <v>92</v>
      </c>
      <c r="E351" s="118" t="s">
        <v>228</v>
      </c>
      <c r="F351" s="119">
        <v>-2.4786324786324719E-2</v>
      </c>
      <c r="G351" s="119">
        <v>2.6292725679228812E-2</v>
      </c>
    </row>
    <row r="352" spans="2:7" x14ac:dyDescent="0.2">
      <c r="B352" s="116" t="s">
        <v>888</v>
      </c>
      <c r="C352" s="117" t="s">
        <v>889</v>
      </c>
      <c r="D352" s="118" t="s">
        <v>241</v>
      </c>
      <c r="E352" s="118" t="s">
        <v>306</v>
      </c>
      <c r="F352" s="119">
        <v>0.4508196721311476</v>
      </c>
      <c r="G352" s="119">
        <v>-0.15254237288135589</v>
      </c>
    </row>
    <row r="353" spans="2:7" x14ac:dyDescent="0.2">
      <c r="B353" s="116" t="s">
        <v>890</v>
      </c>
      <c r="C353" s="117" t="s">
        <v>891</v>
      </c>
      <c r="D353" s="118" t="s">
        <v>34</v>
      </c>
      <c r="E353" s="118" t="s">
        <v>892</v>
      </c>
      <c r="F353" s="119">
        <v>-0.56184798807749625</v>
      </c>
      <c r="G353" s="119">
        <v>8.5034013605441872E-3</v>
      </c>
    </row>
    <row r="354" spans="2:7" x14ac:dyDescent="0.2">
      <c r="B354" s="116" t="s">
        <v>893</v>
      </c>
      <c r="C354" s="117" t="s">
        <v>894</v>
      </c>
      <c r="D354" s="118" t="s">
        <v>145</v>
      </c>
      <c r="E354" s="118" t="s">
        <v>360</v>
      </c>
      <c r="F354" s="119">
        <v>-2.4000000000000021E-2</v>
      </c>
      <c r="G354" s="119">
        <v>4.9180327868852507E-2</v>
      </c>
    </row>
    <row r="355" spans="2:7" x14ac:dyDescent="0.2">
      <c r="B355" s="116" t="s">
        <v>895</v>
      </c>
      <c r="C355" s="117" t="s">
        <v>896</v>
      </c>
      <c r="D355" s="118" t="s">
        <v>92</v>
      </c>
      <c r="E355" s="118" t="s">
        <v>272</v>
      </c>
      <c r="F355" s="119">
        <v>0.1217391304347827</v>
      </c>
      <c r="G355" s="119">
        <v>0.13178294573643401</v>
      </c>
    </row>
    <row r="356" spans="2:7" x14ac:dyDescent="0.2">
      <c r="B356" s="116" t="s">
        <v>897</v>
      </c>
      <c r="C356" s="117" t="s">
        <v>898</v>
      </c>
      <c r="D356" s="118" t="s">
        <v>115</v>
      </c>
      <c r="E356" s="118" t="s">
        <v>899</v>
      </c>
      <c r="F356" s="119">
        <v>0.30747922437673131</v>
      </c>
      <c r="G356" s="119">
        <v>0.10169491525423741</v>
      </c>
    </row>
    <row r="357" spans="2:7" x14ac:dyDescent="0.2">
      <c r="B357" s="116" t="s">
        <v>900</v>
      </c>
      <c r="C357" s="117" t="s">
        <v>901</v>
      </c>
      <c r="D357" s="118" t="s">
        <v>92</v>
      </c>
      <c r="E357" s="118" t="s">
        <v>272</v>
      </c>
      <c r="F357" s="119">
        <v>8.5889570552147326E-2</v>
      </c>
      <c r="G357" s="119">
        <v>0.1101694915254238</v>
      </c>
    </row>
    <row r="358" spans="2:7" x14ac:dyDescent="0.2">
      <c r="B358" s="116" t="s">
        <v>902</v>
      </c>
      <c r="C358" s="117" t="s">
        <v>903</v>
      </c>
      <c r="D358" s="118" t="s">
        <v>68</v>
      </c>
      <c r="E358" s="118" t="s">
        <v>72</v>
      </c>
      <c r="F358" s="119">
        <v>6.1154177433247282E-2</v>
      </c>
      <c r="G358" s="119">
        <v>7.1428571428571341E-2</v>
      </c>
    </row>
    <row r="359" spans="2:7" x14ac:dyDescent="0.2">
      <c r="B359" s="116" t="s">
        <v>904</v>
      </c>
      <c r="C359" s="117" t="s">
        <v>905</v>
      </c>
      <c r="D359" s="118" t="s">
        <v>241</v>
      </c>
      <c r="E359" s="118" t="s">
        <v>242</v>
      </c>
      <c r="F359" s="119">
        <v>-0.12895927601809951</v>
      </c>
      <c r="G359" s="119">
        <v>8.0519480519480532E-2</v>
      </c>
    </row>
    <row r="360" spans="2:7" x14ac:dyDescent="0.2">
      <c r="B360" s="116" t="s">
        <v>906</v>
      </c>
      <c r="C360" s="117" t="s">
        <v>907</v>
      </c>
      <c r="D360" s="118" t="s">
        <v>92</v>
      </c>
      <c r="E360" s="118" t="s">
        <v>272</v>
      </c>
      <c r="F360" s="119">
        <v>7.9207920792079278E-3</v>
      </c>
      <c r="G360" s="119">
        <v>9.2337917485265181E-2</v>
      </c>
    </row>
    <row r="361" spans="2:7" x14ac:dyDescent="0.2">
      <c r="B361" s="116" t="s">
        <v>908</v>
      </c>
      <c r="C361" s="117" t="s">
        <v>909</v>
      </c>
      <c r="D361" s="118" t="s">
        <v>52</v>
      </c>
      <c r="E361" s="118" t="s">
        <v>660</v>
      </c>
      <c r="F361" s="119">
        <v>5.7142857142857023E-2</v>
      </c>
      <c r="G361" s="119">
        <v>5.7579318448883691E-2</v>
      </c>
    </row>
    <row r="362" spans="2:7" x14ac:dyDescent="0.2">
      <c r="B362" s="116" t="s">
        <v>910</v>
      </c>
      <c r="C362" s="117" t="s">
        <v>911</v>
      </c>
      <c r="D362" s="118" t="s">
        <v>78</v>
      </c>
      <c r="E362" s="118" t="s">
        <v>912</v>
      </c>
      <c r="F362" s="119">
        <v>6.2500000000000056E-2</v>
      </c>
      <c r="G362" s="119">
        <v>0.1029411764705882</v>
      </c>
    </row>
    <row r="363" spans="2:7" x14ac:dyDescent="0.2">
      <c r="B363" s="116" t="s">
        <v>913</v>
      </c>
      <c r="C363" s="117" t="s">
        <v>914</v>
      </c>
      <c r="D363" s="118" t="s">
        <v>34</v>
      </c>
      <c r="E363" s="118" t="s">
        <v>319</v>
      </c>
      <c r="F363" s="119">
        <v>0.33333333333333343</v>
      </c>
      <c r="G363" s="119">
        <v>1.5</v>
      </c>
    </row>
    <row r="364" spans="2:7" x14ac:dyDescent="0.2">
      <c r="B364" s="116" t="s">
        <v>915</v>
      </c>
      <c r="C364" s="117" t="s">
        <v>916</v>
      </c>
      <c r="D364" s="118" t="s">
        <v>145</v>
      </c>
      <c r="E364" s="118" t="s">
        <v>917</v>
      </c>
      <c r="F364" s="119">
        <v>-0.65530303030303028</v>
      </c>
      <c r="G364" s="119">
        <v>8.2417582417582361E-2</v>
      </c>
    </row>
    <row r="365" spans="2:7" x14ac:dyDescent="0.2">
      <c r="B365" s="116" t="s">
        <v>918</v>
      </c>
      <c r="C365" s="117" t="s">
        <v>919</v>
      </c>
      <c r="D365" s="118" t="s">
        <v>48</v>
      </c>
      <c r="E365" s="118" t="s">
        <v>835</v>
      </c>
      <c r="F365" s="119">
        <v>0.17827298050139281</v>
      </c>
      <c r="G365" s="119">
        <v>0.1189913317572892</v>
      </c>
    </row>
    <row r="366" spans="2:7" x14ac:dyDescent="0.2">
      <c r="B366" s="116" t="s">
        <v>920</v>
      </c>
      <c r="C366" s="117" t="s">
        <v>921</v>
      </c>
      <c r="D366" s="118" t="s">
        <v>48</v>
      </c>
      <c r="E366" s="118" t="s">
        <v>49</v>
      </c>
      <c r="F366" s="119">
        <v>0.1727672035139092</v>
      </c>
      <c r="G366" s="119">
        <v>0.21972534332084889</v>
      </c>
    </row>
    <row r="367" spans="2:7" x14ac:dyDescent="0.2">
      <c r="B367" s="116" t="s">
        <v>922</v>
      </c>
      <c r="C367" s="117" t="s">
        <v>923</v>
      </c>
      <c r="D367" s="118" t="s">
        <v>78</v>
      </c>
      <c r="E367" s="118" t="s">
        <v>340</v>
      </c>
      <c r="F367" s="119">
        <v>-7.8431372549019676E-3</v>
      </c>
      <c r="G367" s="119">
        <v>6.7193675889328217E-2</v>
      </c>
    </row>
    <row r="368" spans="2:7" x14ac:dyDescent="0.2">
      <c r="B368" s="116" t="s">
        <v>924</v>
      </c>
      <c r="C368" s="117" t="s">
        <v>925</v>
      </c>
      <c r="D368" s="118" t="s">
        <v>48</v>
      </c>
      <c r="E368" s="118" t="s">
        <v>49</v>
      </c>
      <c r="F368" s="119">
        <v>-1.416666666666667</v>
      </c>
      <c r="G368" s="119">
        <v>4.4000000000000004</v>
      </c>
    </row>
    <row r="369" spans="2:7" x14ac:dyDescent="0.2">
      <c r="B369" s="116" t="s">
        <v>926</v>
      </c>
      <c r="C369" s="117" t="s">
        <v>927</v>
      </c>
      <c r="D369" s="118" t="s">
        <v>52</v>
      </c>
      <c r="E369" s="118" t="s">
        <v>657</v>
      </c>
      <c r="F369" s="119">
        <v>-1.0101010101010071E-2</v>
      </c>
      <c r="G369" s="119">
        <v>8.5714285714285687E-2</v>
      </c>
    </row>
    <row r="370" spans="2:7" x14ac:dyDescent="0.2">
      <c r="B370" s="116" t="s">
        <v>928</v>
      </c>
      <c r="C370" s="117" t="s">
        <v>929</v>
      </c>
      <c r="D370" s="118" t="s">
        <v>106</v>
      </c>
      <c r="E370" s="118" t="s">
        <v>930</v>
      </c>
      <c r="F370" s="119">
        <v>0.18099547511312211</v>
      </c>
      <c r="G370" s="119">
        <v>0.1072796934865901</v>
      </c>
    </row>
    <row r="371" spans="2:7" x14ac:dyDescent="0.2">
      <c r="B371" s="116" t="s">
        <v>931</v>
      </c>
      <c r="C371" s="117" t="s">
        <v>932</v>
      </c>
      <c r="D371" s="118" t="s">
        <v>92</v>
      </c>
      <c r="E371" s="118" t="s">
        <v>93</v>
      </c>
      <c r="F371" s="119">
        <v>6.7085953878406768E-2</v>
      </c>
      <c r="G371" s="119">
        <v>5.1080550098231793E-2</v>
      </c>
    </row>
    <row r="372" spans="2:7" x14ac:dyDescent="0.2">
      <c r="B372" s="116" t="s">
        <v>933</v>
      </c>
      <c r="C372" s="117" t="s">
        <v>934</v>
      </c>
      <c r="D372" s="118" t="s">
        <v>138</v>
      </c>
      <c r="E372" s="118" t="s">
        <v>386</v>
      </c>
      <c r="F372" s="119">
        <v>-0.32142857142857151</v>
      </c>
      <c r="G372" s="119">
        <v>0.2368421052631578</v>
      </c>
    </row>
    <row r="373" spans="2:7" x14ac:dyDescent="0.2">
      <c r="B373" s="116" t="s">
        <v>935</v>
      </c>
      <c r="C373" s="117" t="s">
        <v>936</v>
      </c>
      <c r="D373" s="118" t="s">
        <v>241</v>
      </c>
      <c r="E373" s="118" t="s">
        <v>937</v>
      </c>
      <c r="F373" s="119">
        <v>5.0420168067226941E-2</v>
      </c>
      <c r="G373" s="119">
        <v>3.2000000000000028E-2</v>
      </c>
    </row>
    <row r="374" spans="2:7" x14ac:dyDescent="0.2">
      <c r="B374" s="116" t="s">
        <v>938</v>
      </c>
      <c r="C374" s="117" t="s">
        <v>939</v>
      </c>
      <c r="D374" s="118" t="s">
        <v>678</v>
      </c>
      <c r="E374" s="118" t="s">
        <v>679</v>
      </c>
      <c r="F374" s="119">
        <v>8.4889643463497463E-2</v>
      </c>
      <c r="G374" s="119">
        <v>0.1032863849765259</v>
      </c>
    </row>
    <row r="375" spans="2:7" x14ac:dyDescent="0.2">
      <c r="B375" s="116" t="s">
        <v>940</v>
      </c>
      <c r="C375" s="117" t="s">
        <v>941</v>
      </c>
      <c r="D375" s="118" t="s">
        <v>92</v>
      </c>
      <c r="E375" s="118" t="s">
        <v>299</v>
      </c>
      <c r="F375" s="119">
        <v>-6.5789473684210578E-2</v>
      </c>
      <c r="G375" s="119">
        <v>4.2253521126760597E-2</v>
      </c>
    </row>
    <row r="376" spans="2:7" x14ac:dyDescent="0.2">
      <c r="B376" s="116" t="s">
        <v>942</v>
      </c>
      <c r="C376" s="117" t="s">
        <v>943</v>
      </c>
      <c r="D376" s="118" t="s">
        <v>34</v>
      </c>
      <c r="E376" s="118" t="s">
        <v>944</v>
      </c>
      <c r="F376" s="119">
        <v>-0.61643835616438347</v>
      </c>
      <c r="G376" s="119">
        <v>3.0714285714285712</v>
      </c>
    </row>
    <row r="377" spans="2:7" x14ac:dyDescent="0.2">
      <c r="B377" s="116" t="s">
        <v>945</v>
      </c>
      <c r="C377" s="117" t="s">
        <v>946</v>
      </c>
      <c r="D377" s="118" t="s">
        <v>115</v>
      </c>
      <c r="E377" s="118" t="s">
        <v>116</v>
      </c>
      <c r="F377" s="119">
        <v>9.9337748344370799E-2</v>
      </c>
      <c r="G377" s="119">
        <v>7.5301204819277115E-2</v>
      </c>
    </row>
    <row r="378" spans="2:7" x14ac:dyDescent="0.2">
      <c r="B378" s="116" t="s">
        <v>947</v>
      </c>
      <c r="C378" s="117" t="s">
        <v>948</v>
      </c>
      <c r="D378" s="118" t="s">
        <v>68</v>
      </c>
      <c r="E378" s="118" t="s">
        <v>949</v>
      </c>
      <c r="F378" s="119">
        <v>0.1013513513513513</v>
      </c>
      <c r="G378" s="119">
        <v>0.13803680981595101</v>
      </c>
    </row>
    <row r="379" spans="2:7" x14ac:dyDescent="0.2">
      <c r="B379" s="116" t="s">
        <v>950</v>
      </c>
      <c r="C379" s="117" t="s">
        <v>951</v>
      </c>
      <c r="D379" s="118" t="s">
        <v>34</v>
      </c>
      <c r="E379" s="118" t="s">
        <v>99</v>
      </c>
      <c r="F379" s="119">
        <v>8.8122605363984668E-2</v>
      </c>
      <c r="G379" s="119">
        <v>8.8028169014084515E-2</v>
      </c>
    </row>
    <row r="380" spans="2:7" x14ac:dyDescent="0.2">
      <c r="B380" s="116" t="s">
        <v>952</v>
      </c>
      <c r="C380" s="117" t="s">
        <v>953</v>
      </c>
      <c r="D380" s="118" t="s">
        <v>92</v>
      </c>
      <c r="E380" s="118" t="s">
        <v>195</v>
      </c>
      <c r="F380" s="119">
        <v>-0.1666666666666668</v>
      </c>
      <c r="G380" s="119">
        <v>-0.28571428571428548</v>
      </c>
    </row>
    <row r="381" spans="2:7" x14ac:dyDescent="0.2">
      <c r="B381" s="116" t="s">
        <v>954</v>
      </c>
      <c r="C381" s="117" t="s">
        <v>955</v>
      </c>
      <c r="D381" s="118" t="s">
        <v>138</v>
      </c>
      <c r="E381" s="118" t="s">
        <v>139</v>
      </c>
      <c r="F381" s="119">
        <v>8.6792452830188674E-2</v>
      </c>
      <c r="G381" s="119">
        <v>0.2083333333333334</v>
      </c>
    </row>
    <row r="382" spans="2:7" x14ac:dyDescent="0.2">
      <c r="B382" s="116" t="s">
        <v>956</v>
      </c>
      <c r="C382" s="117" t="s">
        <v>957</v>
      </c>
      <c r="D382" s="118" t="s">
        <v>52</v>
      </c>
      <c r="E382" s="118" t="s">
        <v>714</v>
      </c>
      <c r="F382" s="119">
        <v>0.22727272727272729</v>
      </c>
      <c r="G382" s="119">
        <v>0.11111111111111099</v>
      </c>
    </row>
    <row r="383" spans="2:7" x14ac:dyDescent="0.2">
      <c r="B383" s="116" t="s">
        <v>958</v>
      </c>
      <c r="C383" s="117" t="s">
        <v>959</v>
      </c>
      <c r="D383" s="118" t="s">
        <v>34</v>
      </c>
      <c r="E383" s="118" t="s">
        <v>251</v>
      </c>
      <c r="F383" s="119">
        <v>0.16736401673640161</v>
      </c>
      <c r="G383" s="119">
        <v>3.9426523297491002E-2</v>
      </c>
    </row>
    <row r="384" spans="2:7" x14ac:dyDescent="0.2">
      <c r="B384" s="116" t="s">
        <v>960</v>
      </c>
      <c r="C384" s="117" t="s">
        <v>961</v>
      </c>
      <c r="D384" s="118" t="s">
        <v>92</v>
      </c>
      <c r="E384" s="118" t="s">
        <v>299</v>
      </c>
      <c r="F384" s="119">
        <v>0.2407407407407407</v>
      </c>
      <c r="G384" s="119">
        <v>0.12686567164179099</v>
      </c>
    </row>
    <row r="385" spans="2:7" x14ac:dyDescent="0.2">
      <c r="B385" s="116" t="s">
        <v>962</v>
      </c>
      <c r="C385" s="117" t="s">
        <v>963</v>
      </c>
      <c r="D385" s="118" t="s">
        <v>34</v>
      </c>
      <c r="E385" s="118" t="s">
        <v>964</v>
      </c>
      <c r="F385" s="119">
        <v>9.4155844155844159E-2</v>
      </c>
      <c r="G385" s="119">
        <v>8.3086053412462849E-2</v>
      </c>
    </row>
    <row r="386" spans="2:7" x14ac:dyDescent="0.2">
      <c r="B386" s="116" t="s">
        <v>965</v>
      </c>
      <c r="C386" s="117" t="s">
        <v>966</v>
      </c>
      <c r="D386" s="118" t="s">
        <v>92</v>
      </c>
      <c r="E386" s="118" t="s">
        <v>614</v>
      </c>
      <c r="F386" s="119">
        <v>-1.442307692307704E-2</v>
      </c>
      <c r="G386" s="119">
        <v>4.8780487804878099E-2</v>
      </c>
    </row>
    <row r="387" spans="2:7" x14ac:dyDescent="0.2">
      <c r="B387" s="116" t="s">
        <v>967</v>
      </c>
      <c r="C387" s="117" t="s">
        <v>968</v>
      </c>
      <c r="D387" s="118" t="s">
        <v>34</v>
      </c>
      <c r="E387" s="118" t="s">
        <v>245</v>
      </c>
      <c r="F387" s="119">
        <v>0.26658322903629522</v>
      </c>
      <c r="G387" s="119">
        <v>0.18379446640316219</v>
      </c>
    </row>
    <row r="388" spans="2:7" x14ac:dyDescent="0.2">
      <c r="B388" s="116" t="s">
        <v>969</v>
      </c>
      <c r="C388" s="117" t="s">
        <v>970</v>
      </c>
      <c r="D388" s="118" t="s">
        <v>678</v>
      </c>
      <c r="E388" s="118" t="s">
        <v>679</v>
      </c>
      <c r="F388" s="119">
        <v>0.45178571428571451</v>
      </c>
      <c r="G388" s="119">
        <v>0.10578105781057801</v>
      </c>
    </row>
    <row r="389" spans="2:7" x14ac:dyDescent="0.2">
      <c r="B389" s="116" t="s">
        <v>971</v>
      </c>
      <c r="C389" s="117" t="s">
        <v>972</v>
      </c>
      <c r="D389" s="118" t="s">
        <v>68</v>
      </c>
      <c r="E389" s="118" t="s">
        <v>87</v>
      </c>
      <c r="F389" s="119">
        <v>0.160377358490566</v>
      </c>
      <c r="G389" s="119">
        <v>0.11788617886178859</v>
      </c>
    </row>
    <row r="390" spans="2:7" x14ac:dyDescent="0.2">
      <c r="B390" s="116" t="s">
        <v>973</v>
      </c>
      <c r="C390" s="117" t="s">
        <v>974</v>
      </c>
      <c r="D390" s="118" t="s">
        <v>34</v>
      </c>
      <c r="E390" s="118" t="s">
        <v>99</v>
      </c>
      <c r="F390" s="119">
        <v>0.41666666666666669</v>
      </c>
      <c r="G390" s="119">
        <v>0.42156862745098028</v>
      </c>
    </row>
    <row r="391" spans="2:7" x14ac:dyDescent="0.2">
      <c r="B391" s="116" t="s">
        <v>975</v>
      </c>
      <c r="C391" s="117" t="s">
        <v>976</v>
      </c>
      <c r="D391" s="118" t="s">
        <v>48</v>
      </c>
      <c r="E391" s="118" t="s">
        <v>835</v>
      </c>
      <c r="F391" s="119">
        <v>8.3769633507853367E-2</v>
      </c>
      <c r="G391" s="119">
        <v>8.9371980676328538E-2</v>
      </c>
    </row>
    <row r="392" spans="2:7" x14ac:dyDescent="0.2">
      <c r="B392" s="116" t="s">
        <v>977</v>
      </c>
      <c r="C392" s="117" t="s">
        <v>978</v>
      </c>
      <c r="D392" s="118" t="s">
        <v>39</v>
      </c>
      <c r="E392" s="118" t="s">
        <v>979</v>
      </c>
      <c r="F392" s="119">
        <v>0.13270777479892751</v>
      </c>
      <c r="G392" s="119">
        <v>0.1124260355029587</v>
      </c>
    </row>
    <row r="393" spans="2:7" x14ac:dyDescent="0.2">
      <c r="B393" s="116" t="s">
        <v>980</v>
      </c>
      <c r="C393" s="117" t="s">
        <v>981</v>
      </c>
      <c r="D393" s="118" t="s">
        <v>34</v>
      </c>
      <c r="E393" s="118" t="s">
        <v>982</v>
      </c>
      <c r="F393" s="119">
        <v>0.15789473684210539</v>
      </c>
      <c r="G393" s="119">
        <v>3.7878787878787908E-2</v>
      </c>
    </row>
    <row r="394" spans="2:7" x14ac:dyDescent="0.2">
      <c r="B394" s="116" t="s">
        <v>983</v>
      </c>
      <c r="C394" s="117" t="s">
        <v>984</v>
      </c>
      <c r="D394" s="118" t="s">
        <v>68</v>
      </c>
      <c r="E394" s="118" t="s">
        <v>985</v>
      </c>
      <c r="F394" s="119">
        <v>6.9892473118279508E-2</v>
      </c>
      <c r="G394" s="119">
        <v>0.12060301507537689</v>
      </c>
    </row>
    <row r="395" spans="2:7" x14ac:dyDescent="0.2">
      <c r="B395" s="116" t="s">
        <v>986</v>
      </c>
      <c r="C395" s="117" t="s">
        <v>987</v>
      </c>
      <c r="D395" s="118" t="s">
        <v>52</v>
      </c>
      <c r="E395" s="118" t="s">
        <v>281</v>
      </c>
      <c r="F395" s="119">
        <v>1.8018018018017831E-2</v>
      </c>
      <c r="G395" s="119">
        <v>0.35398230088495591</v>
      </c>
    </row>
    <row r="396" spans="2:7" x14ac:dyDescent="0.2">
      <c r="B396" s="116" t="s">
        <v>988</v>
      </c>
      <c r="C396" s="117" t="s">
        <v>989</v>
      </c>
      <c r="D396" s="118" t="s">
        <v>34</v>
      </c>
      <c r="E396" s="118" t="s">
        <v>990</v>
      </c>
      <c r="F396" s="119">
        <v>-0.1241685144124168</v>
      </c>
      <c r="G396" s="119">
        <v>8.6075949367088567E-2</v>
      </c>
    </row>
    <row r="397" spans="2:7" x14ac:dyDescent="0.2">
      <c r="B397" s="116" t="s">
        <v>991</v>
      </c>
      <c r="C397" s="117" t="s">
        <v>992</v>
      </c>
      <c r="D397" s="118" t="s">
        <v>233</v>
      </c>
      <c r="E397" s="118" t="s">
        <v>234</v>
      </c>
      <c r="F397" s="119">
        <v>-0.28658536585365851</v>
      </c>
      <c r="G397" s="119">
        <v>0.23931623931623941</v>
      </c>
    </row>
    <row r="398" spans="2:7" x14ac:dyDescent="0.2">
      <c r="B398" s="116" t="s">
        <v>993</v>
      </c>
      <c r="C398" s="117" t="s">
        <v>994</v>
      </c>
      <c r="D398" s="118" t="s">
        <v>34</v>
      </c>
      <c r="E398" s="118" t="s">
        <v>99</v>
      </c>
      <c r="F398" s="119">
        <v>-1.6157989228007159E-2</v>
      </c>
      <c r="G398" s="119">
        <v>0.1094890510948904</v>
      </c>
    </row>
    <row r="399" spans="2:7" x14ac:dyDescent="0.2">
      <c r="B399" s="116" t="s">
        <v>995</v>
      </c>
      <c r="C399" s="117" t="s">
        <v>996</v>
      </c>
      <c r="D399" s="118" t="s">
        <v>92</v>
      </c>
      <c r="E399" s="118" t="s">
        <v>272</v>
      </c>
      <c r="F399" s="119">
        <v>1.8292682926829281E-2</v>
      </c>
      <c r="G399" s="119">
        <v>3.5928143712574877E-2</v>
      </c>
    </row>
    <row r="400" spans="2:7" x14ac:dyDescent="0.2">
      <c r="B400" s="116" t="s">
        <v>997</v>
      </c>
      <c r="C400" s="117" t="s">
        <v>998</v>
      </c>
      <c r="D400" s="118" t="s">
        <v>115</v>
      </c>
      <c r="E400" s="118" t="s">
        <v>587</v>
      </c>
      <c r="F400" s="119">
        <v>2.6666666666666689E-2</v>
      </c>
      <c r="G400" s="119">
        <v>2.5974025974026E-2</v>
      </c>
    </row>
    <row r="401" spans="2:7" x14ac:dyDescent="0.2">
      <c r="B401" s="116" t="s">
        <v>999</v>
      </c>
      <c r="C401" s="117" t="s">
        <v>1000</v>
      </c>
      <c r="D401" s="118" t="s">
        <v>92</v>
      </c>
      <c r="E401" s="118" t="s">
        <v>272</v>
      </c>
      <c r="F401" s="119">
        <v>0.17004048582995951</v>
      </c>
      <c r="G401" s="119">
        <v>-3.1141868512110829E-2</v>
      </c>
    </row>
    <row r="402" spans="2:7" x14ac:dyDescent="0.2">
      <c r="B402" s="116" t="s">
        <v>1001</v>
      </c>
      <c r="C402" s="117" t="s">
        <v>1002</v>
      </c>
      <c r="D402" s="118" t="s">
        <v>92</v>
      </c>
      <c r="E402" s="118" t="s">
        <v>598</v>
      </c>
      <c r="F402" s="119">
        <v>0.171875</v>
      </c>
      <c r="G402" s="119">
        <v>-6.6666666666666723E-3</v>
      </c>
    </row>
    <row r="403" spans="2:7" x14ac:dyDescent="0.2">
      <c r="B403" s="116" t="s">
        <v>1003</v>
      </c>
      <c r="C403" s="117" t="s">
        <v>1004</v>
      </c>
      <c r="D403" s="118" t="s">
        <v>241</v>
      </c>
      <c r="E403" s="118" t="s">
        <v>1005</v>
      </c>
      <c r="F403" s="119">
        <v>1.5681818181818179</v>
      </c>
      <c r="G403" s="119">
        <v>-0.18</v>
      </c>
    </row>
    <row r="404" spans="2:7" x14ac:dyDescent="0.2">
      <c r="B404" s="116" t="s">
        <v>1006</v>
      </c>
      <c r="C404" s="117" t="s">
        <v>1007</v>
      </c>
      <c r="D404" s="118" t="s">
        <v>52</v>
      </c>
      <c r="E404" s="118" t="s">
        <v>281</v>
      </c>
      <c r="F404" s="119">
        <v>-9.6969696969697067E-2</v>
      </c>
      <c r="G404" s="119">
        <v>0.38674033149171272</v>
      </c>
    </row>
    <row r="405" spans="2:7" x14ac:dyDescent="0.2">
      <c r="B405" s="116" t="s">
        <v>1008</v>
      </c>
      <c r="C405" s="117" t="s">
        <v>1009</v>
      </c>
      <c r="D405" s="118" t="s">
        <v>52</v>
      </c>
      <c r="E405" s="118" t="s">
        <v>1010</v>
      </c>
      <c r="F405" s="119">
        <v>-2.8653295128940491E-3</v>
      </c>
      <c r="G405" s="119">
        <v>3.3045977011494317E-2</v>
      </c>
    </row>
    <row r="406" spans="2:7" x14ac:dyDescent="0.2">
      <c r="B406" s="116" t="s">
        <v>1011</v>
      </c>
      <c r="C406" s="117" t="s">
        <v>1012</v>
      </c>
      <c r="D406" s="118" t="s">
        <v>241</v>
      </c>
      <c r="E406" s="118" t="s">
        <v>606</v>
      </c>
      <c r="F406" s="119">
        <v>-0.11717709720372831</v>
      </c>
      <c r="G406" s="119">
        <v>0.2247360482654599</v>
      </c>
    </row>
    <row r="407" spans="2:7" x14ac:dyDescent="0.2">
      <c r="B407" s="116" t="s">
        <v>1013</v>
      </c>
      <c r="C407" s="117" t="s">
        <v>1014</v>
      </c>
      <c r="D407" s="118" t="s">
        <v>198</v>
      </c>
      <c r="E407" s="118" t="s">
        <v>199</v>
      </c>
      <c r="F407" s="119">
        <v>0.14285714285714279</v>
      </c>
      <c r="G407" s="119">
        <v>7.3033707865168482E-2</v>
      </c>
    </row>
    <row r="408" spans="2:7" x14ac:dyDescent="0.2">
      <c r="B408" s="116" t="s">
        <v>1015</v>
      </c>
      <c r="C408" s="117" t="s">
        <v>1016</v>
      </c>
      <c r="D408" s="118" t="s">
        <v>241</v>
      </c>
      <c r="E408" s="118" t="s">
        <v>1017</v>
      </c>
      <c r="F408" s="119">
        <v>-0.78431372549019607</v>
      </c>
      <c r="G408" s="119">
        <v>2.7272727272727271</v>
      </c>
    </row>
    <row r="409" spans="2:7" x14ac:dyDescent="0.2">
      <c r="B409" s="116" t="s">
        <v>1018</v>
      </c>
      <c r="C409" s="117" t="s">
        <v>1019</v>
      </c>
      <c r="D409" s="118" t="s">
        <v>92</v>
      </c>
      <c r="E409" s="118" t="s">
        <v>722</v>
      </c>
      <c r="F409" s="119">
        <v>7.1428571428571341E-2</v>
      </c>
      <c r="G409" s="119">
        <v>0.1090909090909092</v>
      </c>
    </row>
    <row r="410" spans="2:7" x14ac:dyDescent="0.2">
      <c r="B410" s="116" t="s">
        <v>1020</v>
      </c>
      <c r="C410" s="117" t="s">
        <v>1021</v>
      </c>
      <c r="D410" s="118" t="s">
        <v>102</v>
      </c>
      <c r="E410" s="118" t="s">
        <v>176</v>
      </c>
      <c r="F410" s="119">
        <v>-0.40384615384615391</v>
      </c>
      <c r="G410" s="119">
        <v>0.19354838709677419</v>
      </c>
    </row>
    <row r="411" spans="2:7" x14ac:dyDescent="0.2">
      <c r="B411" s="116" t="s">
        <v>1022</v>
      </c>
      <c r="C411" s="117" t="s">
        <v>1023</v>
      </c>
      <c r="D411" s="118" t="s">
        <v>241</v>
      </c>
      <c r="E411" s="118" t="s">
        <v>306</v>
      </c>
      <c r="F411" s="119">
        <v>-0.35073068893528192</v>
      </c>
      <c r="G411" s="119">
        <v>0.70096463022508049</v>
      </c>
    </row>
    <row r="412" spans="2:7" x14ac:dyDescent="0.2">
      <c r="B412" s="116" t="s">
        <v>1024</v>
      </c>
      <c r="C412" s="117" t="s">
        <v>1025</v>
      </c>
      <c r="D412" s="118" t="s">
        <v>34</v>
      </c>
      <c r="E412" s="118" t="s">
        <v>1026</v>
      </c>
      <c r="F412" s="119">
        <v>-0.1654135338345864</v>
      </c>
      <c r="G412" s="119">
        <v>0.117117117117117</v>
      </c>
    </row>
    <row r="413" spans="2:7" x14ac:dyDescent="0.2">
      <c r="B413" s="116" t="s">
        <v>1027</v>
      </c>
      <c r="C413" s="117" t="s">
        <v>1028</v>
      </c>
      <c r="D413" s="118" t="s">
        <v>34</v>
      </c>
      <c r="E413" s="118" t="s">
        <v>809</v>
      </c>
      <c r="F413" s="119">
        <v>0.30113636363636359</v>
      </c>
      <c r="G413" s="119">
        <v>0.1222707423580785</v>
      </c>
    </row>
    <row r="414" spans="2:7" x14ac:dyDescent="0.2">
      <c r="B414" s="116" t="s">
        <v>1029</v>
      </c>
      <c r="C414" s="117" t="s">
        <v>1030</v>
      </c>
      <c r="D414" s="118" t="s">
        <v>34</v>
      </c>
      <c r="E414" s="118" t="s">
        <v>202</v>
      </c>
      <c r="F414" s="119">
        <v>-0.34782608695652178</v>
      </c>
      <c r="G414" s="119">
        <v>1.2666666666666671</v>
      </c>
    </row>
    <row r="415" spans="2:7" x14ac:dyDescent="0.2">
      <c r="B415" s="116" t="s">
        <v>1031</v>
      </c>
      <c r="C415" s="117" t="s">
        <v>1032</v>
      </c>
      <c r="D415" s="118" t="s">
        <v>115</v>
      </c>
      <c r="E415" s="118" t="s">
        <v>799</v>
      </c>
      <c r="F415" s="119">
        <v>-10.888888888888889</v>
      </c>
      <c r="G415" s="119">
        <v>0.9887640449438202</v>
      </c>
    </row>
    <row r="416" spans="2:7" x14ac:dyDescent="0.2">
      <c r="B416" s="116" t="s">
        <v>1033</v>
      </c>
      <c r="C416" s="117" t="s">
        <v>1034</v>
      </c>
      <c r="D416" s="118" t="s">
        <v>145</v>
      </c>
      <c r="E416" s="118" t="s">
        <v>525</v>
      </c>
      <c r="F416" s="119">
        <v>0.73684210526315796</v>
      </c>
      <c r="G416" s="119">
        <v>0.46969696969696961</v>
      </c>
    </row>
    <row r="417" spans="2:7" x14ac:dyDescent="0.2">
      <c r="B417" s="116" t="s">
        <v>1035</v>
      </c>
      <c r="C417" s="117" t="s">
        <v>1036</v>
      </c>
      <c r="D417" s="118" t="s">
        <v>138</v>
      </c>
      <c r="E417" s="118" t="s">
        <v>139</v>
      </c>
      <c r="F417" s="119">
        <v>1.719901719901705E-2</v>
      </c>
      <c r="G417" s="119">
        <v>5.5555555555555657E-2</v>
      </c>
    </row>
    <row r="418" spans="2:7" x14ac:dyDescent="0.2">
      <c r="B418" s="116" t="s">
        <v>1037</v>
      </c>
      <c r="C418" s="117" t="s">
        <v>1038</v>
      </c>
      <c r="D418" s="118" t="s">
        <v>48</v>
      </c>
      <c r="E418" s="118" t="s">
        <v>49</v>
      </c>
      <c r="F418" s="119">
        <v>0.26702508960573479</v>
      </c>
      <c r="G418" s="119">
        <v>4.6676096181046678E-2</v>
      </c>
    </row>
    <row r="419" spans="2:7" x14ac:dyDescent="0.2">
      <c r="B419" s="116" t="s">
        <v>1039</v>
      </c>
      <c r="C419" s="117" t="s">
        <v>1040</v>
      </c>
      <c r="D419" s="118" t="s">
        <v>78</v>
      </c>
      <c r="E419" s="118" t="s">
        <v>340</v>
      </c>
      <c r="F419" s="119">
        <v>4.8780487804878092E-2</v>
      </c>
      <c r="G419" s="119">
        <v>9.3023255813953445E-2</v>
      </c>
    </row>
    <row r="420" spans="2:7" x14ac:dyDescent="0.2">
      <c r="B420" s="116" t="s">
        <v>1041</v>
      </c>
      <c r="C420" s="117" t="s">
        <v>1042</v>
      </c>
      <c r="D420" s="118" t="s">
        <v>78</v>
      </c>
      <c r="E420" s="118" t="s">
        <v>340</v>
      </c>
      <c r="F420" s="119">
        <v>-0.18072289156626489</v>
      </c>
      <c r="G420" s="119">
        <v>0.45588235294117629</v>
      </c>
    </row>
    <row r="421" spans="2:7" x14ac:dyDescent="0.2">
      <c r="B421" s="116" t="s">
        <v>1043</v>
      </c>
      <c r="C421" s="117" t="s">
        <v>1044</v>
      </c>
      <c r="D421" s="118" t="s">
        <v>34</v>
      </c>
      <c r="E421" s="118" t="s">
        <v>99</v>
      </c>
      <c r="F421" s="119">
        <v>0.1399416909620991</v>
      </c>
      <c r="G421" s="119">
        <v>0.1253196930946292</v>
      </c>
    </row>
    <row r="422" spans="2:7" x14ac:dyDescent="0.2">
      <c r="B422" s="116" t="s">
        <v>1045</v>
      </c>
      <c r="C422" s="117" t="s">
        <v>1046</v>
      </c>
      <c r="D422" s="118" t="s">
        <v>92</v>
      </c>
      <c r="E422" s="118" t="s">
        <v>299</v>
      </c>
      <c r="F422" s="119">
        <v>0.7777777777777779</v>
      </c>
      <c r="G422" s="119">
        <v>1.625</v>
      </c>
    </row>
    <row r="423" spans="2:7" x14ac:dyDescent="0.2">
      <c r="B423" s="116" t="s">
        <v>1047</v>
      </c>
      <c r="C423" s="117" t="s">
        <v>1048</v>
      </c>
      <c r="D423" s="118" t="s">
        <v>92</v>
      </c>
      <c r="E423" s="118" t="s">
        <v>299</v>
      </c>
      <c r="F423" s="119">
        <v>9.7560975609756184E-2</v>
      </c>
      <c r="G423" s="119">
        <v>8.3333333333332794E-3</v>
      </c>
    </row>
    <row r="424" spans="2:7" x14ac:dyDescent="0.2">
      <c r="B424" s="116" t="s">
        <v>1049</v>
      </c>
      <c r="C424" s="117" t="s">
        <v>1050</v>
      </c>
      <c r="D424" s="118" t="s">
        <v>34</v>
      </c>
      <c r="E424" s="118" t="s">
        <v>202</v>
      </c>
      <c r="F424" s="119">
        <v>0.15789473684210531</v>
      </c>
      <c r="G424" s="119">
        <v>0.25000000000000011</v>
      </c>
    </row>
    <row r="425" spans="2:7" x14ac:dyDescent="0.2">
      <c r="B425" s="116" t="s">
        <v>1051</v>
      </c>
      <c r="C425" s="117" t="s">
        <v>1052</v>
      </c>
      <c r="D425" s="118" t="s">
        <v>106</v>
      </c>
      <c r="E425" s="118" t="s">
        <v>1053</v>
      </c>
      <c r="F425" s="119">
        <v>-1.931330472103001E-2</v>
      </c>
      <c r="G425" s="119">
        <v>2.8446389496717701E-2</v>
      </c>
    </row>
    <row r="426" spans="2:7" x14ac:dyDescent="0.2">
      <c r="B426" s="116" t="s">
        <v>1054</v>
      </c>
      <c r="C426" s="117" t="s">
        <v>1055</v>
      </c>
      <c r="D426" s="118" t="s">
        <v>39</v>
      </c>
      <c r="E426" s="118" t="s">
        <v>1056</v>
      </c>
      <c r="F426" s="119">
        <v>3.6363636363636188E-2</v>
      </c>
      <c r="G426" s="119">
        <v>0.10964912280701759</v>
      </c>
    </row>
    <row r="427" spans="2:7" x14ac:dyDescent="0.2">
      <c r="B427" s="116" t="s">
        <v>1057</v>
      </c>
      <c r="C427" s="117" t="s">
        <v>1058</v>
      </c>
      <c r="D427" s="118" t="s">
        <v>241</v>
      </c>
      <c r="E427" s="118" t="s">
        <v>937</v>
      </c>
      <c r="F427" s="119">
        <v>1.07936507936508</v>
      </c>
      <c r="G427" s="119">
        <v>0.4274809160305344</v>
      </c>
    </row>
    <row r="428" spans="2:7" x14ac:dyDescent="0.2">
      <c r="B428" s="116" t="s">
        <v>1059</v>
      </c>
      <c r="C428" s="117" t="s">
        <v>1060</v>
      </c>
      <c r="D428" s="118" t="s">
        <v>145</v>
      </c>
      <c r="E428" s="118" t="s">
        <v>179</v>
      </c>
      <c r="F428" s="119">
        <v>-0.6919354838709677</v>
      </c>
      <c r="G428" s="119">
        <v>0.13874345549738221</v>
      </c>
    </row>
    <row r="429" spans="2:7" x14ac:dyDescent="0.2">
      <c r="B429" s="116" t="s">
        <v>1061</v>
      </c>
      <c r="C429" s="117" t="s">
        <v>1062</v>
      </c>
      <c r="D429" s="118" t="s">
        <v>233</v>
      </c>
      <c r="E429" s="118" t="s">
        <v>469</v>
      </c>
      <c r="F429" s="119">
        <v>-0.44444444444444442</v>
      </c>
      <c r="G429" s="119">
        <v>0.7142857142857143</v>
      </c>
    </row>
    <row r="430" spans="2:7" x14ac:dyDescent="0.2">
      <c r="B430" s="116" t="s">
        <v>1063</v>
      </c>
      <c r="C430" s="117" t="s">
        <v>1064</v>
      </c>
      <c r="D430" s="118" t="s">
        <v>39</v>
      </c>
      <c r="E430" s="118" t="s">
        <v>163</v>
      </c>
      <c r="F430" s="119">
        <v>4.8319327731092529E-2</v>
      </c>
      <c r="G430" s="119">
        <v>0.1202404809619238</v>
      </c>
    </row>
    <row r="431" spans="2:7" x14ac:dyDescent="0.2">
      <c r="B431" s="116" t="s">
        <v>1065</v>
      </c>
      <c r="C431" s="117" t="s">
        <v>1066</v>
      </c>
      <c r="D431" s="118" t="s">
        <v>115</v>
      </c>
      <c r="E431" s="118" t="s">
        <v>116</v>
      </c>
      <c r="F431" s="119">
        <v>8.6357947434292801E-2</v>
      </c>
      <c r="G431" s="119">
        <v>0.1002304147465439</v>
      </c>
    </row>
    <row r="432" spans="2:7" x14ac:dyDescent="0.2">
      <c r="B432" s="116" t="s">
        <v>1067</v>
      </c>
      <c r="C432" s="117" t="s">
        <v>1068</v>
      </c>
      <c r="D432" s="118" t="s">
        <v>92</v>
      </c>
      <c r="E432" s="118" t="s">
        <v>272</v>
      </c>
      <c r="F432" s="119">
        <v>4.4554455445544483E-2</v>
      </c>
      <c r="G432" s="119">
        <v>3.7914691943128E-2</v>
      </c>
    </row>
    <row r="433" spans="2:7" x14ac:dyDescent="0.2">
      <c r="B433" s="116" t="s">
        <v>1069</v>
      </c>
      <c r="C433" s="117" t="s">
        <v>1070</v>
      </c>
      <c r="D433" s="118" t="s">
        <v>34</v>
      </c>
      <c r="E433" s="118" t="s">
        <v>245</v>
      </c>
      <c r="F433" s="119">
        <v>0.10681114551083599</v>
      </c>
      <c r="G433" s="119">
        <v>5.5944055944055987E-3</v>
      </c>
    </row>
    <row r="434" spans="2:7" x14ac:dyDescent="0.2">
      <c r="B434" s="116" t="s">
        <v>1071</v>
      </c>
      <c r="C434" s="117" t="s">
        <v>1072</v>
      </c>
      <c r="D434" s="118" t="s">
        <v>78</v>
      </c>
      <c r="E434" s="118" t="s">
        <v>79</v>
      </c>
      <c r="F434" s="119">
        <v>7.5301204819277115E-2</v>
      </c>
      <c r="G434" s="119">
        <v>8.6834733893557448E-2</v>
      </c>
    </row>
    <row r="435" spans="2:7" x14ac:dyDescent="0.2">
      <c r="B435" s="116" t="s">
        <v>1073</v>
      </c>
      <c r="C435" s="117" t="s">
        <v>1074</v>
      </c>
      <c r="D435" s="118" t="s">
        <v>92</v>
      </c>
      <c r="E435" s="118" t="s">
        <v>228</v>
      </c>
      <c r="F435" s="119">
        <v>0.15070242656449551</v>
      </c>
      <c r="G435" s="119">
        <v>6.1043285238623832E-2</v>
      </c>
    </row>
    <row r="436" spans="2:7" x14ac:dyDescent="0.2">
      <c r="B436" s="116" t="s">
        <v>1075</v>
      </c>
      <c r="C436" s="117" t="s">
        <v>1076</v>
      </c>
      <c r="D436" s="118" t="s">
        <v>52</v>
      </c>
      <c r="E436" s="118" t="s">
        <v>660</v>
      </c>
      <c r="F436" s="119">
        <v>9.6345514950166133E-2</v>
      </c>
      <c r="G436" s="119">
        <v>0.1136363636363636</v>
      </c>
    </row>
    <row r="437" spans="2:7" x14ac:dyDescent="0.2">
      <c r="B437" s="116" t="s">
        <v>1077</v>
      </c>
      <c r="C437" s="117" t="s">
        <v>1078</v>
      </c>
      <c r="D437" s="118" t="s">
        <v>68</v>
      </c>
      <c r="E437" s="118" t="s">
        <v>256</v>
      </c>
      <c r="F437" s="119">
        <v>2.685624012638229E-2</v>
      </c>
      <c r="G437" s="119">
        <v>4.7692307692307631E-2</v>
      </c>
    </row>
    <row r="438" spans="2:7" x14ac:dyDescent="0.2">
      <c r="B438" s="116" t="s">
        <v>1079</v>
      </c>
      <c r="C438" s="117" t="s">
        <v>1080</v>
      </c>
      <c r="D438" s="118" t="s">
        <v>102</v>
      </c>
      <c r="E438" s="118" t="s">
        <v>1081</v>
      </c>
      <c r="F438" s="119">
        <v>9.1383812010443766E-2</v>
      </c>
      <c r="G438" s="119">
        <v>9.5693779904306317E-2</v>
      </c>
    </row>
    <row r="439" spans="2:7" x14ac:dyDescent="0.2">
      <c r="B439" s="116" t="s">
        <v>1082</v>
      </c>
      <c r="C439" s="117" t="s">
        <v>1083</v>
      </c>
      <c r="D439" s="118" t="s">
        <v>678</v>
      </c>
      <c r="E439" s="118" t="s">
        <v>679</v>
      </c>
      <c r="F439" s="119">
        <v>6.2084257206208478E-2</v>
      </c>
      <c r="G439" s="119">
        <v>0.16701461377870561</v>
      </c>
    </row>
    <row r="440" spans="2:7" x14ac:dyDescent="0.2">
      <c r="B440" s="116" t="s">
        <v>1084</v>
      </c>
      <c r="C440" s="117" t="s">
        <v>1085</v>
      </c>
      <c r="D440" s="118" t="s">
        <v>115</v>
      </c>
      <c r="E440" s="118" t="s">
        <v>1086</v>
      </c>
      <c r="F440" s="119">
        <v>-0.13294797687861271</v>
      </c>
      <c r="G440" s="119">
        <v>3.5000000000000003E-2</v>
      </c>
    </row>
    <row r="441" spans="2:7" x14ac:dyDescent="0.2">
      <c r="B441" s="116" t="s">
        <v>1087</v>
      </c>
      <c r="C441" s="117" t="s">
        <v>1088</v>
      </c>
      <c r="D441" s="118" t="s">
        <v>115</v>
      </c>
      <c r="E441" s="118" t="s">
        <v>728</v>
      </c>
      <c r="F441" s="119">
        <v>0.76036866359447008</v>
      </c>
      <c r="G441" s="119">
        <v>6.0209424083769628E-2</v>
      </c>
    </row>
    <row r="442" spans="2:7" x14ac:dyDescent="0.2">
      <c r="B442" s="116" t="s">
        <v>1089</v>
      </c>
      <c r="C442" s="117" t="s">
        <v>1090</v>
      </c>
      <c r="D442" s="118" t="s">
        <v>115</v>
      </c>
      <c r="E442" s="118" t="s">
        <v>686</v>
      </c>
      <c r="F442" s="119">
        <v>-0.2</v>
      </c>
      <c r="G442" s="119">
        <v>-0.30327868852459022</v>
      </c>
    </row>
    <row r="443" spans="2:7" x14ac:dyDescent="0.2">
      <c r="B443" s="116" t="s">
        <v>1091</v>
      </c>
      <c r="C443" s="117" t="s">
        <v>1092</v>
      </c>
      <c r="D443" s="118" t="s">
        <v>145</v>
      </c>
      <c r="E443" s="118" t="s">
        <v>1093</v>
      </c>
      <c r="F443" s="119">
        <v>4.5454545454545497E-2</v>
      </c>
      <c r="G443" s="119">
        <v>8.6956521739130391E-2</v>
      </c>
    </row>
    <row r="444" spans="2:7" x14ac:dyDescent="0.2">
      <c r="B444" s="116" t="s">
        <v>1094</v>
      </c>
      <c r="C444" s="117" t="s">
        <v>1095</v>
      </c>
      <c r="D444" s="118" t="s">
        <v>34</v>
      </c>
      <c r="E444" s="118" t="s">
        <v>1096</v>
      </c>
      <c r="F444" s="119">
        <v>6.8965517241379379E-2</v>
      </c>
      <c r="G444" s="119">
        <v>4.8387096774193589E-2</v>
      </c>
    </row>
    <row r="445" spans="2:7" x14ac:dyDescent="0.2">
      <c r="B445" s="116" t="s">
        <v>1097</v>
      </c>
      <c r="C445" s="117" t="s">
        <v>1098</v>
      </c>
      <c r="D445" s="118" t="s">
        <v>52</v>
      </c>
      <c r="E445" s="118" t="s">
        <v>1099</v>
      </c>
      <c r="F445" s="119">
        <v>4.6296296296296273E-2</v>
      </c>
      <c r="G445" s="119">
        <v>2.949852507374634E-2</v>
      </c>
    </row>
    <row r="446" spans="2:7" x14ac:dyDescent="0.2">
      <c r="B446" s="116" t="s">
        <v>1100</v>
      </c>
      <c r="C446" s="117" t="s">
        <v>1101</v>
      </c>
      <c r="D446" s="118" t="s">
        <v>115</v>
      </c>
      <c r="E446" s="118" t="s">
        <v>1102</v>
      </c>
      <c r="F446" s="119">
        <v>-0.14675767918088739</v>
      </c>
      <c r="G446" s="119">
        <v>0.14799999999999999</v>
      </c>
    </row>
    <row r="447" spans="2:7" x14ac:dyDescent="0.2">
      <c r="B447" s="116" t="s">
        <v>1103</v>
      </c>
      <c r="C447" s="117" t="s">
        <v>1104</v>
      </c>
      <c r="D447" s="118" t="s">
        <v>92</v>
      </c>
      <c r="E447" s="118" t="s">
        <v>272</v>
      </c>
      <c r="F447" s="119">
        <v>7.5872534142640098E-3</v>
      </c>
      <c r="G447" s="119">
        <v>6.7771084337349422E-2</v>
      </c>
    </row>
    <row r="448" spans="2:7" x14ac:dyDescent="0.2">
      <c r="B448" s="116" t="s">
        <v>1105</v>
      </c>
      <c r="C448" s="117" t="s">
        <v>1106</v>
      </c>
      <c r="D448" s="118" t="s">
        <v>52</v>
      </c>
      <c r="E448" s="118" t="s">
        <v>660</v>
      </c>
      <c r="F448" s="119">
        <v>-7.3394495412844096E-2</v>
      </c>
      <c r="G448" s="119">
        <v>0.17029702970297039</v>
      </c>
    </row>
    <row r="449" spans="2:7" x14ac:dyDescent="0.2">
      <c r="B449" s="116" t="s">
        <v>1107</v>
      </c>
      <c r="C449" s="117" t="s">
        <v>1108</v>
      </c>
      <c r="D449" s="118" t="s">
        <v>233</v>
      </c>
      <c r="E449" s="118" t="s">
        <v>469</v>
      </c>
      <c r="F449" s="119">
        <v>-5.9148264984227129E-2</v>
      </c>
      <c r="G449" s="119">
        <v>2.9337803855825621E-2</v>
      </c>
    </row>
    <row r="450" spans="2:7" x14ac:dyDescent="0.2">
      <c r="B450" s="116" t="s">
        <v>1109</v>
      </c>
      <c r="C450" s="117" t="s">
        <v>1110</v>
      </c>
      <c r="D450" s="118" t="s">
        <v>52</v>
      </c>
      <c r="E450" s="118" t="s">
        <v>725</v>
      </c>
      <c r="F450" s="119">
        <v>7.7738515901059985E-2</v>
      </c>
      <c r="G450" s="119">
        <v>6.8852459016393433E-2</v>
      </c>
    </row>
    <row r="451" spans="2:7" x14ac:dyDescent="0.2">
      <c r="B451" s="116" t="s">
        <v>1111</v>
      </c>
      <c r="C451" s="117" t="s">
        <v>1112</v>
      </c>
      <c r="D451" s="118" t="s">
        <v>233</v>
      </c>
      <c r="E451" s="118" t="s">
        <v>234</v>
      </c>
      <c r="F451" s="119">
        <v>3.9772727272727307E-2</v>
      </c>
      <c r="G451" s="119">
        <v>8.7431693989070997E-2</v>
      </c>
    </row>
    <row r="452" spans="2:7" x14ac:dyDescent="0.2">
      <c r="B452" s="116" t="s">
        <v>1113</v>
      </c>
      <c r="C452" s="117" t="s">
        <v>1114</v>
      </c>
      <c r="D452" s="118" t="s">
        <v>92</v>
      </c>
      <c r="E452" s="118" t="s">
        <v>272</v>
      </c>
      <c r="F452" s="119">
        <v>-8.2568807339449615E-2</v>
      </c>
      <c r="G452" s="119">
        <v>8.0000000000000071E-2</v>
      </c>
    </row>
    <row r="453" spans="2:7" x14ac:dyDescent="0.2">
      <c r="B453" s="116" t="s">
        <v>1115</v>
      </c>
      <c r="C453" s="117" t="s">
        <v>1116</v>
      </c>
      <c r="D453" s="118" t="s">
        <v>106</v>
      </c>
      <c r="E453" s="118" t="s">
        <v>324</v>
      </c>
      <c r="F453" s="119">
        <v>2</v>
      </c>
      <c r="G453" s="119">
        <v>1.466666666666667</v>
      </c>
    </row>
    <row r="454" spans="2:7" x14ac:dyDescent="0.2">
      <c r="B454" s="116" t="s">
        <v>1117</v>
      </c>
      <c r="C454" s="117" t="s">
        <v>1118</v>
      </c>
      <c r="D454" s="118" t="s">
        <v>233</v>
      </c>
      <c r="E454" s="118" t="s">
        <v>234</v>
      </c>
      <c r="F454" s="119">
        <v>0.2183406113537118</v>
      </c>
      <c r="G454" s="119">
        <v>9.3189964157706015E-2</v>
      </c>
    </row>
    <row r="455" spans="2:7" x14ac:dyDescent="0.2">
      <c r="B455" s="116" t="s">
        <v>1119</v>
      </c>
      <c r="C455" s="117" t="s">
        <v>1120</v>
      </c>
      <c r="D455" s="118" t="s">
        <v>39</v>
      </c>
      <c r="E455" s="118" t="s">
        <v>383</v>
      </c>
      <c r="F455" s="119">
        <v>0.20454545454545461</v>
      </c>
      <c r="G455" s="119">
        <v>7.7186963979416837E-2</v>
      </c>
    </row>
    <row r="456" spans="2:7" x14ac:dyDescent="0.2">
      <c r="B456" s="116" t="s">
        <v>1121</v>
      </c>
      <c r="C456" s="117" t="s">
        <v>1122</v>
      </c>
      <c r="D456" s="118" t="s">
        <v>34</v>
      </c>
      <c r="E456" s="118" t="s">
        <v>245</v>
      </c>
      <c r="F456" s="119">
        <v>6.9478908188585445E-2</v>
      </c>
      <c r="G456" s="119">
        <v>5.8004640371229703E-2</v>
      </c>
    </row>
    <row r="457" spans="2:7" x14ac:dyDescent="0.2">
      <c r="B457" s="116" t="s">
        <v>1123</v>
      </c>
      <c r="C457" s="117" t="s">
        <v>1124</v>
      </c>
      <c r="D457" s="118" t="s">
        <v>48</v>
      </c>
      <c r="E457" s="118" t="s">
        <v>370</v>
      </c>
      <c r="F457" s="119">
        <v>0.27173913043478248</v>
      </c>
      <c r="G457" s="119">
        <v>0.16666666666666671</v>
      </c>
    </row>
    <row r="458" spans="2:7" x14ac:dyDescent="0.2">
      <c r="B458" s="116" t="s">
        <v>1125</v>
      </c>
      <c r="C458" s="117" t="s">
        <v>1126</v>
      </c>
      <c r="D458" s="118" t="s">
        <v>52</v>
      </c>
      <c r="E458" s="118" t="s">
        <v>725</v>
      </c>
      <c r="F458" s="119">
        <v>0.1159763313609468</v>
      </c>
      <c r="G458" s="119">
        <v>0.13255567338282079</v>
      </c>
    </row>
    <row r="459" spans="2:7" x14ac:dyDescent="0.2">
      <c r="B459" s="116" t="s">
        <v>1127</v>
      </c>
      <c r="C459" s="117" t="s">
        <v>1128</v>
      </c>
      <c r="D459" s="118" t="s">
        <v>92</v>
      </c>
      <c r="E459" s="118" t="s">
        <v>272</v>
      </c>
      <c r="F459" s="119">
        <v>5.9701492537313307E-2</v>
      </c>
      <c r="G459" s="119">
        <v>5.6338028169014127E-2</v>
      </c>
    </row>
    <row r="460" spans="2:7" x14ac:dyDescent="0.2">
      <c r="B460" s="116" t="s">
        <v>1129</v>
      </c>
      <c r="C460" s="117" t="s">
        <v>1130</v>
      </c>
      <c r="D460" s="118" t="s">
        <v>52</v>
      </c>
      <c r="E460" s="118" t="s">
        <v>725</v>
      </c>
      <c r="F460" s="119">
        <v>0.1036269430051813</v>
      </c>
      <c r="G460" s="119">
        <v>7.0422535211267637E-2</v>
      </c>
    </row>
    <row r="461" spans="2:7" x14ac:dyDescent="0.2">
      <c r="B461" s="116" t="s">
        <v>1131</v>
      </c>
      <c r="C461" s="117" t="s">
        <v>1132</v>
      </c>
      <c r="D461" s="118" t="s">
        <v>39</v>
      </c>
      <c r="E461" s="118" t="s">
        <v>1133</v>
      </c>
      <c r="F461" s="119">
        <v>-2.3076923076923099E-2</v>
      </c>
      <c r="G461" s="119">
        <v>0.18110236220472439</v>
      </c>
    </row>
    <row r="462" spans="2:7" x14ac:dyDescent="0.2">
      <c r="B462" s="116" t="s">
        <v>1134</v>
      </c>
      <c r="C462" s="117" t="s">
        <v>1135</v>
      </c>
      <c r="D462" s="118" t="s">
        <v>48</v>
      </c>
      <c r="E462" s="118" t="s">
        <v>370</v>
      </c>
      <c r="F462" s="119">
        <v>4.1666666666666713E-2</v>
      </c>
      <c r="G462" s="119">
        <v>0.1028571428571428</v>
      </c>
    </row>
    <row r="463" spans="2:7" x14ac:dyDescent="0.2">
      <c r="B463" s="116" t="s">
        <v>1136</v>
      </c>
      <c r="C463" s="117" t="s">
        <v>1137</v>
      </c>
      <c r="D463" s="118" t="s">
        <v>34</v>
      </c>
      <c r="E463" s="118" t="s">
        <v>99</v>
      </c>
      <c r="F463" s="119">
        <v>-7.3170731707317013E-2</v>
      </c>
      <c r="G463" s="119">
        <v>0.63157894736842102</v>
      </c>
    </row>
    <row r="464" spans="2:7" x14ac:dyDescent="0.2">
      <c r="B464" s="116" t="s">
        <v>1138</v>
      </c>
      <c r="C464" s="117" t="s">
        <v>1139</v>
      </c>
      <c r="D464" s="118" t="s">
        <v>138</v>
      </c>
      <c r="E464" s="118" t="s">
        <v>139</v>
      </c>
      <c r="F464" s="119">
        <v>-1.426307448494451E-2</v>
      </c>
      <c r="G464" s="119">
        <v>5.3054662379421233E-2</v>
      </c>
    </row>
    <row r="465" spans="2:7" x14ac:dyDescent="0.2">
      <c r="B465" s="116" t="s">
        <v>1140</v>
      </c>
      <c r="C465" s="117" t="s">
        <v>1141</v>
      </c>
      <c r="D465" s="118" t="s">
        <v>138</v>
      </c>
      <c r="E465" s="118" t="s">
        <v>499</v>
      </c>
      <c r="F465" s="119">
        <v>2.8301886792452859E-2</v>
      </c>
      <c r="G465" s="119">
        <v>6.4220183486238383E-2</v>
      </c>
    </row>
    <row r="466" spans="2:7" x14ac:dyDescent="0.2">
      <c r="B466" s="116" t="s">
        <v>1142</v>
      </c>
      <c r="C466" s="117" t="s">
        <v>1143</v>
      </c>
      <c r="D466" s="118" t="s">
        <v>138</v>
      </c>
      <c r="E466" s="118" t="s">
        <v>139</v>
      </c>
      <c r="F466" s="119">
        <v>5.0526315789473732E-2</v>
      </c>
      <c r="G466" s="119">
        <v>3.2064128256513051E-2</v>
      </c>
    </row>
    <row r="467" spans="2:7" x14ac:dyDescent="0.2">
      <c r="B467" s="116" t="s">
        <v>1144</v>
      </c>
      <c r="C467" s="117" t="s">
        <v>1145</v>
      </c>
      <c r="D467" s="118" t="s">
        <v>68</v>
      </c>
      <c r="E467" s="118" t="s">
        <v>256</v>
      </c>
      <c r="F467" s="119">
        <v>0.34269662921348321</v>
      </c>
      <c r="G467" s="119">
        <v>0.1171548117154811</v>
      </c>
    </row>
    <row r="468" spans="2:7" x14ac:dyDescent="0.2">
      <c r="B468" s="116" t="s">
        <v>1146</v>
      </c>
      <c r="C468" s="117" t="s">
        <v>1147</v>
      </c>
      <c r="D468" s="118" t="s">
        <v>78</v>
      </c>
      <c r="E468" s="118" t="s">
        <v>79</v>
      </c>
      <c r="F468" s="119">
        <v>8.0000000000000071E-2</v>
      </c>
      <c r="G468" s="119">
        <v>7.4074074074073931E-2</v>
      </c>
    </row>
    <row r="469" spans="2:7" x14ac:dyDescent="0.2">
      <c r="B469" s="116" t="s">
        <v>1148</v>
      </c>
      <c r="C469" s="117" t="s">
        <v>1149</v>
      </c>
      <c r="D469" s="118" t="s">
        <v>241</v>
      </c>
      <c r="E469" s="118" t="s">
        <v>306</v>
      </c>
      <c r="F469" s="119">
        <v>-0.1241830065359477</v>
      </c>
      <c r="G469" s="119">
        <v>0.85820895522388063</v>
      </c>
    </row>
    <row r="470" spans="2:7" x14ac:dyDescent="0.2">
      <c r="B470" s="116" t="s">
        <v>1150</v>
      </c>
      <c r="C470" s="117" t="s">
        <v>1151</v>
      </c>
      <c r="D470" s="118" t="s">
        <v>92</v>
      </c>
      <c r="E470" s="118" t="s">
        <v>272</v>
      </c>
      <c r="F470" s="119">
        <v>-7.7519379844961309E-3</v>
      </c>
      <c r="G470" s="119">
        <v>0.1171874999999999</v>
      </c>
    </row>
    <row r="471" spans="2:7" x14ac:dyDescent="0.2">
      <c r="B471" s="116" t="s">
        <v>1152</v>
      </c>
      <c r="C471" s="117" t="s">
        <v>1153</v>
      </c>
      <c r="D471" s="118" t="s">
        <v>34</v>
      </c>
      <c r="E471" s="118" t="s">
        <v>245</v>
      </c>
      <c r="F471" s="119">
        <v>-0.1055825242718447</v>
      </c>
      <c r="G471" s="119">
        <v>0.16417910447761189</v>
      </c>
    </row>
    <row r="472" spans="2:7" x14ac:dyDescent="0.2">
      <c r="B472" s="116" t="s">
        <v>1154</v>
      </c>
      <c r="C472" s="117" t="s">
        <v>1155</v>
      </c>
      <c r="D472" s="118" t="s">
        <v>68</v>
      </c>
      <c r="E472" s="118" t="s">
        <v>82</v>
      </c>
      <c r="F472" s="119">
        <v>8.8333333333333339</v>
      </c>
      <c r="G472" s="119">
        <v>0.43617021276595758</v>
      </c>
    </row>
    <row r="473" spans="2:7" x14ac:dyDescent="0.2">
      <c r="B473" s="116" t="s">
        <v>1156</v>
      </c>
      <c r="C473" s="117" t="s">
        <v>1157</v>
      </c>
      <c r="D473" s="118" t="s">
        <v>241</v>
      </c>
      <c r="E473" s="118" t="s">
        <v>606</v>
      </c>
      <c r="F473" s="119">
        <v>-0.17499999999999991</v>
      </c>
      <c r="G473" s="119">
        <v>0.25108225108225107</v>
      </c>
    </row>
    <row r="474" spans="2:7" x14ac:dyDescent="0.2">
      <c r="B474" s="116" t="s">
        <v>1158</v>
      </c>
      <c r="C474" s="117" t="s">
        <v>1159</v>
      </c>
      <c r="D474" s="118" t="s">
        <v>115</v>
      </c>
      <c r="E474" s="118" t="s">
        <v>394</v>
      </c>
      <c r="F474" s="119">
        <v>0.17258883248730969</v>
      </c>
      <c r="G474" s="119">
        <v>9.0909090909090898E-2</v>
      </c>
    </row>
    <row r="475" spans="2:7" x14ac:dyDescent="0.2">
      <c r="B475" s="116" t="s">
        <v>1160</v>
      </c>
      <c r="C475" s="117" t="s">
        <v>1161</v>
      </c>
      <c r="D475" s="118" t="s">
        <v>39</v>
      </c>
      <c r="E475" s="118" t="s">
        <v>1162</v>
      </c>
      <c r="F475" s="119">
        <v>-6.3157894736842163E-2</v>
      </c>
      <c r="G475" s="119">
        <v>-2.9962546816479429E-2</v>
      </c>
    </row>
    <row r="476" spans="2:7" x14ac:dyDescent="0.2">
      <c r="B476" s="116" t="s">
        <v>1163</v>
      </c>
      <c r="C476" s="117" t="s">
        <v>1164</v>
      </c>
      <c r="D476" s="118" t="s">
        <v>52</v>
      </c>
      <c r="E476" s="118" t="s">
        <v>281</v>
      </c>
      <c r="F476" s="119">
        <v>0.1956521739130436</v>
      </c>
      <c r="G476" s="119">
        <v>0.12727272727272729</v>
      </c>
    </row>
    <row r="477" spans="2:7" x14ac:dyDescent="0.2">
      <c r="B477" s="116" t="s">
        <v>1165</v>
      </c>
      <c r="C477" s="117" t="s">
        <v>1166</v>
      </c>
      <c r="D477" s="118" t="s">
        <v>92</v>
      </c>
      <c r="E477" s="118" t="s">
        <v>299</v>
      </c>
      <c r="F477" s="119">
        <v>-0.1674008810572688</v>
      </c>
      <c r="G477" s="119">
        <v>6.3492063492063433E-2</v>
      </c>
    </row>
    <row r="478" spans="2:7" x14ac:dyDescent="0.2">
      <c r="B478" s="116" t="s">
        <v>1167</v>
      </c>
      <c r="C478" s="117" t="s">
        <v>1168</v>
      </c>
      <c r="D478" s="118" t="s">
        <v>241</v>
      </c>
      <c r="E478" s="118" t="s">
        <v>775</v>
      </c>
      <c r="F478" s="119">
        <v>-2.9556650246305341E-2</v>
      </c>
      <c r="G478" s="119">
        <v>0.1624365482233503</v>
      </c>
    </row>
    <row r="479" spans="2:7" x14ac:dyDescent="0.2">
      <c r="B479" s="116" t="s">
        <v>1169</v>
      </c>
      <c r="C479" s="117" t="s">
        <v>1170</v>
      </c>
      <c r="D479" s="118" t="s">
        <v>241</v>
      </c>
      <c r="E479" s="118" t="s">
        <v>885</v>
      </c>
      <c r="F479" s="119">
        <v>-6.2500000000000056E-2</v>
      </c>
      <c r="G479" s="119">
        <v>1.666666666666668E-2</v>
      </c>
    </row>
    <row r="480" spans="2:7" x14ac:dyDescent="0.2">
      <c r="B480" s="116" t="s">
        <v>1171</v>
      </c>
      <c r="C480" s="117" t="s">
        <v>1172</v>
      </c>
      <c r="D480" s="118" t="s">
        <v>138</v>
      </c>
      <c r="E480" s="118" t="s">
        <v>139</v>
      </c>
      <c r="F480" s="119">
        <v>-0.1764705882352941</v>
      </c>
      <c r="G480" s="119">
        <v>0.14285714285714279</v>
      </c>
    </row>
    <row r="481" spans="2:7" x14ac:dyDescent="0.2">
      <c r="B481" s="116" t="s">
        <v>1173</v>
      </c>
      <c r="C481" s="117" t="s">
        <v>1174</v>
      </c>
      <c r="D481" s="118" t="s">
        <v>145</v>
      </c>
      <c r="E481" s="118" t="s">
        <v>360</v>
      </c>
      <c r="F481" s="119">
        <v>0.12571428571428581</v>
      </c>
      <c r="G481" s="119">
        <v>0.1150592216582064</v>
      </c>
    </row>
    <row r="482" spans="2:7" x14ac:dyDescent="0.2">
      <c r="B482" s="116" t="s">
        <v>1175</v>
      </c>
      <c r="C482" s="117" t="s">
        <v>1176</v>
      </c>
      <c r="D482" s="118" t="s">
        <v>138</v>
      </c>
      <c r="E482" s="118" t="s">
        <v>139</v>
      </c>
      <c r="F482" s="119">
        <v>6.9605568445476216E-3</v>
      </c>
      <c r="G482" s="119">
        <v>5.9907834101382437E-2</v>
      </c>
    </row>
    <row r="483" spans="2:7" x14ac:dyDescent="0.2">
      <c r="B483" s="116" t="s">
        <v>1177</v>
      </c>
      <c r="C483" s="117" t="s">
        <v>1178</v>
      </c>
      <c r="D483" s="118" t="s">
        <v>115</v>
      </c>
      <c r="E483" s="118" t="s">
        <v>522</v>
      </c>
      <c r="F483" s="119">
        <v>0.30888030888030898</v>
      </c>
      <c r="G483" s="119">
        <v>0.34808259587020651</v>
      </c>
    </row>
    <row r="484" spans="2:7" x14ac:dyDescent="0.2">
      <c r="B484" s="116" t="s">
        <v>1179</v>
      </c>
      <c r="C484" s="117" t="s">
        <v>1180</v>
      </c>
      <c r="D484" s="118" t="s">
        <v>92</v>
      </c>
      <c r="E484" s="118" t="s">
        <v>434</v>
      </c>
      <c r="F484" s="119">
        <v>0.26277372262773713</v>
      </c>
      <c r="G484" s="119">
        <v>0.1647398843930637</v>
      </c>
    </row>
    <row r="485" spans="2:7" x14ac:dyDescent="0.2">
      <c r="B485" s="116" t="s">
        <v>1181</v>
      </c>
      <c r="C485" s="117" t="s">
        <v>1182</v>
      </c>
      <c r="D485" s="118" t="s">
        <v>106</v>
      </c>
      <c r="E485" s="118" t="s">
        <v>131</v>
      </c>
      <c r="F485" s="119">
        <v>-2.2727272727272711E-2</v>
      </c>
      <c r="G485" s="119">
        <v>7.6923076923076872E-2</v>
      </c>
    </row>
    <row r="486" spans="2:7" x14ac:dyDescent="0.2">
      <c r="B486" s="116" t="s">
        <v>1183</v>
      </c>
      <c r="C486" s="117" t="s">
        <v>1184</v>
      </c>
      <c r="D486" s="118" t="s">
        <v>92</v>
      </c>
      <c r="E486" s="118" t="s">
        <v>272</v>
      </c>
      <c r="F486" s="119">
        <v>5.1391862955032168E-2</v>
      </c>
      <c r="G486" s="119">
        <v>5.2953156822810543E-2</v>
      </c>
    </row>
    <row r="487" spans="2:7" x14ac:dyDescent="0.2">
      <c r="B487" s="116" t="s">
        <v>1185</v>
      </c>
      <c r="C487" s="117" t="s">
        <v>1186</v>
      </c>
      <c r="D487" s="118" t="s">
        <v>68</v>
      </c>
      <c r="E487" s="118" t="s">
        <v>256</v>
      </c>
      <c r="F487" s="119">
        <v>5.8011049723756897E-2</v>
      </c>
      <c r="G487" s="119">
        <v>-3.3942558746736261E-2</v>
      </c>
    </row>
    <row r="488" spans="2:7" x14ac:dyDescent="0.2">
      <c r="B488" s="116" t="s">
        <v>1187</v>
      </c>
      <c r="C488" s="117" t="s">
        <v>1188</v>
      </c>
      <c r="D488" s="118" t="s">
        <v>138</v>
      </c>
      <c r="E488" s="118" t="s">
        <v>139</v>
      </c>
      <c r="F488" s="119">
        <v>0.1225961538461538</v>
      </c>
      <c r="G488" s="119">
        <v>-2.1413276231263309E-2</v>
      </c>
    </row>
    <row r="489" spans="2:7" x14ac:dyDescent="0.2">
      <c r="B489" s="116" t="s">
        <v>1189</v>
      </c>
      <c r="C489" s="117" t="s">
        <v>1190</v>
      </c>
      <c r="D489" s="118" t="s">
        <v>48</v>
      </c>
      <c r="E489" s="118" t="s">
        <v>49</v>
      </c>
      <c r="F489" s="119">
        <v>-0.1954887218045113</v>
      </c>
      <c r="G489" s="119">
        <v>0.1401869158878504</v>
      </c>
    </row>
    <row r="490" spans="2:7" x14ac:dyDescent="0.2">
      <c r="B490" s="116" t="s">
        <v>1191</v>
      </c>
      <c r="C490" s="117" t="s">
        <v>1192</v>
      </c>
      <c r="D490" s="118" t="s">
        <v>68</v>
      </c>
      <c r="E490" s="118" t="s">
        <v>82</v>
      </c>
      <c r="F490" s="119">
        <v>0.22857142857142859</v>
      </c>
      <c r="G490" s="119">
        <v>0.186046511627907</v>
      </c>
    </row>
    <row r="491" spans="2:7" x14ac:dyDescent="0.2">
      <c r="B491" s="116" t="s">
        <v>1193</v>
      </c>
      <c r="C491" s="117" t="s">
        <v>1194</v>
      </c>
      <c r="D491" s="118" t="s">
        <v>78</v>
      </c>
      <c r="E491" s="118" t="s">
        <v>912</v>
      </c>
      <c r="F491" s="119">
        <v>0.14531548757170171</v>
      </c>
      <c r="G491" s="119">
        <v>0.11018363939899831</v>
      </c>
    </row>
    <row r="492" spans="2:7" x14ac:dyDescent="0.2">
      <c r="B492" s="116" t="s">
        <v>1195</v>
      </c>
      <c r="C492" s="117" t="s">
        <v>1196</v>
      </c>
      <c r="D492" s="118" t="s">
        <v>68</v>
      </c>
      <c r="E492" s="118" t="s">
        <v>256</v>
      </c>
      <c r="F492" s="119">
        <v>-6.0869565217391168E-2</v>
      </c>
      <c r="G492" s="119">
        <v>0.1574074074074073</v>
      </c>
    </row>
    <row r="493" spans="2:7" x14ac:dyDescent="0.2">
      <c r="B493" s="116" t="s">
        <v>1197</v>
      </c>
      <c r="C493" s="117" t="s">
        <v>1198</v>
      </c>
      <c r="D493" s="118" t="s">
        <v>92</v>
      </c>
      <c r="E493" s="118" t="s">
        <v>93</v>
      </c>
      <c r="F493" s="119">
        <v>8.2474226804123793E-2</v>
      </c>
      <c r="G493" s="119">
        <v>6.6666666666666721E-2</v>
      </c>
    </row>
    <row r="494" spans="2:7" x14ac:dyDescent="0.2">
      <c r="B494" s="116" t="s">
        <v>1199</v>
      </c>
      <c r="C494" s="117" t="s">
        <v>1200</v>
      </c>
      <c r="D494" s="118" t="s">
        <v>115</v>
      </c>
      <c r="E494" s="118" t="s">
        <v>1201</v>
      </c>
      <c r="F494" s="119">
        <v>-8.579088471849862E-2</v>
      </c>
      <c r="G494" s="119">
        <v>0.1466275659824047</v>
      </c>
    </row>
    <row r="495" spans="2:7" x14ac:dyDescent="0.2">
      <c r="B495" s="116" t="s">
        <v>1202</v>
      </c>
      <c r="C495" s="117" t="s">
        <v>1203</v>
      </c>
      <c r="D495" s="118" t="s">
        <v>102</v>
      </c>
      <c r="E495" s="118" t="s">
        <v>733</v>
      </c>
      <c r="F495" s="119">
        <v>0.16598360655737721</v>
      </c>
      <c r="G495" s="119">
        <v>4.5694200351493811E-2</v>
      </c>
    </row>
    <row r="496" spans="2:7" x14ac:dyDescent="0.2">
      <c r="B496" s="116" t="s">
        <v>1204</v>
      </c>
      <c r="C496" s="117" t="s">
        <v>1205</v>
      </c>
      <c r="D496" s="118" t="s">
        <v>145</v>
      </c>
      <c r="E496" s="118" t="s">
        <v>179</v>
      </c>
      <c r="F496" s="119">
        <v>-8.7008343265792654E-2</v>
      </c>
      <c r="G496" s="119">
        <v>0.1383812010443865</v>
      </c>
    </row>
    <row r="497" spans="2:7" x14ac:dyDescent="0.2">
      <c r="B497" s="116" t="s">
        <v>1206</v>
      </c>
      <c r="C497" s="117" t="s">
        <v>1207</v>
      </c>
      <c r="D497" s="118" t="s">
        <v>39</v>
      </c>
      <c r="E497" s="118" t="s">
        <v>65</v>
      </c>
      <c r="F497" s="119">
        <v>0.1410658307210032</v>
      </c>
      <c r="G497" s="119">
        <v>6.8681318681318673E-2</v>
      </c>
    </row>
    <row r="498" spans="2:7" x14ac:dyDescent="0.2">
      <c r="B498" s="116" t="s">
        <v>1208</v>
      </c>
      <c r="C498" s="117" t="s">
        <v>1209</v>
      </c>
      <c r="D498" s="118" t="s">
        <v>241</v>
      </c>
      <c r="E498" s="118" t="s">
        <v>937</v>
      </c>
      <c r="F498" s="119">
        <v>-1.951219512195124E-2</v>
      </c>
      <c r="G498" s="119">
        <v>-4.477611940298501E-2</v>
      </c>
    </row>
    <row r="499" spans="2:7" x14ac:dyDescent="0.2">
      <c r="B499" s="116" t="s">
        <v>1210</v>
      </c>
      <c r="C499" s="117" t="s">
        <v>1211</v>
      </c>
      <c r="D499" s="118" t="s">
        <v>241</v>
      </c>
      <c r="E499" s="118" t="s">
        <v>609</v>
      </c>
      <c r="F499" s="119">
        <v>3.9603960396039639E-2</v>
      </c>
      <c r="G499" s="119">
        <v>-1.904761904761906E-2</v>
      </c>
    </row>
    <row r="500" spans="2:7" x14ac:dyDescent="0.2">
      <c r="B500" s="116" t="s">
        <v>1212</v>
      </c>
      <c r="C500" s="117" t="s">
        <v>1213</v>
      </c>
      <c r="D500" s="118" t="s">
        <v>241</v>
      </c>
      <c r="E500" s="118" t="s">
        <v>1017</v>
      </c>
      <c r="F500" s="119">
        <v>0.10389610389610381</v>
      </c>
      <c r="G500" s="119">
        <v>0.15294117647058819</v>
      </c>
    </row>
    <row r="501" spans="2:7" x14ac:dyDescent="0.2">
      <c r="B501" s="116" t="s">
        <v>1214</v>
      </c>
      <c r="C501" s="117" t="s">
        <v>1215</v>
      </c>
      <c r="D501" s="118" t="s">
        <v>241</v>
      </c>
      <c r="E501" s="118" t="s">
        <v>1216</v>
      </c>
      <c r="F501" s="119">
        <v>-1.2619047619047621</v>
      </c>
      <c r="G501" s="119">
        <v>4.1818181818181817</v>
      </c>
    </row>
    <row r="502" spans="2:7" x14ac:dyDescent="0.2">
      <c r="B502" s="116" t="s">
        <v>1217</v>
      </c>
      <c r="C502" s="117" t="s">
        <v>1218</v>
      </c>
      <c r="D502" s="118" t="s">
        <v>241</v>
      </c>
      <c r="E502" s="118" t="s">
        <v>1219</v>
      </c>
      <c r="F502" s="119">
        <v>6.1818181818181834</v>
      </c>
      <c r="G502" s="119">
        <v>0.25316455696202522</v>
      </c>
    </row>
    <row r="503" spans="2:7" x14ac:dyDescent="0.2">
      <c r="B503" s="116" t="s">
        <v>1220</v>
      </c>
      <c r="C503" s="117" t="s">
        <v>1221</v>
      </c>
      <c r="D503" s="118" t="s">
        <v>34</v>
      </c>
      <c r="E503" s="118" t="s">
        <v>1222</v>
      </c>
      <c r="F503" s="119">
        <v>1.5957446808510651E-2</v>
      </c>
      <c r="G503" s="119">
        <v>0.18848167539267019</v>
      </c>
    </row>
    <row r="504" spans="2:7" x14ac:dyDescent="0.2">
      <c r="B504" s="116" t="s">
        <v>1223</v>
      </c>
      <c r="C504" s="117" t="s">
        <v>1224</v>
      </c>
      <c r="D504" s="118" t="s">
        <v>106</v>
      </c>
      <c r="E504" s="118" t="s">
        <v>131</v>
      </c>
      <c r="F504" s="119">
        <v>0.10994764397905769</v>
      </c>
      <c r="G504" s="119">
        <v>0.1886792452830188</v>
      </c>
    </row>
    <row r="505" spans="2:7" x14ac:dyDescent="0.2">
      <c r="B505" s="116" t="s">
        <v>1225</v>
      </c>
      <c r="C505" s="117" t="s">
        <v>1226</v>
      </c>
      <c r="D505" s="118" t="s">
        <v>241</v>
      </c>
      <c r="E505" s="118" t="s">
        <v>306</v>
      </c>
      <c r="F505" s="119">
        <v>-0.11816578483245151</v>
      </c>
      <c r="G505" s="119">
        <v>4.2000000000000003E-2</v>
      </c>
    </row>
    <row r="506" spans="2:7" x14ac:dyDescent="0.2">
      <c r="B506" s="116" t="s">
        <v>1227</v>
      </c>
      <c r="C506" s="117" t="s">
        <v>1228</v>
      </c>
      <c r="D506" s="118" t="s">
        <v>138</v>
      </c>
      <c r="E506" s="118" t="s">
        <v>139</v>
      </c>
      <c r="F506" s="119">
        <v>4.0000000000000042E-2</v>
      </c>
      <c r="G506" s="119">
        <v>2.5641025641025661E-2</v>
      </c>
    </row>
    <row r="507" spans="2:7" x14ac:dyDescent="0.2">
      <c r="B507" s="116" t="s">
        <v>1229</v>
      </c>
      <c r="C507" s="117" t="s">
        <v>1230</v>
      </c>
      <c r="D507" s="118" t="s">
        <v>34</v>
      </c>
      <c r="E507" s="118" t="s">
        <v>245</v>
      </c>
      <c r="F507" s="119">
        <v>0.23023255813953489</v>
      </c>
      <c r="G507" s="119">
        <v>0.20982986767485831</v>
      </c>
    </row>
    <row r="508" spans="2:7" x14ac:dyDescent="0.2">
      <c r="B508" s="116" t="s">
        <v>1231</v>
      </c>
      <c r="C508" s="117" t="s">
        <v>1232</v>
      </c>
      <c r="D508" s="118" t="s">
        <v>241</v>
      </c>
      <c r="E508" s="118" t="s">
        <v>609</v>
      </c>
      <c r="F508" s="119">
        <v>0.19125683060109289</v>
      </c>
      <c r="G508" s="119">
        <v>3.2110091743119192E-2</v>
      </c>
    </row>
    <row r="509" spans="2:7" x14ac:dyDescent="0.2">
      <c r="B509" s="116" t="s">
        <v>1233</v>
      </c>
      <c r="C509" s="117" t="s">
        <v>1234</v>
      </c>
      <c r="D509" s="118" t="s">
        <v>92</v>
      </c>
      <c r="E509" s="118" t="s">
        <v>112</v>
      </c>
      <c r="F509" s="119">
        <v>-0.1103789126853377</v>
      </c>
      <c r="G509" s="119">
        <v>4.0740740740740702E-2</v>
      </c>
    </row>
    <row r="510" spans="2:7" x14ac:dyDescent="0.2">
      <c r="B510" s="116" t="s">
        <v>1235</v>
      </c>
      <c r="C510" s="117" t="s">
        <v>1236</v>
      </c>
      <c r="D510" s="118" t="s">
        <v>92</v>
      </c>
      <c r="E510" s="118" t="s">
        <v>272</v>
      </c>
      <c r="F510" s="119">
        <v>0.15625</v>
      </c>
      <c r="G510" s="119">
        <v>-0.21621621621621631</v>
      </c>
    </row>
    <row r="511" spans="2:7" x14ac:dyDescent="0.2">
      <c r="B511" s="116" t="s">
        <v>1237</v>
      </c>
      <c r="C511" s="117" t="s">
        <v>1238</v>
      </c>
      <c r="D511" s="118" t="s">
        <v>92</v>
      </c>
      <c r="E511" s="118" t="s">
        <v>434</v>
      </c>
      <c r="F511" s="119">
        <v>9.8191214470284213E-2</v>
      </c>
      <c r="G511" s="119">
        <v>8.9411764705882329E-2</v>
      </c>
    </row>
    <row r="512" spans="2:7" x14ac:dyDescent="0.2">
      <c r="B512" s="116" t="s">
        <v>1239</v>
      </c>
      <c r="C512" s="117" t="s">
        <v>1240</v>
      </c>
      <c r="D512" s="118" t="s">
        <v>92</v>
      </c>
      <c r="E512" s="118" t="s">
        <v>112</v>
      </c>
      <c r="F512" s="119">
        <v>0.11339198435972631</v>
      </c>
      <c r="G512" s="119">
        <v>8.8235294117646967E-2</v>
      </c>
    </row>
    <row r="513" spans="2:7" x14ac:dyDescent="0.2">
      <c r="B513" s="116" t="s">
        <v>1241</v>
      </c>
      <c r="C513" s="117" t="s">
        <v>1242</v>
      </c>
      <c r="D513" s="118" t="s">
        <v>241</v>
      </c>
      <c r="E513" s="118" t="s">
        <v>937</v>
      </c>
      <c r="F513" s="119">
        <v>-0.21880341880341869</v>
      </c>
      <c r="G513" s="119">
        <v>-4.8140043763676282E-2</v>
      </c>
    </row>
    <row r="514" spans="2:7" x14ac:dyDescent="0.2">
      <c r="B514" s="116" t="s">
        <v>1243</v>
      </c>
      <c r="C514" s="117" t="s">
        <v>1244</v>
      </c>
      <c r="D514" s="118" t="s">
        <v>241</v>
      </c>
      <c r="E514" s="118" t="s">
        <v>1017</v>
      </c>
      <c r="F514" s="119">
        <v>-0.2415458937198067</v>
      </c>
      <c r="G514" s="119">
        <v>0.11464968152866239</v>
      </c>
    </row>
    <row r="515" spans="2:7" x14ac:dyDescent="0.2">
      <c r="B515" s="116" t="s">
        <v>1245</v>
      </c>
      <c r="C515" s="117" t="s">
        <v>1246</v>
      </c>
      <c r="D515" s="118" t="s">
        <v>92</v>
      </c>
      <c r="E515" s="118" t="s">
        <v>93</v>
      </c>
      <c r="F515" s="119">
        <v>5.5045871559633079E-2</v>
      </c>
      <c r="G515" s="119">
        <v>4.0579710144927443E-2</v>
      </c>
    </row>
    <row r="516" spans="2:7" x14ac:dyDescent="0.2">
      <c r="B516" s="116" t="s">
        <v>1247</v>
      </c>
      <c r="C516" s="117" t="s">
        <v>1248</v>
      </c>
      <c r="D516" s="118" t="s">
        <v>241</v>
      </c>
      <c r="E516" s="118" t="s">
        <v>306</v>
      </c>
      <c r="F516" s="119">
        <v>-0.70229007633587781</v>
      </c>
      <c r="G516" s="119">
        <v>-0.88461538461538469</v>
      </c>
    </row>
    <row r="517" spans="2:7" x14ac:dyDescent="0.2">
      <c r="B517" s="116" t="s">
        <v>1249</v>
      </c>
      <c r="C517" s="117" t="s">
        <v>1250</v>
      </c>
      <c r="D517" s="118" t="s">
        <v>115</v>
      </c>
      <c r="E517" s="118" t="s">
        <v>799</v>
      </c>
      <c r="F517" s="119">
        <v>7.4074074074074001E-2</v>
      </c>
      <c r="G517" s="119">
        <v>0.3735632183908047</v>
      </c>
    </row>
    <row r="518" spans="2:7" x14ac:dyDescent="0.2">
      <c r="B518" s="116" t="s">
        <v>1251</v>
      </c>
      <c r="C518" s="117" t="s">
        <v>1252</v>
      </c>
      <c r="D518" s="118" t="s">
        <v>34</v>
      </c>
      <c r="E518" s="118" t="s">
        <v>1253</v>
      </c>
      <c r="F518" s="119">
        <v>0.43999999999999989</v>
      </c>
      <c r="G518" s="119">
        <v>0.47222222222222238</v>
      </c>
    </row>
    <row r="519" spans="2:7" x14ac:dyDescent="0.2">
      <c r="B519" s="116" t="s">
        <v>1254</v>
      </c>
      <c r="C519" s="117" t="s">
        <v>1255</v>
      </c>
      <c r="D519" s="118" t="s">
        <v>198</v>
      </c>
      <c r="E519" s="118" t="s">
        <v>456</v>
      </c>
      <c r="F519" s="119">
        <v>-1.1627906976744189</v>
      </c>
      <c r="G519" s="119">
        <v>1.881720430107527</v>
      </c>
    </row>
    <row r="520" spans="2:7" x14ac:dyDescent="0.2">
      <c r="B520" s="116" t="s">
        <v>1256</v>
      </c>
      <c r="C520" s="117" t="s">
        <v>1257</v>
      </c>
      <c r="D520" s="118" t="s">
        <v>138</v>
      </c>
      <c r="E520" s="118" t="s">
        <v>139</v>
      </c>
      <c r="F520" s="119">
        <v>4.8929663608562733E-2</v>
      </c>
      <c r="G520" s="119">
        <v>6.1224489795918352E-2</v>
      </c>
    </row>
    <row r="521" spans="2:7" x14ac:dyDescent="0.2">
      <c r="B521" s="116" t="s">
        <v>1258</v>
      </c>
      <c r="C521" s="117" t="s">
        <v>1259</v>
      </c>
      <c r="D521" s="118" t="s">
        <v>68</v>
      </c>
      <c r="E521" s="118" t="s">
        <v>985</v>
      </c>
      <c r="F521" s="119">
        <v>0.1224489795918368</v>
      </c>
      <c r="G521" s="119">
        <v>9.0909090909090974E-3</v>
      </c>
    </row>
    <row r="522" spans="2:7" x14ac:dyDescent="0.2">
      <c r="B522" s="116" t="s">
        <v>1260</v>
      </c>
      <c r="C522" s="117" t="s">
        <v>1261</v>
      </c>
      <c r="D522" s="118" t="s">
        <v>92</v>
      </c>
      <c r="E522" s="118" t="s">
        <v>1262</v>
      </c>
      <c r="F522" s="119">
        <v>0.18655097613882851</v>
      </c>
      <c r="G522" s="119">
        <v>7.3126142595978133E-2</v>
      </c>
    </row>
    <row r="523" spans="2:7" x14ac:dyDescent="0.2">
      <c r="B523" s="116" t="s">
        <v>1263</v>
      </c>
      <c r="C523" s="117" t="s">
        <v>1264</v>
      </c>
      <c r="D523" s="118" t="s">
        <v>92</v>
      </c>
      <c r="E523" s="118" t="s">
        <v>93</v>
      </c>
      <c r="F523" s="119">
        <v>5.9665871121718367E-2</v>
      </c>
      <c r="G523" s="119">
        <v>6.0810810810810849E-2</v>
      </c>
    </row>
    <row r="524" spans="2:7" x14ac:dyDescent="0.2">
      <c r="B524" s="116" t="s">
        <v>1265</v>
      </c>
      <c r="C524" s="117" t="s">
        <v>1266</v>
      </c>
      <c r="D524" s="118" t="s">
        <v>106</v>
      </c>
      <c r="E524" s="118" t="s">
        <v>324</v>
      </c>
      <c r="F524" s="119">
        <v>-0.16216216216216209</v>
      </c>
      <c r="G524" s="119">
        <v>-2.3255813953488389E-2</v>
      </c>
    </row>
    <row r="525" spans="2:7" x14ac:dyDescent="0.2">
      <c r="B525" s="116" t="s">
        <v>1267</v>
      </c>
      <c r="C525" s="117" t="s">
        <v>1268</v>
      </c>
      <c r="D525" s="118" t="s">
        <v>241</v>
      </c>
      <c r="E525" s="118" t="s">
        <v>609</v>
      </c>
      <c r="F525" s="119">
        <v>-0.25139664804469269</v>
      </c>
      <c r="G525" s="119">
        <v>7.4626865671641687E-2</v>
      </c>
    </row>
    <row r="526" spans="2:7" x14ac:dyDescent="0.2">
      <c r="B526" s="116" t="s">
        <v>1269</v>
      </c>
      <c r="C526" s="117" t="s">
        <v>1270</v>
      </c>
      <c r="D526" s="118" t="s">
        <v>92</v>
      </c>
      <c r="E526" s="118" t="s">
        <v>275</v>
      </c>
      <c r="F526" s="119">
        <v>5.1679586563307539E-2</v>
      </c>
      <c r="G526" s="119">
        <v>7.3710073710073667E-2</v>
      </c>
    </row>
    <row r="527" spans="2:7" x14ac:dyDescent="0.2">
      <c r="B527" s="116" t="s">
        <v>1271</v>
      </c>
      <c r="C527" s="117" t="s">
        <v>1272</v>
      </c>
      <c r="D527" s="118" t="s">
        <v>39</v>
      </c>
      <c r="E527" s="118" t="s">
        <v>65</v>
      </c>
      <c r="F527" s="119">
        <v>9.5327102803738448E-2</v>
      </c>
      <c r="G527" s="119">
        <v>5.8020477815699627E-2</v>
      </c>
    </row>
    <row r="528" spans="2:7" x14ac:dyDescent="0.2">
      <c r="B528" s="116" t="s">
        <v>1273</v>
      </c>
      <c r="C528" s="117" t="s">
        <v>1274</v>
      </c>
      <c r="D528" s="118" t="s">
        <v>138</v>
      </c>
      <c r="E528" s="118" t="s">
        <v>139</v>
      </c>
      <c r="F528" s="119">
        <v>-0.26433566433566441</v>
      </c>
      <c r="G528" s="119">
        <v>5.8935361216730132E-2</v>
      </c>
    </row>
    <row r="529" spans="2:7" x14ac:dyDescent="0.2">
      <c r="B529" s="116" t="s">
        <v>1275</v>
      </c>
      <c r="C529" s="117" t="s">
        <v>1276</v>
      </c>
      <c r="D529" s="118" t="s">
        <v>241</v>
      </c>
      <c r="E529" s="118" t="s">
        <v>242</v>
      </c>
      <c r="F529" s="119">
        <v>0.19008264462809921</v>
      </c>
      <c r="G529" s="119">
        <v>0.22222222222222229</v>
      </c>
    </row>
    <row r="530" spans="2:7" x14ac:dyDescent="0.2">
      <c r="B530" s="116" t="s">
        <v>1277</v>
      </c>
      <c r="C530" s="117" t="s">
        <v>1278</v>
      </c>
      <c r="D530" s="118" t="s">
        <v>34</v>
      </c>
      <c r="E530" s="118" t="s">
        <v>202</v>
      </c>
      <c r="F530" s="119">
        <v>-6.1728395061728447E-2</v>
      </c>
      <c r="G530" s="119">
        <v>0.36842105263157898</v>
      </c>
    </row>
    <row r="531" spans="2:7" x14ac:dyDescent="0.2">
      <c r="B531" s="116" t="s">
        <v>1279</v>
      </c>
      <c r="C531" s="117" t="s">
        <v>1280</v>
      </c>
      <c r="D531" s="118" t="s">
        <v>34</v>
      </c>
      <c r="E531" s="118" t="s">
        <v>1281</v>
      </c>
      <c r="F531" s="119">
        <v>5.9523809523809583E-2</v>
      </c>
      <c r="G531" s="119">
        <v>6.1797752808988693E-2</v>
      </c>
    </row>
    <row r="532" spans="2:7" x14ac:dyDescent="0.2">
      <c r="B532" s="116" t="s">
        <v>1282</v>
      </c>
      <c r="C532" s="117" t="s">
        <v>1283</v>
      </c>
      <c r="D532" s="118" t="s">
        <v>92</v>
      </c>
      <c r="E532" s="118" t="s">
        <v>195</v>
      </c>
      <c r="F532" s="119">
        <v>6.2499999999999917E-2</v>
      </c>
      <c r="G532" s="119">
        <v>4.1176470588235342E-2</v>
      </c>
    </row>
    <row r="533" spans="2:7" x14ac:dyDescent="0.2">
      <c r="B533" s="116" t="s">
        <v>1284</v>
      </c>
      <c r="C533" s="117" t="s">
        <v>1285</v>
      </c>
      <c r="D533" s="118" t="s">
        <v>92</v>
      </c>
      <c r="E533" s="118" t="s">
        <v>275</v>
      </c>
      <c r="F533" s="119">
        <v>0.17527173913043481</v>
      </c>
      <c r="G533" s="119">
        <v>5.2023121387283162E-2</v>
      </c>
    </row>
    <row r="534" spans="2:7" x14ac:dyDescent="0.2">
      <c r="B534" s="116" t="s">
        <v>1286</v>
      </c>
      <c r="C534" s="117" t="s">
        <v>1287</v>
      </c>
      <c r="D534" s="118" t="s">
        <v>241</v>
      </c>
      <c r="E534" s="118" t="s">
        <v>1017</v>
      </c>
      <c r="F534" s="119">
        <v>0.15662650602409631</v>
      </c>
      <c r="G534" s="119">
        <v>0.1006944444444445</v>
      </c>
    </row>
    <row r="535" spans="2:7" x14ac:dyDescent="0.2">
      <c r="B535" s="116" t="s">
        <v>1288</v>
      </c>
      <c r="C535" s="117" t="s">
        <v>1289</v>
      </c>
      <c r="D535" s="118" t="s">
        <v>68</v>
      </c>
      <c r="E535" s="118" t="s">
        <v>985</v>
      </c>
      <c r="F535" s="119">
        <v>-0.48</v>
      </c>
      <c r="G535" s="119">
        <v>0.55769230769230771</v>
      </c>
    </row>
    <row r="536" spans="2:7" x14ac:dyDescent="0.2">
      <c r="B536" s="116" t="s">
        <v>1290</v>
      </c>
      <c r="C536" s="117" t="s">
        <v>1291</v>
      </c>
      <c r="D536" s="118" t="s">
        <v>68</v>
      </c>
      <c r="E536" s="118" t="s">
        <v>82</v>
      </c>
      <c r="F536" s="119">
        <v>0.13617021276595739</v>
      </c>
      <c r="G536" s="119">
        <v>0.1067415730337079</v>
      </c>
    </row>
    <row r="537" spans="2:7" x14ac:dyDescent="0.2">
      <c r="B537" s="116" t="s">
        <v>1292</v>
      </c>
      <c r="C537" s="117" t="s">
        <v>1293</v>
      </c>
      <c r="D537" s="118" t="s">
        <v>92</v>
      </c>
      <c r="E537" s="118" t="s">
        <v>598</v>
      </c>
      <c r="F537" s="119">
        <v>-3.1249999999999889E-2</v>
      </c>
      <c r="G537" s="119">
        <v>6.881720430107513E-2</v>
      </c>
    </row>
    <row r="538" spans="2:7" x14ac:dyDescent="0.2">
      <c r="B538" s="116" t="s">
        <v>1294</v>
      </c>
      <c r="C538" s="117" t="s">
        <v>1295</v>
      </c>
      <c r="D538" s="118" t="s">
        <v>68</v>
      </c>
      <c r="E538" s="118" t="s">
        <v>87</v>
      </c>
      <c r="F538" s="119">
        <v>-0.16778523489932889</v>
      </c>
      <c r="G538" s="119">
        <v>0.60919540229885061</v>
      </c>
    </row>
    <row r="539" spans="2:7" x14ac:dyDescent="0.2">
      <c r="B539" s="116" t="s">
        <v>1296</v>
      </c>
      <c r="C539" s="117" t="s">
        <v>1297</v>
      </c>
      <c r="D539" s="118" t="s">
        <v>138</v>
      </c>
      <c r="E539" s="118" t="s">
        <v>139</v>
      </c>
      <c r="F539" s="119">
        <v>6.4102564102564161E-3</v>
      </c>
      <c r="G539" s="119">
        <v>-6.3694267515923622E-3</v>
      </c>
    </row>
    <row r="540" spans="2:7" x14ac:dyDescent="0.2">
      <c r="B540" s="116" t="s">
        <v>1298</v>
      </c>
      <c r="C540" s="117" t="s">
        <v>1299</v>
      </c>
      <c r="D540" s="118" t="s">
        <v>68</v>
      </c>
      <c r="E540" s="118" t="s">
        <v>87</v>
      </c>
      <c r="F540" s="119">
        <v>-0.29230769230769232</v>
      </c>
      <c r="G540" s="119">
        <v>0.18478260869565219</v>
      </c>
    </row>
    <row r="541" spans="2:7" x14ac:dyDescent="0.2">
      <c r="B541" s="116" t="s">
        <v>1300</v>
      </c>
      <c r="C541" s="117" t="s">
        <v>1301</v>
      </c>
      <c r="D541" s="118" t="s">
        <v>102</v>
      </c>
      <c r="E541" s="118" t="s">
        <v>176</v>
      </c>
      <c r="F541" s="119">
        <v>3.7773359840954167E-2</v>
      </c>
      <c r="G541" s="119">
        <v>0.14367816091954019</v>
      </c>
    </row>
    <row r="542" spans="2:7" x14ac:dyDescent="0.2">
      <c r="B542" s="116" t="s">
        <v>1302</v>
      </c>
      <c r="C542" s="117" t="s">
        <v>1303</v>
      </c>
      <c r="D542" s="118" t="s">
        <v>48</v>
      </c>
      <c r="E542" s="118" t="s">
        <v>370</v>
      </c>
      <c r="F542" s="119">
        <v>6.9696969696969702E-2</v>
      </c>
      <c r="G542" s="119">
        <v>6.5155807365439092E-2</v>
      </c>
    </row>
    <row r="543" spans="2:7" x14ac:dyDescent="0.2">
      <c r="B543" s="116" t="s">
        <v>1304</v>
      </c>
      <c r="C543" s="117" t="s">
        <v>1305</v>
      </c>
      <c r="D543" s="118" t="s">
        <v>52</v>
      </c>
      <c r="E543" s="118" t="s">
        <v>281</v>
      </c>
      <c r="F543" s="119">
        <v>0.23321554770318029</v>
      </c>
      <c r="G543" s="119">
        <v>0.18051575931232089</v>
      </c>
    </row>
    <row r="544" spans="2:7" x14ac:dyDescent="0.2">
      <c r="B544" s="116" t="s">
        <v>1306</v>
      </c>
      <c r="C544" s="117" t="s">
        <v>1307</v>
      </c>
      <c r="D544" s="118" t="s">
        <v>106</v>
      </c>
      <c r="E544" s="118" t="s">
        <v>563</v>
      </c>
      <c r="F544" s="119">
        <v>5.0000000000000037E-2</v>
      </c>
      <c r="G544" s="119">
        <v>0.1238095238095237</v>
      </c>
    </row>
    <row r="545" spans="2:7" x14ac:dyDescent="0.2">
      <c r="B545" s="116" t="s">
        <v>1308</v>
      </c>
      <c r="C545" s="117" t="s">
        <v>1309</v>
      </c>
      <c r="D545" s="118" t="s">
        <v>106</v>
      </c>
      <c r="E545" s="118" t="s">
        <v>107</v>
      </c>
      <c r="F545" s="119">
        <v>0.10526315789473679</v>
      </c>
      <c r="G545" s="119">
        <v>6.8027210884353803E-2</v>
      </c>
    </row>
    <row r="546" spans="2:7" x14ac:dyDescent="0.2">
      <c r="B546" s="116" t="s">
        <v>1310</v>
      </c>
      <c r="C546" s="117" t="s">
        <v>1311</v>
      </c>
      <c r="D546" s="118" t="s">
        <v>92</v>
      </c>
      <c r="E546" s="118" t="s">
        <v>272</v>
      </c>
      <c r="F546" s="119">
        <v>4.7413793103448419E-2</v>
      </c>
      <c r="G546" s="119">
        <v>3.9094650205761222E-2</v>
      </c>
    </row>
    <row r="547" spans="2:7" x14ac:dyDescent="0.2">
      <c r="B547" s="116" t="s">
        <v>1312</v>
      </c>
      <c r="C547" s="117" t="s">
        <v>1313</v>
      </c>
      <c r="D547" s="118" t="s">
        <v>233</v>
      </c>
      <c r="E547" s="118" t="s">
        <v>1314</v>
      </c>
      <c r="F547" s="119">
        <v>-7.6923076923076988E-3</v>
      </c>
      <c r="G547" s="119">
        <v>3.100775193798452E-2</v>
      </c>
    </row>
    <row r="548" spans="2:7" x14ac:dyDescent="0.2">
      <c r="B548" s="116" t="s">
        <v>1315</v>
      </c>
      <c r="C548" s="117" t="s">
        <v>1316</v>
      </c>
      <c r="D548" s="118" t="s">
        <v>92</v>
      </c>
      <c r="E548" s="118" t="s">
        <v>96</v>
      </c>
      <c r="F548" s="119">
        <v>0.1230068337129841</v>
      </c>
      <c r="G548" s="119">
        <v>1.825557809330626E-2</v>
      </c>
    </row>
    <row r="549" spans="2:7" x14ac:dyDescent="0.2">
      <c r="B549" s="116" t="s">
        <v>1317</v>
      </c>
      <c r="C549" s="117" t="s">
        <v>1318</v>
      </c>
      <c r="D549" s="118" t="s">
        <v>241</v>
      </c>
      <c r="E549" s="118" t="s">
        <v>306</v>
      </c>
      <c r="F549" s="119">
        <v>8.8549618320610701E-2</v>
      </c>
      <c r="G549" s="119">
        <v>0.51051893408134641</v>
      </c>
    </row>
    <row r="550" spans="2:7" x14ac:dyDescent="0.2">
      <c r="B550" s="116" t="s">
        <v>1319</v>
      </c>
      <c r="C550" s="117" t="s">
        <v>1320</v>
      </c>
      <c r="D550" s="118" t="s">
        <v>39</v>
      </c>
      <c r="E550" s="118" t="s">
        <v>1321</v>
      </c>
      <c r="F550" s="119">
        <v>-0.36764705882352949</v>
      </c>
      <c r="G550" s="119">
        <v>0.2325581395348838</v>
      </c>
    </row>
    <row r="551" spans="2:7" x14ac:dyDescent="0.2">
      <c r="B551" s="116" t="s">
        <v>1322</v>
      </c>
      <c r="C551" s="117" t="s">
        <v>1323</v>
      </c>
      <c r="D551" s="118" t="s">
        <v>52</v>
      </c>
      <c r="E551" s="118" t="s">
        <v>1324</v>
      </c>
      <c r="F551" s="119">
        <v>5.3846153846153891E-2</v>
      </c>
      <c r="G551" s="119">
        <v>6.5693430656934199E-2</v>
      </c>
    </row>
    <row r="552" spans="2:7" x14ac:dyDescent="0.2">
      <c r="B552" s="116" t="s">
        <v>1325</v>
      </c>
      <c r="C552" s="117" t="s">
        <v>1326</v>
      </c>
      <c r="D552" s="118" t="s">
        <v>34</v>
      </c>
      <c r="E552" s="118" t="s">
        <v>202</v>
      </c>
      <c r="F552" s="119">
        <v>-0.1329715061058345</v>
      </c>
      <c r="G552" s="119">
        <v>0.49295774647887319</v>
      </c>
    </row>
    <row r="553" spans="2:7" x14ac:dyDescent="0.2">
      <c r="B553" s="116" t="s">
        <v>1327</v>
      </c>
      <c r="C553" s="117" t="s">
        <v>1328</v>
      </c>
      <c r="D553" s="118" t="s">
        <v>39</v>
      </c>
      <c r="E553" s="118" t="s">
        <v>62</v>
      </c>
      <c r="F553" s="119">
        <v>5.2631578947368467E-2</v>
      </c>
      <c r="G553" s="119">
        <v>9.9999999999999964E-2</v>
      </c>
    </row>
    <row r="554" spans="2:7" x14ac:dyDescent="0.2">
      <c r="B554" s="116" t="s">
        <v>1329</v>
      </c>
      <c r="C554" s="117" t="s">
        <v>1330</v>
      </c>
      <c r="D554" s="118" t="s">
        <v>233</v>
      </c>
      <c r="E554" s="118" t="s">
        <v>469</v>
      </c>
      <c r="F554" s="119">
        <v>-0.24806201550387599</v>
      </c>
      <c r="G554" s="119">
        <v>-7.56013745704468E-2</v>
      </c>
    </row>
    <row r="555" spans="2:7" x14ac:dyDescent="0.2">
      <c r="B555" s="116" t="s">
        <v>1331</v>
      </c>
      <c r="C555" s="117" t="s">
        <v>1332</v>
      </c>
      <c r="D555" s="118" t="s">
        <v>92</v>
      </c>
      <c r="E555" s="118" t="s">
        <v>228</v>
      </c>
      <c r="F555" s="119">
        <v>0.1111111111111111</v>
      </c>
      <c r="G555" s="119">
        <v>0.16666666666666671</v>
      </c>
    </row>
    <row r="556" spans="2:7" x14ac:dyDescent="0.2">
      <c r="B556" s="116" t="s">
        <v>1333</v>
      </c>
      <c r="C556" s="117" t="s">
        <v>1334</v>
      </c>
      <c r="D556" s="118" t="s">
        <v>106</v>
      </c>
      <c r="E556" s="118" t="s">
        <v>107</v>
      </c>
      <c r="F556" s="119">
        <v>0.44266666666666671</v>
      </c>
      <c r="G556" s="119">
        <v>2.587800369685761E-2</v>
      </c>
    </row>
    <row r="557" spans="2:7" x14ac:dyDescent="0.2">
      <c r="B557" s="116" t="s">
        <v>1335</v>
      </c>
      <c r="C557" s="117" t="s">
        <v>1336</v>
      </c>
      <c r="D557" s="118" t="s">
        <v>145</v>
      </c>
      <c r="E557" s="118" t="s">
        <v>343</v>
      </c>
      <c r="F557" s="119">
        <v>-0.90853658536585369</v>
      </c>
      <c r="G557" s="119">
        <v>2.0666666666666669</v>
      </c>
    </row>
    <row r="558" spans="2:7" x14ac:dyDescent="0.2">
      <c r="B558" s="116" t="s">
        <v>1337</v>
      </c>
      <c r="C558" s="117" t="s">
        <v>1338</v>
      </c>
      <c r="D558" s="118" t="s">
        <v>106</v>
      </c>
      <c r="E558" s="118" t="s">
        <v>563</v>
      </c>
      <c r="F558" s="119">
        <v>6.9979716024340902E-2</v>
      </c>
      <c r="G558" s="119">
        <v>6.5402843601895688E-2</v>
      </c>
    </row>
    <row r="559" spans="2:7" x14ac:dyDescent="0.2">
      <c r="B559" s="116" t="s">
        <v>1339</v>
      </c>
      <c r="C559" s="117" t="s">
        <v>1340</v>
      </c>
      <c r="D559" s="118" t="s">
        <v>48</v>
      </c>
      <c r="E559" s="118" t="s">
        <v>1341</v>
      </c>
      <c r="F559" s="119">
        <v>-4.3676662320730107E-2</v>
      </c>
      <c r="G559" s="119">
        <v>8.7252897068847951E-2</v>
      </c>
    </row>
    <row r="560" spans="2:7" x14ac:dyDescent="0.2">
      <c r="B560" s="116" t="s">
        <v>1342</v>
      </c>
      <c r="C560" s="117" t="s">
        <v>1343</v>
      </c>
      <c r="D560" s="118" t="s">
        <v>138</v>
      </c>
      <c r="E560" s="118" t="s">
        <v>139</v>
      </c>
      <c r="F560" s="119">
        <v>-2.3437500000000021E-2</v>
      </c>
      <c r="G560" s="119">
        <v>-1.6000000000000011E-2</v>
      </c>
    </row>
    <row r="561" spans="2:7" x14ac:dyDescent="0.2">
      <c r="B561" s="116" t="s">
        <v>1344</v>
      </c>
      <c r="C561" s="117" t="s">
        <v>1345</v>
      </c>
      <c r="D561" s="118" t="s">
        <v>39</v>
      </c>
      <c r="E561" s="118" t="s">
        <v>383</v>
      </c>
      <c r="F561" s="119">
        <v>2.0000000000000021E-2</v>
      </c>
      <c r="G561" s="119">
        <v>7.8431372549019676E-2</v>
      </c>
    </row>
    <row r="562" spans="2:7" x14ac:dyDescent="0.2">
      <c r="B562" s="116" t="s">
        <v>1346</v>
      </c>
      <c r="C562" s="117" t="s">
        <v>1347</v>
      </c>
      <c r="D562" s="118" t="s">
        <v>34</v>
      </c>
      <c r="E562" s="118" t="s">
        <v>809</v>
      </c>
      <c r="F562" s="119">
        <v>-0.75</v>
      </c>
      <c r="G562" s="119">
        <v>7.5000000000000009</v>
      </c>
    </row>
    <row r="563" spans="2:7" x14ac:dyDescent="0.2">
      <c r="B563" s="116" t="s">
        <v>1348</v>
      </c>
      <c r="C563" s="117" t="s">
        <v>1349</v>
      </c>
      <c r="D563" s="118" t="s">
        <v>92</v>
      </c>
      <c r="E563" s="118" t="s">
        <v>601</v>
      </c>
      <c r="F563" s="119">
        <v>8.1081081081080947E-2</v>
      </c>
      <c r="G563" s="119">
        <v>5.0000000000000037E-2</v>
      </c>
    </row>
    <row r="564" spans="2:7" x14ac:dyDescent="0.2">
      <c r="B564" s="116" t="s">
        <v>1350</v>
      </c>
      <c r="C564" s="117" t="s">
        <v>1351</v>
      </c>
      <c r="D564" s="118" t="s">
        <v>34</v>
      </c>
      <c r="E564" s="118" t="s">
        <v>319</v>
      </c>
      <c r="F564" s="119">
        <v>7.3727933541017546E-2</v>
      </c>
      <c r="G564" s="119">
        <v>-1.9342359767891271E-3</v>
      </c>
    </row>
    <row r="565" spans="2:7" x14ac:dyDescent="0.2">
      <c r="B565" s="116" t="s">
        <v>1352</v>
      </c>
      <c r="C565" s="117" t="s">
        <v>1353</v>
      </c>
      <c r="D565" s="118" t="s">
        <v>68</v>
      </c>
      <c r="E565" s="118" t="s">
        <v>985</v>
      </c>
      <c r="F565" s="119">
        <v>0.7448275862068966</v>
      </c>
      <c r="G565" s="119">
        <v>0.48648648648648651</v>
      </c>
    </row>
    <row r="566" spans="2:7" x14ac:dyDescent="0.2">
      <c r="B566" s="116" t="s">
        <v>1354</v>
      </c>
      <c r="C566" s="117" t="s">
        <v>1355</v>
      </c>
      <c r="D566" s="118" t="s">
        <v>92</v>
      </c>
      <c r="E566" s="118" t="s">
        <v>598</v>
      </c>
      <c r="F566" s="119">
        <v>5.9113300492610897E-2</v>
      </c>
      <c r="G566" s="119">
        <v>1.3953488372093139E-2</v>
      </c>
    </row>
    <row r="567" spans="2:7" x14ac:dyDescent="0.2">
      <c r="B567" s="116" t="s">
        <v>1356</v>
      </c>
      <c r="C567" s="117" t="s">
        <v>1357</v>
      </c>
      <c r="D567" s="118" t="s">
        <v>92</v>
      </c>
      <c r="E567" s="118" t="s">
        <v>614</v>
      </c>
      <c r="F567" s="119">
        <v>0.11971830985915501</v>
      </c>
      <c r="G567" s="119">
        <v>2.5157232704402399E-2</v>
      </c>
    </row>
    <row r="568" spans="2:7" x14ac:dyDescent="0.2">
      <c r="B568" s="116" t="s">
        <v>1358</v>
      </c>
      <c r="C568" s="117" t="s">
        <v>1359</v>
      </c>
      <c r="D568" s="118" t="s">
        <v>34</v>
      </c>
      <c r="E568" s="118" t="s">
        <v>245</v>
      </c>
      <c r="F568" s="119">
        <v>0.12893081761006281</v>
      </c>
      <c r="G568" s="119">
        <v>0.21587743732590539</v>
      </c>
    </row>
    <row r="569" spans="2:7" x14ac:dyDescent="0.2">
      <c r="B569" s="116" t="s">
        <v>1360</v>
      </c>
      <c r="C569" s="117" t="s">
        <v>1361</v>
      </c>
      <c r="D569" s="118" t="s">
        <v>92</v>
      </c>
      <c r="E569" s="118" t="s">
        <v>195</v>
      </c>
      <c r="F569" s="119">
        <v>0.14883720930232569</v>
      </c>
      <c r="G569" s="119">
        <v>0.11336032388663959</v>
      </c>
    </row>
    <row r="570" spans="2:7" x14ac:dyDescent="0.2">
      <c r="B570" s="116" t="s">
        <v>1362</v>
      </c>
      <c r="C570" s="117" t="s">
        <v>1363</v>
      </c>
      <c r="D570" s="118" t="s">
        <v>106</v>
      </c>
      <c r="E570" s="118" t="s">
        <v>131</v>
      </c>
      <c r="F570" s="119">
        <v>0.14942528735632191</v>
      </c>
      <c r="G570" s="119">
        <v>0.12</v>
      </c>
    </row>
    <row r="571" spans="2:7" x14ac:dyDescent="0.2">
      <c r="B571" s="116" t="s">
        <v>1364</v>
      </c>
      <c r="C571" s="117" t="s">
        <v>1365</v>
      </c>
      <c r="D571" s="118" t="s">
        <v>106</v>
      </c>
      <c r="E571" s="118" t="s">
        <v>131</v>
      </c>
      <c r="F571" s="119">
        <v>0.23151125401929271</v>
      </c>
      <c r="G571" s="119">
        <v>0.26892950391644921</v>
      </c>
    </row>
    <row r="572" spans="2:7" x14ac:dyDescent="0.2">
      <c r="B572" s="116" t="s">
        <v>1366</v>
      </c>
      <c r="C572" s="117" t="s">
        <v>1367</v>
      </c>
      <c r="D572" s="118" t="s">
        <v>92</v>
      </c>
      <c r="E572" s="118" t="s">
        <v>461</v>
      </c>
      <c r="F572" s="119">
        <v>0.1405622489959838</v>
      </c>
      <c r="G572" s="119">
        <v>7.3943661971830971E-2</v>
      </c>
    </row>
    <row r="573" spans="2:7" x14ac:dyDescent="0.2">
      <c r="B573" s="116" t="s">
        <v>1368</v>
      </c>
      <c r="C573" s="117" t="s">
        <v>1369</v>
      </c>
      <c r="D573" s="118" t="s">
        <v>52</v>
      </c>
      <c r="E573" s="118" t="s">
        <v>1099</v>
      </c>
      <c r="F573" s="119">
        <v>0.19245283018867931</v>
      </c>
      <c r="G573" s="119">
        <v>0.18670886075949361</v>
      </c>
    </row>
    <row r="574" spans="2:7" x14ac:dyDescent="0.2">
      <c r="B574" s="116" t="s">
        <v>1370</v>
      </c>
      <c r="C574" s="117" t="s">
        <v>1371</v>
      </c>
      <c r="D574" s="118" t="s">
        <v>34</v>
      </c>
      <c r="E574" s="118" t="s">
        <v>319</v>
      </c>
      <c r="F574" s="119">
        <v>0.41999999999999987</v>
      </c>
      <c r="G574" s="119">
        <v>0.18309859154929581</v>
      </c>
    </row>
    <row r="575" spans="2:7" x14ac:dyDescent="0.2">
      <c r="B575" s="116" t="s">
        <v>1372</v>
      </c>
      <c r="C575" s="117" t="s">
        <v>1373</v>
      </c>
      <c r="D575" s="118" t="s">
        <v>34</v>
      </c>
      <c r="E575" s="118" t="s">
        <v>245</v>
      </c>
      <c r="F575" s="119">
        <v>-3.2323232323232351E-2</v>
      </c>
      <c r="G575" s="119">
        <v>-1</v>
      </c>
    </row>
    <row r="576" spans="2:7" x14ac:dyDescent="0.2">
      <c r="B576" s="116" t="s">
        <v>1374</v>
      </c>
      <c r="C576" s="117" t="s">
        <v>1375</v>
      </c>
      <c r="D576" s="118" t="s">
        <v>52</v>
      </c>
      <c r="E576" s="118" t="s">
        <v>657</v>
      </c>
      <c r="F576" s="119">
        <v>8.810572687224677E-2</v>
      </c>
      <c r="G576" s="119">
        <v>5.4655870445344042E-2</v>
      </c>
    </row>
    <row r="577" spans="2:7" x14ac:dyDescent="0.2">
      <c r="B577" s="116" t="s">
        <v>1376</v>
      </c>
      <c r="C577" s="117" t="s">
        <v>1377</v>
      </c>
      <c r="D577" s="118" t="s">
        <v>34</v>
      </c>
      <c r="E577" s="118" t="s">
        <v>1096</v>
      </c>
      <c r="F577" s="119">
        <v>8.849557522123902E-2</v>
      </c>
      <c r="G577" s="119">
        <v>0.1626016260162601</v>
      </c>
    </row>
    <row r="578" spans="2:7" x14ac:dyDescent="0.2">
      <c r="B578" s="116" t="s">
        <v>1378</v>
      </c>
      <c r="C578" s="117" t="s">
        <v>1379</v>
      </c>
      <c r="D578" s="118" t="s">
        <v>198</v>
      </c>
      <c r="E578" s="118" t="s">
        <v>1380</v>
      </c>
      <c r="F578" s="119">
        <v>5.8823529411764663E-2</v>
      </c>
      <c r="G578" s="119">
        <v>0.1111111111111112</v>
      </c>
    </row>
    <row r="579" spans="2:7" x14ac:dyDescent="0.2">
      <c r="B579" s="116" t="s">
        <v>1381</v>
      </c>
      <c r="C579" s="117" t="s">
        <v>1382</v>
      </c>
      <c r="D579" s="118" t="s">
        <v>78</v>
      </c>
      <c r="E579" s="118" t="s">
        <v>340</v>
      </c>
      <c r="F579" s="119">
        <v>3.2258064516128941E-2</v>
      </c>
      <c r="G579" s="119">
        <v>7.2916666666666741E-2</v>
      </c>
    </row>
    <row r="580" spans="2:7" x14ac:dyDescent="0.2">
      <c r="B580" s="116" t="s">
        <v>1383</v>
      </c>
      <c r="C580" s="117" t="s">
        <v>1384</v>
      </c>
      <c r="D580" s="118" t="s">
        <v>39</v>
      </c>
      <c r="E580" s="118" t="s">
        <v>383</v>
      </c>
      <c r="F580" s="119">
        <v>0.25714285714285717</v>
      </c>
      <c r="G580" s="119">
        <v>0.14090909090909071</v>
      </c>
    </row>
    <row r="581" spans="2:7" x14ac:dyDescent="0.2">
      <c r="B581" s="116" t="s">
        <v>1385</v>
      </c>
      <c r="C581" s="117" t="s">
        <v>1386</v>
      </c>
      <c r="D581" s="118" t="s">
        <v>106</v>
      </c>
      <c r="E581" s="118" t="s">
        <v>131</v>
      </c>
      <c r="F581" s="119">
        <v>0.12045889101338431</v>
      </c>
      <c r="G581" s="119">
        <v>0.15102389078498291</v>
      </c>
    </row>
    <row r="582" spans="2:7" x14ac:dyDescent="0.2">
      <c r="B582" s="116" t="s">
        <v>1387</v>
      </c>
      <c r="C582" s="117" t="s">
        <v>1388</v>
      </c>
      <c r="D582" s="118" t="s">
        <v>145</v>
      </c>
      <c r="E582" s="118" t="s">
        <v>179</v>
      </c>
      <c r="F582" s="119">
        <v>-7.0512820512820568E-2</v>
      </c>
      <c r="G582" s="119">
        <v>0.15344827586206911</v>
      </c>
    </row>
    <row r="583" spans="2:7" x14ac:dyDescent="0.2">
      <c r="B583" s="116" t="s">
        <v>1389</v>
      </c>
      <c r="C583" s="117" t="s">
        <v>1390</v>
      </c>
      <c r="D583" s="118" t="s">
        <v>68</v>
      </c>
      <c r="E583" s="118" t="s">
        <v>82</v>
      </c>
      <c r="F583" s="119">
        <v>-2.521008403361347E-2</v>
      </c>
      <c r="G583" s="119">
        <v>0.1206896551724139</v>
      </c>
    </row>
    <row r="584" spans="2:7" x14ac:dyDescent="0.2">
      <c r="B584" s="116" t="s">
        <v>1391</v>
      </c>
      <c r="C584" s="117" t="s">
        <v>1392</v>
      </c>
      <c r="D584" s="118" t="s">
        <v>78</v>
      </c>
      <c r="E584" s="118" t="s">
        <v>736</v>
      </c>
      <c r="F584" s="119">
        <v>-1.8421052631578911E-2</v>
      </c>
      <c r="G584" s="119">
        <v>0.14209115281501339</v>
      </c>
    </row>
    <row r="585" spans="2:7" x14ac:dyDescent="0.2">
      <c r="B585" s="116" t="s">
        <v>1393</v>
      </c>
      <c r="C585" s="117" t="s">
        <v>1394</v>
      </c>
      <c r="D585" s="118" t="s">
        <v>92</v>
      </c>
      <c r="E585" s="118" t="s">
        <v>614</v>
      </c>
      <c r="F585" s="119">
        <v>4.5045045045044883E-2</v>
      </c>
      <c r="G585" s="119">
        <v>8.6206896551724223E-3</v>
      </c>
    </row>
    <row r="586" spans="2:7" x14ac:dyDescent="0.2">
      <c r="B586" s="116" t="s">
        <v>1395</v>
      </c>
      <c r="C586" s="117" t="s">
        <v>1396</v>
      </c>
      <c r="D586" s="118" t="s">
        <v>102</v>
      </c>
      <c r="E586" s="118" t="s">
        <v>1397</v>
      </c>
      <c r="F586" s="119">
        <v>0.16842105263157911</v>
      </c>
      <c r="G586" s="119">
        <v>0.2342342342342342</v>
      </c>
    </row>
    <row r="587" spans="2:7" x14ac:dyDescent="0.2">
      <c r="B587" s="116" t="s">
        <v>1398</v>
      </c>
      <c r="C587" s="117" t="s">
        <v>1399</v>
      </c>
      <c r="D587" s="118" t="s">
        <v>92</v>
      </c>
      <c r="E587" s="118" t="s">
        <v>96</v>
      </c>
      <c r="F587" s="119">
        <v>7.2992700729926904E-2</v>
      </c>
      <c r="G587" s="119">
        <v>7.1428571428571425E-2</v>
      </c>
    </row>
    <row r="588" spans="2:7" x14ac:dyDescent="0.2">
      <c r="B588" s="116" t="s">
        <v>1400</v>
      </c>
      <c r="C588" s="117" t="s">
        <v>1401</v>
      </c>
      <c r="D588" s="118" t="s">
        <v>145</v>
      </c>
      <c r="E588" s="118" t="s">
        <v>663</v>
      </c>
      <c r="F588" s="119">
        <v>-0.55555555555555558</v>
      </c>
      <c r="G588" s="119">
        <v>0.29166666666666669</v>
      </c>
    </row>
    <row r="589" spans="2:7" x14ac:dyDescent="0.2">
      <c r="B589" s="116" t="s">
        <v>1402</v>
      </c>
      <c r="C589" s="117" t="s">
        <v>1403</v>
      </c>
      <c r="D589" s="118" t="s">
        <v>145</v>
      </c>
      <c r="E589" s="118" t="s">
        <v>146</v>
      </c>
      <c r="F589" s="119">
        <v>0.341880341880342</v>
      </c>
      <c r="G589" s="119">
        <v>0.18471337579617839</v>
      </c>
    </row>
    <row r="590" spans="2:7" x14ac:dyDescent="0.2">
      <c r="B590" s="116" t="s">
        <v>1404</v>
      </c>
      <c r="C590" s="117" t="s">
        <v>1405</v>
      </c>
      <c r="D590" s="118" t="s">
        <v>115</v>
      </c>
      <c r="E590" s="118" t="s">
        <v>728</v>
      </c>
      <c r="F590" s="119">
        <v>-6.7460317460317429E-2</v>
      </c>
      <c r="G590" s="119">
        <v>0.23829787234042549</v>
      </c>
    </row>
    <row r="591" spans="2:7" x14ac:dyDescent="0.2">
      <c r="B591" s="116" t="s">
        <v>1406</v>
      </c>
      <c r="C591" s="117" t="s">
        <v>1407</v>
      </c>
      <c r="D591" s="118" t="s">
        <v>92</v>
      </c>
      <c r="E591" s="118" t="s">
        <v>272</v>
      </c>
      <c r="F591" s="119">
        <v>7.5471698113207475E-2</v>
      </c>
      <c r="G591" s="119">
        <v>6.4327485380117011E-2</v>
      </c>
    </row>
    <row r="592" spans="2:7" x14ac:dyDescent="0.2">
      <c r="B592" s="116" t="s">
        <v>1408</v>
      </c>
      <c r="C592" s="117" t="s">
        <v>1409</v>
      </c>
      <c r="D592" s="118" t="s">
        <v>92</v>
      </c>
      <c r="E592" s="118" t="s">
        <v>598</v>
      </c>
      <c r="F592" s="119">
        <v>4.6315789473684157E-2</v>
      </c>
      <c r="G592" s="119">
        <v>8.4507042253521111E-2</v>
      </c>
    </row>
    <row r="593" spans="2:7" x14ac:dyDescent="0.2">
      <c r="B593" s="116" t="s">
        <v>1410</v>
      </c>
      <c r="C593" s="117" t="s">
        <v>1411</v>
      </c>
      <c r="D593" s="118" t="s">
        <v>92</v>
      </c>
      <c r="E593" s="118" t="s">
        <v>112</v>
      </c>
      <c r="F593" s="119">
        <v>2.733118971061092E-2</v>
      </c>
      <c r="G593" s="119">
        <v>5.4773082942097109E-2</v>
      </c>
    </row>
    <row r="594" spans="2:7" x14ac:dyDescent="0.2">
      <c r="B594" s="116" t="s">
        <v>1412</v>
      </c>
      <c r="C594" s="117" t="s">
        <v>1413</v>
      </c>
      <c r="D594" s="118" t="s">
        <v>241</v>
      </c>
      <c r="E594" s="118" t="s">
        <v>1219</v>
      </c>
      <c r="F594" s="119">
        <v>0.56953642384105962</v>
      </c>
      <c r="G594" s="119">
        <v>0.569620253164557</v>
      </c>
    </row>
    <row r="595" spans="2:7" x14ac:dyDescent="0.2">
      <c r="B595" s="116" t="s">
        <v>1414</v>
      </c>
      <c r="C595" s="117" t="s">
        <v>1415</v>
      </c>
      <c r="D595" s="118" t="s">
        <v>145</v>
      </c>
      <c r="E595" s="118" t="s">
        <v>1416</v>
      </c>
      <c r="F595" s="119">
        <v>0.21052631578947359</v>
      </c>
      <c r="G595" s="119">
        <v>-0.23913043478260859</v>
      </c>
    </row>
    <row r="596" spans="2:7" x14ac:dyDescent="0.2">
      <c r="B596" s="116" t="s">
        <v>1417</v>
      </c>
      <c r="C596" s="117" t="s">
        <v>1418</v>
      </c>
      <c r="D596" s="118" t="s">
        <v>92</v>
      </c>
      <c r="E596" s="118" t="s">
        <v>722</v>
      </c>
      <c r="F596" s="119">
        <v>0.21455938697318011</v>
      </c>
      <c r="G596" s="119">
        <v>9.4637223974763499E-2</v>
      </c>
    </row>
    <row r="597" spans="2:7" x14ac:dyDescent="0.2">
      <c r="B597" s="116" t="s">
        <v>1419</v>
      </c>
      <c r="C597" s="117" t="s">
        <v>1420</v>
      </c>
      <c r="D597" s="118" t="s">
        <v>102</v>
      </c>
      <c r="E597" s="118" t="s">
        <v>424</v>
      </c>
      <c r="F597" s="119">
        <v>0.37313432835820892</v>
      </c>
      <c r="G597" s="119">
        <v>0.1249999999999999</v>
      </c>
    </row>
    <row r="598" spans="2:7" x14ac:dyDescent="0.2">
      <c r="B598" s="116" t="s">
        <v>1421</v>
      </c>
      <c r="C598" s="117" t="s">
        <v>1422</v>
      </c>
      <c r="D598" s="118" t="s">
        <v>241</v>
      </c>
      <c r="E598" s="118" t="s">
        <v>534</v>
      </c>
      <c r="F598" s="119">
        <v>1.6000000000000011E-2</v>
      </c>
      <c r="G598" s="119">
        <v>0.2283464566929134</v>
      </c>
    </row>
    <row r="599" spans="2:7" x14ac:dyDescent="0.2">
      <c r="B599" s="116" t="s">
        <v>1423</v>
      </c>
      <c r="C599" s="117" t="s">
        <v>1424</v>
      </c>
      <c r="D599" s="118" t="s">
        <v>34</v>
      </c>
      <c r="E599" s="118" t="s">
        <v>809</v>
      </c>
      <c r="F599" s="119">
        <v>0.2857142857142857</v>
      </c>
      <c r="G599" s="119">
        <v>8.8888888888888962E-2</v>
      </c>
    </row>
    <row r="600" spans="2:7" x14ac:dyDescent="0.2">
      <c r="B600" s="116" t="s">
        <v>1425</v>
      </c>
      <c r="C600" s="117" t="s">
        <v>1426</v>
      </c>
      <c r="D600" s="118" t="s">
        <v>138</v>
      </c>
      <c r="E600" s="118" t="s">
        <v>139</v>
      </c>
      <c r="F600" s="119">
        <v>1.5544041450777221E-2</v>
      </c>
      <c r="G600" s="119">
        <v>5.6122448979591767E-2</v>
      </c>
    </row>
    <row r="601" spans="2:7" x14ac:dyDescent="0.2">
      <c r="B601" s="116" t="s">
        <v>1427</v>
      </c>
      <c r="C601" s="117" t="s">
        <v>1428</v>
      </c>
      <c r="D601" s="118" t="s">
        <v>34</v>
      </c>
      <c r="E601" s="118" t="s">
        <v>35</v>
      </c>
      <c r="F601" s="119">
        <v>0.16666666666666671</v>
      </c>
      <c r="G601" s="119">
        <v>0.1</v>
      </c>
    </row>
    <row r="602" spans="2:7" x14ac:dyDescent="0.2">
      <c r="B602" s="116" t="s">
        <v>1429</v>
      </c>
      <c r="C602" s="117" t="s">
        <v>1430</v>
      </c>
      <c r="D602" s="118" t="s">
        <v>233</v>
      </c>
      <c r="E602" s="118" t="s">
        <v>469</v>
      </c>
      <c r="F602" s="119">
        <v>0.60465116279069753</v>
      </c>
      <c r="G602" s="119">
        <v>6.5217391304347894E-2</v>
      </c>
    </row>
    <row r="603" spans="2:7" x14ac:dyDescent="0.2">
      <c r="B603" s="116" t="s">
        <v>1431</v>
      </c>
      <c r="C603" s="117" t="s">
        <v>1432</v>
      </c>
      <c r="D603" s="118" t="s">
        <v>34</v>
      </c>
      <c r="E603" s="118" t="s">
        <v>1433</v>
      </c>
      <c r="F603" s="119">
        <v>0.1945392491467576</v>
      </c>
      <c r="G603" s="119">
        <v>0.1</v>
      </c>
    </row>
    <row r="604" spans="2:7" x14ac:dyDescent="0.2">
      <c r="B604" s="116" t="s">
        <v>1434</v>
      </c>
      <c r="C604" s="117" t="s">
        <v>1435</v>
      </c>
      <c r="D604" s="118" t="s">
        <v>115</v>
      </c>
      <c r="E604" s="118" t="s">
        <v>747</v>
      </c>
      <c r="F604" s="119">
        <v>0.19148936170212769</v>
      </c>
      <c r="G604" s="119">
        <v>6.5476190476190535E-2</v>
      </c>
    </row>
    <row r="605" spans="2:7" x14ac:dyDescent="0.2">
      <c r="B605" s="116" t="s">
        <v>1436</v>
      </c>
      <c r="C605" s="117" t="s">
        <v>1437</v>
      </c>
      <c r="D605" s="118" t="s">
        <v>115</v>
      </c>
      <c r="E605" s="118" t="s">
        <v>1086</v>
      </c>
      <c r="F605" s="119">
        <v>-3.3846153846153841</v>
      </c>
      <c r="G605" s="119">
        <v>0.64035087719298245</v>
      </c>
    </row>
    <row r="606" spans="2:7" x14ac:dyDescent="0.2">
      <c r="B606" s="116" t="s">
        <v>1438</v>
      </c>
      <c r="C606" s="117" t="s">
        <v>1439</v>
      </c>
      <c r="D606" s="118" t="s">
        <v>106</v>
      </c>
      <c r="E606" s="118" t="s">
        <v>125</v>
      </c>
      <c r="F606" s="119">
        <v>0.14772727272727271</v>
      </c>
      <c r="G606" s="119">
        <v>0.1237623762376238</v>
      </c>
    </row>
    <row r="607" spans="2:7" x14ac:dyDescent="0.2">
      <c r="B607" s="116" t="s">
        <v>1440</v>
      </c>
      <c r="C607" s="117" t="s">
        <v>1441</v>
      </c>
      <c r="D607" s="118" t="s">
        <v>92</v>
      </c>
      <c r="E607" s="118" t="s">
        <v>598</v>
      </c>
      <c r="F607" s="119">
        <v>9.589041095890409E-2</v>
      </c>
      <c r="G607" s="119">
        <v>2.9166666666666789E-2</v>
      </c>
    </row>
    <row r="608" spans="2:7" x14ac:dyDescent="0.2">
      <c r="B608" s="116" t="s">
        <v>1442</v>
      </c>
      <c r="C608" s="117" t="s">
        <v>1443</v>
      </c>
      <c r="D608" s="118" t="s">
        <v>68</v>
      </c>
      <c r="E608" s="118" t="s">
        <v>87</v>
      </c>
      <c r="F608" s="119">
        <v>-0.18452380952380959</v>
      </c>
      <c r="G608" s="119">
        <v>0.1959798994974874</v>
      </c>
    </row>
    <row r="609" spans="2:7" x14ac:dyDescent="0.2">
      <c r="B609" s="116" t="s">
        <v>1444</v>
      </c>
      <c r="C609" s="117" t="s">
        <v>1445</v>
      </c>
      <c r="D609" s="118" t="s">
        <v>198</v>
      </c>
      <c r="E609" s="118" t="s">
        <v>456</v>
      </c>
      <c r="F609" s="119">
        <v>6.5470852017937259E-2</v>
      </c>
      <c r="G609" s="119">
        <v>0.1010101010101009</v>
      </c>
    </row>
    <row r="610" spans="2:7" x14ac:dyDescent="0.2">
      <c r="B610" s="116" t="s">
        <v>1446</v>
      </c>
      <c r="C610" s="117" t="s">
        <v>1447</v>
      </c>
      <c r="D610" s="118" t="s">
        <v>34</v>
      </c>
      <c r="E610" s="118" t="s">
        <v>1448</v>
      </c>
      <c r="F610" s="119">
        <v>0.41176470588235281</v>
      </c>
      <c r="G610" s="119">
        <v>1.083333333333333</v>
      </c>
    </row>
    <row r="611" spans="2:7" x14ac:dyDescent="0.2">
      <c r="B611" s="116" t="s">
        <v>1449</v>
      </c>
      <c r="C611" s="117" t="s">
        <v>1450</v>
      </c>
      <c r="D611" s="118" t="s">
        <v>34</v>
      </c>
      <c r="E611" s="118" t="s">
        <v>44</v>
      </c>
      <c r="F611" s="119">
        <v>-8.6956521739130502E-2</v>
      </c>
      <c r="G611" s="119">
        <v>6.5476190476190535E-2</v>
      </c>
    </row>
    <row r="612" spans="2:7" x14ac:dyDescent="0.2">
      <c r="B612" s="116" t="s">
        <v>1451</v>
      </c>
      <c r="C612" s="117" t="s">
        <v>1452</v>
      </c>
      <c r="D612" s="118" t="s">
        <v>106</v>
      </c>
      <c r="E612" s="118" t="s">
        <v>324</v>
      </c>
      <c r="F612" s="119">
        <v>0.17021276595744669</v>
      </c>
      <c r="G612" s="119">
        <v>1.102564102564102</v>
      </c>
    </row>
    <row r="613" spans="2:7" x14ac:dyDescent="0.2">
      <c r="B613" s="116" t="s">
        <v>1453</v>
      </c>
      <c r="C613" s="117" t="s">
        <v>1454</v>
      </c>
      <c r="D613" s="118" t="s">
        <v>678</v>
      </c>
      <c r="E613" s="118" t="s">
        <v>679</v>
      </c>
      <c r="F613" s="119">
        <v>-5.970149253731348E-2</v>
      </c>
      <c r="G613" s="119">
        <v>0.17460317460317459</v>
      </c>
    </row>
    <row r="614" spans="2:7" x14ac:dyDescent="0.2">
      <c r="B614" s="116" t="s">
        <v>1455</v>
      </c>
      <c r="C614" s="117" t="s">
        <v>1456</v>
      </c>
      <c r="D614" s="118" t="s">
        <v>39</v>
      </c>
      <c r="E614" s="118" t="s">
        <v>383</v>
      </c>
      <c r="F614" s="119">
        <v>-0.35576923076923073</v>
      </c>
      <c r="G614" s="119">
        <v>0.1417910447761194</v>
      </c>
    </row>
    <row r="615" spans="2:7" x14ac:dyDescent="0.2">
      <c r="B615" s="116" t="s">
        <v>1457</v>
      </c>
      <c r="C615" s="117" t="s">
        <v>1458</v>
      </c>
      <c r="D615" s="118" t="s">
        <v>92</v>
      </c>
      <c r="E615" s="118" t="s">
        <v>272</v>
      </c>
      <c r="F615" s="119">
        <v>-4.4182621502209113E-2</v>
      </c>
      <c r="G615" s="119">
        <v>3.2357473035439129E-2</v>
      </c>
    </row>
    <row r="616" spans="2:7" x14ac:dyDescent="0.2">
      <c r="B616" s="116" t="s">
        <v>1459</v>
      </c>
      <c r="C616" s="117" t="s">
        <v>1460</v>
      </c>
      <c r="D616" s="118" t="s">
        <v>233</v>
      </c>
      <c r="E616" s="118" t="s">
        <v>469</v>
      </c>
      <c r="F616" s="119">
        <v>-0.26941747572815539</v>
      </c>
      <c r="G616" s="119">
        <v>0.1295681063122924</v>
      </c>
    </row>
    <row r="617" spans="2:7" x14ac:dyDescent="0.2">
      <c r="B617" s="116" t="s">
        <v>1461</v>
      </c>
      <c r="C617" s="117" t="s">
        <v>1462</v>
      </c>
      <c r="D617" s="118" t="s">
        <v>145</v>
      </c>
      <c r="E617" s="118" t="s">
        <v>146</v>
      </c>
      <c r="F617" s="119">
        <v>2.2666666666666671</v>
      </c>
      <c r="G617" s="119">
        <v>0.89473684210526305</v>
      </c>
    </row>
    <row r="618" spans="2:7" x14ac:dyDescent="0.2">
      <c r="B618" s="116" t="s">
        <v>1463</v>
      </c>
      <c r="C618" s="117" t="s">
        <v>1464</v>
      </c>
      <c r="D618" s="118" t="s">
        <v>39</v>
      </c>
      <c r="E618" s="118" t="s">
        <v>62</v>
      </c>
      <c r="F618" s="119">
        <v>4.6296296296296127E-2</v>
      </c>
      <c r="G618" s="119">
        <v>0.10619469026548679</v>
      </c>
    </row>
    <row r="619" spans="2:7" x14ac:dyDescent="0.2">
      <c r="B619" s="116" t="s">
        <v>1465</v>
      </c>
      <c r="C619" s="117" t="s">
        <v>1466</v>
      </c>
      <c r="D619" s="118" t="s">
        <v>145</v>
      </c>
      <c r="E619" s="118" t="s">
        <v>1467</v>
      </c>
      <c r="F619" s="119">
        <v>-0.2105263157894737</v>
      </c>
      <c r="G619" s="119">
        <v>0.1666666666666666</v>
      </c>
    </row>
    <row r="620" spans="2:7" x14ac:dyDescent="0.2">
      <c r="B620" s="116" t="s">
        <v>1468</v>
      </c>
      <c r="C620" s="117" t="s">
        <v>1469</v>
      </c>
      <c r="D620" s="118" t="s">
        <v>39</v>
      </c>
      <c r="E620" s="118" t="s">
        <v>383</v>
      </c>
      <c r="F620" s="119">
        <v>1.5957446808510651E-2</v>
      </c>
      <c r="G620" s="119">
        <v>7.329842931937168E-2</v>
      </c>
    </row>
    <row r="621" spans="2:7" x14ac:dyDescent="0.2">
      <c r="B621" s="116" t="s">
        <v>1470</v>
      </c>
      <c r="C621" s="117" t="s">
        <v>1471</v>
      </c>
      <c r="D621" s="118" t="s">
        <v>68</v>
      </c>
      <c r="E621" s="118" t="s">
        <v>87</v>
      </c>
      <c r="F621" s="119">
        <v>-0.13392857142857131</v>
      </c>
      <c r="G621" s="119">
        <v>-1.5748031496063009E-2</v>
      </c>
    </row>
    <row r="622" spans="2:7" x14ac:dyDescent="0.2">
      <c r="B622" s="116" t="s">
        <v>1472</v>
      </c>
      <c r="C622" s="117" t="s">
        <v>1473</v>
      </c>
      <c r="D622" s="118" t="s">
        <v>34</v>
      </c>
      <c r="E622" s="118" t="s">
        <v>691</v>
      </c>
      <c r="F622" s="119">
        <v>0.11180124223602481</v>
      </c>
      <c r="G622" s="119">
        <v>9.2178770949720684E-2</v>
      </c>
    </row>
    <row r="623" spans="2:7" x14ac:dyDescent="0.2">
      <c r="B623" s="116" t="s">
        <v>1474</v>
      </c>
      <c r="C623" s="117" t="s">
        <v>1475</v>
      </c>
      <c r="D623" s="118" t="s">
        <v>115</v>
      </c>
      <c r="E623" s="118" t="s">
        <v>899</v>
      </c>
      <c r="F623" s="119">
        <v>5.8823529411764643E-2</v>
      </c>
      <c r="G623" s="119">
        <v>0.19696969696969699</v>
      </c>
    </row>
    <row r="624" spans="2:7" x14ac:dyDescent="0.2">
      <c r="B624" s="116" t="s">
        <v>1476</v>
      </c>
      <c r="C624" s="117" t="s">
        <v>1477</v>
      </c>
      <c r="D624" s="118" t="s">
        <v>68</v>
      </c>
      <c r="E624" s="118" t="s">
        <v>87</v>
      </c>
      <c r="F624" s="119">
        <v>1.8813314037626611E-2</v>
      </c>
      <c r="G624" s="119">
        <v>5.6818181818181872E-3</v>
      </c>
    </row>
    <row r="625" spans="2:7" x14ac:dyDescent="0.2">
      <c r="B625" s="116" t="s">
        <v>1478</v>
      </c>
      <c r="C625" s="117" t="s">
        <v>1479</v>
      </c>
      <c r="D625" s="118" t="s">
        <v>78</v>
      </c>
      <c r="E625" s="118" t="s">
        <v>340</v>
      </c>
      <c r="F625" s="119">
        <v>6.9841269841269898E-2</v>
      </c>
      <c r="G625" s="119">
        <v>3.5608308605341282E-2</v>
      </c>
    </row>
    <row r="626" spans="2:7" x14ac:dyDescent="0.2">
      <c r="B626" s="116" t="s">
        <v>1480</v>
      </c>
      <c r="C626" s="117" t="s">
        <v>1481</v>
      </c>
      <c r="D626" s="118" t="s">
        <v>52</v>
      </c>
      <c r="E626" s="118" t="s">
        <v>725</v>
      </c>
      <c r="F626" s="119">
        <v>-3.086419753086422E-2</v>
      </c>
      <c r="G626" s="119">
        <v>-6.3694267515923622E-3</v>
      </c>
    </row>
    <row r="627" spans="2:7" x14ac:dyDescent="0.2">
      <c r="B627" s="116" t="s">
        <v>1482</v>
      </c>
      <c r="C627" s="117" t="s">
        <v>1483</v>
      </c>
      <c r="D627" s="118" t="s">
        <v>92</v>
      </c>
      <c r="E627" s="118" t="s">
        <v>434</v>
      </c>
      <c r="F627" s="119">
        <v>9.609120521172651E-2</v>
      </c>
      <c r="G627" s="119">
        <v>6.3893016344725065E-2</v>
      </c>
    </row>
    <row r="628" spans="2:7" x14ac:dyDescent="0.2">
      <c r="B628" s="116" t="s">
        <v>1484</v>
      </c>
      <c r="C628" s="117" t="s">
        <v>1485</v>
      </c>
      <c r="D628" s="118" t="s">
        <v>78</v>
      </c>
      <c r="E628" s="118" t="s">
        <v>1486</v>
      </c>
      <c r="F628" s="119">
        <v>-1.4028056112224499E-2</v>
      </c>
      <c r="G628" s="119">
        <v>4.8780487804878092E-2</v>
      </c>
    </row>
    <row r="629" spans="2:7" x14ac:dyDescent="0.2">
      <c r="B629" s="116" t="s">
        <v>1487</v>
      </c>
      <c r="C629" s="117" t="s">
        <v>1488</v>
      </c>
      <c r="D629" s="118" t="s">
        <v>34</v>
      </c>
      <c r="E629" s="118" t="s">
        <v>982</v>
      </c>
      <c r="F629" s="119">
        <v>7.0357142857142856</v>
      </c>
      <c r="G629" s="119">
        <v>-1.1045364891518741</v>
      </c>
    </row>
    <row r="630" spans="2:7" x14ac:dyDescent="0.2">
      <c r="B630" s="116" t="s">
        <v>1489</v>
      </c>
      <c r="C630" s="117" t="s">
        <v>1490</v>
      </c>
      <c r="D630" s="118" t="s">
        <v>145</v>
      </c>
      <c r="E630" s="118" t="s">
        <v>402</v>
      </c>
      <c r="F630" s="119">
        <v>-0.76086956521739135</v>
      </c>
      <c r="G630" s="119">
        <v>0.72727272727272729</v>
      </c>
    </row>
    <row r="631" spans="2:7" x14ac:dyDescent="0.2">
      <c r="B631" s="116" t="s">
        <v>1491</v>
      </c>
      <c r="C631" s="117" t="s">
        <v>1492</v>
      </c>
      <c r="D631" s="118" t="s">
        <v>34</v>
      </c>
      <c r="E631" s="118" t="s">
        <v>1493</v>
      </c>
      <c r="F631" s="119">
        <v>0.30994152046783641</v>
      </c>
      <c r="G631" s="119">
        <v>0.22767857142857131</v>
      </c>
    </row>
    <row r="632" spans="2:7" x14ac:dyDescent="0.2">
      <c r="B632" s="116" t="s">
        <v>1494</v>
      </c>
      <c r="C632" s="117" t="s">
        <v>1495</v>
      </c>
      <c r="D632" s="118" t="s">
        <v>241</v>
      </c>
      <c r="E632" s="118" t="s">
        <v>1216</v>
      </c>
      <c r="F632" s="119">
        <v>-0.2037037037037038</v>
      </c>
      <c r="G632" s="119">
        <v>0.34883720930232548</v>
      </c>
    </row>
    <row r="633" spans="2:7" x14ac:dyDescent="0.2">
      <c r="B633" s="116" t="s">
        <v>1496</v>
      </c>
      <c r="C633" s="117" t="s">
        <v>1497</v>
      </c>
      <c r="D633" s="118" t="s">
        <v>68</v>
      </c>
      <c r="E633" s="118" t="s">
        <v>87</v>
      </c>
      <c r="F633" s="119">
        <v>4.5655172413793101</v>
      </c>
      <c r="G633" s="119">
        <v>-0.70793036750483562</v>
      </c>
    </row>
    <row r="634" spans="2:7" x14ac:dyDescent="0.2">
      <c r="B634" s="116" t="s">
        <v>1498</v>
      </c>
      <c r="C634" s="117" t="s">
        <v>1499</v>
      </c>
      <c r="D634" s="118" t="s">
        <v>92</v>
      </c>
      <c r="E634" s="118" t="s">
        <v>272</v>
      </c>
      <c r="F634" s="119">
        <v>8.2539682539682621E-2</v>
      </c>
      <c r="G634" s="119">
        <v>2.0527859237536611E-2</v>
      </c>
    </row>
    <row r="635" spans="2:7" x14ac:dyDescent="0.2">
      <c r="B635" s="116" t="s">
        <v>1500</v>
      </c>
      <c r="C635" s="117" t="s">
        <v>1501</v>
      </c>
      <c r="D635" s="118" t="s">
        <v>34</v>
      </c>
      <c r="E635" s="118" t="s">
        <v>287</v>
      </c>
      <c r="F635" s="119">
        <v>-5.6818181818181872E-3</v>
      </c>
      <c r="G635" s="119">
        <v>0.13142857142857139</v>
      </c>
    </row>
    <row r="636" spans="2:7" x14ac:dyDescent="0.2">
      <c r="B636" s="116" t="s">
        <v>1502</v>
      </c>
      <c r="C636" s="117" t="s">
        <v>1503</v>
      </c>
      <c r="D636" s="118" t="s">
        <v>233</v>
      </c>
      <c r="E636" s="118" t="s">
        <v>1314</v>
      </c>
      <c r="F636" s="119">
        <v>6.9841269841269898E-2</v>
      </c>
      <c r="G636" s="119">
        <v>-5.6379821958456963E-2</v>
      </c>
    </row>
    <row r="637" spans="2:7" x14ac:dyDescent="0.2">
      <c r="B637" s="116" t="s">
        <v>1504</v>
      </c>
      <c r="C637" s="117" t="s">
        <v>1505</v>
      </c>
      <c r="D637" s="118" t="s">
        <v>68</v>
      </c>
      <c r="E637" s="118" t="s">
        <v>82</v>
      </c>
      <c r="F637" s="119">
        <v>4.9079754601227037E-2</v>
      </c>
      <c r="G637" s="119">
        <v>0.1111111111111111</v>
      </c>
    </row>
    <row r="638" spans="2:7" x14ac:dyDescent="0.2">
      <c r="B638" s="116" t="s">
        <v>1506</v>
      </c>
      <c r="C638" s="117" t="s">
        <v>1507</v>
      </c>
      <c r="D638" s="118" t="s">
        <v>68</v>
      </c>
      <c r="E638" s="118" t="s">
        <v>75</v>
      </c>
      <c r="F638" s="119">
        <v>0.23437499999999989</v>
      </c>
      <c r="G638" s="119">
        <v>0.14285714285714279</v>
      </c>
    </row>
    <row r="639" spans="2:7" x14ac:dyDescent="0.2">
      <c r="B639" s="116" t="s">
        <v>1508</v>
      </c>
      <c r="C639" s="117" t="s">
        <v>1509</v>
      </c>
      <c r="D639" s="118" t="s">
        <v>34</v>
      </c>
      <c r="E639" s="118" t="s">
        <v>1510</v>
      </c>
      <c r="F639" s="119">
        <v>3.0042918454935549E-2</v>
      </c>
      <c r="G639" s="119">
        <v>5.833333333333339E-2</v>
      </c>
    </row>
    <row r="640" spans="2:7" x14ac:dyDescent="0.2">
      <c r="B640" s="116" t="s">
        <v>1511</v>
      </c>
      <c r="C640" s="117" t="s">
        <v>1512</v>
      </c>
      <c r="D640" s="118" t="s">
        <v>233</v>
      </c>
      <c r="E640" s="118" t="s">
        <v>234</v>
      </c>
      <c r="F640" s="119">
        <v>1.8181818181818198E-2</v>
      </c>
      <c r="G640" s="119">
        <v>5.9523809523809583E-2</v>
      </c>
    </row>
    <row r="641" spans="2:7" x14ac:dyDescent="0.2">
      <c r="B641" s="116" t="s">
        <v>1513</v>
      </c>
      <c r="C641" s="117" t="s">
        <v>1514</v>
      </c>
      <c r="D641" s="118" t="s">
        <v>145</v>
      </c>
      <c r="E641" s="118" t="s">
        <v>146</v>
      </c>
      <c r="F641" s="119">
        <v>0.42105263157894751</v>
      </c>
      <c r="G641" s="119">
        <v>0.31481481481481471</v>
      </c>
    </row>
    <row r="642" spans="2:7" x14ac:dyDescent="0.2">
      <c r="B642" s="116" t="s">
        <v>1515</v>
      </c>
      <c r="C642" s="117" t="s">
        <v>1516</v>
      </c>
      <c r="D642" s="118" t="s">
        <v>34</v>
      </c>
      <c r="E642" s="118" t="s">
        <v>202</v>
      </c>
      <c r="F642" s="119">
        <v>0.18062827225130881</v>
      </c>
      <c r="G642" s="119">
        <v>0.12678895383995159</v>
      </c>
    </row>
    <row r="643" spans="2:7" x14ac:dyDescent="0.2">
      <c r="B643" s="116" t="s">
        <v>1517</v>
      </c>
      <c r="C643" s="117" t="s">
        <v>1518</v>
      </c>
      <c r="D643" s="118" t="s">
        <v>52</v>
      </c>
      <c r="E643" s="118" t="s">
        <v>657</v>
      </c>
      <c r="F643" s="119">
        <v>0.28571428571428581</v>
      </c>
      <c r="G643" s="119">
        <v>0.23809523809523811</v>
      </c>
    </row>
    <row r="644" spans="2:7" x14ac:dyDescent="0.2">
      <c r="B644" s="116" t="s">
        <v>1519</v>
      </c>
      <c r="C644" s="117" t="s">
        <v>1520</v>
      </c>
      <c r="D644" s="118" t="s">
        <v>233</v>
      </c>
      <c r="E644" s="118" t="s">
        <v>703</v>
      </c>
      <c r="F644" s="119">
        <v>7.0671378091872851E-3</v>
      </c>
      <c r="G644" s="119">
        <v>6.1403508771929759E-2</v>
      </c>
    </row>
    <row r="645" spans="2:7" x14ac:dyDescent="0.2">
      <c r="B645" s="116" t="s">
        <v>1521</v>
      </c>
      <c r="C645" s="117" t="s">
        <v>1522</v>
      </c>
      <c r="D645" s="118" t="s">
        <v>39</v>
      </c>
      <c r="E645" s="118" t="s">
        <v>389</v>
      </c>
      <c r="F645" s="119">
        <v>0.1168831168831168</v>
      </c>
      <c r="G645" s="119">
        <v>0.1395348837209302</v>
      </c>
    </row>
    <row r="646" spans="2:7" x14ac:dyDescent="0.2">
      <c r="B646" s="116" t="s">
        <v>1523</v>
      </c>
      <c r="C646" s="117" t="s">
        <v>1524</v>
      </c>
      <c r="D646" s="118" t="s">
        <v>106</v>
      </c>
      <c r="E646" s="118" t="s">
        <v>131</v>
      </c>
      <c r="F646" s="119">
        <v>0.17567567567567571</v>
      </c>
      <c r="G646" s="119">
        <v>0.1691297208538588</v>
      </c>
    </row>
    <row r="647" spans="2:7" x14ac:dyDescent="0.2">
      <c r="B647" s="116" t="s">
        <v>1525</v>
      </c>
      <c r="C647" s="117" t="s">
        <v>1526</v>
      </c>
      <c r="D647" s="118" t="s">
        <v>52</v>
      </c>
      <c r="E647" s="118" t="s">
        <v>657</v>
      </c>
      <c r="F647" s="119">
        <v>-0.19215686274509799</v>
      </c>
      <c r="G647" s="119">
        <v>1.456310679611641E-2</v>
      </c>
    </row>
    <row r="648" spans="2:7" x14ac:dyDescent="0.2">
      <c r="B648" s="116" t="s">
        <v>1527</v>
      </c>
      <c r="C648" s="117" t="s">
        <v>1528</v>
      </c>
      <c r="D648" s="118" t="s">
        <v>145</v>
      </c>
      <c r="E648" s="118" t="s">
        <v>360</v>
      </c>
      <c r="F648" s="119">
        <v>9.1811414392059573E-2</v>
      </c>
      <c r="G648" s="119">
        <v>0.16136363636363629</v>
      </c>
    </row>
    <row r="649" spans="2:7" x14ac:dyDescent="0.2">
      <c r="B649" s="116" t="s">
        <v>1529</v>
      </c>
      <c r="C649" s="117" t="s">
        <v>1530</v>
      </c>
      <c r="D649" s="118" t="s">
        <v>68</v>
      </c>
      <c r="E649" s="118" t="s">
        <v>985</v>
      </c>
      <c r="F649" s="119">
        <v>5.1282051282051329E-2</v>
      </c>
      <c r="G649" s="119">
        <v>0.13008130081300809</v>
      </c>
    </row>
    <row r="650" spans="2:7" x14ac:dyDescent="0.2">
      <c r="B650" s="116" t="s">
        <v>1531</v>
      </c>
      <c r="C650" s="117" t="s">
        <v>1532</v>
      </c>
      <c r="D650" s="118" t="s">
        <v>34</v>
      </c>
      <c r="E650" s="118" t="s">
        <v>1096</v>
      </c>
      <c r="F650" s="119">
        <v>0.1210374639769452</v>
      </c>
      <c r="G650" s="119">
        <v>3.5989717223650422E-2</v>
      </c>
    </row>
    <row r="651" spans="2:7" x14ac:dyDescent="0.2">
      <c r="B651" s="116" t="s">
        <v>1533</v>
      </c>
      <c r="C651" s="117" t="s">
        <v>1534</v>
      </c>
      <c r="D651" s="118" t="s">
        <v>34</v>
      </c>
      <c r="E651" s="118" t="s">
        <v>1448</v>
      </c>
      <c r="F651" s="119">
        <v>-0.26285714285714279</v>
      </c>
      <c r="G651" s="119">
        <v>0.57364341085271298</v>
      </c>
    </row>
    <row r="652" spans="2:7" x14ac:dyDescent="0.2">
      <c r="B652" s="116" t="s">
        <v>1535</v>
      </c>
      <c r="C652" s="117" t="s">
        <v>1536</v>
      </c>
      <c r="D652" s="118" t="s">
        <v>92</v>
      </c>
      <c r="E652" s="118" t="s">
        <v>275</v>
      </c>
      <c r="F652" s="119">
        <v>-6.1703002879473473E-2</v>
      </c>
      <c r="G652" s="119">
        <v>0.1060938185006577</v>
      </c>
    </row>
    <row r="653" spans="2:7" x14ac:dyDescent="0.2">
      <c r="B653" s="116" t="s">
        <v>1537</v>
      </c>
      <c r="C653" s="117" t="s">
        <v>1538</v>
      </c>
      <c r="D653" s="118" t="s">
        <v>68</v>
      </c>
      <c r="E653" s="118" t="s">
        <v>69</v>
      </c>
      <c r="F653" s="119">
        <v>-1.6722408026755939E-2</v>
      </c>
      <c r="G653" s="119">
        <v>1.0204081632653151E-2</v>
      </c>
    </row>
    <row r="654" spans="2:7" x14ac:dyDescent="0.2">
      <c r="B654" s="116" t="s">
        <v>1539</v>
      </c>
      <c r="C654" s="117" t="s">
        <v>1540</v>
      </c>
      <c r="D654" s="118" t="s">
        <v>233</v>
      </c>
      <c r="E654" s="118" t="s">
        <v>619</v>
      </c>
      <c r="F654" s="119">
        <v>-0.36776859504132231</v>
      </c>
      <c r="G654" s="119">
        <v>0.39215686274509792</v>
      </c>
    </row>
    <row r="655" spans="2:7" x14ac:dyDescent="0.2">
      <c r="B655" s="116" t="s">
        <v>1541</v>
      </c>
      <c r="C655" s="117" t="s">
        <v>1542</v>
      </c>
      <c r="D655" s="118" t="s">
        <v>68</v>
      </c>
      <c r="E655" s="118" t="s">
        <v>75</v>
      </c>
      <c r="F655" s="119">
        <v>0.94918918918918915</v>
      </c>
      <c r="G655" s="119">
        <v>7.7872340425531918</v>
      </c>
    </row>
    <row r="656" spans="2:7" x14ac:dyDescent="0.2">
      <c r="B656" s="116" t="s">
        <v>1543</v>
      </c>
      <c r="C656" s="117" t="s">
        <v>1544</v>
      </c>
      <c r="D656" s="118" t="s">
        <v>48</v>
      </c>
      <c r="E656" s="118" t="s">
        <v>835</v>
      </c>
      <c r="F656" s="119">
        <v>0.15999999999999989</v>
      </c>
      <c r="G656" s="119">
        <v>0.13793103448275881</v>
      </c>
    </row>
    <row r="657" spans="2:7" x14ac:dyDescent="0.2">
      <c r="B657" s="116" t="s">
        <v>1545</v>
      </c>
      <c r="C657" s="117" t="s">
        <v>1546</v>
      </c>
      <c r="D657" s="118" t="s">
        <v>34</v>
      </c>
      <c r="E657" s="118" t="s">
        <v>990</v>
      </c>
      <c r="F657" s="119">
        <v>-0.15827338129496399</v>
      </c>
      <c r="G657" s="119">
        <v>0.32478632478632491</v>
      </c>
    </row>
    <row r="658" spans="2:7" x14ac:dyDescent="0.2">
      <c r="B658" s="116" t="s">
        <v>1547</v>
      </c>
      <c r="C658" s="117" t="s">
        <v>1548</v>
      </c>
      <c r="D658" s="118" t="s">
        <v>39</v>
      </c>
      <c r="E658" s="118" t="s">
        <v>363</v>
      </c>
      <c r="F658" s="119">
        <v>8.2107843137254888E-2</v>
      </c>
      <c r="G658" s="119">
        <v>8.5503963759909485E-2</v>
      </c>
    </row>
    <row r="659" spans="2:7" x14ac:dyDescent="0.2">
      <c r="B659" s="116" t="s">
        <v>1549</v>
      </c>
      <c r="C659" s="117" t="s">
        <v>1550</v>
      </c>
      <c r="D659" s="118" t="s">
        <v>115</v>
      </c>
      <c r="E659" s="118" t="s">
        <v>806</v>
      </c>
      <c r="F659" s="119">
        <v>0.16770186335403711</v>
      </c>
      <c r="G659" s="119">
        <v>1.0638297872340439E-2</v>
      </c>
    </row>
    <row r="660" spans="2:7" x14ac:dyDescent="0.2">
      <c r="B660" s="116" t="s">
        <v>1551</v>
      </c>
      <c r="C660" s="117" t="s">
        <v>1552</v>
      </c>
      <c r="D660" s="118" t="s">
        <v>68</v>
      </c>
      <c r="E660" s="118" t="s">
        <v>75</v>
      </c>
      <c r="F660" s="119">
        <v>0.32618025751072949</v>
      </c>
      <c r="G660" s="119">
        <v>0.2038834951456312</v>
      </c>
    </row>
    <row r="661" spans="2:7" x14ac:dyDescent="0.2">
      <c r="B661" s="116" t="s">
        <v>1553</v>
      </c>
      <c r="C661" s="117" t="s">
        <v>1554</v>
      </c>
      <c r="D661" s="118" t="s">
        <v>241</v>
      </c>
      <c r="E661" s="118" t="s">
        <v>534</v>
      </c>
      <c r="F661" s="119">
        <v>-0.29569892473118281</v>
      </c>
      <c r="G661" s="119">
        <v>0.30534351145038158</v>
      </c>
    </row>
    <row r="662" spans="2:7" x14ac:dyDescent="0.2">
      <c r="B662" s="116" t="s">
        <v>1555</v>
      </c>
      <c r="C662" s="117" t="s">
        <v>1556</v>
      </c>
      <c r="D662" s="118" t="s">
        <v>115</v>
      </c>
      <c r="E662" s="118" t="s">
        <v>394</v>
      </c>
      <c r="F662" s="119">
        <v>0.14148681055155871</v>
      </c>
      <c r="G662" s="119">
        <v>0.12815126050420181</v>
      </c>
    </row>
    <row r="663" spans="2:7" x14ac:dyDescent="0.2">
      <c r="B663" s="116" t="s">
        <v>1557</v>
      </c>
      <c r="C663" s="117" t="s">
        <v>1558</v>
      </c>
      <c r="D663" s="118" t="s">
        <v>92</v>
      </c>
      <c r="E663" s="118" t="s">
        <v>351</v>
      </c>
      <c r="F663" s="119">
        <v>6.5573770491803338E-2</v>
      </c>
      <c r="G663" s="119">
        <v>3.0769230769230799E-2</v>
      </c>
    </row>
    <row r="664" spans="2:7" x14ac:dyDescent="0.2">
      <c r="B664" s="116" t="s">
        <v>1559</v>
      </c>
      <c r="C664" s="117" t="s">
        <v>1560</v>
      </c>
      <c r="D664" s="118" t="s">
        <v>115</v>
      </c>
      <c r="E664" s="118" t="s">
        <v>899</v>
      </c>
      <c r="F664" s="119">
        <v>1.7341040462427761E-2</v>
      </c>
      <c r="G664" s="119">
        <v>2.2727272727272749E-2</v>
      </c>
    </row>
    <row r="665" spans="2:7" x14ac:dyDescent="0.2">
      <c r="B665" s="116" t="s">
        <v>1561</v>
      </c>
      <c r="C665" s="117" t="s">
        <v>1562</v>
      </c>
      <c r="D665" s="118" t="s">
        <v>68</v>
      </c>
      <c r="E665" s="118" t="s">
        <v>1563</v>
      </c>
      <c r="F665" s="119">
        <v>0.1122994652406418</v>
      </c>
      <c r="G665" s="119">
        <v>8.4615384615384523E-2</v>
      </c>
    </row>
    <row r="666" spans="2:7" x14ac:dyDescent="0.2">
      <c r="B666" s="116" t="s">
        <v>1564</v>
      </c>
      <c r="C666" s="117" t="s">
        <v>1565</v>
      </c>
      <c r="D666" s="118" t="s">
        <v>145</v>
      </c>
      <c r="E666" s="118" t="s">
        <v>179</v>
      </c>
      <c r="F666" s="119">
        <v>-0.10384615384615389</v>
      </c>
      <c r="G666" s="119">
        <v>0.17167381974248919</v>
      </c>
    </row>
    <row r="667" spans="2:7" x14ac:dyDescent="0.2">
      <c r="B667" s="116" t="s">
        <v>1566</v>
      </c>
      <c r="C667" s="117" t="s">
        <v>1567</v>
      </c>
      <c r="D667" s="118" t="s">
        <v>92</v>
      </c>
      <c r="E667" s="118" t="s">
        <v>272</v>
      </c>
      <c r="F667" s="119">
        <v>-3.8461538461538491E-2</v>
      </c>
      <c r="G667" s="119">
        <v>4.0000000000000042E-2</v>
      </c>
    </row>
    <row r="668" spans="2:7" x14ac:dyDescent="0.2">
      <c r="B668" s="116" t="s">
        <v>1568</v>
      </c>
      <c r="C668" s="117" t="s">
        <v>1569</v>
      </c>
      <c r="D668" s="118" t="s">
        <v>52</v>
      </c>
      <c r="E668" s="118" t="s">
        <v>1324</v>
      </c>
      <c r="F668" s="119">
        <v>3.1632653061224363E-2</v>
      </c>
      <c r="G668" s="119">
        <v>7.912957467853618E-2</v>
      </c>
    </row>
    <row r="669" spans="2:7" x14ac:dyDescent="0.2">
      <c r="B669" s="116" t="s">
        <v>1570</v>
      </c>
      <c r="C669" s="117" t="s">
        <v>1571</v>
      </c>
      <c r="D669" s="118" t="s">
        <v>92</v>
      </c>
      <c r="E669" s="118" t="s">
        <v>299</v>
      </c>
      <c r="F669" s="119">
        <v>0.1642228739002933</v>
      </c>
      <c r="G669" s="119">
        <v>0.2141057934508816</v>
      </c>
    </row>
    <row r="670" spans="2:7" x14ac:dyDescent="0.2">
      <c r="B670" s="116" t="s">
        <v>1572</v>
      </c>
      <c r="C670" s="117" t="s">
        <v>1573</v>
      </c>
      <c r="D670" s="118" t="s">
        <v>39</v>
      </c>
      <c r="E670" s="118" t="s">
        <v>363</v>
      </c>
      <c r="F670" s="119">
        <v>4.7619047619047658E-2</v>
      </c>
      <c r="G670" s="119">
        <v>-9.6590909090909047E-2</v>
      </c>
    </row>
    <row r="671" spans="2:7" x14ac:dyDescent="0.2">
      <c r="B671" s="116" t="s">
        <v>1574</v>
      </c>
      <c r="C671" s="117" t="s">
        <v>1575</v>
      </c>
      <c r="D671" s="118" t="s">
        <v>138</v>
      </c>
      <c r="E671" s="118" t="s">
        <v>139</v>
      </c>
      <c r="F671" s="119">
        <v>5.3475935828875866E-3</v>
      </c>
      <c r="G671" s="119">
        <v>5.3191489361702177E-2</v>
      </c>
    </row>
    <row r="672" spans="2:7" x14ac:dyDescent="0.2">
      <c r="B672" s="116" t="s">
        <v>1576</v>
      </c>
      <c r="C672" s="117" t="s">
        <v>1577</v>
      </c>
      <c r="D672" s="118" t="s">
        <v>115</v>
      </c>
      <c r="E672" s="118" t="s">
        <v>587</v>
      </c>
      <c r="F672" s="119">
        <v>2.631578947368424E-2</v>
      </c>
      <c r="G672" s="119">
        <v>4.2735042735042778E-2</v>
      </c>
    </row>
    <row r="673" spans="2:7" x14ac:dyDescent="0.2">
      <c r="B673" s="116" t="s">
        <v>1578</v>
      </c>
      <c r="C673" s="117" t="s">
        <v>1579</v>
      </c>
      <c r="D673" s="118" t="s">
        <v>198</v>
      </c>
      <c r="E673" s="118" t="s">
        <v>199</v>
      </c>
      <c r="F673" s="119">
        <v>0.21693121693121689</v>
      </c>
      <c r="G673" s="119">
        <v>0.1</v>
      </c>
    </row>
    <row r="674" spans="2:7" x14ac:dyDescent="0.2">
      <c r="B674" s="116" t="s">
        <v>1580</v>
      </c>
      <c r="C674" s="117" t="s">
        <v>1581</v>
      </c>
      <c r="D674" s="118" t="s">
        <v>78</v>
      </c>
      <c r="E674" s="118" t="s">
        <v>79</v>
      </c>
      <c r="F674" s="119">
        <v>5.9574468085106427E-2</v>
      </c>
      <c r="G674" s="119">
        <v>8.8353413654618365E-2</v>
      </c>
    </row>
    <row r="675" spans="2:7" x14ac:dyDescent="0.2">
      <c r="B675" s="116" t="s">
        <v>1582</v>
      </c>
      <c r="C675" s="117" t="s">
        <v>1583</v>
      </c>
      <c r="D675" s="118" t="s">
        <v>78</v>
      </c>
      <c r="E675" s="118" t="s">
        <v>912</v>
      </c>
      <c r="F675" s="119">
        <v>9.079283887468019E-2</v>
      </c>
      <c r="G675" s="119">
        <v>6.0961313012895833E-2</v>
      </c>
    </row>
    <row r="676" spans="2:7" x14ac:dyDescent="0.2">
      <c r="B676" s="116" t="s">
        <v>1584</v>
      </c>
      <c r="C676" s="117" t="s">
        <v>1585</v>
      </c>
      <c r="D676" s="118" t="s">
        <v>78</v>
      </c>
      <c r="E676" s="118" t="s">
        <v>796</v>
      </c>
      <c r="F676" s="119">
        <v>-9.3567251461988257E-2</v>
      </c>
      <c r="G676" s="119">
        <v>4.5161290322580677E-2</v>
      </c>
    </row>
    <row r="677" spans="2:7" x14ac:dyDescent="0.2">
      <c r="B677" s="116" t="s">
        <v>1586</v>
      </c>
      <c r="C677" s="117" t="s">
        <v>1587</v>
      </c>
      <c r="D677" s="118" t="s">
        <v>241</v>
      </c>
      <c r="E677" s="118" t="s">
        <v>242</v>
      </c>
      <c r="F677" s="119">
        <v>0.21739130434782611</v>
      </c>
      <c r="G677" s="119">
        <v>3.333333333333333</v>
      </c>
    </row>
    <row r="678" spans="2:7" x14ac:dyDescent="0.2">
      <c r="B678" s="116" t="s">
        <v>1588</v>
      </c>
      <c r="C678" s="117" t="s">
        <v>1589</v>
      </c>
      <c r="D678" s="118" t="s">
        <v>241</v>
      </c>
      <c r="E678" s="118" t="s">
        <v>1216</v>
      </c>
      <c r="F678" s="119">
        <v>-0.24398073836276091</v>
      </c>
      <c r="G678" s="119">
        <v>0.10828025477707</v>
      </c>
    </row>
    <row r="679" spans="2:7" x14ac:dyDescent="0.2">
      <c r="B679" s="116" t="s">
        <v>1590</v>
      </c>
      <c r="C679" s="117" t="s">
        <v>1591</v>
      </c>
      <c r="D679" s="118" t="s">
        <v>92</v>
      </c>
      <c r="E679" s="118" t="s">
        <v>558</v>
      </c>
      <c r="F679" s="119">
        <v>-0.51086956521739135</v>
      </c>
      <c r="G679" s="119">
        <v>-2.0222222222222221</v>
      </c>
    </row>
    <row r="680" spans="2:7" x14ac:dyDescent="0.2">
      <c r="B680" s="116" t="s">
        <v>1592</v>
      </c>
      <c r="C680" s="117" t="s">
        <v>1593</v>
      </c>
      <c r="D680" s="118" t="s">
        <v>92</v>
      </c>
      <c r="E680" s="118" t="s">
        <v>142</v>
      </c>
      <c r="F680" s="119">
        <v>0.26190476190476181</v>
      </c>
      <c r="G680" s="119">
        <v>3.3962264150943507E-2</v>
      </c>
    </row>
    <row r="681" spans="2:7" x14ac:dyDescent="0.2">
      <c r="B681" s="116" t="s">
        <v>1594</v>
      </c>
      <c r="C681" s="117" t="s">
        <v>1595</v>
      </c>
      <c r="D681" s="118" t="s">
        <v>198</v>
      </c>
      <c r="E681" s="118" t="s">
        <v>456</v>
      </c>
      <c r="F681" s="119">
        <v>-0.2586298459904407</v>
      </c>
      <c r="G681" s="119">
        <v>0.18338108882521481</v>
      </c>
    </row>
    <row r="682" spans="2:7" x14ac:dyDescent="0.2">
      <c r="B682" s="116" t="s">
        <v>1596</v>
      </c>
      <c r="C682" s="117" t="s">
        <v>1597</v>
      </c>
      <c r="D682" s="118" t="s">
        <v>233</v>
      </c>
      <c r="E682" s="118" t="s">
        <v>469</v>
      </c>
      <c r="F682" s="119">
        <v>-0.89336492890995256</v>
      </c>
      <c r="G682" s="119">
        <v>-1</v>
      </c>
    </row>
    <row r="683" spans="2:7" x14ac:dyDescent="0.2">
      <c r="B683" s="116" t="s">
        <v>1598</v>
      </c>
      <c r="C683" s="117" t="s">
        <v>1599</v>
      </c>
      <c r="D683" s="118" t="s">
        <v>92</v>
      </c>
      <c r="E683" s="118" t="s">
        <v>272</v>
      </c>
      <c r="F683" s="119">
        <v>-3.1976744186046478E-2</v>
      </c>
      <c r="G683" s="119">
        <v>6.9069069069069067E-2</v>
      </c>
    </row>
    <row r="684" spans="2:7" x14ac:dyDescent="0.2">
      <c r="B684" s="116" t="s">
        <v>1600</v>
      </c>
      <c r="C684" s="117" t="s">
        <v>1601</v>
      </c>
      <c r="D684" s="118" t="s">
        <v>68</v>
      </c>
      <c r="E684" s="118" t="s">
        <v>985</v>
      </c>
      <c r="F684" s="119">
        <v>9.4890510948905021E-2</v>
      </c>
      <c r="G684" s="119">
        <v>8.66666666666666E-2</v>
      </c>
    </row>
    <row r="685" spans="2:7" x14ac:dyDescent="0.2">
      <c r="B685" s="116" t="s">
        <v>1602</v>
      </c>
      <c r="C685" s="117" t="s">
        <v>1603</v>
      </c>
      <c r="D685" s="118" t="s">
        <v>92</v>
      </c>
      <c r="E685" s="118" t="s">
        <v>722</v>
      </c>
      <c r="F685" s="119">
        <v>5.5555555555555608E-2</v>
      </c>
      <c r="G685" s="119">
        <v>0.2368421052631578</v>
      </c>
    </row>
    <row r="686" spans="2:7" x14ac:dyDescent="0.2">
      <c r="B686" s="116" t="s">
        <v>1604</v>
      </c>
      <c r="C686" s="117" t="s">
        <v>1605</v>
      </c>
      <c r="D686" s="118" t="s">
        <v>52</v>
      </c>
      <c r="E686" s="118" t="s">
        <v>1010</v>
      </c>
      <c r="F686" s="119">
        <v>-8.4210526315789541E-2</v>
      </c>
      <c r="G686" s="119">
        <v>0.2375478927203066</v>
      </c>
    </row>
    <row r="687" spans="2:7" x14ac:dyDescent="0.2">
      <c r="B687" s="116" t="s">
        <v>1606</v>
      </c>
      <c r="C687" s="117" t="s">
        <v>1607</v>
      </c>
      <c r="D687" s="118" t="s">
        <v>92</v>
      </c>
      <c r="E687" s="118" t="s">
        <v>434</v>
      </c>
      <c r="F687" s="119">
        <v>0.1007462686567164</v>
      </c>
      <c r="G687" s="119">
        <v>0.1220338983050847</v>
      </c>
    </row>
    <row r="688" spans="2:7" x14ac:dyDescent="0.2">
      <c r="B688" s="116" t="s">
        <v>1608</v>
      </c>
      <c r="C688" s="117" t="s">
        <v>1609</v>
      </c>
      <c r="D688" s="118" t="s">
        <v>39</v>
      </c>
      <c r="E688" s="118" t="s">
        <v>62</v>
      </c>
      <c r="F688" s="119">
        <v>9.523809523809515E-2</v>
      </c>
      <c r="G688" s="119">
        <v>5.7971014492753679E-2</v>
      </c>
    </row>
    <row r="689" spans="2:7" x14ac:dyDescent="0.2">
      <c r="B689" s="116" t="s">
        <v>1610</v>
      </c>
      <c r="C689" s="117" t="s">
        <v>1611</v>
      </c>
      <c r="D689" s="118" t="s">
        <v>92</v>
      </c>
      <c r="E689" s="118" t="s">
        <v>195</v>
      </c>
      <c r="F689" s="119">
        <v>6.2176165803108752E-2</v>
      </c>
      <c r="G689" s="119">
        <v>0.14146341463414641</v>
      </c>
    </row>
    <row r="690" spans="2:7" x14ac:dyDescent="0.2">
      <c r="B690" s="116" t="s">
        <v>1612</v>
      </c>
      <c r="C690" s="117" t="s">
        <v>1613</v>
      </c>
      <c r="D690" s="118" t="s">
        <v>115</v>
      </c>
      <c r="E690" s="118" t="s">
        <v>806</v>
      </c>
      <c r="F690" s="119">
        <v>0.42962962962962947</v>
      </c>
      <c r="G690" s="119">
        <v>0.1062176165803108</v>
      </c>
    </row>
    <row r="691" spans="2:7" x14ac:dyDescent="0.2">
      <c r="B691" s="116" t="s">
        <v>1614</v>
      </c>
      <c r="C691" s="117" t="s">
        <v>1615</v>
      </c>
      <c r="D691" s="118" t="s">
        <v>68</v>
      </c>
      <c r="E691" s="118" t="s">
        <v>69</v>
      </c>
      <c r="F691" s="119">
        <v>-0.18904109589041099</v>
      </c>
      <c r="G691" s="119">
        <v>3.7162162162162123E-2</v>
      </c>
    </row>
    <row r="692" spans="2:7" x14ac:dyDescent="0.2">
      <c r="B692" s="116" t="s">
        <v>1616</v>
      </c>
      <c r="C692" s="117" t="s">
        <v>1617</v>
      </c>
      <c r="D692" s="118" t="s">
        <v>233</v>
      </c>
      <c r="E692" s="118" t="s">
        <v>469</v>
      </c>
      <c r="F692" s="119">
        <v>-0.10554089709762531</v>
      </c>
      <c r="G692" s="119">
        <v>0.10029498525073741</v>
      </c>
    </row>
    <row r="693" spans="2:7" x14ac:dyDescent="0.2">
      <c r="B693" s="116" t="s">
        <v>1618</v>
      </c>
      <c r="C693" s="117" t="s">
        <v>1619</v>
      </c>
      <c r="D693" s="118" t="s">
        <v>68</v>
      </c>
      <c r="E693" s="118" t="s">
        <v>778</v>
      </c>
      <c r="F693" s="119">
        <v>0.27450980392156871</v>
      </c>
      <c r="G693" s="119">
        <v>3.0769230769230799E-2</v>
      </c>
    </row>
    <row r="694" spans="2:7" x14ac:dyDescent="0.2">
      <c r="B694" s="116" t="s">
        <v>1620</v>
      </c>
      <c r="C694" s="117" t="s">
        <v>1621</v>
      </c>
      <c r="D694" s="118" t="s">
        <v>138</v>
      </c>
      <c r="E694" s="118" t="s">
        <v>139</v>
      </c>
      <c r="F694" s="119">
        <v>1.1234567901234569</v>
      </c>
      <c r="G694" s="119">
        <v>8.7209302325581481E-2</v>
      </c>
    </row>
    <row r="695" spans="2:7" x14ac:dyDescent="0.2">
      <c r="B695" s="116" t="s">
        <v>1622</v>
      </c>
      <c r="C695" s="117" t="s">
        <v>1623</v>
      </c>
      <c r="D695" s="118" t="s">
        <v>34</v>
      </c>
      <c r="E695" s="118" t="s">
        <v>1096</v>
      </c>
      <c r="F695" s="119">
        <v>3.0821917808219131E-2</v>
      </c>
      <c r="G695" s="119">
        <v>6.6445182724252554E-3</v>
      </c>
    </row>
    <row r="696" spans="2:7" x14ac:dyDescent="0.2">
      <c r="B696" s="116" t="s">
        <v>1624</v>
      </c>
      <c r="C696" s="117" t="s">
        <v>1625</v>
      </c>
      <c r="D696" s="118" t="s">
        <v>233</v>
      </c>
      <c r="E696" s="118" t="s">
        <v>1314</v>
      </c>
      <c r="F696" s="119">
        <v>-0.17365269461077851</v>
      </c>
      <c r="G696" s="119">
        <v>0.27898550724637677</v>
      </c>
    </row>
    <row r="697" spans="2:7" x14ac:dyDescent="0.2">
      <c r="B697" s="116" t="s">
        <v>1626</v>
      </c>
      <c r="C697" s="117" t="s">
        <v>1627</v>
      </c>
      <c r="D697" s="118" t="s">
        <v>68</v>
      </c>
      <c r="E697" s="118" t="s">
        <v>82</v>
      </c>
      <c r="F697" s="119">
        <v>8.9285714285714163E-2</v>
      </c>
      <c r="G697" s="119">
        <v>7.7868852459016369E-2</v>
      </c>
    </row>
    <row r="698" spans="2:7" x14ac:dyDescent="0.2">
      <c r="B698" s="116" t="s">
        <v>1628</v>
      </c>
      <c r="C698" s="117" t="s">
        <v>1629</v>
      </c>
      <c r="D698" s="118" t="s">
        <v>92</v>
      </c>
      <c r="E698" s="118" t="s">
        <v>614</v>
      </c>
      <c r="F698" s="119">
        <v>-2.2727272727272749E-2</v>
      </c>
      <c r="G698" s="119">
        <v>2.3255813953488389E-2</v>
      </c>
    </row>
    <row r="699" spans="2:7" x14ac:dyDescent="0.2">
      <c r="B699" s="116" t="s">
        <v>1630</v>
      </c>
      <c r="C699" s="117" t="s">
        <v>1631</v>
      </c>
      <c r="D699" s="118" t="s">
        <v>678</v>
      </c>
      <c r="E699" s="118" t="s">
        <v>679</v>
      </c>
      <c r="F699" s="119">
        <v>1.503759398496231E-2</v>
      </c>
      <c r="G699" s="119">
        <v>9.5061728395061676E-2</v>
      </c>
    </row>
    <row r="700" spans="2:7" x14ac:dyDescent="0.2">
      <c r="B700" s="116" t="s">
        <v>1632</v>
      </c>
      <c r="C700" s="117" t="s">
        <v>1633</v>
      </c>
      <c r="D700" s="118" t="s">
        <v>241</v>
      </c>
      <c r="E700" s="118" t="s">
        <v>1634</v>
      </c>
      <c r="F700" s="119">
        <v>9.7857142857142847</v>
      </c>
      <c r="G700" s="119">
        <v>-0.36423841059602652</v>
      </c>
    </row>
    <row r="701" spans="2:7" x14ac:dyDescent="0.2">
      <c r="B701" s="116" t="s">
        <v>1635</v>
      </c>
      <c r="C701" s="117" t="s">
        <v>1636</v>
      </c>
      <c r="D701" s="118" t="s">
        <v>34</v>
      </c>
      <c r="E701" s="118" t="s">
        <v>1637</v>
      </c>
      <c r="F701" s="119">
        <v>0.1372549019607843</v>
      </c>
      <c r="G701" s="119">
        <v>1.149425287356323E-2</v>
      </c>
    </row>
    <row r="702" spans="2:7" x14ac:dyDescent="0.2">
      <c r="B702" s="116" t="s">
        <v>1638</v>
      </c>
      <c r="C702" s="117" t="s">
        <v>1639</v>
      </c>
      <c r="D702" s="118" t="s">
        <v>92</v>
      </c>
      <c r="E702" s="118" t="s">
        <v>272</v>
      </c>
      <c r="F702" s="119">
        <v>7.5268817204301022E-2</v>
      </c>
      <c r="G702" s="119">
        <v>9.000000000000008E-2</v>
      </c>
    </row>
    <row r="703" spans="2:7" x14ac:dyDescent="0.2">
      <c r="B703" s="116" t="s">
        <v>1640</v>
      </c>
      <c r="C703" s="117" t="s">
        <v>1641</v>
      </c>
      <c r="D703" s="118" t="s">
        <v>34</v>
      </c>
      <c r="E703" s="118" t="s">
        <v>59</v>
      </c>
      <c r="F703" s="119">
        <v>9.4059405940594032E-2</v>
      </c>
      <c r="G703" s="119">
        <v>4.5248868778281588E-3</v>
      </c>
    </row>
    <row r="704" spans="2:7" x14ac:dyDescent="0.2">
      <c r="B704" s="116" t="s">
        <v>1642</v>
      </c>
      <c r="C704" s="117" t="s">
        <v>1643</v>
      </c>
      <c r="D704" s="118" t="s">
        <v>92</v>
      </c>
      <c r="E704" s="118" t="s">
        <v>272</v>
      </c>
      <c r="F704" s="119">
        <v>-1.066666666666668E-2</v>
      </c>
      <c r="G704" s="119">
        <v>2.1563342318059321E-2</v>
      </c>
    </row>
    <row r="705" spans="2:7" x14ac:dyDescent="0.2">
      <c r="B705" s="116" t="s">
        <v>1644</v>
      </c>
      <c r="C705" s="117" t="s">
        <v>1645</v>
      </c>
      <c r="D705" s="118" t="s">
        <v>68</v>
      </c>
      <c r="E705" s="118" t="s">
        <v>949</v>
      </c>
      <c r="F705" s="119">
        <v>5.2173913043478307E-2</v>
      </c>
      <c r="G705" s="119">
        <v>0.19834710743801651</v>
      </c>
    </row>
    <row r="706" spans="2:7" x14ac:dyDescent="0.2">
      <c r="B706" s="116" t="s">
        <v>1646</v>
      </c>
      <c r="C706" s="117" t="s">
        <v>1647</v>
      </c>
      <c r="D706" s="118" t="s">
        <v>115</v>
      </c>
      <c r="E706" s="118" t="s">
        <v>551</v>
      </c>
      <c r="F706" s="119">
        <v>5.0505050505050553E-3</v>
      </c>
      <c r="G706" s="119">
        <v>2.512562814070354E-2</v>
      </c>
    </row>
    <row r="707" spans="2:7" x14ac:dyDescent="0.2">
      <c r="B707" s="116" t="s">
        <v>1648</v>
      </c>
      <c r="C707" s="117" t="s">
        <v>1649</v>
      </c>
      <c r="D707" s="118" t="s">
        <v>68</v>
      </c>
      <c r="E707" s="118" t="s">
        <v>75</v>
      </c>
      <c r="F707" s="119">
        <v>8.8362068965517279E-2</v>
      </c>
      <c r="G707" s="119">
        <v>8.9108910891089146E-2</v>
      </c>
    </row>
    <row r="708" spans="2:7" x14ac:dyDescent="0.2">
      <c r="B708" s="116" t="s">
        <v>1650</v>
      </c>
      <c r="C708" s="117" t="s">
        <v>1651</v>
      </c>
      <c r="D708" s="118" t="s">
        <v>92</v>
      </c>
      <c r="E708" s="118" t="s">
        <v>195</v>
      </c>
      <c r="F708" s="119">
        <v>0.14728682170542631</v>
      </c>
      <c r="G708" s="119">
        <v>0.1148648648648648</v>
      </c>
    </row>
    <row r="709" spans="2:7" x14ac:dyDescent="0.2">
      <c r="B709" s="116" t="s">
        <v>1652</v>
      </c>
      <c r="C709" s="117" t="s">
        <v>1653</v>
      </c>
      <c r="D709" s="118" t="s">
        <v>78</v>
      </c>
      <c r="E709" s="118" t="s">
        <v>1654</v>
      </c>
      <c r="F709" s="119">
        <v>5.7803468208092526E-3</v>
      </c>
      <c r="G709" s="119">
        <v>2.2988505747126461E-2</v>
      </c>
    </row>
    <row r="710" spans="2:7" x14ac:dyDescent="0.2">
      <c r="B710" s="116" t="s">
        <v>1655</v>
      </c>
      <c r="C710" s="117" t="s">
        <v>1656</v>
      </c>
      <c r="D710" s="118" t="s">
        <v>92</v>
      </c>
      <c r="E710" s="118" t="s">
        <v>299</v>
      </c>
      <c r="F710" s="119">
        <v>-2.425876010781667E-2</v>
      </c>
      <c r="G710" s="119">
        <v>-1.9337016574585711E-2</v>
      </c>
    </row>
    <row r="711" spans="2:7" x14ac:dyDescent="0.2">
      <c r="B711" s="116" t="s">
        <v>1657</v>
      </c>
      <c r="C711" s="117" t="s">
        <v>1658</v>
      </c>
      <c r="D711" s="118" t="s">
        <v>68</v>
      </c>
      <c r="E711" s="118" t="s">
        <v>72</v>
      </c>
      <c r="F711" s="119">
        <v>-0.16019417475728159</v>
      </c>
      <c r="G711" s="119">
        <v>8.3815028901734118E-2</v>
      </c>
    </row>
    <row r="712" spans="2:7" x14ac:dyDescent="0.2">
      <c r="B712" s="116" t="s">
        <v>1659</v>
      </c>
      <c r="C712" s="117" t="s">
        <v>1660</v>
      </c>
      <c r="D712" s="118" t="s">
        <v>92</v>
      </c>
      <c r="E712" s="118" t="s">
        <v>299</v>
      </c>
      <c r="F712" s="119">
        <v>3.2258064516129059E-2</v>
      </c>
      <c r="G712" s="119">
        <v>-6.2500000000000064E-3</v>
      </c>
    </row>
    <row r="713" spans="2:7" x14ac:dyDescent="0.2">
      <c r="B713" s="116" t="s">
        <v>1661</v>
      </c>
      <c r="C713" s="117" t="s">
        <v>1662</v>
      </c>
      <c r="D713" s="118" t="s">
        <v>92</v>
      </c>
      <c r="E713" s="118" t="s">
        <v>272</v>
      </c>
      <c r="F713" s="119">
        <v>1.1428571428571441E-2</v>
      </c>
      <c r="G713" s="119">
        <v>-3.389830508474579E-2</v>
      </c>
    </row>
    <row r="714" spans="2:7" x14ac:dyDescent="0.2">
      <c r="B714" s="116" t="s">
        <v>1663</v>
      </c>
      <c r="C714" s="117" t="s">
        <v>1664</v>
      </c>
      <c r="D714" s="118" t="s">
        <v>78</v>
      </c>
      <c r="E714" s="118" t="s">
        <v>1665</v>
      </c>
      <c r="F714" s="119">
        <v>6.8901303538175071E-2</v>
      </c>
      <c r="G714" s="119">
        <v>6.2717770034843107E-2</v>
      </c>
    </row>
    <row r="715" spans="2:7" x14ac:dyDescent="0.2">
      <c r="B715" s="116" t="s">
        <v>1666</v>
      </c>
      <c r="C715" s="117" t="s">
        <v>1667</v>
      </c>
      <c r="D715" s="118" t="s">
        <v>92</v>
      </c>
      <c r="E715" s="118" t="s">
        <v>272</v>
      </c>
      <c r="F715" s="119">
        <v>6.1349693251533796E-3</v>
      </c>
      <c r="G715" s="119">
        <v>3.6585365853658569E-2</v>
      </c>
    </row>
    <row r="716" spans="2:7" x14ac:dyDescent="0.2">
      <c r="B716" s="116" t="s">
        <v>1668</v>
      </c>
      <c r="C716" s="117" t="s">
        <v>1669</v>
      </c>
      <c r="D716" s="118" t="s">
        <v>678</v>
      </c>
      <c r="E716" s="118" t="s">
        <v>679</v>
      </c>
      <c r="F716" s="119">
        <v>1.062953995157385</v>
      </c>
      <c r="G716" s="119">
        <v>0.20305164319248831</v>
      </c>
    </row>
    <row r="717" spans="2:7" x14ac:dyDescent="0.2">
      <c r="B717" s="116" t="s">
        <v>1670</v>
      </c>
      <c r="C717" s="117" t="s">
        <v>1671</v>
      </c>
      <c r="D717" s="118" t="s">
        <v>115</v>
      </c>
      <c r="E717" s="118" t="s">
        <v>806</v>
      </c>
      <c r="F717" s="119">
        <v>-6.0975609756097483E-2</v>
      </c>
      <c r="G717" s="119">
        <v>0.29870129870129869</v>
      </c>
    </row>
    <row r="718" spans="2:7" x14ac:dyDescent="0.2">
      <c r="B718" s="116" t="s">
        <v>1672</v>
      </c>
      <c r="C718" s="117" t="s">
        <v>1673</v>
      </c>
      <c r="D718" s="118" t="s">
        <v>39</v>
      </c>
      <c r="E718" s="118" t="s">
        <v>1674</v>
      </c>
      <c r="F718" s="119">
        <v>0.1129476584022039</v>
      </c>
      <c r="G718" s="119">
        <v>8.7871287128712755E-2</v>
      </c>
    </row>
    <row r="719" spans="2:7" x14ac:dyDescent="0.2">
      <c r="B719" s="116" t="s">
        <v>1675</v>
      </c>
      <c r="C719" s="117" t="s">
        <v>1676</v>
      </c>
      <c r="D719" s="118" t="s">
        <v>34</v>
      </c>
      <c r="E719" s="118" t="s">
        <v>319</v>
      </c>
      <c r="F719" s="119">
        <v>0.74074074074074048</v>
      </c>
      <c r="G719" s="119">
        <v>0.23404255319148939</v>
      </c>
    </row>
    <row r="720" spans="2:7" x14ac:dyDescent="0.2">
      <c r="B720" s="116" t="s">
        <v>1677</v>
      </c>
      <c r="C720" s="117" t="s">
        <v>1678</v>
      </c>
      <c r="D720" s="118" t="s">
        <v>68</v>
      </c>
      <c r="E720" s="118" t="s">
        <v>296</v>
      </c>
      <c r="F720" s="119">
        <v>0.22453222453222471</v>
      </c>
      <c r="G720" s="119">
        <v>6.5082059988681287E-2</v>
      </c>
    </row>
    <row r="721" spans="2:7" x14ac:dyDescent="0.2">
      <c r="B721" s="116" t="s">
        <v>1679</v>
      </c>
      <c r="C721" s="117" t="s">
        <v>1680</v>
      </c>
      <c r="D721" s="118" t="s">
        <v>145</v>
      </c>
      <c r="E721" s="118" t="s">
        <v>179</v>
      </c>
      <c r="F721" s="119">
        <v>-0.31547619047619052</v>
      </c>
      <c r="G721" s="119">
        <v>0.1913043478260871</v>
      </c>
    </row>
    <row r="722" spans="2:7" x14ac:dyDescent="0.2">
      <c r="B722" s="116" t="s">
        <v>1681</v>
      </c>
      <c r="C722" s="117" t="s">
        <v>1682</v>
      </c>
      <c r="D722" s="118" t="s">
        <v>92</v>
      </c>
      <c r="E722" s="118" t="s">
        <v>192</v>
      </c>
      <c r="F722" s="119">
        <v>0.15789473684210509</v>
      </c>
      <c r="G722" s="119">
        <v>1.223776223776229E-2</v>
      </c>
    </row>
    <row r="723" spans="2:7" x14ac:dyDescent="0.2">
      <c r="B723" s="116" t="s">
        <v>1683</v>
      </c>
      <c r="C723" s="117" t="s">
        <v>1684</v>
      </c>
      <c r="D723" s="118" t="s">
        <v>115</v>
      </c>
      <c r="E723" s="118" t="s">
        <v>1201</v>
      </c>
      <c r="F723" s="119">
        <v>1.8072289156626519E-2</v>
      </c>
      <c r="G723" s="119">
        <v>6.5088757396449759E-2</v>
      </c>
    </row>
    <row r="724" spans="2:7" x14ac:dyDescent="0.2">
      <c r="B724" s="116" t="s">
        <v>1685</v>
      </c>
      <c r="C724" s="117" t="s">
        <v>1686</v>
      </c>
      <c r="D724" s="118" t="s">
        <v>198</v>
      </c>
      <c r="E724" s="118" t="s">
        <v>199</v>
      </c>
      <c r="F724" s="119">
        <v>0.16171617161716181</v>
      </c>
      <c r="G724" s="119">
        <v>0.1107954545454546</v>
      </c>
    </row>
    <row r="725" spans="2:7" x14ac:dyDescent="0.2">
      <c r="B725" s="116" t="s">
        <v>1687</v>
      </c>
      <c r="C725" s="117" t="s">
        <v>1688</v>
      </c>
      <c r="D725" s="118" t="s">
        <v>68</v>
      </c>
      <c r="E725" s="118" t="s">
        <v>87</v>
      </c>
      <c r="F725" s="119">
        <v>7.1428571428571494E-2</v>
      </c>
      <c r="G725" s="119">
        <v>0.1166666666666665</v>
      </c>
    </row>
    <row r="726" spans="2:7" x14ac:dyDescent="0.2">
      <c r="B726" s="116" t="s">
        <v>1689</v>
      </c>
      <c r="C726" s="117" t="s">
        <v>1690</v>
      </c>
      <c r="D726" s="118" t="s">
        <v>34</v>
      </c>
      <c r="E726" s="118" t="s">
        <v>1281</v>
      </c>
      <c r="F726" s="119">
        <v>0.39353099730458219</v>
      </c>
      <c r="G726" s="119">
        <v>-0.32000000000000012</v>
      </c>
    </row>
    <row r="727" spans="2:7" x14ac:dyDescent="0.2">
      <c r="B727" s="116" t="s">
        <v>1691</v>
      </c>
      <c r="C727" s="117" t="s">
        <v>1692</v>
      </c>
      <c r="D727" s="118" t="s">
        <v>52</v>
      </c>
      <c r="E727" s="118" t="s">
        <v>281</v>
      </c>
      <c r="F727" s="119">
        <v>-0.2128801431127012</v>
      </c>
      <c r="G727" s="119">
        <v>0.31136363636363618</v>
      </c>
    </row>
    <row r="728" spans="2:7" x14ac:dyDescent="0.2">
      <c r="B728" s="116" t="s">
        <v>1693</v>
      </c>
      <c r="C728" s="117" t="s">
        <v>1694</v>
      </c>
      <c r="D728" s="118" t="s">
        <v>68</v>
      </c>
      <c r="E728" s="118" t="s">
        <v>82</v>
      </c>
      <c r="F728" s="119">
        <v>0.14225941422594129</v>
      </c>
      <c r="G728" s="119">
        <v>0.10989010989010981</v>
      </c>
    </row>
    <row r="729" spans="2:7" x14ac:dyDescent="0.2">
      <c r="B729" s="116" t="s">
        <v>1695</v>
      </c>
      <c r="C729" s="117" t="s">
        <v>1696</v>
      </c>
      <c r="D729" s="118" t="s">
        <v>92</v>
      </c>
      <c r="E729" s="118" t="s">
        <v>614</v>
      </c>
      <c r="F729" s="119">
        <v>7.7155824508320689E-2</v>
      </c>
      <c r="G729" s="119">
        <v>2.1067415730337009E-2</v>
      </c>
    </row>
    <row r="730" spans="2:7" x14ac:dyDescent="0.2">
      <c r="B730" s="116" t="s">
        <v>1697</v>
      </c>
      <c r="C730" s="117" t="s">
        <v>1698</v>
      </c>
      <c r="D730" s="118" t="s">
        <v>92</v>
      </c>
      <c r="E730" s="118" t="s">
        <v>275</v>
      </c>
      <c r="F730" s="119">
        <v>0.104265402843602</v>
      </c>
      <c r="G730" s="119">
        <v>0.1459227467811158</v>
      </c>
    </row>
    <row r="731" spans="2:7" x14ac:dyDescent="0.2">
      <c r="B731" s="116" t="s">
        <v>1699</v>
      </c>
      <c r="C731" s="117" t="s">
        <v>1700</v>
      </c>
      <c r="D731" s="118" t="s">
        <v>34</v>
      </c>
      <c r="E731" s="118" t="s">
        <v>1637</v>
      </c>
      <c r="F731" s="119">
        <v>-7.1117561683599326E-2</v>
      </c>
      <c r="G731" s="119">
        <v>3.90625E-2</v>
      </c>
    </row>
    <row r="732" spans="2:7" x14ac:dyDescent="0.2">
      <c r="B732" s="116" t="s">
        <v>1701</v>
      </c>
      <c r="C732" s="117" t="s">
        <v>1702</v>
      </c>
      <c r="D732" s="118" t="s">
        <v>92</v>
      </c>
      <c r="E732" s="118" t="s">
        <v>299</v>
      </c>
      <c r="F732" s="119">
        <v>2.25</v>
      </c>
      <c r="G732" s="119">
        <v>0.3076923076923076</v>
      </c>
    </row>
    <row r="733" spans="2:7" x14ac:dyDescent="0.2">
      <c r="B733" s="116" t="s">
        <v>1703</v>
      </c>
      <c r="C733" s="117" t="s">
        <v>1704</v>
      </c>
      <c r="D733" s="118" t="s">
        <v>92</v>
      </c>
      <c r="E733" s="118" t="s">
        <v>717</v>
      </c>
      <c r="F733" s="119">
        <v>5.3221288515406147E-2</v>
      </c>
      <c r="G733" s="119">
        <v>0.10638297872340439</v>
      </c>
    </row>
    <row r="734" spans="2:7" x14ac:dyDescent="0.2">
      <c r="B734" s="116" t="s">
        <v>1705</v>
      </c>
      <c r="C734" s="117" t="s">
        <v>1706</v>
      </c>
      <c r="D734" s="118" t="s">
        <v>145</v>
      </c>
      <c r="E734" s="118" t="s">
        <v>360</v>
      </c>
      <c r="F734" s="119">
        <v>0.16666666666666671</v>
      </c>
      <c r="G734" s="119">
        <v>0.119047619047619</v>
      </c>
    </row>
    <row r="735" spans="2:7" x14ac:dyDescent="0.2">
      <c r="B735" s="116" t="s">
        <v>1707</v>
      </c>
      <c r="C735" s="117" t="s">
        <v>1708</v>
      </c>
      <c r="D735" s="118" t="s">
        <v>68</v>
      </c>
      <c r="E735" s="118" t="s">
        <v>949</v>
      </c>
      <c r="F735" s="119">
        <v>0.13344316309719931</v>
      </c>
      <c r="G735" s="119">
        <v>0.11918604651162799</v>
      </c>
    </row>
    <row r="736" spans="2:7" x14ac:dyDescent="0.2">
      <c r="B736" s="116" t="s">
        <v>1709</v>
      </c>
      <c r="C736" s="117" t="s">
        <v>1710</v>
      </c>
      <c r="D736" s="118" t="s">
        <v>68</v>
      </c>
      <c r="E736" s="118" t="s">
        <v>75</v>
      </c>
      <c r="F736" s="119">
        <v>-7.2684642438452435E-2</v>
      </c>
      <c r="G736" s="119">
        <v>-2.5284450063211708E-3</v>
      </c>
    </row>
    <row r="737" spans="2:7" x14ac:dyDescent="0.2">
      <c r="B737" s="116" t="s">
        <v>1711</v>
      </c>
      <c r="C737" s="117" t="s">
        <v>1712</v>
      </c>
      <c r="D737" s="118" t="s">
        <v>138</v>
      </c>
      <c r="E737" s="118" t="s">
        <v>139</v>
      </c>
      <c r="F737" s="119">
        <v>2.2471910112359071E-3</v>
      </c>
      <c r="G737" s="119">
        <v>2.2421524663677049E-2</v>
      </c>
    </row>
    <row r="738" spans="2:7" x14ac:dyDescent="0.2">
      <c r="B738" s="116" t="s">
        <v>1713</v>
      </c>
      <c r="C738" s="117" t="s">
        <v>1714</v>
      </c>
      <c r="D738" s="118" t="s">
        <v>52</v>
      </c>
      <c r="E738" s="118" t="s">
        <v>657</v>
      </c>
      <c r="F738" s="119">
        <v>4.4776119402984947E-2</v>
      </c>
      <c r="G738" s="119">
        <v>0.1000000000000001</v>
      </c>
    </row>
    <row r="739" spans="2:7" x14ac:dyDescent="0.2">
      <c r="B739" s="116" t="s">
        <v>1715</v>
      </c>
      <c r="C739" s="117" t="s">
        <v>1716</v>
      </c>
      <c r="D739" s="118" t="s">
        <v>68</v>
      </c>
      <c r="E739" s="118" t="s">
        <v>82</v>
      </c>
      <c r="F739" s="119">
        <v>0.15990453460620521</v>
      </c>
      <c r="G739" s="119">
        <v>0.14609053497942379</v>
      </c>
    </row>
    <row r="740" spans="2:7" x14ac:dyDescent="0.2">
      <c r="B740" s="116" t="s">
        <v>1717</v>
      </c>
      <c r="C740" s="117" t="s">
        <v>1718</v>
      </c>
      <c r="D740" s="118" t="s">
        <v>39</v>
      </c>
      <c r="E740" s="118" t="s">
        <v>383</v>
      </c>
      <c r="F740" s="119">
        <v>8.7686567164179052E-2</v>
      </c>
      <c r="G740" s="119">
        <v>5.317324185248707E-2</v>
      </c>
    </row>
    <row r="741" spans="2:7" x14ac:dyDescent="0.2">
      <c r="B741" s="116" t="s">
        <v>1719</v>
      </c>
      <c r="C741" s="117" t="s">
        <v>1720</v>
      </c>
      <c r="D741" s="118" t="s">
        <v>78</v>
      </c>
      <c r="E741" s="118" t="s">
        <v>128</v>
      </c>
      <c r="F741" s="119">
        <v>1.1437908496732071E-2</v>
      </c>
      <c r="G741" s="119">
        <v>8.723747980613894E-2</v>
      </c>
    </row>
    <row r="742" spans="2:7" x14ac:dyDescent="0.2">
      <c r="B742" s="116" t="s">
        <v>1721</v>
      </c>
      <c r="C742" s="117" t="s">
        <v>1722</v>
      </c>
      <c r="D742" s="118" t="s">
        <v>34</v>
      </c>
      <c r="E742" s="118" t="s">
        <v>251</v>
      </c>
      <c r="F742" s="119">
        <v>-9.0090090090090169E-2</v>
      </c>
      <c r="G742" s="119">
        <v>1.980198019801982E-2</v>
      </c>
    </row>
    <row r="743" spans="2:7" x14ac:dyDescent="0.2">
      <c r="B743" s="116" t="s">
        <v>1723</v>
      </c>
      <c r="C743" s="117" t="s">
        <v>1724</v>
      </c>
      <c r="D743" s="118" t="s">
        <v>115</v>
      </c>
      <c r="E743" s="118" t="s">
        <v>806</v>
      </c>
      <c r="F743" s="119">
        <v>5.1194539249146721E-2</v>
      </c>
      <c r="G743" s="119">
        <v>0.10389610389610381</v>
      </c>
    </row>
    <row r="744" spans="2:7" x14ac:dyDescent="0.2">
      <c r="B744" s="116" t="s">
        <v>1725</v>
      </c>
      <c r="C744" s="117" t="s">
        <v>1726</v>
      </c>
      <c r="D744" s="118" t="s">
        <v>39</v>
      </c>
      <c r="E744" s="118" t="s">
        <v>383</v>
      </c>
      <c r="F744" s="119">
        <v>-0.96081632653061222</v>
      </c>
      <c r="G744" s="119">
        <v>0.35416666666666669</v>
      </c>
    </row>
    <row r="745" spans="2:7" x14ac:dyDescent="0.2">
      <c r="B745" s="116" t="s">
        <v>1727</v>
      </c>
      <c r="C745" s="117" t="s">
        <v>1728</v>
      </c>
      <c r="D745" s="118" t="s">
        <v>106</v>
      </c>
      <c r="E745" s="118" t="s">
        <v>563</v>
      </c>
      <c r="F745" s="119">
        <v>4.7244094488189017E-2</v>
      </c>
      <c r="G745" s="119">
        <v>9.3984962406015032E-2</v>
      </c>
    </row>
    <row r="746" spans="2:7" x14ac:dyDescent="0.2">
      <c r="B746" s="116" t="s">
        <v>1729</v>
      </c>
      <c r="C746" s="117" t="s">
        <v>1730</v>
      </c>
      <c r="D746" s="118" t="s">
        <v>68</v>
      </c>
      <c r="E746" s="118" t="s">
        <v>87</v>
      </c>
      <c r="F746" s="119">
        <v>4.8611111111111147E-2</v>
      </c>
      <c r="G746" s="119">
        <v>0.16721854304635761</v>
      </c>
    </row>
    <row r="747" spans="2:7" x14ac:dyDescent="0.2">
      <c r="B747" s="116" t="s">
        <v>1731</v>
      </c>
      <c r="C747" s="117" t="s">
        <v>1732</v>
      </c>
      <c r="D747" s="118" t="s">
        <v>78</v>
      </c>
      <c r="E747" s="118" t="s">
        <v>650</v>
      </c>
      <c r="F747" s="119">
        <v>3.8011695906432719E-2</v>
      </c>
      <c r="G747" s="119">
        <v>7.6056338028169024E-2</v>
      </c>
    </row>
    <row r="748" spans="2:7" x14ac:dyDescent="0.2">
      <c r="B748" s="116" t="s">
        <v>1733</v>
      </c>
      <c r="C748" s="117" t="s">
        <v>1734</v>
      </c>
      <c r="D748" s="118" t="s">
        <v>102</v>
      </c>
      <c r="E748" s="118" t="s">
        <v>103</v>
      </c>
      <c r="F748" s="119">
        <v>-4.3010752688172081E-2</v>
      </c>
      <c r="G748" s="119">
        <v>7.3033707865168482E-2</v>
      </c>
    </row>
    <row r="749" spans="2:7" x14ac:dyDescent="0.2">
      <c r="B749" s="116" t="s">
        <v>1735</v>
      </c>
      <c r="C749" s="117" t="s">
        <v>1736</v>
      </c>
      <c r="D749" s="118" t="s">
        <v>68</v>
      </c>
      <c r="E749" s="118" t="s">
        <v>87</v>
      </c>
      <c r="F749" s="119">
        <v>-0.27777777777777779</v>
      </c>
      <c r="G749" s="119">
        <v>0.1055900621118013</v>
      </c>
    </row>
    <row r="750" spans="2:7" x14ac:dyDescent="0.2">
      <c r="B750" s="116" t="s">
        <v>1737</v>
      </c>
      <c r="C750" s="117" t="s">
        <v>1738</v>
      </c>
      <c r="D750" s="118" t="s">
        <v>241</v>
      </c>
      <c r="E750" s="118" t="s">
        <v>1005</v>
      </c>
      <c r="F750" s="119">
        <v>-0.2281553398058252</v>
      </c>
      <c r="G750" s="119">
        <v>-6.2893081761006336E-3</v>
      </c>
    </row>
    <row r="751" spans="2:7" x14ac:dyDescent="0.2">
      <c r="B751" s="116" t="s">
        <v>1739</v>
      </c>
      <c r="C751" s="117" t="s">
        <v>1740</v>
      </c>
      <c r="D751" s="118" t="s">
        <v>145</v>
      </c>
      <c r="E751" s="118" t="s">
        <v>402</v>
      </c>
      <c r="F751" s="119">
        <v>2.2592592592592591</v>
      </c>
      <c r="G751" s="119">
        <v>-1</v>
      </c>
    </row>
    <row r="752" spans="2:7" x14ac:dyDescent="0.2">
      <c r="B752" s="116" t="s">
        <v>1741</v>
      </c>
      <c r="C752" s="117" t="s">
        <v>1742</v>
      </c>
      <c r="D752" s="118" t="s">
        <v>68</v>
      </c>
      <c r="E752" s="118" t="s">
        <v>87</v>
      </c>
      <c r="F752" s="119">
        <v>1.37037037037037</v>
      </c>
      <c r="G752" s="119">
        <v>0.2265625</v>
      </c>
    </row>
    <row r="753" spans="2:7" x14ac:dyDescent="0.2">
      <c r="B753" s="116" t="s">
        <v>1743</v>
      </c>
      <c r="C753" s="117" t="s">
        <v>1744</v>
      </c>
      <c r="D753" s="118" t="s">
        <v>106</v>
      </c>
      <c r="E753" s="118" t="s">
        <v>563</v>
      </c>
      <c r="F753" s="119">
        <v>0.13215859030836999</v>
      </c>
      <c r="G753" s="119">
        <v>0.1206225680933852</v>
      </c>
    </row>
    <row r="754" spans="2:7" x14ac:dyDescent="0.2">
      <c r="B754" s="116" t="s">
        <v>1745</v>
      </c>
      <c r="C754" s="117" t="s">
        <v>1746</v>
      </c>
      <c r="D754" s="118" t="s">
        <v>34</v>
      </c>
      <c r="E754" s="118" t="s">
        <v>245</v>
      </c>
      <c r="F754" s="119">
        <v>5.7692307692307737E-2</v>
      </c>
      <c r="G754" s="119">
        <v>9.0909090909090787E-2</v>
      </c>
    </row>
    <row r="755" spans="2:7" x14ac:dyDescent="0.2">
      <c r="B755" s="116" t="s">
        <v>1747</v>
      </c>
      <c r="C755" s="117" t="s">
        <v>1748</v>
      </c>
      <c r="D755" s="118" t="s">
        <v>92</v>
      </c>
      <c r="E755" s="118" t="s">
        <v>299</v>
      </c>
      <c r="F755" s="119">
        <v>-3.3333333333333361E-2</v>
      </c>
      <c r="G755" s="119">
        <v>2.068965517241381E-2</v>
      </c>
    </row>
    <row r="756" spans="2:7" x14ac:dyDescent="0.2">
      <c r="B756" s="116" t="s">
        <v>1749</v>
      </c>
      <c r="C756" s="117" t="s">
        <v>1750</v>
      </c>
      <c r="D756" s="118" t="s">
        <v>78</v>
      </c>
      <c r="E756" s="118" t="s">
        <v>340</v>
      </c>
      <c r="F756" s="119">
        <v>-3.4682080924855523E-2</v>
      </c>
      <c r="G756" s="119">
        <v>9.7305389221556945E-2</v>
      </c>
    </row>
    <row r="757" spans="2:7" x14ac:dyDescent="0.2">
      <c r="B757" s="116" t="s">
        <v>1751</v>
      </c>
      <c r="C757" s="117" t="s">
        <v>1752</v>
      </c>
      <c r="D757" s="118" t="s">
        <v>34</v>
      </c>
      <c r="E757" s="118" t="s">
        <v>1753</v>
      </c>
      <c r="F757" s="119">
        <v>-3.3112582781457033E-2</v>
      </c>
      <c r="G757" s="119">
        <v>1.369863013698642E-2</v>
      </c>
    </row>
    <row r="758" spans="2:7" x14ac:dyDescent="0.2">
      <c r="B758" s="116" t="s">
        <v>1754</v>
      </c>
      <c r="C758" s="117" t="s">
        <v>1755</v>
      </c>
      <c r="D758" s="118" t="s">
        <v>34</v>
      </c>
      <c r="E758" s="118" t="s">
        <v>99</v>
      </c>
      <c r="F758" s="119">
        <v>0.13283582089552229</v>
      </c>
      <c r="G758" s="119">
        <v>0.12516469038208161</v>
      </c>
    </row>
    <row r="759" spans="2:7" x14ac:dyDescent="0.2">
      <c r="B759" s="116" t="s">
        <v>1756</v>
      </c>
      <c r="C759" s="117" t="s">
        <v>1757</v>
      </c>
      <c r="D759" s="118" t="s">
        <v>92</v>
      </c>
      <c r="E759" s="118" t="s">
        <v>722</v>
      </c>
      <c r="F759" s="119">
        <v>8.5470085470085555E-2</v>
      </c>
      <c r="G759" s="119">
        <v>5.511811023622052E-2</v>
      </c>
    </row>
    <row r="760" spans="2:7" x14ac:dyDescent="0.2">
      <c r="B760" s="116" t="s">
        <v>1758</v>
      </c>
      <c r="C760" s="117" t="s">
        <v>1759</v>
      </c>
      <c r="D760" s="118" t="s">
        <v>68</v>
      </c>
      <c r="E760" s="118" t="s">
        <v>985</v>
      </c>
      <c r="F760" s="119">
        <v>0.9565217391304347</v>
      </c>
      <c r="G760" s="119">
        <v>22.5</v>
      </c>
    </row>
    <row r="761" spans="2:7" x14ac:dyDescent="0.2">
      <c r="B761" s="116" t="s">
        <v>1760</v>
      </c>
      <c r="C761" s="117" t="s">
        <v>1761</v>
      </c>
      <c r="D761" s="118" t="s">
        <v>145</v>
      </c>
      <c r="E761" s="118" t="s">
        <v>1093</v>
      </c>
      <c r="F761" s="119">
        <v>-0.15283018867924519</v>
      </c>
      <c r="G761" s="119">
        <v>-0.133630289532294</v>
      </c>
    </row>
    <row r="762" spans="2:7" x14ac:dyDescent="0.2">
      <c r="B762" s="116" t="s">
        <v>1762</v>
      </c>
      <c r="C762" s="117" t="s">
        <v>1763</v>
      </c>
      <c r="D762" s="118" t="s">
        <v>106</v>
      </c>
      <c r="E762" s="118" t="s">
        <v>1764</v>
      </c>
      <c r="F762" s="119">
        <v>8.6206896551724088E-2</v>
      </c>
      <c r="G762" s="119">
        <v>7.4074074074074028E-2</v>
      </c>
    </row>
    <row r="763" spans="2:7" x14ac:dyDescent="0.2">
      <c r="B763" s="116" t="s">
        <v>1765</v>
      </c>
      <c r="C763" s="117" t="s">
        <v>1766</v>
      </c>
      <c r="D763" s="118" t="s">
        <v>34</v>
      </c>
      <c r="E763" s="118" t="s">
        <v>1767</v>
      </c>
      <c r="F763" s="119">
        <v>-0.36572199730094468</v>
      </c>
      <c r="G763" s="119">
        <v>0.2255319148936169</v>
      </c>
    </row>
    <row r="764" spans="2:7" x14ac:dyDescent="0.2">
      <c r="B764" s="116" t="s">
        <v>1768</v>
      </c>
      <c r="C764" s="117" t="s">
        <v>1769</v>
      </c>
      <c r="D764" s="118" t="s">
        <v>68</v>
      </c>
      <c r="E764" s="118" t="s">
        <v>985</v>
      </c>
      <c r="F764" s="119">
        <v>0.25000000000000011</v>
      </c>
      <c r="G764" s="119">
        <v>0.12857142857142859</v>
      </c>
    </row>
    <row r="765" spans="2:7" x14ac:dyDescent="0.2">
      <c r="B765" s="116" t="s">
        <v>1770</v>
      </c>
      <c r="C765" s="117" t="s">
        <v>1771</v>
      </c>
      <c r="D765" s="118" t="s">
        <v>115</v>
      </c>
      <c r="E765" s="118" t="s">
        <v>1772</v>
      </c>
      <c r="F765" s="119">
        <v>0.1814345991561182</v>
      </c>
      <c r="G765" s="119">
        <v>0.38659793814432991</v>
      </c>
    </row>
    <row r="766" spans="2:7" x14ac:dyDescent="0.2">
      <c r="B766" s="116" t="s">
        <v>1773</v>
      </c>
      <c r="C766" s="117" t="s">
        <v>1774</v>
      </c>
      <c r="D766" s="118" t="s">
        <v>106</v>
      </c>
      <c r="E766" s="118" t="s">
        <v>324</v>
      </c>
      <c r="F766" s="119">
        <v>0.15551537070524399</v>
      </c>
      <c r="G766" s="119">
        <v>0.13458528951486701</v>
      </c>
    </row>
    <row r="767" spans="2:7" x14ac:dyDescent="0.2">
      <c r="B767" s="116" t="s">
        <v>1775</v>
      </c>
      <c r="C767" s="117" t="s">
        <v>1776</v>
      </c>
      <c r="D767" s="118" t="s">
        <v>39</v>
      </c>
      <c r="E767" s="118" t="s">
        <v>383</v>
      </c>
      <c r="F767" s="119">
        <v>0.1469534050179212</v>
      </c>
      <c r="G767" s="119">
        <v>0.10625</v>
      </c>
    </row>
    <row r="768" spans="2:7" x14ac:dyDescent="0.2">
      <c r="B768" s="116" t="s">
        <v>1777</v>
      </c>
      <c r="C768" s="117" t="s">
        <v>1778</v>
      </c>
      <c r="D768" s="118" t="s">
        <v>34</v>
      </c>
      <c r="E768" s="118" t="s">
        <v>1281</v>
      </c>
      <c r="F768" s="119">
        <v>-1.1481481481481479</v>
      </c>
      <c r="G768" s="119">
        <v>0.53448275862068961</v>
      </c>
    </row>
    <row r="769" spans="2:7" x14ac:dyDescent="0.2">
      <c r="B769" s="116" t="s">
        <v>1779</v>
      </c>
      <c r="C769" s="117" t="s">
        <v>1780</v>
      </c>
      <c r="D769" s="118" t="s">
        <v>92</v>
      </c>
      <c r="E769" s="118" t="s">
        <v>272</v>
      </c>
      <c r="F769" s="119">
        <v>7.5829383886255999E-2</v>
      </c>
      <c r="G769" s="119">
        <v>5.2863436123348061E-2</v>
      </c>
    </row>
    <row r="770" spans="2:7" x14ac:dyDescent="0.2">
      <c r="B770" s="116" t="s">
        <v>1781</v>
      </c>
      <c r="C770" s="117" t="s">
        <v>1782</v>
      </c>
      <c r="D770" s="118" t="s">
        <v>92</v>
      </c>
      <c r="E770" s="118" t="s">
        <v>784</v>
      </c>
      <c r="F770" s="119">
        <v>-3.8961038961038988E-2</v>
      </c>
      <c r="G770" s="119">
        <v>6.7567567567567627E-2</v>
      </c>
    </row>
    <row r="771" spans="2:7" x14ac:dyDescent="0.2">
      <c r="B771" s="116" t="s">
        <v>1783</v>
      </c>
      <c r="C771" s="117" t="s">
        <v>1784</v>
      </c>
      <c r="D771" s="118" t="s">
        <v>92</v>
      </c>
      <c r="E771" s="118" t="s">
        <v>299</v>
      </c>
      <c r="F771" s="119">
        <v>-3.8216560509554173E-2</v>
      </c>
      <c r="G771" s="119">
        <v>-3.3112582781456977E-2</v>
      </c>
    </row>
    <row r="772" spans="2:7" x14ac:dyDescent="0.2">
      <c r="B772" s="116" t="s">
        <v>1785</v>
      </c>
      <c r="C772" s="117" t="s">
        <v>1786</v>
      </c>
      <c r="D772" s="118" t="s">
        <v>68</v>
      </c>
      <c r="E772" s="118" t="s">
        <v>82</v>
      </c>
      <c r="F772" s="119">
        <v>9.7449908925318782E-2</v>
      </c>
      <c r="G772" s="119">
        <v>0.1344398340248962</v>
      </c>
    </row>
    <row r="773" spans="2:7" x14ac:dyDescent="0.2">
      <c r="B773" s="116" t="s">
        <v>1787</v>
      </c>
      <c r="C773" s="117" t="s">
        <v>1788</v>
      </c>
      <c r="D773" s="118" t="s">
        <v>106</v>
      </c>
      <c r="E773" s="118" t="s">
        <v>107</v>
      </c>
      <c r="F773" s="119">
        <v>-3.8356164383561681E-2</v>
      </c>
      <c r="G773" s="119">
        <v>0.14245014245014251</v>
      </c>
    </row>
    <row r="774" spans="2:7" x14ac:dyDescent="0.2">
      <c r="B774" s="116" t="s">
        <v>1789</v>
      </c>
      <c r="C774" s="117" t="s">
        <v>1790</v>
      </c>
      <c r="D774" s="118" t="s">
        <v>34</v>
      </c>
      <c r="E774" s="118" t="s">
        <v>35</v>
      </c>
      <c r="F774" s="119">
        <v>0.183673469387755</v>
      </c>
      <c r="G774" s="119">
        <v>0.2137931034482759</v>
      </c>
    </row>
    <row r="775" spans="2:7" x14ac:dyDescent="0.2">
      <c r="B775" s="116" t="s">
        <v>1791</v>
      </c>
      <c r="C775" s="117" t="s">
        <v>1792</v>
      </c>
      <c r="D775" s="118" t="s">
        <v>678</v>
      </c>
      <c r="E775" s="118" t="s">
        <v>679</v>
      </c>
      <c r="F775" s="119">
        <v>0.15238095238095239</v>
      </c>
      <c r="G775" s="119">
        <v>9.3663911845730113E-2</v>
      </c>
    </row>
    <row r="776" spans="2:7" x14ac:dyDescent="0.2">
      <c r="B776" s="116" t="s">
        <v>1793</v>
      </c>
      <c r="C776" s="117" t="s">
        <v>1794</v>
      </c>
      <c r="D776" s="118" t="s">
        <v>92</v>
      </c>
      <c r="E776" s="118" t="s">
        <v>299</v>
      </c>
      <c r="F776" s="119">
        <v>2.7777777777777801E-2</v>
      </c>
      <c r="G776" s="119">
        <v>8.1081081081081155E-2</v>
      </c>
    </row>
    <row r="777" spans="2:7" x14ac:dyDescent="0.2">
      <c r="B777" s="116" t="s">
        <v>1795</v>
      </c>
      <c r="C777" s="117" t="s">
        <v>1796</v>
      </c>
      <c r="D777" s="118" t="s">
        <v>39</v>
      </c>
      <c r="E777" s="118" t="s">
        <v>383</v>
      </c>
      <c r="F777" s="119">
        <v>6.5876152832674336E-3</v>
      </c>
      <c r="G777" s="119">
        <v>6.1518324607329811E-2</v>
      </c>
    </row>
    <row r="778" spans="2:7" x14ac:dyDescent="0.2">
      <c r="B778" s="116" t="s">
        <v>1797</v>
      </c>
      <c r="C778" s="117" t="s">
        <v>1798</v>
      </c>
      <c r="D778" s="118" t="s">
        <v>92</v>
      </c>
      <c r="E778" s="118" t="s">
        <v>195</v>
      </c>
      <c r="F778" s="119">
        <v>-3.5433070866141683E-2</v>
      </c>
      <c r="G778" s="119">
        <v>0.10612244897959169</v>
      </c>
    </row>
    <row r="779" spans="2:7" x14ac:dyDescent="0.2">
      <c r="B779" s="116" t="s">
        <v>1799</v>
      </c>
      <c r="C779" s="117" t="s">
        <v>1800</v>
      </c>
      <c r="D779" s="118" t="s">
        <v>92</v>
      </c>
      <c r="E779" s="118" t="s">
        <v>434</v>
      </c>
      <c r="F779" s="119">
        <v>5.3402239448751172E-2</v>
      </c>
      <c r="G779" s="119">
        <v>5.2330335241210037E-2</v>
      </c>
    </row>
    <row r="780" spans="2:7" x14ac:dyDescent="0.2">
      <c r="B780" s="116" t="s">
        <v>1801</v>
      </c>
      <c r="C780" s="117" t="s">
        <v>1802</v>
      </c>
      <c r="D780" s="118" t="s">
        <v>78</v>
      </c>
      <c r="E780" s="118" t="s">
        <v>650</v>
      </c>
      <c r="F780" s="119">
        <v>-3.0612244897959211E-2</v>
      </c>
      <c r="G780" s="119">
        <v>-4.210526315789466E-2</v>
      </c>
    </row>
    <row r="781" spans="2:7" x14ac:dyDescent="0.2">
      <c r="B781" s="116" t="s">
        <v>1803</v>
      </c>
      <c r="C781" s="117" t="s">
        <v>1804</v>
      </c>
      <c r="D781" s="118" t="s">
        <v>68</v>
      </c>
      <c r="E781" s="118" t="s">
        <v>985</v>
      </c>
      <c r="F781" s="119">
        <v>0.14877300613496941</v>
      </c>
      <c r="G781" s="119">
        <v>0.13684913217623501</v>
      </c>
    </row>
    <row r="782" spans="2:7" x14ac:dyDescent="0.2">
      <c r="B782" s="116" t="s">
        <v>1805</v>
      </c>
      <c r="C782" s="117" t="s">
        <v>1806</v>
      </c>
      <c r="D782" s="118" t="s">
        <v>92</v>
      </c>
      <c r="E782" s="118" t="s">
        <v>272</v>
      </c>
      <c r="F782" s="119">
        <v>-9.770114942528732E-2</v>
      </c>
      <c r="G782" s="119">
        <v>4.458598726114639E-2</v>
      </c>
    </row>
    <row r="783" spans="2:7" x14ac:dyDescent="0.2">
      <c r="B783" s="116" t="s">
        <v>1807</v>
      </c>
      <c r="C783" s="117" t="s">
        <v>1808</v>
      </c>
      <c r="D783" s="118" t="s">
        <v>48</v>
      </c>
      <c r="E783" s="118" t="s">
        <v>1809</v>
      </c>
      <c r="F783" s="119">
        <v>2.0370370370370261E-2</v>
      </c>
      <c r="G783" s="119">
        <v>0.11070780399274049</v>
      </c>
    </row>
    <row r="784" spans="2:7" x14ac:dyDescent="0.2">
      <c r="B784" s="116" t="s">
        <v>1810</v>
      </c>
      <c r="C784" s="117" t="s">
        <v>1811</v>
      </c>
      <c r="D784" s="118" t="s">
        <v>34</v>
      </c>
      <c r="E784" s="118" t="s">
        <v>1812</v>
      </c>
      <c r="F784" s="119">
        <v>0.13468013468013459</v>
      </c>
      <c r="G784" s="119">
        <v>8.9020771513353067E-2</v>
      </c>
    </row>
    <row r="785" spans="2:7" x14ac:dyDescent="0.2">
      <c r="B785" s="116" t="s">
        <v>1813</v>
      </c>
      <c r="C785" s="117" t="s">
        <v>1814</v>
      </c>
      <c r="D785" s="118" t="s">
        <v>48</v>
      </c>
      <c r="E785" s="118" t="s">
        <v>49</v>
      </c>
      <c r="F785" s="119">
        <v>0.29139072847682118</v>
      </c>
      <c r="G785" s="119">
        <v>0.25128205128205128</v>
      </c>
    </row>
    <row r="786" spans="2:7" x14ac:dyDescent="0.2">
      <c r="B786" s="116" t="s">
        <v>1815</v>
      </c>
      <c r="C786" s="117" t="s">
        <v>1816</v>
      </c>
      <c r="D786" s="118" t="s">
        <v>39</v>
      </c>
      <c r="E786" s="118" t="s">
        <v>1817</v>
      </c>
      <c r="F786" s="119">
        <v>0.20398009950248769</v>
      </c>
      <c r="G786" s="119">
        <v>0.10743801652892571</v>
      </c>
    </row>
    <row r="787" spans="2:7" x14ac:dyDescent="0.2">
      <c r="B787" s="116" t="s">
        <v>1818</v>
      </c>
      <c r="C787" s="117" t="s">
        <v>1819</v>
      </c>
      <c r="D787" s="118" t="s">
        <v>39</v>
      </c>
      <c r="E787" s="118" t="s">
        <v>62</v>
      </c>
      <c r="F787" s="119">
        <v>-0.30604982206405701</v>
      </c>
      <c r="G787" s="119">
        <v>0.32307692307692321</v>
      </c>
    </row>
    <row r="788" spans="2:7" x14ac:dyDescent="0.2">
      <c r="B788" s="116" t="s">
        <v>1820</v>
      </c>
      <c r="C788" s="117" t="s">
        <v>1821</v>
      </c>
      <c r="D788" s="118" t="s">
        <v>34</v>
      </c>
      <c r="E788" s="118" t="s">
        <v>319</v>
      </c>
      <c r="F788" s="119">
        <v>0.1194267515923567</v>
      </c>
      <c r="G788" s="119">
        <v>5.6899004267425238E-2</v>
      </c>
    </row>
    <row r="789" spans="2:7" x14ac:dyDescent="0.2">
      <c r="B789" s="116" t="s">
        <v>1822</v>
      </c>
      <c r="C789" s="117" t="s">
        <v>1823</v>
      </c>
      <c r="D789" s="118" t="s">
        <v>52</v>
      </c>
      <c r="E789" s="118" t="s">
        <v>281</v>
      </c>
      <c r="F789" s="119">
        <v>3.1428571428571428</v>
      </c>
      <c r="G789" s="119">
        <v>0.35632183908045972</v>
      </c>
    </row>
    <row r="790" spans="2:7" x14ac:dyDescent="0.2">
      <c r="B790" s="116" t="s">
        <v>1824</v>
      </c>
      <c r="C790" s="117" t="s">
        <v>1825</v>
      </c>
      <c r="D790" s="118" t="s">
        <v>102</v>
      </c>
      <c r="E790" s="118" t="s">
        <v>103</v>
      </c>
      <c r="F790" s="119">
        <v>0.1073059360730593</v>
      </c>
      <c r="G790" s="119">
        <v>0.1381443298969072</v>
      </c>
    </row>
    <row r="791" spans="2:7" x14ac:dyDescent="0.2">
      <c r="B791" s="116" t="s">
        <v>1826</v>
      </c>
      <c r="C791" s="117" t="s">
        <v>1827</v>
      </c>
      <c r="D791" s="118" t="s">
        <v>145</v>
      </c>
      <c r="E791" s="118" t="s">
        <v>1467</v>
      </c>
      <c r="F791" s="119">
        <v>-0.25877192982456138</v>
      </c>
      <c r="G791" s="119">
        <v>-9.4674556213017708E-2</v>
      </c>
    </row>
    <row r="792" spans="2:7" x14ac:dyDescent="0.2">
      <c r="B792" s="116" t="s">
        <v>1828</v>
      </c>
      <c r="C792" s="117" t="s">
        <v>1829</v>
      </c>
      <c r="D792" s="118" t="s">
        <v>92</v>
      </c>
      <c r="E792" s="118" t="s">
        <v>195</v>
      </c>
      <c r="F792" s="119">
        <v>-0.1191335740072202</v>
      </c>
      <c r="G792" s="119">
        <v>3.2786885245901669E-2</v>
      </c>
    </row>
    <row r="793" spans="2:7" x14ac:dyDescent="0.2">
      <c r="B793" s="116" t="s">
        <v>1830</v>
      </c>
      <c r="C793" s="117" t="s">
        <v>1831</v>
      </c>
      <c r="D793" s="118" t="s">
        <v>78</v>
      </c>
      <c r="E793" s="118" t="s">
        <v>340</v>
      </c>
      <c r="F793" s="119">
        <v>9.7130242825606949E-2</v>
      </c>
      <c r="G793" s="119">
        <v>6.2374245472837132E-2</v>
      </c>
    </row>
    <row r="794" spans="2:7" x14ac:dyDescent="0.2">
      <c r="B794" s="116" t="s">
        <v>1832</v>
      </c>
      <c r="C794" s="117" t="s">
        <v>1833</v>
      </c>
      <c r="D794" s="118" t="s">
        <v>34</v>
      </c>
      <c r="E794" s="118" t="s">
        <v>1834</v>
      </c>
      <c r="F794" s="119">
        <v>4.5714285714285763E-2</v>
      </c>
      <c r="G794" s="119">
        <v>0.14207650273224029</v>
      </c>
    </row>
    <row r="795" spans="2:7" x14ac:dyDescent="0.2">
      <c r="B795" s="116" t="s">
        <v>1835</v>
      </c>
      <c r="C795" s="117" t="s">
        <v>1836</v>
      </c>
      <c r="D795" s="118" t="s">
        <v>92</v>
      </c>
      <c r="E795" s="118" t="s">
        <v>722</v>
      </c>
      <c r="F795" s="119">
        <v>0.1037306642402184</v>
      </c>
      <c r="G795" s="119">
        <v>8.4089035449299215E-2</v>
      </c>
    </row>
    <row r="796" spans="2:7" x14ac:dyDescent="0.2">
      <c r="B796" s="116" t="s">
        <v>1837</v>
      </c>
      <c r="C796" s="117" t="s">
        <v>1838</v>
      </c>
      <c r="D796" s="118" t="s">
        <v>145</v>
      </c>
      <c r="E796" s="118" t="s">
        <v>179</v>
      </c>
      <c r="F796" s="119">
        <v>-5.0505050505050917E-3</v>
      </c>
      <c r="G796" s="119">
        <v>5.5837563451776658E-2</v>
      </c>
    </row>
    <row r="797" spans="2:7" x14ac:dyDescent="0.2">
      <c r="B797" s="116" t="s">
        <v>1839</v>
      </c>
      <c r="C797" s="117" t="s">
        <v>1840</v>
      </c>
      <c r="D797" s="118" t="s">
        <v>68</v>
      </c>
      <c r="E797" s="118" t="s">
        <v>69</v>
      </c>
      <c r="F797" s="119">
        <v>5.3921568627450921E-2</v>
      </c>
      <c r="G797" s="119">
        <v>5.6976744186046542E-2</v>
      </c>
    </row>
    <row r="798" spans="2:7" x14ac:dyDescent="0.2">
      <c r="B798" s="116" t="s">
        <v>1841</v>
      </c>
      <c r="C798" s="117" t="s">
        <v>1842</v>
      </c>
      <c r="D798" s="118" t="s">
        <v>34</v>
      </c>
      <c r="E798" s="118" t="s">
        <v>1253</v>
      </c>
      <c r="F798" s="119">
        <v>-9.0909090909090981E-2</v>
      </c>
      <c r="G798" s="119">
        <v>0.1235294117647059</v>
      </c>
    </row>
    <row r="799" spans="2:7" x14ac:dyDescent="0.2">
      <c r="B799" s="116" t="s">
        <v>1843</v>
      </c>
      <c r="C799" s="117" t="s">
        <v>1844</v>
      </c>
      <c r="D799" s="118" t="s">
        <v>92</v>
      </c>
      <c r="E799" s="118" t="s">
        <v>461</v>
      </c>
      <c r="F799" s="119">
        <v>9.8060344827586229E-2</v>
      </c>
      <c r="G799" s="119">
        <v>2.8459273797841109E-2</v>
      </c>
    </row>
    <row r="800" spans="2:7" x14ac:dyDescent="0.2">
      <c r="B800" s="116" t="s">
        <v>1845</v>
      </c>
      <c r="C800" s="117" t="s">
        <v>1846</v>
      </c>
      <c r="D800" s="118" t="s">
        <v>52</v>
      </c>
      <c r="E800" s="118" t="s">
        <v>714</v>
      </c>
      <c r="F800" s="119">
        <v>2.0134228187919479E-2</v>
      </c>
      <c r="G800" s="119">
        <v>4.6052631578947407E-2</v>
      </c>
    </row>
    <row r="801" spans="2:7" x14ac:dyDescent="0.2">
      <c r="B801" s="116" t="s">
        <v>1847</v>
      </c>
      <c r="C801" s="117" t="s">
        <v>1848</v>
      </c>
      <c r="D801" s="118" t="s">
        <v>52</v>
      </c>
      <c r="E801" s="118" t="s">
        <v>714</v>
      </c>
      <c r="F801" s="119">
        <v>-4.7619047619047658E-2</v>
      </c>
      <c r="G801" s="119">
        <v>2.0000000000000021E-2</v>
      </c>
    </row>
    <row r="802" spans="2:7" x14ac:dyDescent="0.2">
      <c r="B802" s="116" t="s">
        <v>1849</v>
      </c>
      <c r="C802" s="117" t="s">
        <v>1850</v>
      </c>
      <c r="D802" s="118" t="s">
        <v>145</v>
      </c>
      <c r="E802" s="118" t="s">
        <v>917</v>
      </c>
      <c r="F802" s="119">
        <v>-0.18055555555555561</v>
      </c>
      <c r="G802" s="119">
        <v>0.66101694915254239</v>
      </c>
    </row>
    <row r="803" spans="2:7" x14ac:dyDescent="0.2">
      <c r="B803" s="116" t="s">
        <v>1851</v>
      </c>
      <c r="C803" s="117" t="s">
        <v>1852</v>
      </c>
      <c r="D803" s="118" t="s">
        <v>52</v>
      </c>
      <c r="E803" s="118" t="s">
        <v>657</v>
      </c>
      <c r="F803" s="119">
        <v>-5.9154929577464779E-2</v>
      </c>
      <c r="G803" s="119">
        <v>1.197604790419163E-2</v>
      </c>
    </row>
    <row r="804" spans="2:7" x14ac:dyDescent="0.2">
      <c r="B804" s="116" t="s">
        <v>1853</v>
      </c>
      <c r="C804" s="117" t="s">
        <v>1854</v>
      </c>
      <c r="D804" s="118" t="s">
        <v>78</v>
      </c>
      <c r="E804" s="118" t="s">
        <v>340</v>
      </c>
      <c r="F804" s="119">
        <v>-0.1020881670533642</v>
      </c>
      <c r="G804" s="119">
        <v>4.9095607235141989E-2</v>
      </c>
    </row>
    <row r="805" spans="2:7" x14ac:dyDescent="0.2">
      <c r="B805" s="116" t="s">
        <v>1855</v>
      </c>
      <c r="C805" s="117" t="s">
        <v>1856</v>
      </c>
      <c r="D805" s="118" t="s">
        <v>52</v>
      </c>
      <c r="E805" s="118" t="s">
        <v>1099</v>
      </c>
      <c r="F805" s="119">
        <v>-0.57534246575342463</v>
      </c>
      <c r="G805" s="119">
        <v>0.22580645161290319</v>
      </c>
    </row>
    <row r="806" spans="2:7" x14ac:dyDescent="0.2">
      <c r="B806" s="116" t="s">
        <v>1857</v>
      </c>
      <c r="C806" s="117" t="s">
        <v>1858</v>
      </c>
      <c r="D806" s="118" t="s">
        <v>92</v>
      </c>
      <c r="E806" s="118" t="s">
        <v>299</v>
      </c>
      <c r="F806" s="119">
        <v>-0.1248339973439575</v>
      </c>
      <c r="G806" s="119">
        <v>4.5523520485584203E-2</v>
      </c>
    </row>
    <row r="807" spans="2:7" x14ac:dyDescent="0.2">
      <c r="B807" s="116" t="s">
        <v>1859</v>
      </c>
      <c r="C807" s="117" t="s">
        <v>1860</v>
      </c>
      <c r="D807" s="118" t="s">
        <v>92</v>
      </c>
      <c r="E807" s="118" t="s">
        <v>299</v>
      </c>
      <c r="F807" s="119">
        <v>-0.1049723756906077</v>
      </c>
      <c r="G807" s="119">
        <v>3.7037037037036931E-2</v>
      </c>
    </row>
    <row r="808" spans="2:7" x14ac:dyDescent="0.2">
      <c r="B808" s="116" t="s">
        <v>1861</v>
      </c>
      <c r="C808" s="117" t="s">
        <v>1862</v>
      </c>
      <c r="D808" s="118" t="s">
        <v>102</v>
      </c>
      <c r="E808" s="118" t="s">
        <v>103</v>
      </c>
      <c r="F808" s="119">
        <v>0.10526315789473679</v>
      </c>
      <c r="G808" s="119">
        <v>0.16666666666666671</v>
      </c>
    </row>
    <row r="809" spans="2:7" x14ac:dyDescent="0.2">
      <c r="B809" s="116" t="s">
        <v>1863</v>
      </c>
      <c r="C809" s="117" t="s">
        <v>1864</v>
      </c>
      <c r="D809" s="118" t="s">
        <v>78</v>
      </c>
      <c r="E809" s="118" t="s">
        <v>736</v>
      </c>
      <c r="F809" s="119">
        <v>0.17307692307692299</v>
      </c>
      <c r="G809" s="119">
        <v>0.14754098360655729</v>
      </c>
    </row>
    <row r="810" spans="2:7" x14ac:dyDescent="0.2">
      <c r="B810" s="116" t="s">
        <v>1865</v>
      </c>
      <c r="C810" s="117" t="s">
        <v>1866</v>
      </c>
      <c r="D810" s="118" t="s">
        <v>138</v>
      </c>
      <c r="E810" s="118" t="s">
        <v>139</v>
      </c>
      <c r="F810" s="119">
        <v>0.7303370786516854</v>
      </c>
      <c r="G810" s="119">
        <v>4.3333333333333339</v>
      </c>
    </row>
    <row r="811" spans="2:7" x14ac:dyDescent="0.2">
      <c r="B811" s="116" t="s">
        <v>1867</v>
      </c>
      <c r="C811" s="117" t="s">
        <v>1868</v>
      </c>
      <c r="D811" s="118" t="s">
        <v>48</v>
      </c>
      <c r="E811" s="118" t="s">
        <v>265</v>
      </c>
      <c r="F811" s="119">
        <v>5.319148936170226E-2</v>
      </c>
      <c r="G811" s="119">
        <v>0.30303030303030298</v>
      </c>
    </row>
    <row r="812" spans="2:7" x14ac:dyDescent="0.2">
      <c r="B812" s="116" t="s">
        <v>1869</v>
      </c>
      <c r="C812" s="117" t="s">
        <v>1870</v>
      </c>
      <c r="D812" s="118" t="s">
        <v>92</v>
      </c>
      <c r="E812" s="118" t="s">
        <v>461</v>
      </c>
      <c r="F812" s="119">
        <v>3.4682080924855523E-2</v>
      </c>
      <c r="G812" s="119">
        <v>5.0279329608938467E-2</v>
      </c>
    </row>
    <row r="813" spans="2:7" x14ac:dyDescent="0.2">
      <c r="B813" s="116" t="s">
        <v>1871</v>
      </c>
      <c r="C813" s="117" t="s">
        <v>1872</v>
      </c>
      <c r="D813" s="118" t="s">
        <v>34</v>
      </c>
      <c r="E813" s="118" t="s">
        <v>375</v>
      </c>
      <c r="F813" s="119">
        <v>0.46178343949044581</v>
      </c>
      <c r="G813" s="119">
        <v>6.753812636165589E-2</v>
      </c>
    </row>
    <row r="814" spans="2:7" x14ac:dyDescent="0.2">
      <c r="B814" s="116" t="s">
        <v>1873</v>
      </c>
      <c r="C814" s="117" t="s">
        <v>1874</v>
      </c>
      <c r="D814" s="118" t="s">
        <v>145</v>
      </c>
      <c r="E814" s="118" t="s">
        <v>146</v>
      </c>
      <c r="F814" s="119">
        <v>2.25</v>
      </c>
      <c r="G814" s="119">
        <v>0.26923076923076927</v>
      </c>
    </row>
    <row r="815" spans="2:7" x14ac:dyDescent="0.2">
      <c r="B815" s="116" t="s">
        <v>1875</v>
      </c>
      <c r="C815" s="117" t="s">
        <v>1876</v>
      </c>
      <c r="D815" s="118" t="s">
        <v>34</v>
      </c>
      <c r="E815" s="118" t="s">
        <v>319</v>
      </c>
      <c r="F815" s="119">
        <v>0.13664596273291921</v>
      </c>
      <c r="G815" s="119">
        <v>0.26229508196721307</v>
      </c>
    </row>
    <row r="816" spans="2:7" x14ac:dyDescent="0.2">
      <c r="B816" s="116" t="s">
        <v>1877</v>
      </c>
      <c r="C816" s="117" t="s">
        <v>1878</v>
      </c>
      <c r="D816" s="118" t="s">
        <v>52</v>
      </c>
      <c r="E816" s="118" t="s">
        <v>1099</v>
      </c>
      <c r="F816" s="119">
        <v>-0.1451612903225806</v>
      </c>
      <c r="G816" s="119">
        <v>0.15094339622641501</v>
      </c>
    </row>
    <row r="817" spans="2:7" x14ac:dyDescent="0.2">
      <c r="B817" s="116" t="s">
        <v>1879</v>
      </c>
      <c r="C817" s="117" t="s">
        <v>1880</v>
      </c>
      <c r="D817" s="118" t="s">
        <v>78</v>
      </c>
      <c r="E817" s="118" t="s">
        <v>340</v>
      </c>
      <c r="F817" s="119">
        <v>-0.26388888888888901</v>
      </c>
      <c r="G817" s="119">
        <v>-7.5471698113207617E-3</v>
      </c>
    </row>
    <row r="818" spans="2:7" x14ac:dyDescent="0.2">
      <c r="B818" s="116" t="s">
        <v>1881</v>
      </c>
      <c r="C818" s="117" t="s">
        <v>1882</v>
      </c>
      <c r="D818" s="118" t="s">
        <v>48</v>
      </c>
      <c r="E818" s="118" t="s">
        <v>370</v>
      </c>
      <c r="F818" s="119">
        <v>-1.5384615384615399E-2</v>
      </c>
      <c r="G818" s="119">
        <v>0.1015624999999999</v>
      </c>
    </row>
    <row r="819" spans="2:7" x14ac:dyDescent="0.2">
      <c r="B819" s="116" t="s">
        <v>1883</v>
      </c>
      <c r="C819" s="117" t="s">
        <v>1884</v>
      </c>
      <c r="D819" s="118" t="s">
        <v>39</v>
      </c>
      <c r="E819" s="118" t="s">
        <v>363</v>
      </c>
      <c r="F819" s="119">
        <v>-1.680672268907565E-2</v>
      </c>
      <c r="G819" s="119">
        <v>1.709401709401711E-2</v>
      </c>
    </row>
    <row r="820" spans="2:7" x14ac:dyDescent="0.2">
      <c r="B820" s="116" t="s">
        <v>1885</v>
      </c>
      <c r="C820" s="117" t="s">
        <v>1886</v>
      </c>
      <c r="D820" s="118" t="s">
        <v>678</v>
      </c>
      <c r="E820" s="118" t="s">
        <v>679</v>
      </c>
      <c r="F820" s="119">
        <v>-0.21428571428571441</v>
      </c>
      <c r="G820" s="119">
        <v>0.45454545454545459</v>
      </c>
    </row>
    <row r="821" spans="2:7" x14ac:dyDescent="0.2">
      <c r="B821" s="116" t="s">
        <v>1887</v>
      </c>
      <c r="C821" s="117" t="s">
        <v>1888</v>
      </c>
      <c r="D821" s="118" t="s">
        <v>92</v>
      </c>
      <c r="E821" s="118" t="s">
        <v>195</v>
      </c>
      <c r="F821" s="119">
        <v>-0.10215053763440871</v>
      </c>
      <c r="G821" s="119">
        <v>0.23952095808383231</v>
      </c>
    </row>
    <row r="822" spans="2:7" x14ac:dyDescent="0.2">
      <c r="B822" s="116" t="s">
        <v>1889</v>
      </c>
      <c r="C822" s="117" t="s">
        <v>1890</v>
      </c>
      <c r="D822" s="118" t="s">
        <v>145</v>
      </c>
      <c r="E822" s="118" t="s">
        <v>146</v>
      </c>
      <c r="F822" s="119">
        <v>0.95081967213114749</v>
      </c>
      <c r="G822" s="119">
        <v>0.15546218487394961</v>
      </c>
    </row>
    <row r="823" spans="2:7" x14ac:dyDescent="0.2">
      <c r="B823" s="116" t="s">
        <v>1891</v>
      </c>
      <c r="C823" s="117" t="s">
        <v>1892</v>
      </c>
      <c r="D823" s="118" t="s">
        <v>34</v>
      </c>
      <c r="E823" s="118" t="s">
        <v>1096</v>
      </c>
      <c r="F823" s="119">
        <v>0.119047619047619</v>
      </c>
      <c r="G823" s="119">
        <v>0.15106382978723401</v>
      </c>
    </row>
    <row r="824" spans="2:7" x14ac:dyDescent="0.2">
      <c r="B824" s="116" t="s">
        <v>1893</v>
      </c>
      <c r="C824" s="117" t="s">
        <v>1894</v>
      </c>
      <c r="D824" s="118" t="s">
        <v>92</v>
      </c>
      <c r="E824" s="118" t="s">
        <v>112</v>
      </c>
      <c r="F824" s="119">
        <v>1.360544217687076E-2</v>
      </c>
      <c r="G824" s="119">
        <v>3.35570469798658E-2</v>
      </c>
    </row>
    <row r="825" spans="2:7" x14ac:dyDescent="0.2">
      <c r="B825" s="116" t="s">
        <v>1895</v>
      </c>
      <c r="C825" s="117" t="s">
        <v>1896</v>
      </c>
      <c r="D825" s="118" t="s">
        <v>241</v>
      </c>
      <c r="E825" s="118" t="s">
        <v>1897</v>
      </c>
      <c r="F825" s="119">
        <v>0.10101010101010111</v>
      </c>
      <c r="G825" s="119">
        <v>0.146788990825688</v>
      </c>
    </row>
    <row r="826" spans="2:7" x14ac:dyDescent="0.2">
      <c r="B826" s="116" t="s">
        <v>1898</v>
      </c>
      <c r="C826" s="117" t="s">
        <v>1899</v>
      </c>
      <c r="D826" s="118" t="s">
        <v>78</v>
      </c>
      <c r="E826" s="118" t="s">
        <v>128</v>
      </c>
      <c r="F826" s="119">
        <v>1.494768310911803E-2</v>
      </c>
      <c r="G826" s="119">
        <v>5.449189985272461E-2</v>
      </c>
    </row>
    <row r="827" spans="2:7" x14ac:dyDescent="0.2">
      <c r="B827" s="116" t="s">
        <v>1900</v>
      </c>
      <c r="C827" s="117" t="s">
        <v>1901</v>
      </c>
      <c r="D827" s="118" t="s">
        <v>241</v>
      </c>
      <c r="E827" s="118" t="s">
        <v>937</v>
      </c>
      <c r="F827" s="119">
        <v>6.741573033707858E-2</v>
      </c>
      <c r="G827" s="119">
        <v>6.3157894736842163E-2</v>
      </c>
    </row>
    <row r="828" spans="2:7" x14ac:dyDescent="0.2">
      <c r="B828" s="116" t="s">
        <v>1902</v>
      </c>
      <c r="C828" s="117" t="s">
        <v>1903</v>
      </c>
      <c r="D828" s="118" t="s">
        <v>92</v>
      </c>
      <c r="E828" s="118" t="s">
        <v>142</v>
      </c>
      <c r="F828" s="119">
        <v>0.32009345794392519</v>
      </c>
      <c r="G828" s="119">
        <v>3.539823008849545E-2</v>
      </c>
    </row>
    <row r="829" spans="2:7" x14ac:dyDescent="0.2">
      <c r="B829" s="116" t="s">
        <v>1904</v>
      </c>
      <c r="C829" s="117" t="s">
        <v>1905</v>
      </c>
      <c r="D829" s="118" t="s">
        <v>39</v>
      </c>
      <c r="E829" s="118" t="s">
        <v>709</v>
      </c>
      <c r="F829" s="119">
        <v>-4.9586776859504182E-2</v>
      </c>
      <c r="G829" s="119">
        <v>-5.2173913043478119E-2</v>
      </c>
    </row>
    <row r="830" spans="2:7" x14ac:dyDescent="0.2">
      <c r="B830" s="116" t="s">
        <v>1906</v>
      </c>
      <c r="C830" s="117" t="s">
        <v>1907</v>
      </c>
      <c r="D830" s="118" t="s">
        <v>52</v>
      </c>
      <c r="E830" s="118" t="s">
        <v>56</v>
      </c>
      <c r="F830" s="119">
        <v>0.1122881355932204</v>
      </c>
      <c r="G830" s="119">
        <v>7.9999999999999988E-2</v>
      </c>
    </row>
    <row r="831" spans="2:7" x14ac:dyDescent="0.2">
      <c r="B831" s="116" t="s">
        <v>1908</v>
      </c>
      <c r="C831" s="117" t="s">
        <v>1909</v>
      </c>
      <c r="D831" s="118" t="s">
        <v>34</v>
      </c>
      <c r="E831" s="118" t="s">
        <v>700</v>
      </c>
      <c r="F831" s="119">
        <v>-0.11564625850340129</v>
      </c>
      <c r="G831" s="119">
        <v>0.2</v>
      </c>
    </row>
    <row r="832" spans="2:7" x14ac:dyDescent="0.2">
      <c r="B832" s="116" t="s">
        <v>1910</v>
      </c>
      <c r="C832" s="117" t="s">
        <v>1911</v>
      </c>
      <c r="D832" s="118" t="s">
        <v>34</v>
      </c>
      <c r="E832" s="118" t="s">
        <v>99</v>
      </c>
      <c r="F832" s="119">
        <v>-4.0540540540540668E-2</v>
      </c>
      <c r="G832" s="119">
        <v>0.23004694835680761</v>
      </c>
    </row>
    <row r="833" spans="2:7" x14ac:dyDescent="0.2">
      <c r="B833" s="116" t="s">
        <v>1912</v>
      </c>
      <c r="C833" s="117" t="s">
        <v>1913</v>
      </c>
      <c r="D833" s="118" t="s">
        <v>48</v>
      </c>
      <c r="E833" s="118" t="s">
        <v>1809</v>
      </c>
      <c r="F833" s="119">
        <v>-5.8593749999999972E-2</v>
      </c>
      <c r="G833" s="119">
        <v>3.3195020746887988E-2</v>
      </c>
    </row>
    <row r="834" spans="2:7" x14ac:dyDescent="0.2">
      <c r="B834" s="116" t="s">
        <v>1914</v>
      </c>
      <c r="C834" s="117" t="s">
        <v>1915</v>
      </c>
      <c r="D834" s="118" t="s">
        <v>78</v>
      </c>
      <c r="E834" s="118" t="s">
        <v>736</v>
      </c>
      <c r="F834" s="119">
        <v>9.6153846153846229E-3</v>
      </c>
      <c r="G834" s="119">
        <v>8.0952380952380915E-2</v>
      </c>
    </row>
    <row r="835" spans="2:7" x14ac:dyDescent="0.2">
      <c r="B835" s="116" t="s">
        <v>1916</v>
      </c>
      <c r="C835" s="117" t="s">
        <v>1917</v>
      </c>
      <c r="D835" s="118" t="s">
        <v>78</v>
      </c>
      <c r="E835" s="118" t="s">
        <v>736</v>
      </c>
      <c r="F835" s="119">
        <v>0.1237458193979932</v>
      </c>
      <c r="G835" s="119">
        <v>0.11309523809523821</v>
      </c>
    </row>
    <row r="836" spans="2:7" x14ac:dyDescent="0.2">
      <c r="B836" s="116" t="s">
        <v>1918</v>
      </c>
      <c r="C836" s="117" t="s">
        <v>1919</v>
      </c>
      <c r="D836" s="118" t="s">
        <v>52</v>
      </c>
      <c r="E836" s="118" t="s">
        <v>714</v>
      </c>
      <c r="F836" s="119">
        <v>1.38888888888888E-2</v>
      </c>
      <c r="G836" s="119">
        <v>5.9360730593607261E-2</v>
      </c>
    </row>
    <row r="837" spans="2:7" x14ac:dyDescent="0.2">
      <c r="B837" s="116" t="s">
        <v>1920</v>
      </c>
      <c r="C837" s="117" t="s">
        <v>1921</v>
      </c>
      <c r="D837" s="118" t="s">
        <v>92</v>
      </c>
      <c r="E837" s="118" t="s">
        <v>272</v>
      </c>
      <c r="F837" s="119">
        <v>2.185792349726778E-2</v>
      </c>
      <c r="G837" s="119">
        <v>8.0213903743315454E-2</v>
      </c>
    </row>
    <row r="838" spans="2:7" x14ac:dyDescent="0.2">
      <c r="B838" s="116" t="s">
        <v>1922</v>
      </c>
      <c r="C838" s="117" t="s">
        <v>1923</v>
      </c>
      <c r="D838" s="118" t="s">
        <v>52</v>
      </c>
      <c r="E838" s="118" t="s">
        <v>1924</v>
      </c>
      <c r="F838" s="119">
        <v>-5.5956678700360939E-2</v>
      </c>
      <c r="G838" s="119">
        <v>2.1032504780114609E-2</v>
      </c>
    </row>
    <row r="839" spans="2:7" x14ac:dyDescent="0.2">
      <c r="B839" s="116" t="s">
        <v>1925</v>
      </c>
      <c r="C839" s="117" t="s">
        <v>1926</v>
      </c>
      <c r="D839" s="118" t="s">
        <v>48</v>
      </c>
      <c r="E839" s="118" t="s">
        <v>835</v>
      </c>
      <c r="F839" s="119">
        <v>0.1289782244556115</v>
      </c>
      <c r="G839" s="119">
        <v>0.14094955489614239</v>
      </c>
    </row>
    <row r="840" spans="2:7" x14ac:dyDescent="0.2">
      <c r="B840" s="116" t="s">
        <v>1927</v>
      </c>
      <c r="C840" s="117" t="s">
        <v>1928</v>
      </c>
      <c r="D840" s="118" t="s">
        <v>34</v>
      </c>
      <c r="E840" s="118" t="s">
        <v>278</v>
      </c>
      <c r="F840" s="119">
        <v>-9.6000000000000085E-2</v>
      </c>
      <c r="G840" s="119">
        <v>5.3097345132743418E-2</v>
      </c>
    </row>
    <row r="841" spans="2:7" x14ac:dyDescent="0.2">
      <c r="B841" s="116" t="s">
        <v>1929</v>
      </c>
      <c r="C841" s="117" t="s">
        <v>1930</v>
      </c>
      <c r="D841" s="118" t="s">
        <v>39</v>
      </c>
      <c r="E841" s="118" t="s">
        <v>163</v>
      </c>
      <c r="F841" s="119">
        <v>0.108267716535433</v>
      </c>
      <c r="G841" s="119">
        <v>-1</v>
      </c>
    </row>
    <row r="842" spans="2:7" x14ac:dyDescent="0.2">
      <c r="B842" s="116" t="s">
        <v>1931</v>
      </c>
      <c r="C842" s="117" t="s">
        <v>1932</v>
      </c>
      <c r="D842" s="118" t="s">
        <v>145</v>
      </c>
      <c r="E842" s="118" t="s">
        <v>917</v>
      </c>
      <c r="F842" s="119">
        <v>-0.18701298701298699</v>
      </c>
      <c r="G842" s="119">
        <v>-1</v>
      </c>
    </row>
    <row r="843" spans="2:7" x14ac:dyDescent="0.2">
      <c r="B843" s="116" t="s">
        <v>1933</v>
      </c>
      <c r="C843" s="117" t="s">
        <v>1934</v>
      </c>
      <c r="D843" s="118" t="s">
        <v>39</v>
      </c>
      <c r="E843" s="118" t="s">
        <v>383</v>
      </c>
      <c r="F843" s="119">
        <v>-0.35</v>
      </c>
      <c r="G843" s="119">
        <v>0.3692307692307692</v>
      </c>
    </row>
    <row r="844" spans="2:7" x14ac:dyDescent="0.2">
      <c r="B844" s="116" t="s">
        <v>1935</v>
      </c>
      <c r="C844" s="117" t="s">
        <v>1936</v>
      </c>
      <c r="D844" s="118" t="s">
        <v>34</v>
      </c>
      <c r="E844" s="118" t="s">
        <v>44</v>
      </c>
      <c r="F844" s="119">
        <v>0.35424354243542427</v>
      </c>
      <c r="G844" s="119">
        <v>-1</v>
      </c>
    </row>
    <row r="845" spans="2:7" x14ac:dyDescent="0.2">
      <c r="B845" s="116" t="s">
        <v>1937</v>
      </c>
      <c r="C845" s="117" t="s">
        <v>1938</v>
      </c>
      <c r="D845" s="118" t="s">
        <v>92</v>
      </c>
      <c r="E845" s="118" t="s">
        <v>142</v>
      </c>
      <c r="F845" s="119">
        <v>0.2181818181818182</v>
      </c>
      <c r="G845" s="119">
        <v>1.4925373134328301E-2</v>
      </c>
    </row>
    <row r="846" spans="2:7" x14ac:dyDescent="0.2">
      <c r="B846" s="116" t="s">
        <v>1939</v>
      </c>
      <c r="C846" s="117" t="s">
        <v>1940</v>
      </c>
      <c r="D846" s="118" t="s">
        <v>52</v>
      </c>
      <c r="E846" s="118" t="s">
        <v>284</v>
      </c>
      <c r="F846" s="119">
        <v>0.13508064516129031</v>
      </c>
      <c r="G846" s="119">
        <v>0.1145648312611013</v>
      </c>
    </row>
    <row r="847" spans="2:7" x14ac:dyDescent="0.2">
      <c r="B847" s="116" t="s">
        <v>1941</v>
      </c>
      <c r="C847" s="117" t="s">
        <v>1942</v>
      </c>
      <c r="D847" s="118" t="s">
        <v>92</v>
      </c>
      <c r="E847" s="118" t="s">
        <v>272</v>
      </c>
      <c r="F847" s="119">
        <v>5.535055350553502E-2</v>
      </c>
      <c r="G847" s="119">
        <v>0.10139860139860141</v>
      </c>
    </row>
    <row r="848" spans="2:7" x14ac:dyDescent="0.2">
      <c r="B848" s="116" t="s">
        <v>1943</v>
      </c>
      <c r="C848" s="117" t="s">
        <v>1944</v>
      </c>
      <c r="D848" s="118" t="s">
        <v>115</v>
      </c>
      <c r="E848" s="118" t="s">
        <v>522</v>
      </c>
      <c r="F848" s="119">
        <v>2.4930555555555558</v>
      </c>
      <c r="G848" s="119">
        <v>-0.77534791252485091</v>
      </c>
    </row>
    <row r="849" spans="2:7" x14ac:dyDescent="0.2">
      <c r="B849" s="116" t="s">
        <v>1945</v>
      </c>
      <c r="C849" s="117" t="s">
        <v>1946</v>
      </c>
      <c r="D849" s="118" t="s">
        <v>92</v>
      </c>
      <c r="E849" s="118" t="s">
        <v>195</v>
      </c>
      <c r="F849" s="119">
        <v>-0.1985645933014353</v>
      </c>
      <c r="G849" s="119">
        <v>0.17910447761194029</v>
      </c>
    </row>
    <row r="850" spans="2:7" x14ac:dyDescent="0.2">
      <c r="B850" s="116" t="s">
        <v>1947</v>
      </c>
      <c r="C850" s="117" t="s">
        <v>1948</v>
      </c>
      <c r="D850" s="118" t="s">
        <v>52</v>
      </c>
      <c r="E850" s="118" t="s">
        <v>657</v>
      </c>
      <c r="F850" s="119">
        <v>-0.12</v>
      </c>
      <c r="G850" s="119">
        <v>1.6528925619834729E-2</v>
      </c>
    </row>
    <row r="851" spans="2:7" x14ac:dyDescent="0.2">
      <c r="B851" s="116" t="s">
        <v>1949</v>
      </c>
      <c r="C851" s="117" t="s">
        <v>1950</v>
      </c>
      <c r="D851" s="118" t="s">
        <v>115</v>
      </c>
      <c r="E851" s="118" t="s">
        <v>686</v>
      </c>
      <c r="F851" s="119">
        <v>0.63235294117647056</v>
      </c>
      <c r="G851" s="119">
        <v>1.8648648648648649</v>
      </c>
    </row>
    <row r="852" spans="2:7" x14ac:dyDescent="0.2">
      <c r="B852" s="116" t="s">
        <v>1951</v>
      </c>
      <c r="C852" s="117" t="s">
        <v>1952</v>
      </c>
      <c r="D852" s="118" t="s">
        <v>115</v>
      </c>
      <c r="E852" s="118" t="s">
        <v>686</v>
      </c>
      <c r="F852" s="119">
        <v>-0.7246376811594204</v>
      </c>
      <c r="G852" s="119">
        <v>0.80672268907563027</v>
      </c>
    </row>
    <row r="853" spans="2:7" x14ac:dyDescent="0.2">
      <c r="B853" s="116" t="s">
        <v>1953</v>
      </c>
      <c r="C853" s="117" t="s">
        <v>1954</v>
      </c>
      <c r="D853" s="118" t="s">
        <v>198</v>
      </c>
      <c r="E853" s="118" t="s">
        <v>456</v>
      </c>
      <c r="F853" s="119">
        <v>8.2568807339449407E-2</v>
      </c>
      <c r="G853" s="119">
        <v>0.1122881355932204</v>
      </c>
    </row>
    <row r="854" spans="2:7" x14ac:dyDescent="0.2">
      <c r="B854" s="116" t="s">
        <v>1955</v>
      </c>
      <c r="C854" s="117" t="s">
        <v>1956</v>
      </c>
      <c r="D854" s="118" t="s">
        <v>233</v>
      </c>
      <c r="E854" s="118" t="s">
        <v>234</v>
      </c>
      <c r="F854" s="119">
        <v>-0.17283268912203201</v>
      </c>
      <c r="G854" s="119">
        <v>6.0080106809078791E-2</v>
      </c>
    </row>
    <row r="855" spans="2:7" x14ac:dyDescent="0.2">
      <c r="B855" s="116" t="s">
        <v>1957</v>
      </c>
      <c r="C855" s="117" t="s">
        <v>1958</v>
      </c>
      <c r="D855" s="118" t="s">
        <v>39</v>
      </c>
      <c r="E855" s="118" t="s">
        <v>1959</v>
      </c>
      <c r="F855" s="119">
        <v>6.5400843881856449E-2</v>
      </c>
      <c r="G855" s="119">
        <v>0.1029702970297031</v>
      </c>
    </row>
    <row r="856" spans="2:7" x14ac:dyDescent="0.2">
      <c r="B856" s="116" t="s">
        <v>1960</v>
      </c>
      <c r="C856" s="117" t="s">
        <v>1961</v>
      </c>
      <c r="D856" s="118" t="s">
        <v>115</v>
      </c>
      <c r="E856" s="118" t="s">
        <v>1962</v>
      </c>
      <c r="F856" s="119">
        <v>4.0983606557377997E-3</v>
      </c>
      <c r="G856" s="119">
        <v>7.3469387755101923E-2</v>
      </c>
    </row>
    <row r="857" spans="2:7" x14ac:dyDescent="0.2">
      <c r="B857" s="116" t="s">
        <v>1963</v>
      </c>
      <c r="C857" s="117" t="s">
        <v>1964</v>
      </c>
      <c r="D857" s="118" t="s">
        <v>102</v>
      </c>
      <c r="E857" s="118" t="s">
        <v>1081</v>
      </c>
      <c r="F857" s="119">
        <v>9.6907216494845502E-2</v>
      </c>
      <c r="G857" s="119">
        <v>9.2105263157894607E-2</v>
      </c>
    </row>
    <row r="858" spans="2:7" x14ac:dyDescent="0.2">
      <c r="B858" s="116" t="s">
        <v>1965</v>
      </c>
      <c r="C858" s="117" t="s">
        <v>1966</v>
      </c>
      <c r="D858" s="118" t="s">
        <v>92</v>
      </c>
      <c r="E858" s="118" t="s">
        <v>378</v>
      </c>
      <c r="F858" s="119">
        <v>1.362068965517242</v>
      </c>
      <c r="G858" s="119">
        <v>4.3795620437956068E-2</v>
      </c>
    </row>
    <row r="859" spans="2:7" x14ac:dyDescent="0.2">
      <c r="B859" s="116" t="s">
        <v>1967</v>
      </c>
      <c r="C859" s="117" t="s">
        <v>1968</v>
      </c>
      <c r="D859" s="118" t="s">
        <v>34</v>
      </c>
      <c r="E859" s="118" t="s">
        <v>44</v>
      </c>
      <c r="F859" s="119">
        <v>-0.29184100418410053</v>
      </c>
      <c r="G859" s="119">
        <v>0.1137370753323487</v>
      </c>
    </row>
    <row r="860" spans="2:7" x14ac:dyDescent="0.2">
      <c r="B860" s="116" t="s">
        <v>1969</v>
      </c>
      <c r="C860" s="117" t="s">
        <v>1970</v>
      </c>
      <c r="D860" s="118" t="s">
        <v>68</v>
      </c>
      <c r="E860" s="118" t="s">
        <v>72</v>
      </c>
      <c r="F860" s="119">
        <v>2.7297543221109999E-2</v>
      </c>
      <c r="G860" s="119">
        <v>7.0859167404783069E-2</v>
      </c>
    </row>
    <row r="861" spans="2:7" x14ac:dyDescent="0.2">
      <c r="B861" s="116" t="s">
        <v>1971</v>
      </c>
      <c r="C861" s="117" t="s">
        <v>1972</v>
      </c>
      <c r="D861" s="118" t="s">
        <v>68</v>
      </c>
      <c r="E861" s="118" t="s">
        <v>949</v>
      </c>
      <c r="F861" s="119">
        <v>0.2294617563739377</v>
      </c>
      <c r="G861" s="119">
        <v>5.7603686635944701E-2</v>
      </c>
    </row>
    <row r="862" spans="2:7" x14ac:dyDescent="0.2">
      <c r="B862" s="116" t="s">
        <v>1973</v>
      </c>
      <c r="C862" s="117" t="s">
        <v>1974</v>
      </c>
      <c r="D862" s="118" t="s">
        <v>198</v>
      </c>
      <c r="E862" s="118" t="s">
        <v>456</v>
      </c>
      <c r="F862" s="119">
        <v>0.18773006134969319</v>
      </c>
      <c r="G862" s="119">
        <v>0.14256198347107449</v>
      </c>
    </row>
    <row r="863" spans="2:7" x14ac:dyDescent="0.2">
      <c r="B863" s="116" t="s">
        <v>1975</v>
      </c>
      <c r="C863" s="117" t="s">
        <v>1976</v>
      </c>
      <c r="D863" s="118" t="s">
        <v>102</v>
      </c>
      <c r="E863" s="118" t="s">
        <v>1977</v>
      </c>
      <c r="F863" s="119">
        <v>0.232484076433121</v>
      </c>
      <c r="G863" s="119">
        <v>5.9431524547803732E-2</v>
      </c>
    </row>
    <row r="864" spans="2:7" x14ac:dyDescent="0.2">
      <c r="B864" s="116" t="s">
        <v>1951</v>
      </c>
      <c r="C864" s="117" t="s">
        <v>1978</v>
      </c>
      <c r="D864" s="118" t="s">
        <v>34</v>
      </c>
      <c r="E864" s="118" t="s">
        <v>982</v>
      </c>
      <c r="F864" s="119">
        <v>0.1333333333333333</v>
      </c>
      <c r="G864" s="119">
        <v>1.038461538461539</v>
      </c>
    </row>
    <row r="865" spans="2:7" x14ac:dyDescent="0.2">
      <c r="B865" s="116" t="s">
        <v>1979</v>
      </c>
      <c r="C865" s="117" t="s">
        <v>1980</v>
      </c>
      <c r="D865" s="118" t="s">
        <v>241</v>
      </c>
      <c r="E865" s="118" t="s">
        <v>534</v>
      </c>
      <c r="F865" s="119">
        <v>0.16123778501628669</v>
      </c>
      <c r="G865" s="119">
        <v>0.120617110799439</v>
      </c>
    </row>
    <row r="866" spans="2:7" x14ac:dyDescent="0.2">
      <c r="B866" s="116" t="s">
        <v>1981</v>
      </c>
      <c r="C866" s="117" t="s">
        <v>1982</v>
      </c>
      <c r="D866" s="118" t="s">
        <v>78</v>
      </c>
      <c r="E866" s="118" t="s">
        <v>128</v>
      </c>
      <c r="F866" s="119">
        <v>-0.18072289156626489</v>
      </c>
      <c r="G866" s="119">
        <v>0.1029411764705882</v>
      </c>
    </row>
    <row r="867" spans="2:7" x14ac:dyDescent="0.2">
      <c r="B867" s="116" t="s">
        <v>1983</v>
      </c>
      <c r="C867" s="117" t="s">
        <v>1984</v>
      </c>
      <c r="D867" s="118" t="s">
        <v>34</v>
      </c>
      <c r="E867" s="118" t="s">
        <v>1767</v>
      </c>
      <c r="F867" s="119">
        <v>0.11547911547911539</v>
      </c>
      <c r="G867" s="119">
        <v>0.18942731277533051</v>
      </c>
    </row>
    <row r="868" spans="2:7" x14ac:dyDescent="0.2">
      <c r="B868" s="116" t="s">
        <v>1985</v>
      </c>
      <c r="C868" s="117" t="s">
        <v>1986</v>
      </c>
      <c r="D868" s="118" t="s">
        <v>68</v>
      </c>
      <c r="E868" s="118" t="s">
        <v>82</v>
      </c>
      <c r="F868" s="119">
        <v>-0.1392045454545455</v>
      </c>
      <c r="G868" s="119">
        <v>0.1221122112211222</v>
      </c>
    </row>
    <row r="869" spans="2:7" x14ac:dyDescent="0.2">
      <c r="B869" s="116" t="s">
        <v>1987</v>
      </c>
      <c r="C869" s="117" t="s">
        <v>1988</v>
      </c>
      <c r="D869" s="118" t="s">
        <v>233</v>
      </c>
      <c r="E869" s="118" t="s">
        <v>703</v>
      </c>
      <c r="F869" s="119">
        <v>5.9090909090909027E-2</v>
      </c>
      <c r="G869" s="119">
        <v>8.5836909871244524E-2</v>
      </c>
    </row>
    <row r="870" spans="2:7" x14ac:dyDescent="0.2">
      <c r="B870" s="116" t="s">
        <v>1989</v>
      </c>
      <c r="C870" s="117" t="s">
        <v>1990</v>
      </c>
      <c r="D870" s="118" t="s">
        <v>68</v>
      </c>
      <c r="E870" s="118" t="s">
        <v>69</v>
      </c>
      <c r="F870" s="119">
        <v>2.688172043010759E-2</v>
      </c>
      <c r="G870" s="119">
        <v>0.15357766143106449</v>
      </c>
    </row>
    <row r="871" spans="2:7" x14ac:dyDescent="0.2">
      <c r="B871" s="116" t="s">
        <v>1991</v>
      </c>
      <c r="C871" s="117" t="s">
        <v>1992</v>
      </c>
      <c r="D871" s="118" t="s">
        <v>92</v>
      </c>
      <c r="E871" s="118" t="s">
        <v>195</v>
      </c>
      <c r="F871" s="119">
        <v>9.1818181818181817</v>
      </c>
      <c r="G871" s="119">
        <v>9.7222222222222238E-2</v>
      </c>
    </row>
    <row r="872" spans="2:7" x14ac:dyDescent="0.2">
      <c r="B872" s="116" t="s">
        <v>1993</v>
      </c>
      <c r="C872" s="117" t="s">
        <v>1994</v>
      </c>
      <c r="D872" s="118" t="s">
        <v>198</v>
      </c>
      <c r="E872" s="118" t="s">
        <v>456</v>
      </c>
      <c r="F872" s="119">
        <v>0.20591581342434589</v>
      </c>
      <c r="G872" s="119">
        <v>0.18301886792452829</v>
      </c>
    </row>
    <row r="873" spans="2:7" x14ac:dyDescent="0.2">
      <c r="B873" s="116" t="s">
        <v>1995</v>
      </c>
      <c r="C873" s="117" t="s">
        <v>1996</v>
      </c>
      <c r="D873" s="118" t="s">
        <v>34</v>
      </c>
      <c r="E873" s="118" t="s">
        <v>319</v>
      </c>
      <c r="F873" s="119">
        <v>-40.5</v>
      </c>
      <c r="G873" s="119">
        <v>0.26582278481012672</v>
      </c>
    </row>
    <row r="874" spans="2:7" x14ac:dyDescent="0.2">
      <c r="B874" s="116" t="s">
        <v>1997</v>
      </c>
      <c r="C874" s="117" t="s">
        <v>1998</v>
      </c>
      <c r="D874" s="118" t="s">
        <v>92</v>
      </c>
      <c r="E874" s="118" t="s">
        <v>378</v>
      </c>
      <c r="F874" s="119">
        <v>9.9290780141843948E-2</v>
      </c>
      <c r="G874" s="119">
        <v>0.10322580645161281</v>
      </c>
    </row>
    <row r="875" spans="2:7" x14ac:dyDescent="0.2">
      <c r="B875" s="116" t="s">
        <v>1999</v>
      </c>
      <c r="C875" s="117" t="s">
        <v>2000</v>
      </c>
      <c r="D875" s="118" t="s">
        <v>241</v>
      </c>
      <c r="E875" s="118" t="s">
        <v>306</v>
      </c>
      <c r="F875" s="119">
        <v>-0.46739130434782611</v>
      </c>
      <c r="G875" s="119">
        <v>2.1224489795918369</v>
      </c>
    </row>
    <row r="876" spans="2:7" x14ac:dyDescent="0.2">
      <c r="B876" s="116" t="s">
        <v>2001</v>
      </c>
      <c r="C876" s="117" t="s">
        <v>2002</v>
      </c>
      <c r="D876" s="118" t="s">
        <v>138</v>
      </c>
      <c r="E876" s="118" t="s">
        <v>139</v>
      </c>
      <c r="F876" s="119">
        <v>4.1474654377880123E-2</v>
      </c>
      <c r="G876" s="119">
        <v>7.522123893805327E-2</v>
      </c>
    </row>
    <row r="877" spans="2:7" x14ac:dyDescent="0.2">
      <c r="B877" s="116" t="s">
        <v>2003</v>
      </c>
      <c r="C877" s="117" t="s">
        <v>2004</v>
      </c>
      <c r="D877" s="118" t="s">
        <v>34</v>
      </c>
      <c r="E877" s="118" t="s">
        <v>59</v>
      </c>
      <c r="F877" s="119">
        <v>0.55102040816326536</v>
      </c>
      <c r="G877" s="119">
        <v>0.18421052631578949</v>
      </c>
    </row>
    <row r="878" spans="2:7" x14ac:dyDescent="0.2">
      <c r="B878" s="116" t="s">
        <v>2005</v>
      </c>
      <c r="C878" s="117" t="s">
        <v>2006</v>
      </c>
      <c r="D878" s="118" t="s">
        <v>34</v>
      </c>
      <c r="E878" s="118" t="s">
        <v>311</v>
      </c>
      <c r="F878" s="119">
        <v>0.1237113402061857</v>
      </c>
      <c r="G878" s="119">
        <v>6.4220183486238383E-2</v>
      </c>
    </row>
    <row r="879" spans="2:7" x14ac:dyDescent="0.2">
      <c r="B879" s="116" t="s">
        <v>2007</v>
      </c>
      <c r="C879" s="117" t="s">
        <v>2008</v>
      </c>
      <c r="D879" s="118" t="s">
        <v>34</v>
      </c>
      <c r="E879" s="118" t="s">
        <v>691</v>
      </c>
      <c r="F879" s="119">
        <v>-4.8689138576778992E-2</v>
      </c>
      <c r="G879" s="119">
        <v>-2.5590551181102341E-2</v>
      </c>
    </row>
    <row r="880" spans="2:7" x14ac:dyDescent="0.2">
      <c r="B880" s="116" t="s">
        <v>2009</v>
      </c>
      <c r="C880" s="117" t="s">
        <v>2010</v>
      </c>
      <c r="D880" s="118" t="s">
        <v>115</v>
      </c>
      <c r="E880" s="118" t="s">
        <v>522</v>
      </c>
      <c r="F880" s="119">
        <v>9.1093117408906729E-2</v>
      </c>
      <c r="G880" s="119">
        <v>8.719851576994446E-2</v>
      </c>
    </row>
    <row r="881" spans="2:7" x14ac:dyDescent="0.2">
      <c r="B881" s="116" t="s">
        <v>2011</v>
      </c>
      <c r="C881" s="117" t="s">
        <v>2012</v>
      </c>
      <c r="D881" s="118" t="s">
        <v>52</v>
      </c>
      <c r="E881" s="118" t="s">
        <v>1324</v>
      </c>
      <c r="F881" s="119">
        <v>0.10763209393346369</v>
      </c>
      <c r="G881" s="119">
        <v>0.16961130742049471</v>
      </c>
    </row>
    <row r="882" spans="2:7" x14ac:dyDescent="0.2">
      <c r="B882" s="116" t="s">
        <v>2013</v>
      </c>
      <c r="C882" s="117" t="s">
        <v>2014</v>
      </c>
      <c r="D882" s="118" t="s">
        <v>34</v>
      </c>
      <c r="E882" s="118" t="s">
        <v>311</v>
      </c>
      <c r="F882" s="119">
        <v>-3.32258064516129</v>
      </c>
      <c r="G882" s="119">
        <v>0.89552238805970152</v>
      </c>
    </row>
    <row r="883" spans="2:7" x14ac:dyDescent="0.2">
      <c r="B883" s="116" t="s">
        <v>2015</v>
      </c>
      <c r="C883" s="117" t="s">
        <v>2016</v>
      </c>
      <c r="D883" s="118" t="s">
        <v>92</v>
      </c>
      <c r="E883" s="118" t="s">
        <v>275</v>
      </c>
      <c r="F883" s="119">
        <v>0.36468330134357008</v>
      </c>
      <c r="G883" s="119">
        <v>4.219409282700419E-2</v>
      </c>
    </row>
    <row r="884" spans="2:7" x14ac:dyDescent="0.2">
      <c r="B884" s="116" t="s">
        <v>2017</v>
      </c>
      <c r="C884" s="117" t="s">
        <v>2018</v>
      </c>
      <c r="D884" s="118" t="s">
        <v>92</v>
      </c>
      <c r="E884" s="118" t="s">
        <v>272</v>
      </c>
      <c r="F884" s="119">
        <v>-2.641509433962258E-2</v>
      </c>
      <c r="G884" s="119">
        <v>4.2635658914728633E-2</v>
      </c>
    </row>
    <row r="885" spans="2:7" x14ac:dyDescent="0.2">
      <c r="B885" s="116" t="s">
        <v>2019</v>
      </c>
      <c r="C885" s="117" t="s">
        <v>2020</v>
      </c>
      <c r="D885" s="118" t="s">
        <v>102</v>
      </c>
      <c r="E885" s="118" t="s">
        <v>1397</v>
      </c>
      <c r="F885" s="119">
        <v>-0.72982456140350882</v>
      </c>
      <c r="G885" s="119">
        <v>1.5064935064935061</v>
      </c>
    </row>
    <row r="886" spans="2:7" x14ac:dyDescent="0.2">
      <c r="B886" s="116" t="s">
        <v>2021</v>
      </c>
      <c r="C886" s="117" t="s">
        <v>2022</v>
      </c>
      <c r="D886" s="118" t="s">
        <v>34</v>
      </c>
      <c r="E886" s="118" t="s">
        <v>248</v>
      </c>
      <c r="F886" s="119">
        <v>-5.0942079553384541E-2</v>
      </c>
      <c r="G886" s="119">
        <v>0.30735294117647072</v>
      </c>
    </row>
    <row r="887" spans="2:7" x14ac:dyDescent="0.2">
      <c r="B887" s="116" t="s">
        <v>2023</v>
      </c>
      <c r="C887" s="117" t="s">
        <v>2024</v>
      </c>
      <c r="D887" s="118" t="s">
        <v>78</v>
      </c>
      <c r="E887" s="118" t="s">
        <v>912</v>
      </c>
      <c r="F887" s="119">
        <v>7.4074074074074001E-2</v>
      </c>
      <c r="G887" s="119">
        <v>8.6206896551724088E-2</v>
      </c>
    </row>
    <row r="888" spans="2:7" x14ac:dyDescent="0.2">
      <c r="B888" s="116" t="s">
        <v>2025</v>
      </c>
      <c r="C888" s="117" t="s">
        <v>2026</v>
      </c>
      <c r="D888" s="118" t="s">
        <v>92</v>
      </c>
      <c r="E888" s="118" t="s">
        <v>272</v>
      </c>
      <c r="F888" s="119">
        <v>1.8214936247723069E-2</v>
      </c>
      <c r="G888" s="119">
        <v>3.5778175313059067E-2</v>
      </c>
    </row>
    <row r="889" spans="2:7" x14ac:dyDescent="0.2">
      <c r="B889" s="116" t="s">
        <v>2027</v>
      </c>
      <c r="C889" s="117" t="s">
        <v>2028</v>
      </c>
      <c r="D889" s="118" t="s">
        <v>48</v>
      </c>
      <c r="E889" s="118" t="s">
        <v>1809</v>
      </c>
      <c r="F889" s="119">
        <v>6.5789473684210583E-3</v>
      </c>
      <c r="G889" s="119">
        <v>4.2483660130718921E-2</v>
      </c>
    </row>
    <row r="890" spans="2:7" x14ac:dyDescent="0.2">
      <c r="B890" s="116" t="s">
        <v>1436</v>
      </c>
      <c r="C890" s="117" t="s">
        <v>2029</v>
      </c>
      <c r="D890" s="118" t="s">
        <v>34</v>
      </c>
      <c r="E890" s="118" t="s">
        <v>1281</v>
      </c>
      <c r="F890" s="119">
        <v>-0.1857142857142858</v>
      </c>
      <c r="G890" s="119">
        <v>0.36257309941520482</v>
      </c>
    </row>
    <row r="891" spans="2:7" x14ac:dyDescent="0.2">
      <c r="B891" s="116" t="s">
        <v>2030</v>
      </c>
      <c r="C891" s="117" t="s">
        <v>2031</v>
      </c>
      <c r="D891" s="118" t="s">
        <v>48</v>
      </c>
      <c r="E891" s="118" t="s">
        <v>49</v>
      </c>
      <c r="F891" s="119">
        <v>-0.1851851851851852</v>
      </c>
      <c r="G891" s="119">
        <v>1.454545454545455</v>
      </c>
    </row>
    <row r="892" spans="2:7" x14ac:dyDescent="0.2">
      <c r="B892" s="116" t="s">
        <v>2032</v>
      </c>
      <c r="C892" s="117" t="s">
        <v>2033</v>
      </c>
      <c r="D892" s="118" t="s">
        <v>115</v>
      </c>
      <c r="E892" s="118" t="s">
        <v>899</v>
      </c>
      <c r="F892" s="119">
        <v>0.26737967914438499</v>
      </c>
      <c r="G892" s="119">
        <v>0.17932489451476791</v>
      </c>
    </row>
    <row r="893" spans="2:7" x14ac:dyDescent="0.2">
      <c r="B893" s="116" t="s">
        <v>2034</v>
      </c>
      <c r="C893" s="117" t="s">
        <v>2035</v>
      </c>
      <c r="D893" s="118" t="s">
        <v>48</v>
      </c>
      <c r="E893" s="118" t="s">
        <v>49</v>
      </c>
      <c r="F893" s="119">
        <v>2.898550724637684E-2</v>
      </c>
      <c r="G893" s="119">
        <v>0.20187793427230061</v>
      </c>
    </row>
    <row r="894" spans="2:7" x14ac:dyDescent="0.2">
      <c r="B894" s="116" t="s">
        <v>2036</v>
      </c>
      <c r="C894" s="117" t="s">
        <v>2037</v>
      </c>
      <c r="D894" s="118" t="s">
        <v>115</v>
      </c>
      <c r="E894" s="118" t="s">
        <v>899</v>
      </c>
      <c r="F894" s="119">
        <v>9.8305084745762716E-2</v>
      </c>
      <c r="G894" s="119">
        <v>9.5679012345678882E-2</v>
      </c>
    </row>
    <row r="895" spans="2:7" x14ac:dyDescent="0.2">
      <c r="B895" s="116" t="s">
        <v>2038</v>
      </c>
      <c r="C895" s="117" t="s">
        <v>2039</v>
      </c>
      <c r="D895" s="118" t="s">
        <v>115</v>
      </c>
      <c r="E895" s="118" t="s">
        <v>799</v>
      </c>
      <c r="F895" s="119">
        <v>-6.2130177514792891E-2</v>
      </c>
      <c r="G895" s="119">
        <v>4.1009463722397443E-2</v>
      </c>
    </row>
    <row r="896" spans="2:7" x14ac:dyDescent="0.2">
      <c r="B896" s="116" t="s">
        <v>2040</v>
      </c>
      <c r="C896" s="117" t="s">
        <v>2041</v>
      </c>
      <c r="D896" s="118" t="s">
        <v>78</v>
      </c>
      <c r="E896" s="118" t="s">
        <v>340</v>
      </c>
      <c r="F896" s="119">
        <v>7.476635514018698E-2</v>
      </c>
      <c r="G896" s="119">
        <v>5.2173913043478168E-2</v>
      </c>
    </row>
    <row r="897" spans="2:7" x14ac:dyDescent="0.2">
      <c r="B897" s="116" t="s">
        <v>2042</v>
      </c>
      <c r="C897" s="117" t="s">
        <v>2043</v>
      </c>
      <c r="D897" s="118" t="s">
        <v>145</v>
      </c>
      <c r="E897" s="118" t="s">
        <v>179</v>
      </c>
      <c r="F897" s="119">
        <v>-0.11082251082251091</v>
      </c>
      <c r="G897" s="119">
        <v>0.18889970788704979</v>
      </c>
    </row>
    <row r="898" spans="2:7" x14ac:dyDescent="0.2">
      <c r="B898" s="116" t="s">
        <v>2044</v>
      </c>
      <c r="C898" s="117" t="s">
        <v>2045</v>
      </c>
      <c r="D898" s="118" t="s">
        <v>92</v>
      </c>
      <c r="E898" s="118" t="s">
        <v>299</v>
      </c>
      <c r="F898" s="119">
        <v>-0.12195121951219511</v>
      </c>
      <c r="G898" s="119">
        <v>-5.5555555555555462E-2</v>
      </c>
    </row>
    <row r="899" spans="2:7" x14ac:dyDescent="0.2">
      <c r="B899" s="116" t="s">
        <v>2046</v>
      </c>
      <c r="C899" s="117" t="s">
        <v>2047</v>
      </c>
      <c r="D899" s="118" t="s">
        <v>68</v>
      </c>
      <c r="E899" s="118" t="s">
        <v>75</v>
      </c>
      <c r="F899" s="119">
        <v>2.4000000000000021E-2</v>
      </c>
      <c r="G899" s="119">
        <v>0.1015624999999999</v>
      </c>
    </row>
    <row r="900" spans="2:7" x14ac:dyDescent="0.2">
      <c r="B900" s="116" t="s">
        <v>2048</v>
      </c>
      <c r="C900" s="117" t="s">
        <v>2049</v>
      </c>
      <c r="D900" s="118" t="s">
        <v>52</v>
      </c>
      <c r="E900" s="118" t="s">
        <v>1924</v>
      </c>
      <c r="F900" s="119">
        <v>-0.27594936708860768</v>
      </c>
      <c r="G900" s="119">
        <v>-8.3916083916083836E-2</v>
      </c>
    </row>
    <row r="901" spans="2:7" x14ac:dyDescent="0.2">
      <c r="B901" s="116" t="s">
        <v>2050</v>
      </c>
      <c r="C901" s="117" t="s">
        <v>2051</v>
      </c>
      <c r="D901" s="118" t="s">
        <v>106</v>
      </c>
      <c r="E901" s="118" t="s">
        <v>131</v>
      </c>
      <c r="F901" s="119">
        <v>0.18167701863354041</v>
      </c>
      <c r="G901" s="119">
        <v>0.18134034165571611</v>
      </c>
    </row>
    <row r="902" spans="2:7" x14ac:dyDescent="0.2">
      <c r="B902" s="116" t="s">
        <v>2052</v>
      </c>
      <c r="C902" s="117" t="s">
        <v>2053</v>
      </c>
      <c r="D902" s="118" t="s">
        <v>92</v>
      </c>
      <c r="E902" s="118" t="s">
        <v>93</v>
      </c>
      <c r="F902" s="119">
        <v>4.3046357615894003E-2</v>
      </c>
      <c r="G902" s="119">
        <v>3.0158730158730222E-2</v>
      </c>
    </row>
    <row r="903" spans="2:7" x14ac:dyDescent="0.2">
      <c r="B903" s="116" t="s">
        <v>2054</v>
      </c>
      <c r="C903" s="117" t="s">
        <v>2055</v>
      </c>
      <c r="D903" s="118" t="s">
        <v>92</v>
      </c>
      <c r="E903" s="118" t="s">
        <v>112</v>
      </c>
      <c r="F903" s="119">
        <v>-8.0310880829015566E-2</v>
      </c>
      <c r="G903" s="119">
        <v>2.8169014084507071E-2</v>
      </c>
    </row>
    <row r="904" spans="2:7" x14ac:dyDescent="0.2">
      <c r="B904" s="116" t="s">
        <v>2056</v>
      </c>
      <c r="C904" s="117" t="s">
        <v>2057</v>
      </c>
      <c r="D904" s="118" t="s">
        <v>106</v>
      </c>
      <c r="E904" s="118" t="s">
        <v>2058</v>
      </c>
      <c r="F904" s="119">
        <v>-0.12903225806451621</v>
      </c>
      <c r="G904" s="119">
        <v>7.0105820105820144E-2</v>
      </c>
    </row>
    <row r="905" spans="2:7" x14ac:dyDescent="0.2">
      <c r="B905" s="116" t="s">
        <v>2059</v>
      </c>
      <c r="C905" s="117" t="s">
        <v>2060</v>
      </c>
      <c r="D905" s="118" t="s">
        <v>34</v>
      </c>
      <c r="E905" s="118" t="s">
        <v>99</v>
      </c>
      <c r="F905" s="119">
        <v>-0.12941176470588231</v>
      </c>
      <c r="G905" s="119">
        <v>6.0810810810810863E-2</v>
      </c>
    </row>
    <row r="906" spans="2:7" x14ac:dyDescent="0.2">
      <c r="B906" s="116" t="s">
        <v>2061</v>
      </c>
      <c r="C906" s="117" t="s">
        <v>2062</v>
      </c>
      <c r="D906" s="118" t="s">
        <v>115</v>
      </c>
      <c r="E906" s="118" t="s">
        <v>806</v>
      </c>
      <c r="F906" s="119">
        <v>-2.4271844660194091E-2</v>
      </c>
      <c r="G906" s="119">
        <v>0.1160862354892206</v>
      </c>
    </row>
    <row r="907" spans="2:7" x14ac:dyDescent="0.2">
      <c r="B907" s="116" t="s">
        <v>2063</v>
      </c>
      <c r="C907" s="117" t="s">
        <v>2064</v>
      </c>
      <c r="D907" s="118" t="s">
        <v>102</v>
      </c>
      <c r="E907" s="118" t="s">
        <v>424</v>
      </c>
      <c r="F907" s="119">
        <v>0.10833333333333341</v>
      </c>
      <c r="G907" s="119">
        <v>0.10150375939849619</v>
      </c>
    </row>
    <row r="908" spans="2:7" x14ac:dyDescent="0.2">
      <c r="B908" s="116" t="s">
        <v>2065</v>
      </c>
      <c r="C908" s="117" t="s">
        <v>2066</v>
      </c>
      <c r="D908" s="118" t="s">
        <v>68</v>
      </c>
      <c r="E908" s="118" t="s">
        <v>82</v>
      </c>
      <c r="F908" s="119">
        <v>7.8767123287671229E-2</v>
      </c>
      <c r="G908" s="119">
        <v>0.14920634920634929</v>
      </c>
    </row>
    <row r="909" spans="2:7" x14ac:dyDescent="0.2">
      <c r="B909" s="116" t="s">
        <v>2067</v>
      </c>
      <c r="C909" s="117" t="s">
        <v>2068</v>
      </c>
      <c r="D909" s="118" t="s">
        <v>115</v>
      </c>
      <c r="E909" s="118" t="s">
        <v>394</v>
      </c>
      <c r="F909" s="119">
        <v>0.45794392523364491</v>
      </c>
      <c r="G909" s="119">
        <v>0.89655172413793116</v>
      </c>
    </row>
    <row r="910" spans="2:7" x14ac:dyDescent="0.2">
      <c r="B910" s="116" t="s">
        <v>2069</v>
      </c>
      <c r="C910" s="117" t="s">
        <v>2070</v>
      </c>
      <c r="D910" s="118" t="s">
        <v>34</v>
      </c>
      <c r="E910" s="118" t="s">
        <v>278</v>
      </c>
      <c r="F910" s="119">
        <v>1.2619047619047621</v>
      </c>
      <c r="G910" s="119">
        <v>5.2631578947368467E-2</v>
      </c>
    </row>
    <row r="911" spans="2:7" x14ac:dyDescent="0.2">
      <c r="B911" s="116" t="s">
        <v>2071</v>
      </c>
      <c r="C911" s="117" t="s">
        <v>2072</v>
      </c>
      <c r="D911" s="118" t="s">
        <v>52</v>
      </c>
      <c r="E911" s="118" t="s">
        <v>725</v>
      </c>
      <c r="F911" s="119">
        <v>3.2216494845360828E-2</v>
      </c>
      <c r="G911" s="119">
        <v>9.3632958801498134E-2</v>
      </c>
    </row>
    <row r="912" spans="2:7" x14ac:dyDescent="0.2">
      <c r="B912" s="116" t="s">
        <v>2073</v>
      </c>
      <c r="C912" s="117" t="s">
        <v>2074</v>
      </c>
      <c r="D912" s="118" t="s">
        <v>34</v>
      </c>
      <c r="E912" s="118" t="s">
        <v>119</v>
      </c>
      <c r="F912" s="119">
        <v>-9.8918083462132878E-2</v>
      </c>
      <c r="G912" s="119">
        <v>0.19554030874785591</v>
      </c>
    </row>
    <row r="913" spans="2:7" x14ac:dyDescent="0.2">
      <c r="B913" s="116" t="s">
        <v>2075</v>
      </c>
      <c r="C913" s="117" t="s">
        <v>2076</v>
      </c>
      <c r="D913" s="118" t="s">
        <v>68</v>
      </c>
      <c r="E913" s="118" t="s">
        <v>72</v>
      </c>
      <c r="F913" s="119">
        <v>6.1992619926199248E-2</v>
      </c>
      <c r="G913" s="119">
        <v>7.85267546907574E-2</v>
      </c>
    </row>
    <row r="914" spans="2:7" x14ac:dyDescent="0.2">
      <c r="B914" s="116" t="s">
        <v>2077</v>
      </c>
      <c r="C914" s="117" t="s">
        <v>2078</v>
      </c>
      <c r="D914" s="118" t="s">
        <v>92</v>
      </c>
      <c r="E914" s="118" t="s">
        <v>434</v>
      </c>
      <c r="F914" s="119">
        <v>7.4866310160427635E-2</v>
      </c>
      <c r="G914" s="119">
        <v>9.7014925373134483E-2</v>
      </c>
    </row>
    <row r="915" spans="2:7" x14ac:dyDescent="0.2">
      <c r="B915" s="116" t="s">
        <v>2079</v>
      </c>
      <c r="C915" s="117" t="s">
        <v>2080</v>
      </c>
      <c r="D915" s="118" t="s">
        <v>92</v>
      </c>
      <c r="E915" s="118" t="s">
        <v>96</v>
      </c>
      <c r="F915" s="119">
        <v>0.13928571428571429</v>
      </c>
      <c r="G915" s="119">
        <v>0.1598746081504703</v>
      </c>
    </row>
    <row r="916" spans="2:7" x14ac:dyDescent="0.2">
      <c r="B916" s="116" t="s">
        <v>2081</v>
      </c>
      <c r="C916" s="117" t="s">
        <v>2082</v>
      </c>
      <c r="D916" s="118" t="s">
        <v>34</v>
      </c>
      <c r="E916" s="118" t="s">
        <v>319</v>
      </c>
      <c r="F916" s="119">
        <v>0.29605263157894729</v>
      </c>
      <c r="G916" s="119">
        <v>0.30841121495327112</v>
      </c>
    </row>
    <row r="917" spans="2:7" x14ac:dyDescent="0.2">
      <c r="B917" s="116" t="s">
        <v>2083</v>
      </c>
      <c r="C917" s="117" t="s">
        <v>2084</v>
      </c>
      <c r="D917" s="118" t="s">
        <v>68</v>
      </c>
      <c r="E917" s="118" t="s">
        <v>87</v>
      </c>
      <c r="F917" s="119">
        <v>-0.22556390977443591</v>
      </c>
      <c r="G917" s="119">
        <v>-0.1073619631901841</v>
      </c>
    </row>
    <row r="918" spans="2:7" x14ac:dyDescent="0.2">
      <c r="B918" s="116" t="s">
        <v>2085</v>
      </c>
      <c r="C918" s="117" t="s">
        <v>2086</v>
      </c>
      <c r="D918" s="118" t="s">
        <v>78</v>
      </c>
      <c r="E918" s="118" t="s">
        <v>340</v>
      </c>
      <c r="F918" s="119">
        <v>2.0576131687242729E-2</v>
      </c>
      <c r="G918" s="119">
        <v>8.0645161290322648E-2</v>
      </c>
    </row>
    <row r="919" spans="2:7" x14ac:dyDescent="0.2">
      <c r="B919" s="116" t="s">
        <v>2087</v>
      </c>
      <c r="C919" s="117" t="s">
        <v>2088</v>
      </c>
      <c r="D919" s="118" t="s">
        <v>68</v>
      </c>
      <c r="E919" s="118" t="s">
        <v>778</v>
      </c>
      <c r="F919" s="119">
        <v>0.14110429447852771</v>
      </c>
      <c r="G919" s="119">
        <v>0.1397849462365591</v>
      </c>
    </row>
    <row r="920" spans="2:7" x14ac:dyDescent="0.2">
      <c r="B920" s="116" t="s">
        <v>2089</v>
      </c>
      <c r="C920" s="117" t="s">
        <v>2090</v>
      </c>
      <c r="D920" s="118" t="s">
        <v>68</v>
      </c>
      <c r="E920" s="118" t="s">
        <v>75</v>
      </c>
      <c r="F920" s="119">
        <v>7.9611650485436739E-2</v>
      </c>
      <c r="G920" s="119">
        <v>7.9136690647482091E-2</v>
      </c>
    </row>
    <row r="921" spans="2:7" x14ac:dyDescent="0.2">
      <c r="B921" s="116" t="s">
        <v>2091</v>
      </c>
      <c r="C921" s="117" t="s">
        <v>2092</v>
      </c>
      <c r="D921" s="118" t="s">
        <v>138</v>
      </c>
      <c r="E921" s="118" t="s">
        <v>386</v>
      </c>
      <c r="F921" s="119">
        <v>6.3829787234042618E-2</v>
      </c>
      <c r="G921" s="119">
        <v>6.6666666666666721E-2</v>
      </c>
    </row>
    <row r="922" spans="2:7" x14ac:dyDescent="0.2">
      <c r="B922" s="116" t="s">
        <v>2093</v>
      </c>
      <c r="C922" s="117" t="s">
        <v>2094</v>
      </c>
      <c r="D922" s="118" t="s">
        <v>68</v>
      </c>
      <c r="E922" s="118" t="s">
        <v>949</v>
      </c>
      <c r="F922" s="119">
        <v>0.15476190476190479</v>
      </c>
      <c r="G922" s="119">
        <v>0.1374570446735395</v>
      </c>
    </row>
    <row r="923" spans="2:7" x14ac:dyDescent="0.2">
      <c r="B923" s="116" t="s">
        <v>2095</v>
      </c>
      <c r="C923" s="117" t="s">
        <v>2096</v>
      </c>
      <c r="D923" s="118" t="s">
        <v>52</v>
      </c>
      <c r="E923" s="118" t="s">
        <v>281</v>
      </c>
      <c r="F923" s="119">
        <v>1.5742574257425741</v>
      </c>
      <c r="G923" s="119">
        <v>2.3793103448275859</v>
      </c>
    </row>
    <row r="924" spans="2:7" x14ac:dyDescent="0.2">
      <c r="B924" s="116" t="s">
        <v>2097</v>
      </c>
      <c r="C924" s="117" t="s">
        <v>2098</v>
      </c>
      <c r="D924" s="118" t="s">
        <v>92</v>
      </c>
      <c r="E924" s="118" t="s">
        <v>142</v>
      </c>
      <c r="F924" s="119">
        <v>6.3789868667917415E-2</v>
      </c>
      <c r="G924" s="119">
        <v>7.2310405643739001E-2</v>
      </c>
    </row>
    <row r="925" spans="2:7" x14ac:dyDescent="0.2">
      <c r="B925" s="116" t="s">
        <v>2099</v>
      </c>
      <c r="C925" s="117" t="s">
        <v>2100</v>
      </c>
      <c r="D925" s="118" t="s">
        <v>92</v>
      </c>
      <c r="E925" s="118" t="s">
        <v>171</v>
      </c>
      <c r="F925" s="119">
        <v>4.1095890410958943E-2</v>
      </c>
      <c r="G925" s="119">
        <v>6.5789473684210578E-2</v>
      </c>
    </row>
    <row r="926" spans="2:7" x14ac:dyDescent="0.2">
      <c r="B926" s="116" t="s">
        <v>2101</v>
      </c>
      <c r="C926" s="117" t="s">
        <v>2102</v>
      </c>
      <c r="D926" s="118" t="s">
        <v>92</v>
      </c>
      <c r="E926" s="118" t="s">
        <v>378</v>
      </c>
      <c r="F926" s="119">
        <v>6.2499999999999938E-2</v>
      </c>
      <c r="G926" s="119">
        <v>6.3348416289592813E-2</v>
      </c>
    </row>
    <row r="927" spans="2:7" x14ac:dyDescent="0.2">
      <c r="B927" s="116" t="s">
        <v>2103</v>
      </c>
      <c r="C927" s="117" t="s">
        <v>2104</v>
      </c>
      <c r="D927" s="118" t="s">
        <v>92</v>
      </c>
      <c r="E927" s="118" t="s">
        <v>299</v>
      </c>
      <c r="F927" s="119">
        <v>4.3333333333333339</v>
      </c>
      <c r="G927" s="119">
        <v>9.3749999999999903E-2</v>
      </c>
    </row>
    <row r="928" spans="2:7" x14ac:dyDescent="0.2">
      <c r="B928" s="116" t="s">
        <v>2105</v>
      </c>
      <c r="C928" s="117" t="s">
        <v>2106</v>
      </c>
      <c r="D928" s="118" t="s">
        <v>233</v>
      </c>
      <c r="E928" s="118" t="s">
        <v>234</v>
      </c>
      <c r="F928" s="119">
        <v>-6.567164179104483E-2</v>
      </c>
      <c r="G928" s="119">
        <v>5.4313099041533523E-2</v>
      </c>
    </row>
    <row r="929" spans="2:7" x14ac:dyDescent="0.2">
      <c r="B929" s="116" t="s">
        <v>2107</v>
      </c>
      <c r="C929" s="117" t="s">
        <v>2108</v>
      </c>
      <c r="D929" s="118" t="s">
        <v>233</v>
      </c>
      <c r="E929" s="118" t="s">
        <v>619</v>
      </c>
      <c r="F929" s="119">
        <v>0.1628959276018099</v>
      </c>
      <c r="G929" s="119">
        <v>6.6147859922179142E-2</v>
      </c>
    </row>
    <row r="930" spans="2:7" x14ac:dyDescent="0.2">
      <c r="B930" s="116" t="s">
        <v>2109</v>
      </c>
      <c r="C930" s="117" t="s">
        <v>2110</v>
      </c>
      <c r="D930" s="118" t="s">
        <v>115</v>
      </c>
      <c r="E930" s="118" t="s">
        <v>799</v>
      </c>
      <c r="F930" s="119">
        <v>-0.24107142857142869</v>
      </c>
      <c r="G930" s="119">
        <v>0.78823529411764715</v>
      </c>
    </row>
    <row r="931" spans="2:7" x14ac:dyDescent="0.2">
      <c r="B931" s="116" t="s">
        <v>2111</v>
      </c>
      <c r="C931" s="117" t="s">
        <v>2112</v>
      </c>
      <c r="D931" s="118" t="s">
        <v>241</v>
      </c>
      <c r="E931" s="118" t="s">
        <v>306</v>
      </c>
      <c r="F931" s="119">
        <v>-0.61016949152542377</v>
      </c>
      <c r="G931" s="119">
        <v>0.21739130434782611</v>
      </c>
    </row>
    <row r="932" spans="2:7" x14ac:dyDescent="0.2">
      <c r="B932" s="116" t="s">
        <v>2113</v>
      </c>
      <c r="C932" s="117" t="s">
        <v>2114</v>
      </c>
      <c r="D932" s="118" t="s">
        <v>115</v>
      </c>
      <c r="E932" s="118" t="s">
        <v>2115</v>
      </c>
      <c r="F932" s="119">
        <v>-0.18958502847843761</v>
      </c>
      <c r="G932" s="119">
        <v>9.9397590361445617E-2</v>
      </c>
    </row>
    <row r="933" spans="2:7" x14ac:dyDescent="0.2">
      <c r="B933" s="116" t="s">
        <v>2116</v>
      </c>
      <c r="C933" s="117" t="s">
        <v>2117</v>
      </c>
      <c r="D933" s="118" t="s">
        <v>39</v>
      </c>
      <c r="E933" s="118" t="s">
        <v>383</v>
      </c>
      <c r="F933" s="119">
        <v>0.15637860082304519</v>
      </c>
      <c r="G933" s="119">
        <v>8.8967971530249115E-2</v>
      </c>
    </row>
    <row r="934" spans="2:7" x14ac:dyDescent="0.2">
      <c r="B934" s="116" t="s">
        <v>2118</v>
      </c>
      <c r="C934" s="117" t="s">
        <v>2119</v>
      </c>
      <c r="D934" s="118" t="s">
        <v>678</v>
      </c>
      <c r="E934" s="118" t="s">
        <v>679</v>
      </c>
      <c r="F934" s="119">
        <v>1.221198156682028</v>
      </c>
      <c r="G934" s="119">
        <v>-5.6016597510373543E-2</v>
      </c>
    </row>
    <row r="935" spans="2:7" x14ac:dyDescent="0.2">
      <c r="B935" s="116" t="s">
        <v>2120</v>
      </c>
      <c r="C935" s="117" t="s">
        <v>2121</v>
      </c>
      <c r="D935" s="118" t="s">
        <v>39</v>
      </c>
      <c r="E935" s="118" t="s">
        <v>383</v>
      </c>
      <c r="F935" s="119">
        <v>9.6989966555183799E-2</v>
      </c>
      <c r="G935" s="119">
        <v>0.13109756097560979</v>
      </c>
    </row>
    <row r="936" spans="2:7" x14ac:dyDescent="0.2">
      <c r="B936" s="116" t="s">
        <v>2122</v>
      </c>
      <c r="C936" s="117" t="s">
        <v>2123</v>
      </c>
      <c r="D936" s="118" t="s">
        <v>78</v>
      </c>
      <c r="E936" s="118" t="s">
        <v>340</v>
      </c>
      <c r="F936" s="119">
        <v>5.600000000000005E-2</v>
      </c>
      <c r="G936" s="119">
        <v>6.4393939393939365E-2</v>
      </c>
    </row>
    <row r="937" spans="2:7" x14ac:dyDescent="0.2">
      <c r="B937" s="116" t="s">
        <v>2124</v>
      </c>
      <c r="C937" s="117" t="s">
        <v>2125</v>
      </c>
      <c r="D937" s="118" t="s">
        <v>92</v>
      </c>
      <c r="E937" s="118" t="s">
        <v>96</v>
      </c>
      <c r="F937" s="119">
        <v>0.31728045325779047</v>
      </c>
      <c r="G937" s="119">
        <v>2.7956989247311801E-2</v>
      </c>
    </row>
    <row r="938" spans="2:7" x14ac:dyDescent="0.2">
      <c r="B938" s="116" t="s">
        <v>2126</v>
      </c>
      <c r="C938" s="117" t="s">
        <v>2127</v>
      </c>
      <c r="D938" s="118" t="s">
        <v>34</v>
      </c>
      <c r="E938" s="118" t="s">
        <v>1222</v>
      </c>
      <c r="F938" s="119">
        <v>-0.4820051413881748</v>
      </c>
      <c r="G938" s="119">
        <v>0.48138957816377148</v>
      </c>
    </row>
    <row r="939" spans="2:7" x14ac:dyDescent="0.2">
      <c r="B939" s="116" t="s">
        <v>2128</v>
      </c>
      <c r="C939" s="117" t="s">
        <v>2129</v>
      </c>
      <c r="D939" s="118" t="s">
        <v>92</v>
      </c>
      <c r="E939" s="118" t="s">
        <v>717</v>
      </c>
      <c r="F939" s="119">
        <v>0.15555555555555561</v>
      </c>
      <c r="G939" s="119">
        <v>0.14230769230769241</v>
      </c>
    </row>
    <row r="940" spans="2:7" x14ac:dyDescent="0.2">
      <c r="B940" s="116" t="s">
        <v>2130</v>
      </c>
      <c r="C940" s="117" t="s">
        <v>2131</v>
      </c>
      <c r="D940" s="118" t="s">
        <v>115</v>
      </c>
      <c r="E940" s="118" t="s">
        <v>799</v>
      </c>
      <c r="F940" s="119">
        <v>0.49999999999999989</v>
      </c>
      <c r="G940" s="119">
        <v>0.22549019607843129</v>
      </c>
    </row>
    <row r="941" spans="2:7" x14ac:dyDescent="0.2">
      <c r="B941" s="116" t="s">
        <v>2132</v>
      </c>
      <c r="C941" s="117" t="s">
        <v>2133</v>
      </c>
      <c r="D941" s="118" t="s">
        <v>102</v>
      </c>
      <c r="E941" s="118" t="s">
        <v>176</v>
      </c>
      <c r="F941" s="119">
        <v>0.17839195979899511</v>
      </c>
      <c r="G941" s="119">
        <v>0.1599147121535181</v>
      </c>
    </row>
    <row r="942" spans="2:7" x14ac:dyDescent="0.2">
      <c r="B942" s="116" t="s">
        <v>2134</v>
      </c>
      <c r="C942" s="117" t="s">
        <v>2135</v>
      </c>
      <c r="D942" s="118" t="s">
        <v>34</v>
      </c>
      <c r="E942" s="118" t="s">
        <v>251</v>
      </c>
      <c r="F942" s="119">
        <v>0.30800821355236141</v>
      </c>
      <c r="G942" s="119">
        <v>0.1177394034536892</v>
      </c>
    </row>
    <row r="943" spans="2:7" x14ac:dyDescent="0.2">
      <c r="B943" s="116" t="s">
        <v>2136</v>
      </c>
      <c r="C943" s="117" t="s">
        <v>2137</v>
      </c>
      <c r="D943" s="118" t="s">
        <v>92</v>
      </c>
      <c r="E943" s="118" t="s">
        <v>192</v>
      </c>
      <c r="F943" s="119">
        <v>7.6923076923076941E-2</v>
      </c>
      <c r="G943" s="119">
        <v>0.10606060606060611</v>
      </c>
    </row>
    <row r="944" spans="2:7" x14ac:dyDescent="0.2">
      <c r="B944" s="116" t="s">
        <v>2138</v>
      </c>
      <c r="C944" s="117" t="s">
        <v>2139</v>
      </c>
      <c r="D944" s="118" t="s">
        <v>678</v>
      </c>
      <c r="E944" s="118" t="s">
        <v>679</v>
      </c>
      <c r="F944" s="119">
        <v>-6.0362173038229341E-2</v>
      </c>
      <c r="G944" s="119">
        <v>7.3875802997858619E-2</v>
      </c>
    </row>
    <row r="945" spans="2:7" x14ac:dyDescent="0.2">
      <c r="B945" s="116" t="s">
        <v>2140</v>
      </c>
      <c r="C945" s="117" t="s">
        <v>2141</v>
      </c>
      <c r="D945" s="118" t="s">
        <v>241</v>
      </c>
      <c r="E945" s="118" t="s">
        <v>609</v>
      </c>
      <c r="F945" s="119">
        <v>-0.2464539007092198</v>
      </c>
      <c r="G945" s="119">
        <v>8.7058823529411786E-2</v>
      </c>
    </row>
    <row r="946" spans="2:7" x14ac:dyDescent="0.2">
      <c r="B946" s="116" t="s">
        <v>2142</v>
      </c>
      <c r="C946" s="117" t="s">
        <v>2143</v>
      </c>
      <c r="D946" s="118" t="s">
        <v>106</v>
      </c>
      <c r="E946" s="118" t="s">
        <v>466</v>
      </c>
      <c r="F946" s="119">
        <v>0.1101190476190477</v>
      </c>
      <c r="G946" s="119">
        <v>9.6514745308310959E-2</v>
      </c>
    </row>
    <row r="947" spans="2:7" x14ac:dyDescent="0.2">
      <c r="B947" s="116" t="s">
        <v>2144</v>
      </c>
      <c r="C947" s="117" t="s">
        <v>2145</v>
      </c>
      <c r="D947" s="118" t="s">
        <v>78</v>
      </c>
      <c r="E947" s="118" t="s">
        <v>736</v>
      </c>
      <c r="F947" s="119">
        <v>0.1581920903954801</v>
      </c>
      <c r="G947" s="119">
        <v>0.1024390243902439</v>
      </c>
    </row>
    <row r="948" spans="2:7" x14ac:dyDescent="0.2">
      <c r="B948" s="116" t="s">
        <v>2146</v>
      </c>
      <c r="C948" s="117" t="s">
        <v>2147</v>
      </c>
      <c r="D948" s="118" t="s">
        <v>78</v>
      </c>
      <c r="E948" s="118" t="s">
        <v>650</v>
      </c>
      <c r="F948" s="119">
        <v>4.7619047619047492E-2</v>
      </c>
      <c r="G948" s="119">
        <v>6.9377990430622025E-2</v>
      </c>
    </row>
    <row r="949" spans="2:7" x14ac:dyDescent="0.2">
      <c r="B949" s="116" t="s">
        <v>2148</v>
      </c>
      <c r="C949" s="117" t="s">
        <v>2149</v>
      </c>
      <c r="D949" s="118" t="s">
        <v>198</v>
      </c>
      <c r="E949" s="118" t="s">
        <v>199</v>
      </c>
      <c r="F949" s="119">
        <v>0.14189189189189191</v>
      </c>
      <c r="G949" s="119">
        <v>0.10256410256410251</v>
      </c>
    </row>
    <row r="950" spans="2:7" x14ac:dyDescent="0.2">
      <c r="B950" s="116" t="s">
        <v>2150</v>
      </c>
      <c r="C950" s="117" t="s">
        <v>2151</v>
      </c>
      <c r="D950" s="118" t="s">
        <v>68</v>
      </c>
      <c r="E950" s="118" t="s">
        <v>296</v>
      </c>
      <c r="F950" s="119">
        <v>0.2443243243243243</v>
      </c>
      <c r="G950" s="119">
        <v>4.1702867072111252E-2</v>
      </c>
    </row>
    <row r="951" spans="2:7" x14ac:dyDescent="0.2">
      <c r="B951" s="116" t="s">
        <v>2152</v>
      </c>
      <c r="C951" s="117" t="s">
        <v>2153</v>
      </c>
      <c r="D951" s="118" t="s">
        <v>34</v>
      </c>
      <c r="E951" s="118" t="s">
        <v>1493</v>
      </c>
      <c r="F951" s="119">
        <v>-4.3668122270743362E-3</v>
      </c>
      <c r="G951" s="119">
        <v>0.2061403508771931</v>
      </c>
    </row>
    <row r="952" spans="2:7" x14ac:dyDescent="0.2">
      <c r="B952" s="116" t="s">
        <v>2154</v>
      </c>
      <c r="C952" s="117" t="s">
        <v>2155</v>
      </c>
      <c r="D952" s="118" t="s">
        <v>145</v>
      </c>
      <c r="E952" s="118" t="s">
        <v>1093</v>
      </c>
      <c r="F952" s="119">
        <v>-6.26506024096386E-2</v>
      </c>
      <c r="G952" s="119">
        <v>1.285347043701795E-2</v>
      </c>
    </row>
    <row r="953" spans="2:7" x14ac:dyDescent="0.2">
      <c r="B953" s="116" t="s">
        <v>2156</v>
      </c>
      <c r="C953" s="117" t="s">
        <v>2157</v>
      </c>
      <c r="D953" s="118" t="s">
        <v>52</v>
      </c>
      <c r="E953" s="118" t="s">
        <v>281</v>
      </c>
      <c r="F953" s="119">
        <v>0.13513513513513509</v>
      </c>
      <c r="G953" s="119">
        <v>0.21428571428571441</v>
      </c>
    </row>
    <row r="954" spans="2:7" x14ac:dyDescent="0.2">
      <c r="B954" s="116" t="s">
        <v>2158</v>
      </c>
      <c r="C954" s="117" t="s">
        <v>2159</v>
      </c>
      <c r="D954" s="118" t="s">
        <v>145</v>
      </c>
      <c r="E954" s="118" t="s">
        <v>781</v>
      </c>
      <c r="F954" s="119">
        <v>-0.390625</v>
      </c>
      <c r="G954" s="119">
        <v>0.57264957264957284</v>
      </c>
    </row>
    <row r="955" spans="2:7" x14ac:dyDescent="0.2">
      <c r="B955" s="116" t="s">
        <v>2160</v>
      </c>
      <c r="C955" s="117" t="s">
        <v>2161</v>
      </c>
      <c r="D955" s="118" t="s">
        <v>241</v>
      </c>
      <c r="E955" s="118" t="s">
        <v>1216</v>
      </c>
      <c r="F955" s="119">
        <v>-0.3383838383838384</v>
      </c>
      <c r="G955" s="119">
        <v>0.85496183206106868</v>
      </c>
    </row>
    <row r="956" spans="2:7" x14ac:dyDescent="0.2">
      <c r="B956" s="116" t="s">
        <v>2162</v>
      </c>
      <c r="C956" s="117" t="s">
        <v>2163</v>
      </c>
      <c r="D956" s="118" t="s">
        <v>241</v>
      </c>
      <c r="E956" s="118" t="s">
        <v>937</v>
      </c>
      <c r="F956" s="119">
        <v>3.2786885245901669E-2</v>
      </c>
      <c r="G956" s="119">
        <v>9.9206349206349201E-2</v>
      </c>
    </row>
    <row r="957" spans="2:7" x14ac:dyDescent="0.2">
      <c r="B957" s="116" t="s">
        <v>2164</v>
      </c>
      <c r="C957" s="117" t="s">
        <v>2165</v>
      </c>
      <c r="D957" s="118" t="s">
        <v>92</v>
      </c>
      <c r="E957" s="118" t="s">
        <v>272</v>
      </c>
      <c r="F957" s="119">
        <v>-5.1094890510948947E-2</v>
      </c>
      <c r="G957" s="119">
        <v>0.2076923076923077</v>
      </c>
    </row>
    <row r="958" spans="2:7" x14ac:dyDescent="0.2">
      <c r="B958" s="116" t="s">
        <v>2166</v>
      </c>
      <c r="C958" s="117" t="s">
        <v>2167</v>
      </c>
      <c r="D958" s="118" t="s">
        <v>34</v>
      </c>
      <c r="E958" s="118" t="s">
        <v>119</v>
      </c>
      <c r="F958" s="119">
        <v>2.9411764705882321E-2</v>
      </c>
      <c r="G958" s="119">
        <v>0.28051948051948039</v>
      </c>
    </row>
    <row r="959" spans="2:7" x14ac:dyDescent="0.2">
      <c r="B959" s="116" t="s">
        <v>2168</v>
      </c>
      <c r="C959" s="117" t="s">
        <v>2169</v>
      </c>
      <c r="D959" s="118" t="s">
        <v>34</v>
      </c>
      <c r="E959" s="118" t="s">
        <v>311</v>
      </c>
      <c r="F959" s="119">
        <v>0.13888888888888881</v>
      </c>
      <c r="G959" s="119">
        <v>0.1463414634146343</v>
      </c>
    </row>
    <row r="960" spans="2:7" x14ac:dyDescent="0.2">
      <c r="B960" s="116" t="s">
        <v>2170</v>
      </c>
      <c r="C960" s="117" t="s">
        <v>2171</v>
      </c>
      <c r="D960" s="118" t="s">
        <v>68</v>
      </c>
      <c r="E960" s="118" t="s">
        <v>69</v>
      </c>
      <c r="F960" s="119">
        <v>0.12933025404157031</v>
      </c>
      <c r="G960" s="119">
        <v>9.4069529652351741E-2</v>
      </c>
    </row>
    <row r="961" spans="2:7" x14ac:dyDescent="0.2">
      <c r="B961" s="116" t="s">
        <v>2172</v>
      </c>
      <c r="C961" s="117" t="s">
        <v>2173</v>
      </c>
      <c r="D961" s="118" t="s">
        <v>68</v>
      </c>
      <c r="E961" s="118" t="s">
        <v>87</v>
      </c>
      <c r="F961" s="119">
        <v>8.9887640449438158E-2</v>
      </c>
      <c r="G961" s="119">
        <v>-0.1419753086419753</v>
      </c>
    </row>
    <row r="962" spans="2:7" x14ac:dyDescent="0.2">
      <c r="B962" s="116" t="s">
        <v>2174</v>
      </c>
      <c r="C962" s="117" t="s">
        <v>2175</v>
      </c>
      <c r="D962" s="118" t="s">
        <v>241</v>
      </c>
      <c r="E962" s="118" t="s">
        <v>242</v>
      </c>
      <c r="F962" s="119">
        <v>1.4285714285714299E-2</v>
      </c>
      <c r="G962" s="119">
        <v>-0.2253521126760562</v>
      </c>
    </row>
    <row r="963" spans="2:7" x14ac:dyDescent="0.2">
      <c r="B963" s="116" t="s">
        <v>2176</v>
      </c>
      <c r="C963" s="117" t="s">
        <v>2177</v>
      </c>
      <c r="D963" s="118" t="s">
        <v>68</v>
      </c>
      <c r="E963" s="118" t="s">
        <v>87</v>
      </c>
      <c r="F963" s="119">
        <v>-0.61587301587301591</v>
      </c>
      <c r="G963" s="119">
        <v>-0.1041257367387034</v>
      </c>
    </row>
    <row r="964" spans="2:7" x14ac:dyDescent="0.2">
      <c r="B964" s="116" t="s">
        <v>2178</v>
      </c>
      <c r="C964" s="117" t="s">
        <v>2179</v>
      </c>
      <c r="D964" s="118" t="s">
        <v>34</v>
      </c>
      <c r="E964" s="118" t="s">
        <v>1026</v>
      </c>
      <c r="F964" s="119">
        <v>-0.41666666666666669</v>
      </c>
      <c r="G964" s="119">
        <v>0.61428571428571421</v>
      </c>
    </row>
    <row r="965" spans="2:7" x14ac:dyDescent="0.2">
      <c r="B965" s="116" t="s">
        <v>2180</v>
      </c>
      <c r="C965" s="117" t="s">
        <v>2181</v>
      </c>
      <c r="D965" s="118" t="s">
        <v>52</v>
      </c>
      <c r="E965" s="118" t="s">
        <v>2182</v>
      </c>
      <c r="F965" s="119">
        <v>-1.2195121951219389E-2</v>
      </c>
      <c r="G965" s="119">
        <v>7.4074074074074001E-2</v>
      </c>
    </row>
    <row r="966" spans="2:7" x14ac:dyDescent="0.2">
      <c r="B966" s="116" t="s">
        <v>2183</v>
      </c>
      <c r="C966" s="117" t="s">
        <v>2184</v>
      </c>
      <c r="D966" s="118" t="s">
        <v>92</v>
      </c>
      <c r="E966" s="118" t="s">
        <v>275</v>
      </c>
      <c r="F966" s="119">
        <v>-2.0533880903490318E-3</v>
      </c>
      <c r="G966" s="119">
        <v>7.6131687242798368E-2</v>
      </c>
    </row>
    <row r="967" spans="2:7" x14ac:dyDescent="0.2">
      <c r="B967" s="116" t="s">
        <v>2185</v>
      </c>
      <c r="C967" s="117" t="s">
        <v>2186</v>
      </c>
      <c r="D967" s="118" t="s">
        <v>39</v>
      </c>
      <c r="E967" s="118" t="s">
        <v>62</v>
      </c>
      <c r="F967" s="119">
        <v>7.9646017699115126E-2</v>
      </c>
      <c r="G967" s="119">
        <v>9.2213114754098394E-2</v>
      </c>
    </row>
    <row r="968" spans="2:7" x14ac:dyDescent="0.2">
      <c r="B968" s="116" t="s">
        <v>2187</v>
      </c>
      <c r="C968" s="117" t="s">
        <v>2188</v>
      </c>
      <c r="D968" s="118" t="s">
        <v>92</v>
      </c>
      <c r="E968" s="118" t="s">
        <v>96</v>
      </c>
      <c r="F968" s="119">
        <v>4.180064308681683E-2</v>
      </c>
      <c r="G968" s="119">
        <v>-1</v>
      </c>
    </row>
    <row r="969" spans="2:7" x14ac:dyDescent="0.2">
      <c r="B969" s="116" t="s">
        <v>2189</v>
      </c>
      <c r="C969" s="117" t="s">
        <v>2190</v>
      </c>
      <c r="D969" s="118" t="s">
        <v>34</v>
      </c>
      <c r="E969" s="118" t="s">
        <v>990</v>
      </c>
      <c r="F969" s="119">
        <v>0.19734345351043639</v>
      </c>
      <c r="G969" s="119">
        <v>0.12519809825673539</v>
      </c>
    </row>
    <row r="970" spans="2:7" x14ac:dyDescent="0.2">
      <c r="B970" s="116" t="s">
        <v>2191</v>
      </c>
      <c r="C970" s="117" t="s">
        <v>2192</v>
      </c>
      <c r="D970" s="118" t="s">
        <v>34</v>
      </c>
      <c r="E970" s="118" t="s">
        <v>99</v>
      </c>
      <c r="F970" s="119">
        <v>0.13943355119825721</v>
      </c>
      <c r="G970" s="119">
        <v>0.12810707456978959</v>
      </c>
    </row>
    <row r="971" spans="2:7" x14ac:dyDescent="0.2">
      <c r="B971" s="116" t="s">
        <v>2193</v>
      </c>
      <c r="C971" s="117" t="s">
        <v>2194</v>
      </c>
      <c r="D971" s="118" t="s">
        <v>115</v>
      </c>
      <c r="E971" s="118" t="s">
        <v>747</v>
      </c>
      <c r="F971" s="119">
        <v>-0.22471910112359561</v>
      </c>
      <c r="G971" s="119">
        <v>-0.44927536231884052</v>
      </c>
    </row>
    <row r="972" spans="2:7" x14ac:dyDescent="0.2">
      <c r="B972" s="116" t="s">
        <v>2195</v>
      </c>
      <c r="C972" s="117" t="s">
        <v>2196</v>
      </c>
      <c r="D972" s="118" t="s">
        <v>34</v>
      </c>
      <c r="E972" s="118" t="s">
        <v>1253</v>
      </c>
      <c r="F972" s="119">
        <v>0.108416547788873</v>
      </c>
      <c r="G972" s="119">
        <v>0.1016731016731018</v>
      </c>
    </row>
    <row r="973" spans="2:7" x14ac:dyDescent="0.2">
      <c r="B973" s="116" t="s">
        <v>2197</v>
      </c>
      <c r="C973" s="117" t="s">
        <v>2198</v>
      </c>
      <c r="D973" s="118" t="s">
        <v>39</v>
      </c>
      <c r="E973" s="118" t="s">
        <v>363</v>
      </c>
      <c r="F973" s="119">
        <v>2.480916030534349E-2</v>
      </c>
      <c r="G973" s="119">
        <v>9.1247672253258888E-2</v>
      </c>
    </row>
    <row r="974" spans="2:7" x14ac:dyDescent="0.2">
      <c r="B974" s="116" t="s">
        <v>2199</v>
      </c>
      <c r="C974" s="117" t="s">
        <v>2200</v>
      </c>
      <c r="D974" s="118" t="s">
        <v>145</v>
      </c>
      <c r="E974" s="118" t="s">
        <v>1467</v>
      </c>
      <c r="F974" s="119">
        <v>-0.80434782608695654</v>
      </c>
      <c r="G974" s="119">
        <v>1.6444444444444439</v>
      </c>
    </row>
    <row r="975" spans="2:7" x14ac:dyDescent="0.2">
      <c r="B975" s="116" t="s">
        <v>2201</v>
      </c>
      <c r="C975" s="117" t="s">
        <v>2202</v>
      </c>
      <c r="D975" s="118" t="s">
        <v>92</v>
      </c>
      <c r="E975" s="118" t="s">
        <v>461</v>
      </c>
      <c r="F975" s="119">
        <v>5.8733790999237333E-2</v>
      </c>
      <c r="G975" s="119">
        <v>2.305475504322756E-2</v>
      </c>
    </row>
    <row r="976" spans="2:7" x14ac:dyDescent="0.2">
      <c r="B976" s="116" t="s">
        <v>2203</v>
      </c>
      <c r="C976" s="117" t="s">
        <v>2204</v>
      </c>
      <c r="D976" s="118" t="s">
        <v>34</v>
      </c>
      <c r="E976" s="118" t="s">
        <v>202</v>
      </c>
      <c r="F976" s="119">
        <v>0.35862068965517252</v>
      </c>
      <c r="G976" s="119">
        <v>0.1624365482233503</v>
      </c>
    </row>
    <row r="977" spans="2:7" x14ac:dyDescent="0.2">
      <c r="B977" s="116" t="s">
        <v>2205</v>
      </c>
      <c r="C977" s="117" t="s">
        <v>2206</v>
      </c>
      <c r="D977" s="118" t="s">
        <v>34</v>
      </c>
      <c r="E977" s="118" t="s">
        <v>628</v>
      </c>
      <c r="F977" s="119">
        <v>0.12259021255561051</v>
      </c>
      <c r="G977" s="119">
        <v>0.12285336856010561</v>
      </c>
    </row>
    <row r="978" spans="2:7" x14ac:dyDescent="0.2">
      <c r="B978" s="116" t="s">
        <v>2207</v>
      </c>
      <c r="C978" s="117" t="s">
        <v>2208</v>
      </c>
      <c r="D978" s="118" t="s">
        <v>92</v>
      </c>
      <c r="E978" s="118" t="s">
        <v>142</v>
      </c>
      <c r="F978" s="119">
        <v>-2.873563218390807E-2</v>
      </c>
      <c r="G978" s="119">
        <v>2.958579881656807E-2</v>
      </c>
    </row>
    <row r="979" spans="2:7" x14ac:dyDescent="0.2">
      <c r="B979" s="116" t="s">
        <v>2209</v>
      </c>
      <c r="C979" s="117" t="s">
        <v>2210</v>
      </c>
      <c r="D979" s="118" t="s">
        <v>145</v>
      </c>
      <c r="E979" s="118" t="s">
        <v>179</v>
      </c>
      <c r="F979" s="119">
        <v>-0.27302631578947367</v>
      </c>
      <c r="G979" s="119">
        <v>-4.7511312217194561E-2</v>
      </c>
    </row>
    <row r="980" spans="2:7" x14ac:dyDescent="0.2">
      <c r="B980" s="116" t="s">
        <v>2211</v>
      </c>
      <c r="C980" s="117" t="s">
        <v>2212</v>
      </c>
      <c r="D980" s="118" t="s">
        <v>115</v>
      </c>
      <c r="E980" s="118" t="s">
        <v>747</v>
      </c>
      <c r="F980" s="119">
        <v>0.13896848137535811</v>
      </c>
      <c r="G980" s="119">
        <v>7.5471698113207614E-2</v>
      </c>
    </row>
    <row r="981" spans="2:7" x14ac:dyDescent="0.2">
      <c r="B981" s="116" t="s">
        <v>2213</v>
      </c>
      <c r="C981" s="117" t="s">
        <v>2214</v>
      </c>
      <c r="D981" s="118" t="s">
        <v>102</v>
      </c>
      <c r="E981" s="118" t="s">
        <v>733</v>
      </c>
      <c r="F981" s="119">
        <v>0.3457446808510638</v>
      </c>
      <c r="G981" s="119">
        <v>6.9169960474308415E-2</v>
      </c>
    </row>
    <row r="982" spans="2:7" x14ac:dyDescent="0.2">
      <c r="B982" s="116" t="s">
        <v>2215</v>
      </c>
      <c r="C982" s="117" t="s">
        <v>2216</v>
      </c>
      <c r="D982" s="118" t="s">
        <v>34</v>
      </c>
      <c r="E982" s="118" t="s">
        <v>2217</v>
      </c>
      <c r="F982" s="119">
        <v>-0.59294871794871795</v>
      </c>
      <c r="G982" s="119">
        <v>0.96456692913385833</v>
      </c>
    </row>
    <row r="983" spans="2:7" x14ac:dyDescent="0.2">
      <c r="B983" s="116" t="s">
        <v>2218</v>
      </c>
      <c r="C983" s="117" t="s">
        <v>2219</v>
      </c>
      <c r="D983" s="118" t="s">
        <v>92</v>
      </c>
      <c r="E983" s="118" t="s">
        <v>299</v>
      </c>
      <c r="F983" s="119">
        <v>-7.2463768115941934E-2</v>
      </c>
      <c r="G983" s="119">
        <v>6.2500000000000056E-2</v>
      </c>
    </row>
    <row r="984" spans="2:7" x14ac:dyDescent="0.2">
      <c r="B984" s="116" t="s">
        <v>2220</v>
      </c>
      <c r="C984" s="117" t="s">
        <v>2221</v>
      </c>
      <c r="D984" s="118" t="s">
        <v>241</v>
      </c>
      <c r="E984" s="118" t="s">
        <v>306</v>
      </c>
      <c r="F984" s="119">
        <v>-0.27642276422764228</v>
      </c>
      <c r="G984" s="119">
        <v>1</v>
      </c>
    </row>
    <row r="985" spans="2:7" x14ac:dyDescent="0.2">
      <c r="B985" s="116" t="s">
        <v>2222</v>
      </c>
      <c r="C985" s="117" t="s">
        <v>2223</v>
      </c>
      <c r="D985" s="118" t="s">
        <v>39</v>
      </c>
      <c r="E985" s="118" t="s">
        <v>383</v>
      </c>
      <c r="F985" s="119">
        <v>0.27272727272727282</v>
      </c>
      <c r="G985" s="119">
        <v>0.1249999999999999</v>
      </c>
    </row>
    <row r="986" spans="2:7" x14ac:dyDescent="0.2">
      <c r="B986" s="116" t="s">
        <v>2224</v>
      </c>
      <c r="C986" s="117" t="s">
        <v>2225</v>
      </c>
      <c r="D986" s="118" t="s">
        <v>34</v>
      </c>
      <c r="E986" s="118" t="s">
        <v>119</v>
      </c>
      <c r="F986" s="119">
        <v>-9.8360655737704819E-2</v>
      </c>
      <c r="G986" s="119">
        <v>0.2</v>
      </c>
    </row>
    <row r="987" spans="2:7" x14ac:dyDescent="0.2">
      <c r="B987" s="116" t="s">
        <v>2226</v>
      </c>
      <c r="C987" s="117" t="s">
        <v>2227</v>
      </c>
      <c r="D987" s="118" t="s">
        <v>68</v>
      </c>
      <c r="E987" s="118" t="s">
        <v>168</v>
      </c>
      <c r="F987" s="119">
        <v>-7.7753779697624259E-2</v>
      </c>
      <c r="G987" s="119">
        <v>5.1522248243559873E-2</v>
      </c>
    </row>
    <row r="988" spans="2:7" x14ac:dyDescent="0.2">
      <c r="B988" s="116" t="s">
        <v>2228</v>
      </c>
      <c r="C988" s="117" t="s">
        <v>2229</v>
      </c>
      <c r="D988" s="118" t="s">
        <v>233</v>
      </c>
      <c r="E988" s="118" t="s">
        <v>469</v>
      </c>
      <c r="F988" s="119">
        <v>0.36111111111111122</v>
      </c>
      <c r="G988" s="119">
        <v>0.1224489795918368</v>
      </c>
    </row>
    <row r="989" spans="2:7" x14ac:dyDescent="0.2">
      <c r="B989" s="116" t="s">
        <v>2230</v>
      </c>
      <c r="C989" s="117" t="s">
        <v>2231</v>
      </c>
      <c r="D989" s="118" t="s">
        <v>92</v>
      </c>
      <c r="E989" s="118" t="s">
        <v>299</v>
      </c>
      <c r="F989" s="119">
        <v>1.315789473684212E-2</v>
      </c>
      <c r="G989" s="119">
        <v>3.8961038961038988E-2</v>
      </c>
    </row>
    <row r="990" spans="2:7" x14ac:dyDescent="0.2">
      <c r="B990" s="116" t="s">
        <v>2232</v>
      </c>
      <c r="C990" s="117" t="s">
        <v>2233</v>
      </c>
      <c r="D990" s="118" t="s">
        <v>92</v>
      </c>
      <c r="E990" s="118" t="s">
        <v>228</v>
      </c>
      <c r="F990" s="119">
        <v>0.23737373737373749</v>
      </c>
      <c r="G990" s="119">
        <v>-6.9387755102040968E-2</v>
      </c>
    </row>
    <row r="991" spans="2:7" x14ac:dyDescent="0.2">
      <c r="B991" s="116" t="s">
        <v>2234</v>
      </c>
      <c r="C991" s="117" t="s">
        <v>2235</v>
      </c>
      <c r="D991" s="118" t="s">
        <v>68</v>
      </c>
      <c r="E991" s="118" t="s">
        <v>985</v>
      </c>
      <c r="F991" s="119">
        <v>3.8235294117647052</v>
      </c>
      <c r="G991" s="119">
        <v>3.0975609756097562</v>
      </c>
    </row>
    <row r="992" spans="2:7" x14ac:dyDescent="0.2">
      <c r="B992" s="116" t="s">
        <v>2236</v>
      </c>
      <c r="C992" s="117" t="s">
        <v>2237</v>
      </c>
      <c r="D992" s="118" t="s">
        <v>241</v>
      </c>
      <c r="E992" s="118" t="s">
        <v>306</v>
      </c>
      <c r="F992" s="119">
        <v>-1.384615384615385</v>
      </c>
      <c r="G992" s="119">
        <v>2.342857142857143</v>
      </c>
    </row>
    <row r="993" spans="2:7" x14ac:dyDescent="0.2">
      <c r="B993" s="116" t="s">
        <v>2238</v>
      </c>
      <c r="C993" s="117" t="s">
        <v>2239</v>
      </c>
      <c r="D993" s="118" t="s">
        <v>115</v>
      </c>
      <c r="E993" s="118" t="s">
        <v>747</v>
      </c>
      <c r="F993" s="119">
        <v>4.3209876543209867E-2</v>
      </c>
      <c r="G993" s="119">
        <v>0.1420118343195266</v>
      </c>
    </row>
    <row r="994" spans="2:7" x14ac:dyDescent="0.2">
      <c r="B994" s="116" t="s">
        <v>2240</v>
      </c>
      <c r="C994" s="117" t="s">
        <v>2241</v>
      </c>
      <c r="D994" s="118" t="s">
        <v>34</v>
      </c>
      <c r="E994" s="118" t="s">
        <v>1637</v>
      </c>
      <c r="F994" s="119">
        <v>6.870229007633577E-2</v>
      </c>
      <c r="G994" s="119">
        <v>0.10357142857142861</v>
      </c>
    </row>
    <row r="995" spans="2:7" x14ac:dyDescent="0.2">
      <c r="B995" s="116" t="s">
        <v>2242</v>
      </c>
      <c r="C995" s="117" t="s">
        <v>2243</v>
      </c>
      <c r="D995" s="118" t="s">
        <v>48</v>
      </c>
      <c r="E995" s="118" t="s">
        <v>207</v>
      </c>
      <c r="F995" s="119">
        <v>-4.5454545454545491E-2</v>
      </c>
      <c r="G995" s="119">
        <v>0.1984126984126984</v>
      </c>
    </row>
    <row r="996" spans="2:7" x14ac:dyDescent="0.2">
      <c r="B996" s="116" t="s">
        <v>2244</v>
      </c>
      <c r="C996" s="117" t="s">
        <v>2245</v>
      </c>
      <c r="D996" s="118" t="s">
        <v>92</v>
      </c>
      <c r="E996" s="118" t="s">
        <v>717</v>
      </c>
      <c r="F996" s="119">
        <v>1.6528925619834729E-2</v>
      </c>
      <c r="G996" s="119">
        <v>9.3495934959349589E-2</v>
      </c>
    </row>
    <row r="997" spans="2:7" x14ac:dyDescent="0.2">
      <c r="B997" s="116" t="s">
        <v>2246</v>
      </c>
      <c r="C997" s="117" t="s">
        <v>2247</v>
      </c>
      <c r="D997" s="118" t="s">
        <v>39</v>
      </c>
      <c r="E997" s="118" t="s">
        <v>383</v>
      </c>
      <c r="F997" s="119">
        <v>-5.0251256281405969E-3</v>
      </c>
      <c r="G997" s="119">
        <v>0.10606060606060599</v>
      </c>
    </row>
    <row r="998" spans="2:7" x14ac:dyDescent="0.2">
      <c r="B998" s="116" t="s">
        <v>2248</v>
      </c>
      <c r="C998" s="117" t="s">
        <v>2249</v>
      </c>
      <c r="D998" s="118" t="s">
        <v>138</v>
      </c>
      <c r="E998" s="118" t="s">
        <v>139</v>
      </c>
      <c r="F998" s="119">
        <v>7.8709677419354765E-2</v>
      </c>
      <c r="G998" s="119">
        <v>8.2535885167464268E-2</v>
      </c>
    </row>
    <row r="999" spans="2:7" x14ac:dyDescent="0.2">
      <c r="B999" s="116" t="s">
        <v>2250</v>
      </c>
      <c r="C999" s="117" t="s">
        <v>2251</v>
      </c>
      <c r="D999" s="118" t="s">
        <v>145</v>
      </c>
      <c r="E999" s="118" t="s">
        <v>146</v>
      </c>
      <c r="F999" s="119">
        <v>0.22500000000000001</v>
      </c>
      <c r="G999" s="119">
        <v>0.59183673469387743</v>
      </c>
    </row>
    <row r="1000" spans="2:7" x14ac:dyDescent="0.2">
      <c r="B1000" s="116" t="s">
        <v>2252</v>
      </c>
      <c r="C1000" s="117" t="s">
        <v>2253</v>
      </c>
      <c r="D1000" s="118" t="s">
        <v>68</v>
      </c>
      <c r="E1000" s="118" t="s">
        <v>75</v>
      </c>
      <c r="F1000" s="119">
        <v>8.9285714285714163E-2</v>
      </c>
      <c r="G1000" s="119">
        <v>9.8360655737705013E-2</v>
      </c>
    </row>
    <row r="1001" spans="2:7" x14ac:dyDescent="0.2">
      <c r="B1001" s="116" t="s">
        <v>2254</v>
      </c>
      <c r="C1001" s="117" t="s">
        <v>2255</v>
      </c>
      <c r="D1001" s="118" t="s">
        <v>241</v>
      </c>
      <c r="E1001" s="118" t="s">
        <v>1017</v>
      </c>
      <c r="F1001" s="119">
        <v>-0.89873417721518989</v>
      </c>
      <c r="G1001" s="119">
        <v>3.9249999999999989</v>
      </c>
    </row>
    <row r="1002" spans="2:7" x14ac:dyDescent="0.2">
      <c r="B1002" s="116" t="s">
        <v>2256</v>
      </c>
      <c r="C1002" s="117" t="s">
        <v>2257</v>
      </c>
      <c r="D1002" s="118" t="s">
        <v>34</v>
      </c>
      <c r="E1002" s="118" t="s">
        <v>319</v>
      </c>
      <c r="F1002" s="119">
        <v>-6.6666666666666541E-2</v>
      </c>
      <c r="G1002" s="119">
        <v>0.55357142857142838</v>
      </c>
    </row>
    <row r="1003" spans="2:7" x14ac:dyDescent="0.2">
      <c r="B1003" s="116" t="s">
        <v>2258</v>
      </c>
      <c r="C1003" s="117" t="s">
        <v>2259</v>
      </c>
      <c r="D1003" s="118" t="s">
        <v>241</v>
      </c>
      <c r="E1003" s="118" t="s">
        <v>606</v>
      </c>
      <c r="F1003" s="119">
        <v>-0.89999999999999991</v>
      </c>
      <c r="G1003" s="119">
        <v>1.4122807017543859</v>
      </c>
    </row>
    <row r="1004" spans="2:7" x14ac:dyDescent="0.2">
      <c r="B1004" s="116" t="s">
        <v>2260</v>
      </c>
      <c r="C1004" s="117" t="s">
        <v>2261</v>
      </c>
      <c r="D1004" s="118" t="s">
        <v>138</v>
      </c>
      <c r="E1004" s="118" t="s">
        <v>386</v>
      </c>
      <c r="F1004" s="119">
        <v>4.4378698224852048E-2</v>
      </c>
      <c r="G1004" s="119">
        <v>-6.2322946175637328E-2</v>
      </c>
    </row>
    <row r="1005" spans="2:7" x14ac:dyDescent="0.2">
      <c r="B1005" s="116" t="s">
        <v>2262</v>
      </c>
      <c r="C1005" s="117" t="s">
        <v>2263</v>
      </c>
      <c r="D1005" s="118" t="s">
        <v>115</v>
      </c>
      <c r="E1005" s="118" t="s">
        <v>728</v>
      </c>
      <c r="F1005" s="119">
        <v>0.2357414448669202</v>
      </c>
      <c r="G1005" s="119">
        <v>0.76923076923076927</v>
      </c>
    </row>
    <row r="1006" spans="2:7" x14ac:dyDescent="0.2">
      <c r="B1006" s="116" t="s">
        <v>2264</v>
      </c>
      <c r="C1006" s="117" t="s">
        <v>2265</v>
      </c>
      <c r="D1006" s="118" t="s">
        <v>138</v>
      </c>
      <c r="E1006" s="118" t="s">
        <v>139</v>
      </c>
      <c r="F1006" s="119">
        <v>1.3513513513513469E-2</v>
      </c>
      <c r="G1006" s="119">
        <v>7.7333333333333337E-2</v>
      </c>
    </row>
    <row r="1007" spans="2:7" x14ac:dyDescent="0.2">
      <c r="B1007" s="116" t="s">
        <v>2266</v>
      </c>
      <c r="C1007" s="117" t="s">
        <v>2267</v>
      </c>
      <c r="D1007" s="118" t="s">
        <v>145</v>
      </c>
      <c r="E1007" s="118" t="s">
        <v>402</v>
      </c>
      <c r="F1007" s="119">
        <v>0.1393442622950819</v>
      </c>
      <c r="G1007" s="119">
        <v>-0.21582733812949631</v>
      </c>
    </row>
    <row r="1008" spans="2:7" x14ac:dyDescent="0.2">
      <c r="B1008" s="116" t="s">
        <v>2268</v>
      </c>
      <c r="C1008" s="117" t="s">
        <v>2269</v>
      </c>
      <c r="D1008" s="118" t="s">
        <v>145</v>
      </c>
      <c r="E1008" s="118" t="s">
        <v>360</v>
      </c>
      <c r="F1008" s="119">
        <v>0.25714285714285712</v>
      </c>
      <c r="G1008" s="119">
        <v>0.24173553719008259</v>
      </c>
    </row>
    <row r="1009" spans="2:7" x14ac:dyDescent="0.2">
      <c r="B1009" s="116" t="s">
        <v>2270</v>
      </c>
      <c r="C1009" s="117" t="s">
        <v>2271</v>
      </c>
      <c r="D1009" s="118" t="s">
        <v>92</v>
      </c>
      <c r="E1009" s="118" t="s">
        <v>272</v>
      </c>
      <c r="F1009" s="119">
        <v>-3.6297640653356758E-3</v>
      </c>
      <c r="G1009" s="119">
        <v>4.7358834244080113E-2</v>
      </c>
    </row>
    <row r="1010" spans="2:7" x14ac:dyDescent="0.2">
      <c r="B1010" s="116" t="s">
        <v>2272</v>
      </c>
      <c r="C1010" s="117" t="s">
        <v>2273</v>
      </c>
      <c r="D1010" s="118" t="s">
        <v>39</v>
      </c>
      <c r="E1010" s="118" t="s">
        <v>1162</v>
      </c>
      <c r="F1010" s="119">
        <v>-0.5</v>
      </c>
      <c r="G1010" s="119">
        <v>0.81249999999999989</v>
      </c>
    </row>
    <row r="1011" spans="2:7" x14ac:dyDescent="0.2">
      <c r="B1011" s="116" t="s">
        <v>2274</v>
      </c>
      <c r="C1011" s="117" t="s">
        <v>2275</v>
      </c>
      <c r="D1011" s="118" t="s">
        <v>138</v>
      </c>
      <c r="E1011" s="118" t="s">
        <v>139</v>
      </c>
      <c r="F1011" s="119">
        <v>7.7519379844961309E-3</v>
      </c>
      <c r="G1011" s="119">
        <v>5.3846153846153891E-2</v>
      </c>
    </row>
    <row r="1012" spans="2:7" x14ac:dyDescent="0.2">
      <c r="B1012" s="116" t="s">
        <v>2276</v>
      </c>
      <c r="C1012" s="117" t="s">
        <v>2277</v>
      </c>
      <c r="D1012" s="118" t="s">
        <v>34</v>
      </c>
      <c r="E1012" s="118" t="s">
        <v>319</v>
      </c>
      <c r="F1012" s="119">
        <v>0.1317494600431966</v>
      </c>
      <c r="G1012" s="119">
        <v>0.10114503816793879</v>
      </c>
    </row>
    <row r="1013" spans="2:7" x14ac:dyDescent="0.2">
      <c r="B1013" s="116" t="s">
        <v>2278</v>
      </c>
      <c r="C1013" s="117" t="s">
        <v>2279</v>
      </c>
      <c r="D1013" s="118" t="s">
        <v>34</v>
      </c>
      <c r="E1013" s="118" t="s">
        <v>1222</v>
      </c>
      <c r="F1013" s="119">
        <v>-0.24242424242424249</v>
      </c>
      <c r="G1013" s="119">
        <v>0.14999999999999991</v>
      </c>
    </row>
    <row r="1014" spans="2:7" x14ac:dyDescent="0.2">
      <c r="B1014" s="116" t="s">
        <v>2280</v>
      </c>
      <c r="C1014" s="117" t="s">
        <v>2281</v>
      </c>
      <c r="D1014" s="118" t="s">
        <v>233</v>
      </c>
      <c r="E1014" s="118" t="s">
        <v>469</v>
      </c>
      <c r="F1014" s="119">
        <v>0.58823529411764708</v>
      </c>
      <c r="G1014" s="119">
        <v>0.34586466165413537</v>
      </c>
    </row>
    <row r="1015" spans="2:7" x14ac:dyDescent="0.2">
      <c r="B1015" s="116" t="s">
        <v>2282</v>
      </c>
      <c r="C1015" s="117" t="s">
        <v>2283</v>
      </c>
      <c r="D1015" s="118" t="s">
        <v>34</v>
      </c>
      <c r="E1015" s="118" t="s">
        <v>44</v>
      </c>
      <c r="F1015" s="119">
        <v>5.6179775280898799E-2</v>
      </c>
      <c r="G1015" s="119">
        <v>0.42553191489361719</v>
      </c>
    </row>
    <row r="1016" spans="2:7" x14ac:dyDescent="0.2">
      <c r="B1016" s="116" t="s">
        <v>2284</v>
      </c>
      <c r="C1016" s="117" t="s">
        <v>2285</v>
      </c>
      <c r="D1016" s="118" t="s">
        <v>138</v>
      </c>
      <c r="E1016" s="118" t="s">
        <v>386</v>
      </c>
      <c r="F1016" s="119">
        <v>-0.26037735849056598</v>
      </c>
      <c r="G1016" s="119">
        <v>0.1020408163265307</v>
      </c>
    </row>
    <row r="1017" spans="2:7" x14ac:dyDescent="0.2">
      <c r="B1017" s="116" t="s">
        <v>2286</v>
      </c>
      <c r="C1017" s="117" t="s">
        <v>2287</v>
      </c>
      <c r="D1017" s="118" t="s">
        <v>115</v>
      </c>
      <c r="E1017" s="118" t="s">
        <v>116</v>
      </c>
      <c r="F1017" s="119">
        <v>0.1417322834645669</v>
      </c>
      <c r="G1017" s="119">
        <v>0.1793103448275862</v>
      </c>
    </row>
    <row r="1018" spans="2:7" x14ac:dyDescent="0.2">
      <c r="B1018" s="116" t="s">
        <v>2288</v>
      </c>
      <c r="C1018" s="117" t="s">
        <v>2289</v>
      </c>
      <c r="D1018" s="118" t="s">
        <v>68</v>
      </c>
      <c r="E1018" s="118" t="s">
        <v>985</v>
      </c>
      <c r="F1018" s="119">
        <v>-1.778688524590164</v>
      </c>
      <c r="G1018" s="119">
        <v>0.15789473684210531</v>
      </c>
    </row>
    <row r="1019" spans="2:7" x14ac:dyDescent="0.2">
      <c r="B1019" s="116" t="s">
        <v>2290</v>
      </c>
      <c r="C1019" s="117" t="s">
        <v>2291</v>
      </c>
      <c r="D1019" s="118" t="s">
        <v>106</v>
      </c>
      <c r="E1019" s="118" t="s">
        <v>563</v>
      </c>
      <c r="F1019" s="119">
        <v>-0.16509433962264161</v>
      </c>
      <c r="G1019" s="119">
        <v>1.12994350282486E-2</v>
      </c>
    </row>
    <row r="1020" spans="2:7" x14ac:dyDescent="0.2">
      <c r="B1020" s="116" t="s">
        <v>2292</v>
      </c>
      <c r="C1020" s="117" t="s">
        <v>2293</v>
      </c>
      <c r="D1020" s="118" t="s">
        <v>92</v>
      </c>
      <c r="E1020" s="118" t="s">
        <v>171</v>
      </c>
      <c r="F1020" s="119">
        <v>-0.12711864406779649</v>
      </c>
      <c r="G1020" s="119">
        <v>-9.7087378640776777E-3</v>
      </c>
    </row>
    <row r="1021" spans="2:7" x14ac:dyDescent="0.2">
      <c r="B1021" s="116" t="s">
        <v>2294</v>
      </c>
      <c r="C1021" s="117" t="s">
        <v>2295</v>
      </c>
      <c r="D1021" s="118" t="s">
        <v>68</v>
      </c>
      <c r="E1021" s="118" t="s">
        <v>949</v>
      </c>
      <c r="F1021" s="119">
        <v>0.11347517730496461</v>
      </c>
      <c r="G1021" s="119">
        <v>0.2420382165605095</v>
      </c>
    </row>
    <row r="1022" spans="2:7" x14ac:dyDescent="0.2">
      <c r="B1022" s="116" t="s">
        <v>2296</v>
      </c>
      <c r="C1022" s="117" t="s">
        <v>2297</v>
      </c>
      <c r="D1022" s="118" t="s">
        <v>92</v>
      </c>
      <c r="E1022" s="118" t="s">
        <v>275</v>
      </c>
      <c r="F1022" s="119">
        <v>2.416666666666667</v>
      </c>
      <c r="G1022" s="119">
        <v>0.14705882352941169</v>
      </c>
    </row>
    <row r="1023" spans="2:7" x14ac:dyDescent="0.2">
      <c r="B1023" s="116" t="s">
        <v>2298</v>
      </c>
      <c r="C1023" s="117" t="s">
        <v>2299</v>
      </c>
      <c r="D1023" s="118" t="s">
        <v>145</v>
      </c>
      <c r="E1023" s="118" t="s">
        <v>360</v>
      </c>
      <c r="F1023" s="119">
        <v>6.8062827225130948E-2</v>
      </c>
      <c r="G1023" s="119">
        <v>8.3333333333333301E-2</v>
      </c>
    </row>
    <row r="1024" spans="2:7" x14ac:dyDescent="0.2">
      <c r="B1024" s="116" t="s">
        <v>2300</v>
      </c>
      <c r="C1024" s="117" t="s">
        <v>2301</v>
      </c>
      <c r="D1024" s="118" t="s">
        <v>92</v>
      </c>
      <c r="E1024" s="118" t="s">
        <v>112</v>
      </c>
      <c r="F1024" s="119">
        <v>2.6217228464419581E-2</v>
      </c>
      <c r="G1024" s="119">
        <v>4.7445255474452511E-2</v>
      </c>
    </row>
    <row r="1025" spans="2:7" x14ac:dyDescent="0.2">
      <c r="B1025" s="116" t="s">
        <v>2302</v>
      </c>
      <c r="C1025" s="117" t="s">
        <v>2303</v>
      </c>
      <c r="D1025" s="118" t="s">
        <v>198</v>
      </c>
      <c r="E1025" s="118" t="s">
        <v>456</v>
      </c>
      <c r="F1025" s="119">
        <v>2.882599580712792E-2</v>
      </c>
      <c r="G1025" s="119">
        <v>0.14060112073357109</v>
      </c>
    </row>
    <row r="1026" spans="2:7" x14ac:dyDescent="0.2">
      <c r="B1026" s="116" t="s">
        <v>2304</v>
      </c>
      <c r="C1026" s="117" t="s">
        <v>2305</v>
      </c>
      <c r="D1026" s="118" t="s">
        <v>34</v>
      </c>
      <c r="E1026" s="118" t="s">
        <v>1253</v>
      </c>
      <c r="F1026" s="119">
        <v>3.8461538461538491E-2</v>
      </c>
      <c r="G1026" s="119">
        <v>0.62962962962962954</v>
      </c>
    </row>
    <row r="1027" spans="2:7" x14ac:dyDescent="0.2">
      <c r="B1027" s="116" t="s">
        <v>2306</v>
      </c>
      <c r="C1027" s="117" t="s">
        <v>2307</v>
      </c>
      <c r="D1027" s="118" t="s">
        <v>78</v>
      </c>
      <c r="E1027" s="118" t="s">
        <v>340</v>
      </c>
      <c r="F1027" s="119">
        <v>2.2222222222222081E-2</v>
      </c>
      <c r="G1027" s="119">
        <v>6.5217391304347894E-2</v>
      </c>
    </row>
    <row r="1028" spans="2:7" x14ac:dyDescent="0.2">
      <c r="B1028" s="116" t="s">
        <v>2308</v>
      </c>
      <c r="C1028" s="117" t="s">
        <v>2309</v>
      </c>
      <c r="D1028" s="118" t="s">
        <v>241</v>
      </c>
      <c r="E1028" s="118" t="s">
        <v>2310</v>
      </c>
      <c r="F1028" s="119">
        <v>2</v>
      </c>
      <c r="G1028" s="119">
        <v>23.666666666666671</v>
      </c>
    </row>
    <row r="1029" spans="2:7" x14ac:dyDescent="0.2">
      <c r="B1029" s="116" t="s">
        <v>2311</v>
      </c>
      <c r="C1029" s="117" t="s">
        <v>2312</v>
      </c>
      <c r="D1029" s="118" t="s">
        <v>34</v>
      </c>
      <c r="E1029" s="118" t="s">
        <v>245</v>
      </c>
      <c r="F1029" s="119">
        <v>0.36708860759493672</v>
      </c>
      <c r="G1029" s="119">
        <v>0.34567901234567899</v>
      </c>
    </row>
    <row r="1030" spans="2:7" x14ac:dyDescent="0.2">
      <c r="B1030" s="116" t="s">
        <v>2313</v>
      </c>
      <c r="C1030" s="117" t="s">
        <v>2314</v>
      </c>
      <c r="D1030" s="118" t="s">
        <v>102</v>
      </c>
      <c r="E1030" s="118" t="s">
        <v>2315</v>
      </c>
      <c r="F1030" s="119">
        <v>0.65263157894736856</v>
      </c>
      <c r="G1030" s="119">
        <v>0.21656050955414</v>
      </c>
    </row>
    <row r="1031" spans="2:7" x14ac:dyDescent="0.2">
      <c r="B1031" s="116" t="s">
        <v>2316</v>
      </c>
      <c r="C1031" s="117" t="s">
        <v>2317</v>
      </c>
      <c r="D1031" s="118" t="s">
        <v>138</v>
      </c>
      <c r="E1031" s="118" t="s">
        <v>139</v>
      </c>
      <c r="F1031" s="119">
        <v>0.50775193798449614</v>
      </c>
      <c r="G1031" s="119">
        <v>0.40874035989717228</v>
      </c>
    </row>
    <row r="1032" spans="2:7" x14ac:dyDescent="0.2">
      <c r="B1032" s="116" t="s">
        <v>2318</v>
      </c>
      <c r="C1032" s="117" t="s">
        <v>2319</v>
      </c>
      <c r="D1032" s="118" t="s">
        <v>106</v>
      </c>
      <c r="E1032" s="118" t="s">
        <v>324</v>
      </c>
      <c r="F1032" s="119">
        <v>0.203125</v>
      </c>
      <c r="G1032" s="119">
        <v>0.1168831168831168</v>
      </c>
    </row>
    <row r="1033" spans="2:7" x14ac:dyDescent="0.2">
      <c r="B1033" s="116" t="s">
        <v>2320</v>
      </c>
      <c r="C1033" s="117" t="s">
        <v>2321</v>
      </c>
      <c r="D1033" s="118" t="s">
        <v>92</v>
      </c>
      <c r="E1033" s="118" t="s">
        <v>171</v>
      </c>
      <c r="F1033" s="119">
        <v>-8.1196581196581186E-2</v>
      </c>
      <c r="G1033" s="119">
        <v>4.1860465116279208E-2</v>
      </c>
    </row>
    <row r="1034" spans="2:7" x14ac:dyDescent="0.2">
      <c r="B1034" s="116" t="s">
        <v>2322</v>
      </c>
      <c r="C1034" s="117" t="s">
        <v>2323</v>
      </c>
      <c r="D1034" s="118" t="s">
        <v>241</v>
      </c>
      <c r="E1034" s="118" t="s">
        <v>609</v>
      </c>
      <c r="F1034" s="119">
        <v>0.28095238095238101</v>
      </c>
      <c r="G1034" s="119">
        <v>2.0132450331125828</v>
      </c>
    </row>
    <row r="1035" spans="2:7" x14ac:dyDescent="0.2">
      <c r="B1035" s="116" t="s">
        <v>2324</v>
      </c>
      <c r="C1035" s="117" t="s">
        <v>2325</v>
      </c>
      <c r="D1035" s="118" t="s">
        <v>233</v>
      </c>
      <c r="E1035" s="118" t="s">
        <v>469</v>
      </c>
      <c r="F1035" s="119">
        <v>-0.61849710982658956</v>
      </c>
      <c r="G1035" s="119">
        <v>0.93939393939393934</v>
      </c>
    </row>
    <row r="1036" spans="2:7" x14ac:dyDescent="0.2">
      <c r="B1036" s="116" t="s">
        <v>2326</v>
      </c>
      <c r="C1036" s="117" t="s">
        <v>2327</v>
      </c>
      <c r="D1036" s="118" t="s">
        <v>48</v>
      </c>
      <c r="E1036" s="118" t="s">
        <v>835</v>
      </c>
      <c r="F1036" s="119">
        <v>0.14935064935064921</v>
      </c>
      <c r="G1036" s="119">
        <v>0.1195856873822977</v>
      </c>
    </row>
    <row r="1037" spans="2:7" x14ac:dyDescent="0.2">
      <c r="B1037" s="116" t="s">
        <v>2328</v>
      </c>
      <c r="C1037" s="117" t="s">
        <v>2329</v>
      </c>
      <c r="D1037" s="118" t="s">
        <v>106</v>
      </c>
      <c r="E1037" s="118" t="s">
        <v>2058</v>
      </c>
      <c r="F1037" s="119">
        <v>0.25067385444743928</v>
      </c>
      <c r="G1037" s="119">
        <v>0.18103448275862091</v>
      </c>
    </row>
    <row r="1038" spans="2:7" x14ac:dyDescent="0.2">
      <c r="B1038" s="116" t="s">
        <v>2330</v>
      </c>
      <c r="C1038" s="117" t="s">
        <v>2331</v>
      </c>
      <c r="D1038" s="118" t="s">
        <v>78</v>
      </c>
      <c r="E1038" s="118" t="s">
        <v>340</v>
      </c>
      <c r="F1038" s="119">
        <v>0.1704834605597963</v>
      </c>
      <c r="G1038" s="119">
        <v>9.7826086956521785E-2</v>
      </c>
    </row>
    <row r="1039" spans="2:7" x14ac:dyDescent="0.2">
      <c r="B1039" s="116" t="s">
        <v>2332</v>
      </c>
      <c r="C1039" s="117" t="s">
        <v>2333</v>
      </c>
      <c r="D1039" s="118" t="s">
        <v>34</v>
      </c>
      <c r="E1039" s="118" t="s">
        <v>2334</v>
      </c>
      <c r="F1039" s="119">
        <v>-9.8901098901098938E-2</v>
      </c>
      <c r="G1039" s="119">
        <v>0.1243902439024392</v>
      </c>
    </row>
    <row r="1040" spans="2:7" x14ac:dyDescent="0.2">
      <c r="B1040" s="116" t="s">
        <v>2335</v>
      </c>
      <c r="C1040" s="117" t="s">
        <v>2336</v>
      </c>
      <c r="D1040" s="118" t="s">
        <v>115</v>
      </c>
      <c r="E1040" s="118" t="s">
        <v>394</v>
      </c>
      <c r="F1040" s="119">
        <v>0.36585365853658558</v>
      </c>
      <c r="G1040" s="119">
        <v>0.29910714285714279</v>
      </c>
    </row>
    <row r="1041" spans="2:7" x14ac:dyDescent="0.2">
      <c r="B1041" s="116" t="s">
        <v>2337</v>
      </c>
      <c r="C1041" s="117" t="s">
        <v>2338</v>
      </c>
      <c r="D1041" s="118" t="s">
        <v>106</v>
      </c>
      <c r="E1041" s="118" t="s">
        <v>324</v>
      </c>
      <c r="F1041" s="119">
        <v>5.1724137931034531E-2</v>
      </c>
      <c r="G1041" s="119">
        <v>0.16393442622950821</v>
      </c>
    </row>
    <row r="1042" spans="2:7" x14ac:dyDescent="0.2">
      <c r="B1042" s="116" t="s">
        <v>2339</v>
      </c>
      <c r="C1042" s="117" t="s">
        <v>2340</v>
      </c>
      <c r="D1042" s="118" t="s">
        <v>34</v>
      </c>
      <c r="E1042" s="118" t="s">
        <v>1493</v>
      </c>
      <c r="F1042" s="119">
        <v>0.1082474226804125</v>
      </c>
      <c r="G1042" s="119">
        <v>0.16000000000000009</v>
      </c>
    </row>
    <row r="1043" spans="2:7" x14ac:dyDescent="0.2">
      <c r="B1043" s="116" t="s">
        <v>2341</v>
      </c>
      <c r="C1043" s="117" t="s">
        <v>2342</v>
      </c>
      <c r="D1043" s="118" t="s">
        <v>92</v>
      </c>
      <c r="E1043" s="118" t="s">
        <v>299</v>
      </c>
      <c r="F1043" s="119">
        <v>3.7444933920704832E-2</v>
      </c>
      <c r="G1043" s="119">
        <v>5.5201698513800378E-2</v>
      </c>
    </row>
    <row r="1044" spans="2:7" x14ac:dyDescent="0.2">
      <c r="B1044" s="116" t="s">
        <v>2343</v>
      </c>
      <c r="C1044" s="117" t="s">
        <v>2344</v>
      </c>
      <c r="D1044" s="118" t="s">
        <v>34</v>
      </c>
      <c r="E1044" s="118" t="s">
        <v>245</v>
      </c>
      <c r="F1044" s="119">
        <v>-0.7834394904458597</v>
      </c>
      <c r="G1044" s="119">
        <v>0.25357142857142861</v>
      </c>
    </row>
    <row r="1045" spans="2:7" x14ac:dyDescent="0.2">
      <c r="B1045" s="116" t="s">
        <v>2345</v>
      </c>
      <c r="C1045" s="117" t="s">
        <v>2346</v>
      </c>
      <c r="D1045" s="118" t="s">
        <v>145</v>
      </c>
      <c r="E1045" s="118" t="s">
        <v>781</v>
      </c>
      <c r="F1045" s="119">
        <v>7.954545454545453E-2</v>
      </c>
      <c r="G1045" s="119">
        <v>0.23157894736842091</v>
      </c>
    </row>
    <row r="1046" spans="2:7" x14ac:dyDescent="0.2">
      <c r="B1046" s="116" t="s">
        <v>2347</v>
      </c>
      <c r="C1046" s="117" t="s">
        <v>2348</v>
      </c>
      <c r="D1046" s="118" t="s">
        <v>92</v>
      </c>
      <c r="E1046" s="118" t="s">
        <v>461</v>
      </c>
      <c r="F1046" s="119">
        <v>1.382488479262671E-2</v>
      </c>
      <c r="G1046" s="119">
        <v>6.0606060606060663E-2</v>
      </c>
    </row>
    <row r="1047" spans="2:7" x14ac:dyDescent="0.2">
      <c r="B1047" s="116" t="s">
        <v>2349</v>
      </c>
      <c r="C1047" s="117" t="s">
        <v>2350</v>
      </c>
      <c r="D1047" s="118" t="s">
        <v>138</v>
      </c>
      <c r="E1047" s="118" t="s">
        <v>499</v>
      </c>
      <c r="F1047" s="119">
        <v>5.5961070559610589E-2</v>
      </c>
      <c r="G1047" s="119">
        <v>-1</v>
      </c>
    </row>
    <row r="1048" spans="2:7" x14ac:dyDescent="0.2">
      <c r="B1048" s="116" t="s">
        <v>2351</v>
      </c>
      <c r="C1048" s="117" t="s">
        <v>2352</v>
      </c>
      <c r="D1048" s="118" t="s">
        <v>34</v>
      </c>
      <c r="E1048" s="118" t="s">
        <v>99</v>
      </c>
      <c r="F1048" s="119">
        <v>4.424778761061951E-2</v>
      </c>
      <c r="G1048" s="119">
        <v>4.2372881355932243E-2</v>
      </c>
    </row>
    <row r="1049" spans="2:7" x14ac:dyDescent="0.2">
      <c r="B1049" s="116" t="s">
        <v>2353</v>
      </c>
      <c r="C1049" s="117" t="s">
        <v>2354</v>
      </c>
      <c r="D1049" s="118" t="s">
        <v>145</v>
      </c>
      <c r="E1049" s="118" t="s">
        <v>1467</v>
      </c>
      <c r="F1049" s="119">
        <v>-0.36737400530503977</v>
      </c>
      <c r="G1049" s="119">
        <v>-8.8050314465408799E-2</v>
      </c>
    </row>
    <row r="1050" spans="2:7" x14ac:dyDescent="0.2">
      <c r="B1050" s="116" t="s">
        <v>2355</v>
      </c>
      <c r="C1050" s="117" t="s">
        <v>2356</v>
      </c>
      <c r="D1050" s="118" t="s">
        <v>68</v>
      </c>
      <c r="E1050" s="118" t="s">
        <v>75</v>
      </c>
      <c r="F1050" s="119">
        <v>6.9124423963133605E-2</v>
      </c>
      <c r="G1050" s="119">
        <v>9.9137931034482762E-2</v>
      </c>
    </row>
    <row r="1051" spans="2:7" x14ac:dyDescent="0.2">
      <c r="B1051" s="116" t="s">
        <v>2357</v>
      </c>
      <c r="C1051" s="117" t="s">
        <v>2358</v>
      </c>
      <c r="D1051" s="118" t="s">
        <v>68</v>
      </c>
      <c r="E1051" s="118" t="s">
        <v>949</v>
      </c>
      <c r="F1051" s="119">
        <v>0.67647058823529416</v>
      </c>
      <c r="G1051" s="119">
        <v>3.1818181818181821</v>
      </c>
    </row>
    <row r="1052" spans="2:7" x14ac:dyDescent="0.2">
      <c r="B1052" s="116" t="s">
        <v>2359</v>
      </c>
      <c r="C1052" s="117" t="s">
        <v>2360</v>
      </c>
      <c r="D1052" s="118" t="s">
        <v>34</v>
      </c>
      <c r="E1052" s="118" t="s">
        <v>1753</v>
      </c>
      <c r="F1052" s="119">
        <v>-0.1866464339908952</v>
      </c>
      <c r="G1052" s="119">
        <v>0.32089552238805957</v>
      </c>
    </row>
    <row r="1053" spans="2:7" x14ac:dyDescent="0.2">
      <c r="B1053" s="116" t="s">
        <v>2361</v>
      </c>
      <c r="C1053" s="117" t="s">
        <v>2362</v>
      </c>
      <c r="D1053" s="118" t="s">
        <v>68</v>
      </c>
      <c r="E1053" s="118" t="s">
        <v>69</v>
      </c>
      <c r="F1053" s="119">
        <v>-4.0983606557376184E-3</v>
      </c>
      <c r="G1053" s="119">
        <v>0.18106995884773661</v>
      </c>
    </row>
    <row r="1054" spans="2:7" x14ac:dyDescent="0.2">
      <c r="B1054" s="116" t="s">
        <v>2363</v>
      </c>
      <c r="C1054" s="117" t="s">
        <v>2364</v>
      </c>
      <c r="D1054" s="118" t="s">
        <v>102</v>
      </c>
      <c r="E1054" s="118" t="s">
        <v>1081</v>
      </c>
      <c r="F1054" s="119">
        <v>0.13400943652041869</v>
      </c>
      <c r="G1054" s="119">
        <v>4.2898134863701573E-2</v>
      </c>
    </row>
    <row r="1055" spans="2:7" x14ac:dyDescent="0.2">
      <c r="B1055" s="116" t="s">
        <v>2365</v>
      </c>
      <c r="C1055" s="117" t="s">
        <v>2366</v>
      </c>
      <c r="D1055" s="118" t="s">
        <v>68</v>
      </c>
      <c r="E1055" s="118" t="s">
        <v>69</v>
      </c>
      <c r="F1055" s="119">
        <v>-1.1516314779270559E-2</v>
      </c>
      <c r="G1055" s="119">
        <v>0.120388349514563</v>
      </c>
    </row>
    <row r="1056" spans="2:7" x14ac:dyDescent="0.2">
      <c r="B1056" s="116" t="s">
        <v>2367</v>
      </c>
      <c r="C1056" s="117" t="s">
        <v>2368</v>
      </c>
      <c r="D1056" s="118" t="s">
        <v>34</v>
      </c>
      <c r="E1056" s="118" t="s">
        <v>44</v>
      </c>
      <c r="F1056" s="119">
        <v>2.2857142857142881E-2</v>
      </c>
      <c r="G1056" s="119">
        <v>0.106145251396648</v>
      </c>
    </row>
    <row r="1057" spans="2:7" x14ac:dyDescent="0.2">
      <c r="B1057" s="116" t="s">
        <v>2369</v>
      </c>
      <c r="C1057" s="117" t="s">
        <v>2370</v>
      </c>
      <c r="D1057" s="118" t="s">
        <v>145</v>
      </c>
      <c r="E1057" s="118" t="s">
        <v>360</v>
      </c>
      <c r="F1057" s="119">
        <v>2.424242424242427E-2</v>
      </c>
      <c r="G1057" s="119">
        <v>3.5502958579881692E-2</v>
      </c>
    </row>
    <row r="1058" spans="2:7" x14ac:dyDescent="0.2">
      <c r="B1058" s="116" t="s">
        <v>2371</v>
      </c>
      <c r="C1058" s="117" t="s">
        <v>2372</v>
      </c>
      <c r="D1058" s="118" t="s">
        <v>138</v>
      </c>
      <c r="E1058" s="118" t="s">
        <v>139</v>
      </c>
      <c r="F1058" s="119">
        <v>5.8997050147492677E-3</v>
      </c>
      <c r="G1058" s="119">
        <v>3.2258064516128997E-2</v>
      </c>
    </row>
    <row r="1059" spans="2:7" x14ac:dyDescent="0.2">
      <c r="B1059" s="116" t="s">
        <v>2373</v>
      </c>
      <c r="C1059" s="117" t="s">
        <v>2374</v>
      </c>
      <c r="D1059" s="118" t="s">
        <v>78</v>
      </c>
      <c r="E1059" s="118" t="s">
        <v>128</v>
      </c>
      <c r="F1059" s="119">
        <v>0.31967213114754112</v>
      </c>
      <c r="G1059" s="119">
        <v>-6.211180124223608E-2</v>
      </c>
    </row>
    <row r="1060" spans="2:7" x14ac:dyDescent="0.2">
      <c r="B1060" s="116" t="s">
        <v>2375</v>
      </c>
      <c r="C1060" s="117" t="s">
        <v>2376</v>
      </c>
      <c r="D1060" s="118" t="s">
        <v>115</v>
      </c>
      <c r="E1060" s="118" t="s">
        <v>1772</v>
      </c>
      <c r="F1060" s="119">
        <v>5.2631578947368467E-2</v>
      </c>
      <c r="G1060" s="119">
        <v>0.27500000000000002</v>
      </c>
    </row>
    <row r="1061" spans="2:7" x14ac:dyDescent="0.2">
      <c r="B1061" s="116" t="s">
        <v>2377</v>
      </c>
      <c r="C1061" s="117" t="s">
        <v>2378</v>
      </c>
      <c r="D1061" s="118" t="s">
        <v>52</v>
      </c>
      <c r="E1061" s="118" t="s">
        <v>657</v>
      </c>
      <c r="F1061" s="119">
        <v>-1.413427561837457E-2</v>
      </c>
      <c r="G1061" s="119">
        <v>1.7921146953404951E-2</v>
      </c>
    </row>
    <row r="1062" spans="2:7" x14ac:dyDescent="0.2">
      <c r="B1062" s="116" t="s">
        <v>2379</v>
      </c>
      <c r="C1062" s="117" t="s">
        <v>2380</v>
      </c>
      <c r="D1062" s="118" t="s">
        <v>34</v>
      </c>
      <c r="E1062" s="118" t="s">
        <v>119</v>
      </c>
      <c r="F1062" s="119">
        <v>6.751054852320669E-2</v>
      </c>
      <c r="G1062" s="119">
        <v>0.16337285902503301</v>
      </c>
    </row>
    <row r="1063" spans="2:7" x14ac:dyDescent="0.2">
      <c r="B1063" s="116" t="s">
        <v>2381</v>
      </c>
      <c r="C1063" s="117" t="s">
        <v>2382</v>
      </c>
      <c r="D1063" s="118" t="s">
        <v>115</v>
      </c>
      <c r="E1063" s="118" t="s">
        <v>728</v>
      </c>
      <c r="F1063" s="119">
        <v>-0.26809015421115062</v>
      </c>
      <c r="G1063" s="119">
        <v>0.84440842787682346</v>
      </c>
    </row>
    <row r="1064" spans="2:7" x14ac:dyDescent="0.2">
      <c r="B1064" s="116" t="s">
        <v>2383</v>
      </c>
      <c r="C1064" s="117" t="s">
        <v>2384</v>
      </c>
      <c r="D1064" s="118" t="s">
        <v>92</v>
      </c>
      <c r="E1064" s="118" t="s">
        <v>784</v>
      </c>
      <c r="F1064" s="119">
        <v>-1.265822784810128E-2</v>
      </c>
      <c r="G1064" s="119">
        <v>0.12820512820512819</v>
      </c>
    </row>
    <row r="1065" spans="2:7" x14ac:dyDescent="0.2">
      <c r="B1065" s="116" t="s">
        <v>2385</v>
      </c>
      <c r="C1065" s="117" t="s">
        <v>2386</v>
      </c>
      <c r="D1065" s="118" t="s">
        <v>78</v>
      </c>
      <c r="E1065" s="118" t="s">
        <v>2387</v>
      </c>
      <c r="F1065" s="119">
        <v>5.1948051948051993E-2</v>
      </c>
      <c r="G1065" s="119">
        <v>0.17283950617283941</v>
      </c>
    </row>
    <row r="1066" spans="2:7" x14ac:dyDescent="0.2">
      <c r="B1066" s="116" t="s">
        <v>2388</v>
      </c>
      <c r="C1066" s="117" t="s">
        <v>2389</v>
      </c>
      <c r="D1066" s="118" t="s">
        <v>92</v>
      </c>
      <c r="E1066" s="118" t="s">
        <v>112</v>
      </c>
      <c r="F1066" s="119">
        <v>5.1118210862619848E-2</v>
      </c>
      <c r="G1066" s="119">
        <v>6.9908814589665649E-2</v>
      </c>
    </row>
    <row r="1067" spans="2:7" x14ac:dyDescent="0.2">
      <c r="B1067" s="116" t="s">
        <v>2390</v>
      </c>
      <c r="C1067" s="117" t="s">
        <v>2391</v>
      </c>
      <c r="D1067" s="118" t="s">
        <v>92</v>
      </c>
      <c r="E1067" s="118" t="s">
        <v>195</v>
      </c>
      <c r="F1067" s="119">
        <v>0.35907335907335908</v>
      </c>
      <c r="G1067" s="119">
        <v>2.8409090909090939E-2</v>
      </c>
    </row>
    <row r="1068" spans="2:7" x14ac:dyDescent="0.2">
      <c r="B1068" s="116" t="s">
        <v>2392</v>
      </c>
      <c r="C1068" s="117" t="s">
        <v>2393</v>
      </c>
      <c r="D1068" s="118" t="s">
        <v>34</v>
      </c>
      <c r="E1068" s="118" t="s">
        <v>691</v>
      </c>
      <c r="F1068" s="119">
        <v>9.9041533546325902E-2</v>
      </c>
      <c r="G1068" s="119">
        <v>7.2674418604651167E-2</v>
      </c>
    </row>
    <row r="1069" spans="2:7" x14ac:dyDescent="0.2">
      <c r="B1069" s="116" t="s">
        <v>2394</v>
      </c>
      <c r="C1069" s="117" t="s">
        <v>2395</v>
      </c>
      <c r="D1069" s="118" t="s">
        <v>102</v>
      </c>
      <c r="E1069" s="118" t="s">
        <v>424</v>
      </c>
      <c r="F1069" s="119">
        <v>-2.2964509394572091E-2</v>
      </c>
      <c r="G1069" s="119">
        <v>0.14529914529914539</v>
      </c>
    </row>
    <row r="1070" spans="2:7" x14ac:dyDescent="0.2">
      <c r="B1070" s="116" t="s">
        <v>2396</v>
      </c>
      <c r="C1070" s="117" t="s">
        <v>2397</v>
      </c>
      <c r="D1070" s="118" t="s">
        <v>68</v>
      </c>
      <c r="E1070" s="118" t="s">
        <v>82</v>
      </c>
      <c r="F1070" s="119">
        <v>10.5</v>
      </c>
      <c r="G1070" s="119">
        <v>6.5217391304347755E-2</v>
      </c>
    </row>
    <row r="1071" spans="2:7" x14ac:dyDescent="0.2">
      <c r="B1071" s="116" t="s">
        <v>2398</v>
      </c>
      <c r="C1071" s="117" t="s">
        <v>2399</v>
      </c>
      <c r="D1071" s="118" t="s">
        <v>48</v>
      </c>
      <c r="E1071" s="118" t="s">
        <v>1809</v>
      </c>
      <c r="F1071" s="119">
        <v>0.1030640668523677</v>
      </c>
      <c r="G1071" s="119">
        <v>7.9545454545454641E-2</v>
      </c>
    </row>
    <row r="1072" spans="2:7" x14ac:dyDescent="0.2">
      <c r="B1072" s="116" t="s">
        <v>2400</v>
      </c>
      <c r="C1072" s="117" t="s">
        <v>2401</v>
      </c>
      <c r="D1072" s="118" t="s">
        <v>106</v>
      </c>
      <c r="E1072" s="118" t="s">
        <v>324</v>
      </c>
      <c r="F1072" s="119">
        <v>-5.797101449275352E-2</v>
      </c>
      <c r="G1072" s="119">
        <v>0.1538461538461538</v>
      </c>
    </row>
    <row r="1073" spans="2:7" x14ac:dyDescent="0.2">
      <c r="B1073" s="116" t="s">
        <v>2402</v>
      </c>
      <c r="C1073" s="117" t="s">
        <v>2403</v>
      </c>
      <c r="D1073" s="118" t="s">
        <v>92</v>
      </c>
      <c r="E1073" s="118" t="s">
        <v>272</v>
      </c>
      <c r="F1073" s="119">
        <v>9.9502487562189157E-3</v>
      </c>
      <c r="G1073" s="119">
        <v>3.44827586206898E-2</v>
      </c>
    </row>
    <row r="1074" spans="2:7" x14ac:dyDescent="0.2">
      <c r="B1074" s="116" t="s">
        <v>2404</v>
      </c>
      <c r="C1074" s="117" t="s">
        <v>2405</v>
      </c>
      <c r="D1074" s="118" t="s">
        <v>138</v>
      </c>
      <c r="E1074" s="118" t="s">
        <v>139</v>
      </c>
      <c r="F1074" s="119">
        <v>2.8846153846153869E-2</v>
      </c>
      <c r="G1074" s="119">
        <v>7.0093457943925186E-2</v>
      </c>
    </row>
    <row r="1075" spans="2:7" x14ac:dyDescent="0.2">
      <c r="B1075" s="116" t="s">
        <v>2406</v>
      </c>
      <c r="C1075" s="117" t="s">
        <v>2407</v>
      </c>
      <c r="D1075" s="118" t="s">
        <v>138</v>
      </c>
      <c r="E1075" s="118" t="s">
        <v>386</v>
      </c>
      <c r="F1075" s="119">
        <v>7.6687116564417179E-2</v>
      </c>
      <c r="G1075" s="119">
        <v>3.1339031339031431E-2</v>
      </c>
    </row>
    <row r="1076" spans="2:7" x14ac:dyDescent="0.2">
      <c r="B1076" s="116" t="s">
        <v>2408</v>
      </c>
      <c r="C1076" s="117" t="s">
        <v>2409</v>
      </c>
      <c r="D1076" s="118" t="s">
        <v>92</v>
      </c>
      <c r="E1076" s="118" t="s">
        <v>272</v>
      </c>
      <c r="F1076" s="119">
        <v>-6.5359477124183061E-3</v>
      </c>
      <c r="G1076" s="119">
        <v>6.2499999999999979E-2</v>
      </c>
    </row>
    <row r="1077" spans="2:7" x14ac:dyDescent="0.2">
      <c r="B1077" s="116" t="s">
        <v>2410</v>
      </c>
      <c r="C1077" s="117" t="s">
        <v>2411</v>
      </c>
      <c r="D1077" s="118" t="s">
        <v>138</v>
      </c>
      <c r="E1077" s="118" t="s">
        <v>386</v>
      </c>
      <c r="F1077" s="119">
        <v>0.10638297872340439</v>
      </c>
      <c r="G1077" s="119">
        <v>0.2147435897435897</v>
      </c>
    </row>
    <row r="1078" spans="2:7" x14ac:dyDescent="0.2">
      <c r="B1078" s="116" t="s">
        <v>2412</v>
      </c>
      <c r="C1078" s="117" t="s">
        <v>2413</v>
      </c>
      <c r="D1078" s="118" t="s">
        <v>34</v>
      </c>
      <c r="E1078" s="118" t="s">
        <v>1493</v>
      </c>
      <c r="F1078" s="119">
        <v>-0.1944444444444445</v>
      </c>
      <c r="G1078" s="119">
        <v>0.55813953488372092</v>
      </c>
    </row>
    <row r="1079" spans="2:7" x14ac:dyDescent="0.2">
      <c r="B1079" s="116" t="s">
        <v>2414</v>
      </c>
      <c r="C1079" s="117" t="s">
        <v>2415</v>
      </c>
      <c r="D1079" s="118" t="s">
        <v>115</v>
      </c>
      <c r="E1079" s="118" t="s">
        <v>806</v>
      </c>
      <c r="F1079" s="119">
        <v>8.0000000000000071E-2</v>
      </c>
      <c r="G1079" s="119">
        <v>0.20370370370370369</v>
      </c>
    </row>
    <row r="1080" spans="2:7" x14ac:dyDescent="0.2">
      <c r="B1080" s="116" t="s">
        <v>2416</v>
      </c>
      <c r="C1080" s="117" t="s">
        <v>2417</v>
      </c>
      <c r="D1080" s="118" t="s">
        <v>34</v>
      </c>
      <c r="E1080" s="118" t="s">
        <v>44</v>
      </c>
      <c r="F1080" s="119">
        <v>1.350877192982457</v>
      </c>
      <c r="G1080" s="119">
        <v>0.4477611940298506</v>
      </c>
    </row>
    <row r="1081" spans="2:7" x14ac:dyDescent="0.2">
      <c r="B1081" s="116" t="s">
        <v>2418</v>
      </c>
      <c r="C1081" s="117" t="s">
        <v>2419</v>
      </c>
      <c r="D1081" s="118" t="s">
        <v>78</v>
      </c>
      <c r="E1081" s="118" t="s">
        <v>128</v>
      </c>
      <c r="F1081" s="119">
        <v>8.8397790055248573E-2</v>
      </c>
      <c r="G1081" s="119">
        <v>0.17766497461928929</v>
      </c>
    </row>
    <row r="1082" spans="2:7" x14ac:dyDescent="0.2">
      <c r="B1082" s="116" t="s">
        <v>2420</v>
      </c>
      <c r="C1082" s="117" t="s">
        <v>2421</v>
      </c>
      <c r="D1082" s="118" t="s">
        <v>145</v>
      </c>
      <c r="E1082" s="118" t="s">
        <v>179</v>
      </c>
      <c r="F1082" s="119">
        <v>-0.43478260869565222</v>
      </c>
      <c r="G1082" s="119">
        <v>0.77884615384615385</v>
      </c>
    </row>
    <row r="1083" spans="2:7" x14ac:dyDescent="0.2">
      <c r="B1083" s="116" t="s">
        <v>2422</v>
      </c>
      <c r="C1083" s="117" t="s">
        <v>2423</v>
      </c>
      <c r="D1083" s="118" t="s">
        <v>106</v>
      </c>
      <c r="E1083" s="118" t="s">
        <v>1764</v>
      </c>
      <c r="F1083" s="119">
        <v>7.460035523978685E-2</v>
      </c>
      <c r="G1083" s="119">
        <v>5.6198347107437992E-2</v>
      </c>
    </row>
    <row r="1084" spans="2:7" x14ac:dyDescent="0.2">
      <c r="B1084" s="116" t="s">
        <v>2424</v>
      </c>
      <c r="C1084" s="117" t="s">
        <v>2425</v>
      </c>
      <c r="D1084" s="118" t="s">
        <v>68</v>
      </c>
      <c r="E1084" s="118" t="s">
        <v>778</v>
      </c>
      <c r="F1084" s="119">
        <v>0.36764705882352938</v>
      </c>
      <c r="G1084" s="119">
        <v>8.2437275985663069E-2</v>
      </c>
    </row>
    <row r="1085" spans="2:7" x14ac:dyDescent="0.2">
      <c r="B1085" s="116" t="s">
        <v>2426</v>
      </c>
      <c r="C1085" s="117" t="s">
        <v>2427</v>
      </c>
      <c r="D1085" s="118" t="s">
        <v>92</v>
      </c>
      <c r="E1085" s="118" t="s">
        <v>228</v>
      </c>
      <c r="F1085" s="119">
        <v>0.22754491017964079</v>
      </c>
      <c r="G1085" s="119">
        <v>5.365853658536586E-2</v>
      </c>
    </row>
    <row r="1086" spans="2:7" x14ac:dyDescent="0.2">
      <c r="B1086" s="116" t="s">
        <v>2428</v>
      </c>
      <c r="C1086" s="117" t="s">
        <v>2429</v>
      </c>
      <c r="D1086" s="118" t="s">
        <v>241</v>
      </c>
      <c r="E1086" s="118" t="s">
        <v>606</v>
      </c>
      <c r="F1086" s="119">
        <v>8.2437275985663069E-2</v>
      </c>
      <c r="G1086" s="119">
        <v>2.9801324503311209E-2</v>
      </c>
    </row>
    <row r="1087" spans="2:7" x14ac:dyDescent="0.2">
      <c r="B1087" s="116" t="s">
        <v>2430</v>
      </c>
      <c r="C1087" s="117" t="s">
        <v>2431</v>
      </c>
      <c r="D1087" s="118" t="s">
        <v>34</v>
      </c>
      <c r="E1087" s="118" t="s">
        <v>119</v>
      </c>
      <c r="F1087" s="119">
        <v>-0.1789473684210526</v>
      </c>
      <c r="G1087" s="119">
        <v>7.0512820512820429E-2</v>
      </c>
    </row>
    <row r="1088" spans="2:7" x14ac:dyDescent="0.2">
      <c r="B1088" s="116" t="s">
        <v>2432</v>
      </c>
      <c r="C1088" s="117" t="s">
        <v>2433</v>
      </c>
      <c r="D1088" s="118" t="s">
        <v>92</v>
      </c>
      <c r="E1088" s="118" t="s">
        <v>351</v>
      </c>
      <c r="F1088" s="119">
        <v>3.0075187969924842E-2</v>
      </c>
      <c r="G1088" s="119">
        <v>4.3795620437956068E-2</v>
      </c>
    </row>
    <row r="1089" spans="2:7" x14ac:dyDescent="0.2">
      <c r="B1089" s="116" t="s">
        <v>2434</v>
      </c>
      <c r="C1089" s="117" t="s">
        <v>2435</v>
      </c>
      <c r="D1089" s="118" t="s">
        <v>68</v>
      </c>
      <c r="E1089" s="118" t="s">
        <v>87</v>
      </c>
      <c r="F1089" s="119">
        <v>-2.1428571428571428</v>
      </c>
      <c r="G1089" s="119">
        <v>0.1033057851239669</v>
      </c>
    </row>
    <row r="1090" spans="2:7" x14ac:dyDescent="0.2">
      <c r="B1090" s="116" t="s">
        <v>2436</v>
      </c>
      <c r="C1090" s="117" t="s">
        <v>2437</v>
      </c>
      <c r="D1090" s="118" t="s">
        <v>241</v>
      </c>
      <c r="E1090" s="118" t="s">
        <v>1017</v>
      </c>
      <c r="F1090" s="119">
        <v>-0.15311004784688989</v>
      </c>
      <c r="G1090" s="119">
        <v>0.23728813559322029</v>
      </c>
    </row>
    <row r="1091" spans="2:7" x14ac:dyDescent="0.2">
      <c r="B1091" s="116" t="s">
        <v>2438</v>
      </c>
      <c r="C1091" s="117" t="s">
        <v>2439</v>
      </c>
      <c r="D1091" s="118" t="s">
        <v>34</v>
      </c>
      <c r="E1091" s="118" t="s">
        <v>278</v>
      </c>
      <c r="F1091" s="119">
        <v>-0.14285714285714279</v>
      </c>
      <c r="G1091" s="119">
        <v>0.20588235294117641</v>
      </c>
    </row>
    <row r="1092" spans="2:7" x14ac:dyDescent="0.2">
      <c r="B1092" s="116" t="s">
        <v>2440</v>
      </c>
      <c r="C1092" s="117" t="s">
        <v>2441</v>
      </c>
      <c r="D1092" s="118" t="s">
        <v>34</v>
      </c>
      <c r="E1092" s="118" t="s">
        <v>99</v>
      </c>
      <c r="F1092" s="119">
        <v>0.13081395348837219</v>
      </c>
      <c r="G1092" s="119">
        <v>0.107969151670951</v>
      </c>
    </row>
    <row r="1093" spans="2:7" x14ac:dyDescent="0.2">
      <c r="B1093" s="116" t="s">
        <v>2442</v>
      </c>
      <c r="C1093" s="117" t="s">
        <v>2443</v>
      </c>
      <c r="D1093" s="118" t="s">
        <v>68</v>
      </c>
      <c r="E1093" s="118" t="s">
        <v>985</v>
      </c>
      <c r="F1093" s="119">
        <v>-0.37984496124031009</v>
      </c>
      <c r="G1093" s="119">
        <v>-5.0000000000000037E-2</v>
      </c>
    </row>
    <row r="1094" spans="2:7" x14ac:dyDescent="0.2">
      <c r="B1094" s="116" t="s">
        <v>2444</v>
      </c>
      <c r="C1094" s="117" t="s">
        <v>2445</v>
      </c>
      <c r="D1094" s="118" t="s">
        <v>52</v>
      </c>
      <c r="E1094" s="118" t="s">
        <v>56</v>
      </c>
      <c r="F1094" s="119">
        <v>8.808933002481377E-2</v>
      </c>
      <c r="G1094" s="119">
        <v>0.1174458380843787</v>
      </c>
    </row>
    <row r="1095" spans="2:7" x14ac:dyDescent="0.2">
      <c r="B1095" s="116" t="s">
        <v>2446</v>
      </c>
      <c r="C1095" s="117" t="s">
        <v>2447</v>
      </c>
      <c r="D1095" s="118" t="s">
        <v>233</v>
      </c>
      <c r="E1095" s="118" t="s">
        <v>234</v>
      </c>
      <c r="F1095" s="119">
        <v>0.33333333333333309</v>
      </c>
      <c r="G1095" s="119">
        <v>-6.2189054726366844E-3</v>
      </c>
    </row>
    <row r="1096" spans="2:7" x14ac:dyDescent="0.2">
      <c r="B1096" s="116" t="s">
        <v>2448</v>
      </c>
      <c r="C1096" s="117" t="s">
        <v>2449</v>
      </c>
      <c r="D1096" s="118" t="s">
        <v>34</v>
      </c>
      <c r="E1096" s="118" t="s">
        <v>99</v>
      </c>
      <c r="F1096" s="119">
        <v>6.5217391304347894E-2</v>
      </c>
      <c r="G1096" s="119">
        <v>5.442176870748304E-2</v>
      </c>
    </row>
    <row r="1097" spans="2:7" x14ac:dyDescent="0.2">
      <c r="B1097" s="116" t="s">
        <v>2450</v>
      </c>
      <c r="C1097" s="117" t="s">
        <v>2451</v>
      </c>
      <c r="D1097" s="118" t="s">
        <v>92</v>
      </c>
      <c r="E1097" s="118" t="s">
        <v>272</v>
      </c>
      <c r="F1097" s="119">
        <v>0.10900473933649291</v>
      </c>
      <c r="G1097" s="119">
        <v>6.4102564102564263E-2</v>
      </c>
    </row>
    <row r="1098" spans="2:7" x14ac:dyDescent="0.2">
      <c r="B1098" s="116" t="s">
        <v>2452</v>
      </c>
      <c r="C1098" s="117" t="s">
        <v>2453</v>
      </c>
      <c r="D1098" s="118" t="s">
        <v>92</v>
      </c>
      <c r="E1098" s="118" t="s">
        <v>299</v>
      </c>
      <c r="F1098" s="119">
        <v>-7.0175438596491169E-2</v>
      </c>
      <c r="G1098" s="119">
        <v>3.1446540880503027E-2</v>
      </c>
    </row>
    <row r="1099" spans="2:7" x14ac:dyDescent="0.2">
      <c r="B1099" s="116" t="s">
        <v>2454</v>
      </c>
      <c r="C1099" s="117" t="s">
        <v>2455</v>
      </c>
      <c r="D1099" s="118" t="s">
        <v>241</v>
      </c>
      <c r="E1099" s="118" t="s">
        <v>242</v>
      </c>
      <c r="F1099" s="119">
        <v>-0.40936863543788188</v>
      </c>
      <c r="G1099" s="119">
        <v>-0.24137931034482751</v>
      </c>
    </row>
    <row r="1100" spans="2:7" x14ac:dyDescent="0.2">
      <c r="B1100" s="116" t="s">
        <v>2456</v>
      </c>
      <c r="C1100" s="117" t="s">
        <v>2457</v>
      </c>
      <c r="D1100" s="118" t="s">
        <v>92</v>
      </c>
      <c r="E1100" s="118" t="s">
        <v>399</v>
      </c>
      <c r="F1100" s="119">
        <v>5.6603773584905571E-2</v>
      </c>
      <c r="G1100" s="119">
        <v>-5.0595238095238082E-2</v>
      </c>
    </row>
    <row r="1101" spans="2:7" x14ac:dyDescent="0.2">
      <c r="B1101" s="116" t="s">
        <v>2458</v>
      </c>
      <c r="C1101" s="117" t="s">
        <v>2459</v>
      </c>
      <c r="D1101" s="118" t="s">
        <v>241</v>
      </c>
      <c r="E1101" s="118" t="s">
        <v>609</v>
      </c>
      <c r="F1101" s="119">
        <v>0.36898395721925131</v>
      </c>
      <c r="G1101" s="119">
        <v>-0.25390625000000011</v>
      </c>
    </row>
    <row r="1102" spans="2:7" x14ac:dyDescent="0.2">
      <c r="B1102" s="116" t="s">
        <v>2460</v>
      </c>
      <c r="C1102" s="117" t="s">
        <v>2461</v>
      </c>
      <c r="D1102" s="118" t="s">
        <v>145</v>
      </c>
      <c r="E1102" s="118" t="s">
        <v>663</v>
      </c>
      <c r="F1102" s="119">
        <v>2.3809523809523829E-2</v>
      </c>
      <c r="G1102" s="119">
        <v>1.069767441860465</v>
      </c>
    </row>
    <row r="1103" spans="2:7" x14ac:dyDescent="0.2">
      <c r="B1103" s="116" t="s">
        <v>2462</v>
      </c>
      <c r="C1103" s="117" t="s">
        <v>2463</v>
      </c>
      <c r="D1103" s="118" t="s">
        <v>48</v>
      </c>
      <c r="E1103" s="118" t="s">
        <v>370</v>
      </c>
      <c r="F1103" s="119">
        <v>0.1010989010989011</v>
      </c>
      <c r="G1103" s="119">
        <v>7.5848303393213551E-2</v>
      </c>
    </row>
    <row r="1104" spans="2:7" x14ac:dyDescent="0.2">
      <c r="B1104" s="116" t="s">
        <v>2464</v>
      </c>
      <c r="C1104" s="117" t="s">
        <v>2465</v>
      </c>
      <c r="D1104" s="118" t="s">
        <v>92</v>
      </c>
      <c r="E1104" s="118" t="s">
        <v>598</v>
      </c>
      <c r="F1104" s="119">
        <v>4.6070460704607033E-2</v>
      </c>
      <c r="G1104" s="119">
        <v>-2.0725388601036291E-2</v>
      </c>
    </row>
    <row r="1105" spans="2:7" x14ac:dyDescent="0.2">
      <c r="B1105" s="116" t="s">
        <v>2466</v>
      </c>
      <c r="C1105" s="117" t="s">
        <v>2467</v>
      </c>
      <c r="D1105" s="118" t="s">
        <v>52</v>
      </c>
      <c r="E1105" s="118" t="s">
        <v>284</v>
      </c>
      <c r="F1105" s="119">
        <v>-2.9574861367837359E-2</v>
      </c>
      <c r="G1105" s="119">
        <v>7.0476190476190498E-2</v>
      </c>
    </row>
    <row r="1106" spans="2:7" x14ac:dyDescent="0.2">
      <c r="B1106" s="116" t="s">
        <v>2468</v>
      </c>
      <c r="C1106" s="117" t="s">
        <v>2469</v>
      </c>
      <c r="D1106" s="118" t="s">
        <v>241</v>
      </c>
      <c r="E1106" s="118" t="s">
        <v>937</v>
      </c>
      <c r="F1106" s="119">
        <v>0.65771812080536929</v>
      </c>
      <c r="G1106" s="119">
        <v>-0.12955465587044551</v>
      </c>
    </row>
    <row r="1107" spans="2:7" x14ac:dyDescent="0.2">
      <c r="B1107" s="116" t="s">
        <v>2470</v>
      </c>
      <c r="C1107" s="117" t="s">
        <v>2471</v>
      </c>
      <c r="D1107" s="118" t="s">
        <v>106</v>
      </c>
      <c r="E1107" s="118" t="s">
        <v>131</v>
      </c>
      <c r="F1107" s="119">
        <v>0.26373626373626358</v>
      </c>
      <c r="G1107" s="119">
        <v>0.3130434782608697</v>
      </c>
    </row>
    <row r="1108" spans="2:7" x14ac:dyDescent="0.2">
      <c r="B1108" s="116" t="s">
        <v>2472</v>
      </c>
      <c r="C1108" s="117" t="s">
        <v>2473</v>
      </c>
      <c r="D1108" s="118" t="s">
        <v>34</v>
      </c>
      <c r="E1108" s="118" t="s">
        <v>809</v>
      </c>
      <c r="F1108" s="119">
        <v>-4.4444444444444481E-2</v>
      </c>
      <c r="G1108" s="119">
        <v>0.23449612403100781</v>
      </c>
    </row>
    <row r="1109" spans="2:7" x14ac:dyDescent="0.2">
      <c r="B1109" s="116" t="s">
        <v>2474</v>
      </c>
      <c r="C1109" s="117" t="s">
        <v>2475</v>
      </c>
      <c r="D1109" s="118" t="s">
        <v>34</v>
      </c>
      <c r="E1109" s="118" t="s">
        <v>319</v>
      </c>
      <c r="F1109" s="119">
        <v>0.30916030534351152</v>
      </c>
      <c r="G1109" s="119">
        <v>0.22157434402332371</v>
      </c>
    </row>
    <row r="1110" spans="2:7" x14ac:dyDescent="0.2">
      <c r="B1110" s="116" t="s">
        <v>2476</v>
      </c>
      <c r="C1110" s="117" t="s">
        <v>2477</v>
      </c>
      <c r="D1110" s="118" t="s">
        <v>106</v>
      </c>
      <c r="E1110" s="118" t="s">
        <v>125</v>
      </c>
      <c r="F1110" s="119">
        <v>8.0419580419580416E-2</v>
      </c>
      <c r="G1110" s="119">
        <v>8.0906148867313926E-2</v>
      </c>
    </row>
    <row r="1111" spans="2:7" x14ac:dyDescent="0.2">
      <c r="B1111" s="116" t="s">
        <v>2478</v>
      </c>
      <c r="C1111" s="117" t="s">
        <v>2479</v>
      </c>
      <c r="D1111" s="118" t="s">
        <v>92</v>
      </c>
      <c r="E1111" s="118" t="s">
        <v>601</v>
      </c>
      <c r="F1111" s="119">
        <v>3.4858387799564301E-2</v>
      </c>
      <c r="G1111" s="119">
        <v>9.8947368421052576E-2</v>
      </c>
    </row>
    <row r="1112" spans="2:7" x14ac:dyDescent="0.2">
      <c r="B1112" s="116" t="s">
        <v>2480</v>
      </c>
      <c r="C1112" s="117" t="s">
        <v>2481</v>
      </c>
      <c r="D1112" s="118" t="s">
        <v>241</v>
      </c>
      <c r="E1112" s="118" t="s">
        <v>937</v>
      </c>
      <c r="F1112" s="119">
        <v>0.25</v>
      </c>
      <c r="G1112" s="119">
        <v>-8.8372093023255799E-2</v>
      </c>
    </row>
    <row r="1113" spans="2:7" x14ac:dyDescent="0.2">
      <c r="B1113" s="116" t="s">
        <v>2482</v>
      </c>
      <c r="C1113" s="117" t="s">
        <v>2483</v>
      </c>
      <c r="D1113" s="118" t="s">
        <v>92</v>
      </c>
      <c r="E1113" s="118" t="s">
        <v>784</v>
      </c>
      <c r="F1113" s="119">
        <v>3.100775193798452E-2</v>
      </c>
      <c r="G1113" s="119">
        <v>6.015037593984951E-2</v>
      </c>
    </row>
    <row r="1114" spans="2:7" x14ac:dyDescent="0.2">
      <c r="B1114" s="116" t="s">
        <v>2484</v>
      </c>
      <c r="C1114" s="117" t="s">
        <v>2485</v>
      </c>
      <c r="D1114" s="118" t="s">
        <v>241</v>
      </c>
      <c r="E1114" s="118" t="s">
        <v>775</v>
      </c>
      <c r="F1114" s="119">
        <v>-0.17449664429530201</v>
      </c>
      <c r="G1114" s="119">
        <v>0.26829268292682928</v>
      </c>
    </row>
    <row r="1115" spans="2:7" x14ac:dyDescent="0.2">
      <c r="B1115" s="116" t="s">
        <v>2486</v>
      </c>
      <c r="C1115" s="117" t="s">
        <v>2487</v>
      </c>
      <c r="D1115" s="118" t="s">
        <v>233</v>
      </c>
      <c r="E1115" s="118" t="s">
        <v>1314</v>
      </c>
      <c r="F1115" s="119">
        <v>9.9025974025973934E-2</v>
      </c>
      <c r="G1115" s="119">
        <v>-0.13589364844903989</v>
      </c>
    </row>
    <row r="1116" spans="2:7" x14ac:dyDescent="0.2">
      <c r="B1116" s="116" t="s">
        <v>2488</v>
      </c>
      <c r="C1116" s="117" t="s">
        <v>2489</v>
      </c>
      <c r="D1116" s="118" t="s">
        <v>138</v>
      </c>
      <c r="E1116" s="118" t="s">
        <v>139</v>
      </c>
      <c r="F1116" s="119">
        <v>1.8372703412073449E-2</v>
      </c>
      <c r="G1116" s="119">
        <v>7.216494845360831E-2</v>
      </c>
    </row>
    <row r="1117" spans="2:7" x14ac:dyDescent="0.2">
      <c r="B1117" s="116" t="s">
        <v>2490</v>
      </c>
      <c r="C1117" s="117" t="s">
        <v>2491</v>
      </c>
      <c r="D1117" s="118" t="s">
        <v>115</v>
      </c>
      <c r="E1117" s="118" t="s">
        <v>1102</v>
      </c>
      <c r="F1117" s="119">
        <v>-0.202247191011236</v>
      </c>
      <c r="G1117" s="119">
        <v>1.408450704225353E-2</v>
      </c>
    </row>
    <row r="1118" spans="2:7" x14ac:dyDescent="0.2">
      <c r="B1118" s="116" t="s">
        <v>2492</v>
      </c>
      <c r="C1118" s="117" t="s">
        <v>2493</v>
      </c>
      <c r="D1118" s="118" t="s">
        <v>34</v>
      </c>
      <c r="E1118" s="118" t="s">
        <v>319</v>
      </c>
      <c r="F1118" s="119">
        <v>0.30468749999999989</v>
      </c>
      <c r="G1118" s="119">
        <v>0.24550898203592819</v>
      </c>
    </row>
    <row r="1119" spans="2:7" x14ac:dyDescent="0.2">
      <c r="B1119" s="116" t="s">
        <v>2494</v>
      </c>
      <c r="C1119" s="117" t="s">
        <v>2495</v>
      </c>
      <c r="D1119" s="118" t="s">
        <v>52</v>
      </c>
      <c r="E1119" s="118" t="s">
        <v>281</v>
      </c>
      <c r="F1119" s="119">
        <v>0.67500000000000004</v>
      </c>
      <c r="G1119" s="119">
        <v>1.3076923076923079</v>
      </c>
    </row>
    <row r="1120" spans="2:7" x14ac:dyDescent="0.2">
      <c r="B1120" s="116" t="s">
        <v>2496</v>
      </c>
      <c r="C1120" s="117" t="s">
        <v>2497</v>
      </c>
      <c r="D1120" s="118" t="s">
        <v>78</v>
      </c>
      <c r="E1120" s="118" t="s">
        <v>79</v>
      </c>
      <c r="F1120" s="119">
        <v>0.1126760563380283</v>
      </c>
      <c r="G1120" s="119">
        <v>0.10759493670886069</v>
      </c>
    </row>
    <row r="1121" spans="2:7" x14ac:dyDescent="0.2">
      <c r="B1121" s="116" t="s">
        <v>2498</v>
      </c>
      <c r="C1121" s="117" t="s">
        <v>2499</v>
      </c>
      <c r="D1121" s="118" t="s">
        <v>241</v>
      </c>
      <c r="E1121" s="118" t="s">
        <v>306</v>
      </c>
      <c r="F1121" s="119">
        <v>-7.3825503355704758E-2</v>
      </c>
      <c r="G1121" s="119">
        <v>0.3623188405797102</v>
      </c>
    </row>
    <row r="1122" spans="2:7" x14ac:dyDescent="0.2">
      <c r="B1122" s="116" t="s">
        <v>2500</v>
      </c>
      <c r="C1122" s="117" t="s">
        <v>2501</v>
      </c>
      <c r="D1122" s="118" t="s">
        <v>92</v>
      </c>
      <c r="E1122" s="118" t="s">
        <v>272</v>
      </c>
      <c r="F1122" s="119">
        <v>9.0534979423868206E-2</v>
      </c>
      <c r="G1122" s="119">
        <v>-1.509433962264152E-2</v>
      </c>
    </row>
    <row r="1123" spans="2:7" x14ac:dyDescent="0.2">
      <c r="B1123" s="116" t="s">
        <v>2502</v>
      </c>
      <c r="C1123" s="117" t="s">
        <v>2503</v>
      </c>
      <c r="D1123" s="118" t="s">
        <v>138</v>
      </c>
      <c r="E1123" s="118" t="s">
        <v>139</v>
      </c>
      <c r="F1123" s="119">
        <v>3.8585209003215472E-2</v>
      </c>
      <c r="G1123" s="119">
        <v>5.2631578947368397E-2</v>
      </c>
    </row>
    <row r="1124" spans="2:7" x14ac:dyDescent="0.2">
      <c r="B1124" s="116" t="s">
        <v>2504</v>
      </c>
      <c r="C1124" s="117" t="s">
        <v>2505</v>
      </c>
      <c r="D1124" s="118" t="s">
        <v>34</v>
      </c>
      <c r="E1124" s="118" t="s">
        <v>99</v>
      </c>
      <c r="F1124" s="119">
        <v>-1.068965517241379</v>
      </c>
      <c r="G1124" s="119">
        <v>11.25</v>
      </c>
    </row>
    <row r="1125" spans="2:7" x14ac:dyDescent="0.2">
      <c r="B1125" s="116" t="s">
        <v>2506</v>
      </c>
      <c r="C1125" s="117" t="s">
        <v>2507</v>
      </c>
      <c r="D1125" s="118" t="s">
        <v>68</v>
      </c>
      <c r="E1125" s="118" t="s">
        <v>82</v>
      </c>
      <c r="F1125" s="119">
        <v>0.91489361702127681</v>
      </c>
      <c r="G1125" s="119">
        <v>0.37777777777777771</v>
      </c>
    </row>
    <row r="1126" spans="2:7" x14ac:dyDescent="0.2">
      <c r="B1126" s="116" t="s">
        <v>2508</v>
      </c>
      <c r="C1126" s="117" t="s">
        <v>2509</v>
      </c>
      <c r="D1126" s="118" t="s">
        <v>78</v>
      </c>
      <c r="E1126" s="118" t="s">
        <v>736</v>
      </c>
      <c r="F1126" s="119">
        <v>-2.4778761061946999E-2</v>
      </c>
      <c r="G1126" s="119">
        <v>7.985480943738664E-2</v>
      </c>
    </row>
    <row r="1127" spans="2:7" x14ac:dyDescent="0.2">
      <c r="B1127" s="116" t="s">
        <v>2510</v>
      </c>
      <c r="C1127" s="117" t="s">
        <v>2511</v>
      </c>
      <c r="D1127" s="118" t="s">
        <v>68</v>
      </c>
      <c r="E1127" s="118" t="s">
        <v>69</v>
      </c>
      <c r="F1127" s="119">
        <v>-6.020066889632112E-2</v>
      </c>
      <c r="G1127" s="119">
        <v>-9.6085409252669049E-2</v>
      </c>
    </row>
    <row r="1128" spans="2:7" x14ac:dyDescent="0.2">
      <c r="B1128" s="116" t="s">
        <v>2512</v>
      </c>
      <c r="C1128" s="117" t="s">
        <v>2513</v>
      </c>
      <c r="D1128" s="118" t="s">
        <v>92</v>
      </c>
      <c r="E1128" s="118" t="s">
        <v>195</v>
      </c>
      <c r="F1128" s="119">
        <v>2.0905923344947751E-2</v>
      </c>
      <c r="G1128" s="119">
        <v>6.143344709897601E-2</v>
      </c>
    </row>
    <row r="1129" spans="2:7" x14ac:dyDescent="0.2">
      <c r="B1129" s="116" t="s">
        <v>2514</v>
      </c>
      <c r="C1129" s="117" t="s">
        <v>2515</v>
      </c>
      <c r="D1129" s="118" t="s">
        <v>52</v>
      </c>
      <c r="E1129" s="118" t="s">
        <v>2182</v>
      </c>
      <c r="F1129" s="119">
        <v>0.1235955056179775</v>
      </c>
      <c r="G1129" s="119">
        <v>9.4999999999999973E-2</v>
      </c>
    </row>
    <row r="1130" spans="2:7" x14ac:dyDescent="0.2">
      <c r="B1130" s="116" t="s">
        <v>2516</v>
      </c>
      <c r="C1130" s="117" t="s">
        <v>2517</v>
      </c>
      <c r="D1130" s="118" t="s">
        <v>34</v>
      </c>
      <c r="E1130" s="118" t="s">
        <v>809</v>
      </c>
      <c r="F1130" s="119">
        <v>0.2348484848484847</v>
      </c>
      <c r="G1130" s="119">
        <v>0.2883435582822087</v>
      </c>
    </row>
    <row r="1131" spans="2:7" x14ac:dyDescent="0.2">
      <c r="B1131" s="116" t="s">
        <v>2518</v>
      </c>
      <c r="C1131" s="117" t="s">
        <v>2519</v>
      </c>
      <c r="D1131" s="118" t="s">
        <v>78</v>
      </c>
      <c r="E1131" s="118" t="s">
        <v>796</v>
      </c>
      <c r="F1131" s="119">
        <v>8.0357142857142724E-2</v>
      </c>
      <c r="G1131" s="119">
        <v>6.404958677685961E-2</v>
      </c>
    </row>
    <row r="1132" spans="2:7" x14ac:dyDescent="0.2">
      <c r="B1132" s="116" t="s">
        <v>2520</v>
      </c>
      <c r="C1132" s="117" t="s">
        <v>2521</v>
      </c>
      <c r="D1132" s="118" t="s">
        <v>92</v>
      </c>
      <c r="E1132" s="118" t="s">
        <v>96</v>
      </c>
      <c r="F1132" s="119">
        <v>0.12997903563941299</v>
      </c>
      <c r="G1132" s="119">
        <v>4.4526901669758853E-2</v>
      </c>
    </row>
    <row r="1133" spans="2:7" x14ac:dyDescent="0.2">
      <c r="B1133" s="116" t="s">
        <v>2522</v>
      </c>
      <c r="C1133" s="117" t="s">
        <v>2523</v>
      </c>
      <c r="D1133" s="118" t="s">
        <v>92</v>
      </c>
      <c r="E1133" s="118" t="s">
        <v>272</v>
      </c>
      <c r="F1133" s="119">
        <v>-1.0638297872340319E-2</v>
      </c>
      <c r="G1133" s="119">
        <v>3.2258064516128941E-2</v>
      </c>
    </row>
    <row r="1134" spans="2:7" x14ac:dyDescent="0.2">
      <c r="B1134" s="116" t="s">
        <v>2524</v>
      </c>
      <c r="C1134" s="117" t="s">
        <v>2525</v>
      </c>
      <c r="D1134" s="118" t="s">
        <v>39</v>
      </c>
      <c r="E1134" s="118" t="s">
        <v>383</v>
      </c>
      <c r="F1134" s="119">
        <v>2.8399311531841661E-2</v>
      </c>
      <c r="G1134" s="119">
        <v>3.7656903765690468E-2</v>
      </c>
    </row>
    <row r="1135" spans="2:7" x14ac:dyDescent="0.2">
      <c r="B1135" s="116" t="s">
        <v>2526</v>
      </c>
      <c r="C1135" s="117" t="s">
        <v>2527</v>
      </c>
      <c r="D1135" s="118" t="s">
        <v>34</v>
      </c>
      <c r="E1135" s="118" t="s">
        <v>1096</v>
      </c>
      <c r="F1135" s="119">
        <v>0.42666666666666669</v>
      </c>
      <c r="G1135" s="119">
        <v>0.1682242990654205</v>
      </c>
    </row>
    <row r="1136" spans="2:7" x14ac:dyDescent="0.2">
      <c r="B1136" s="116" t="s">
        <v>2528</v>
      </c>
      <c r="C1136" s="117" t="s">
        <v>2529</v>
      </c>
      <c r="D1136" s="118" t="s">
        <v>34</v>
      </c>
      <c r="E1136" s="118" t="s">
        <v>278</v>
      </c>
      <c r="F1136" s="119">
        <v>0.1028037383177569</v>
      </c>
      <c r="G1136" s="119">
        <v>-9.7457627118644072E-2</v>
      </c>
    </row>
    <row r="1137" spans="2:7" x14ac:dyDescent="0.2">
      <c r="B1137" s="116" t="s">
        <v>2530</v>
      </c>
      <c r="C1137" s="117" t="s">
        <v>2531</v>
      </c>
      <c r="D1137" s="118" t="s">
        <v>102</v>
      </c>
      <c r="E1137" s="118" t="s">
        <v>1081</v>
      </c>
      <c r="F1137" s="119">
        <v>-5.2631578947368411E-2</v>
      </c>
      <c r="G1137" s="119">
        <v>8.7719298245614113E-2</v>
      </c>
    </row>
    <row r="1138" spans="2:7" x14ac:dyDescent="0.2">
      <c r="B1138" s="116" t="s">
        <v>2532</v>
      </c>
      <c r="C1138" s="117" t="s">
        <v>2533</v>
      </c>
      <c r="D1138" s="118" t="s">
        <v>233</v>
      </c>
      <c r="E1138" s="118" t="s">
        <v>1314</v>
      </c>
      <c r="F1138" s="119">
        <v>-5.182926829268291E-2</v>
      </c>
      <c r="G1138" s="119">
        <v>7.7170418006430944E-2</v>
      </c>
    </row>
    <row r="1139" spans="2:7" x14ac:dyDescent="0.2">
      <c r="B1139" s="116" t="s">
        <v>2534</v>
      </c>
      <c r="C1139" s="117" t="s">
        <v>2535</v>
      </c>
      <c r="D1139" s="118" t="s">
        <v>68</v>
      </c>
      <c r="E1139" s="118" t="s">
        <v>949</v>
      </c>
      <c r="F1139" s="119">
        <v>7.6045627376425923E-2</v>
      </c>
      <c r="G1139" s="119">
        <v>6.7137809187279129E-2</v>
      </c>
    </row>
    <row r="1140" spans="2:7" x14ac:dyDescent="0.2">
      <c r="B1140" s="116" t="s">
        <v>2536</v>
      </c>
      <c r="C1140" s="117" t="s">
        <v>2537</v>
      </c>
      <c r="D1140" s="118" t="s">
        <v>39</v>
      </c>
      <c r="E1140" s="118" t="s">
        <v>389</v>
      </c>
      <c r="F1140" s="119">
        <v>-3.9900249376558533E-2</v>
      </c>
      <c r="G1140" s="119">
        <v>-6.7532467532467597E-2</v>
      </c>
    </row>
    <row r="1141" spans="2:7" x14ac:dyDescent="0.2">
      <c r="B1141" s="116" t="s">
        <v>2538</v>
      </c>
      <c r="C1141" s="117" t="s">
        <v>2539</v>
      </c>
      <c r="D1141" s="118" t="s">
        <v>34</v>
      </c>
      <c r="E1141" s="118" t="s">
        <v>628</v>
      </c>
      <c r="F1141" s="119">
        <v>0.1249999999999999</v>
      </c>
      <c r="G1141" s="119">
        <v>0.13580246913580241</v>
      </c>
    </row>
    <row r="1142" spans="2:7" x14ac:dyDescent="0.2">
      <c r="B1142" s="116" t="s">
        <v>2540</v>
      </c>
      <c r="C1142" s="117" t="s">
        <v>2541</v>
      </c>
      <c r="D1142" s="118" t="s">
        <v>34</v>
      </c>
      <c r="E1142" s="118" t="s">
        <v>319</v>
      </c>
      <c r="F1142" s="119">
        <v>0.37349397590361438</v>
      </c>
      <c r="G1142" s="119">
        <v>0.26923076923076927</v>
      </c>
    </row>
    <row r="1143" spans="2:7" x14ac:dyDescent="0.2">
      <c r="B1143" s="116" t="s">
        <v>2542</v>
      </c>
      <c r="C1143" s="117" t="s">
        <v>2543</v>
      </c>
      <c r="D1143" s="118" t="s">
        <v>92</v>
      </c>
      <c r="E1143" s="118" t="s">
        <v>272</v>
      </c>
      <c r="F1143" s="119">
        <v>8.9700996677740882E-2</v>
      </c>
      <c r="G1143" s="119">
        <v>5.7926829268292797E-2</v>
      </c>
    </row>
    <row r="1144" spans="2:7" x14ac:dyDescent="0.2">
      <c r="B1144" s="116" t="s">
        <v>2544</v>
      </c>
      <c r="C1144" s="117" t="s">
        <v>2545</v>
      </c>
      <c r="D1144" s="118" t="s">
        <v>115</v>
      </c>
      <c r="E1144" s="118" t="s">
        <v>747</v>
      </c>
      <c r="F1144" s="119">
        <v>0.29752066115702491</v>
      </c>
      <c r="G1144" s="119">
        <v>0.23566878980891709</v>
      </c>
    </row>
    <row r="1145" spans="2:7" x14ac:dyDescent="0.2">
      <c r="B1145" s="116" t="s">
        <v>2546</v>
      </c>
      <c r="C1145" s="117" t="s">
        <v>2547</v>
      </c>
      <c r="D1145" s="118" t="s">
        <v>78</v>
      </c>
      <c r="E1145" s="118" t="s">
        <v>650</v>
      </c>
      <c r="F1145" s="119">
        <v>3.7924151696606873E-2</v>
      </c>
      <c r="G1145" s="119">
        <v>7.6923076923076816E-2</v>
      </c>
    </row>
    <row r="1146" spans="2:7" x14ac:dyDescent="0.2">
      <c r="B1146" s="116" t="s">
        <v>2548</v>
      </c>
      <c r="C1146" s="117" t="s">
        <v>2549</v>
      </c>
      <c r="D1146" s="118" t="s">
        <v>92</v>
      </c>
      <c r="E1146" s="118" t="s">
        <v>461</v>
      </c>
      <c r="F1146" s="119">
        <v>4.841713221601486E-2</v>
      </c>
      <c r="G1146" s="119">
        <v>6.1278863232682022E-2</v>
      </c>
    </row>
    <row r="1147" spans="2:7" x14ac:dyDescent="0.2">
      <c r="B1147" s="116" t="s">
        <v>2550</v>
      </c>
      <c r="C1147" s="117" t="s">
        <v>2551</v>
      </c>
      <c r="D1147" s="118" t="s">
        <v>92</v>
      </c>
      <c r="E1147" s="118" t="s">
        <v>614</v>
      </c>
      <c r="F1147" s="119">
        <v>0.11677282377919319</v>
      </c>
      <c r="G1147" s="119">
        <v>2.851711026615977E-2</v>
      </c>
    </row>
    <row r="1148" spans="2:7" x14ac:dyDescent="0.2">
      <c r="B1148" s="116" t="s">
        <v>2552</v>
      </c>
      <c r="C1148" s="117" t="s">
        <v>2553</v>
      </c>
      <c r="D1148" s="118" t="s">
        <v>138</v>
      </c>
      <c r="E1148" s="118" t="s">
        <v>139</v>
      </c>
      <c r="F1148" s="119">
        <v>5.5837563451776699E-2</v>
      </c>
      <c r="G1148" s="119">
        <v>5.7692307692307737E-2</v>
      </c>
    </row>
    <row r="1149" spans="2:7" x14ac:dyDescent="0.2">
      <c r="B1149" s="116" t="s">
        <v>2554</v>
      </c>
      <c r="C1149" s="117" t="s">
        <v>2555</v>
      </c>
      <c r="D1149" s="118" t="s">
        <v>39</v>
      </c>
      <c r="E1149" s="118" t="s">
        <v>1817</v>
      </c>
      <c r="F1149" s="119">
        <v>4.2918454935621398E-3</v>
      </c>
      <c r="G1149" s="119">
        <v>0.1025641025641027</v>
      </c>
    </row>
    <row r="1150" spans="2:7" x14ac:dyDescent="0.2">
      <c r="B1150" s="116" t="s">
        <v>2556</v>
      </c>
      <c r="C1150" s="117" t="s">
        <v>2557</v>
      </c>
      <c r="D1150" s="118" t="s">
        <v>138</v>
      </c>
      <c r="E1150" s="118" t="s">
        <v>139</v>
      </c>
      <c r="F1150" s="119">
        <v>6.2499999999999847E-2</v>
      </c>
      <c r="G1150" s="119">
        <v>4.8319327731092529E-2</v>
      </c>
    </row>
    <row r="1151" spans="2:7" x14ac:dyDescent="0.2">
      <c r="B1151" s="116" t="s">
        <v>2558</v>
      </c>
      <c r="C1151" s="117" t="s">
        <v>2559</v>
      </c>
      <c r="D1151" s="118" t="s">
        <v>68</v>
      </c>
      <c r="E1151" s="118" t="s">
        <v>75</v>
      </c>
      <c r="F1151" s="119">
        <v>5.9999999999999991</v>
      </c>
      <c r="G1151" s="119">
        <v>2.4</v>
      </c>
    </row>
    <row r="1152" spans="2:7" x14ac:dyDescent="0.2">
      <c r="B1152" s="116" t="s">
        <v>2560</v>
      </c>
      <c r="C1152" s="117" t="s">
        <v>2561</v>
      </c>
      <c r="D1152" s="118" t="s">
        <v>115</v>
      </c>
      <c r="E1152" s="118" t="s">
        <v>494</v>
      </c>
      <c r="F1152" s="119">
        <v>9.7173144876325057E-2</v>
      </c>
      <c r="G1152" s="119">
        <v>7.0853462157810049E-2</v>
      </c>
    </row>
    <row r="1153" spans="2:7" x14ac:dyDescent="0.2">
      <c r="B1153" s="116" t="s">
        <v>2562</v>
      </c>
      <c r="C1153" s="117" t="s">
        <v>2563</v>
      </c>
      <c r="D1153" s="118" t="s">
        <v>138</v>
      </c>
      <c r="E1153" s="118" t="s">
        <v>139</v>
      </c>
      <c r="F1153" s="119">
        <v>2.1276595744680771E-2</v>
      </c>
      <c r="G1153" s="119">
        <v>7.0833333333333304E-2</v>
      </c>
    </row>
    <row r="1154" spans="2:7" x14ac:dyDescent="0.2">
      <c r="B1154" s="116" t="s">
        <v>2564</v>
      </c>
      <c r="C1154" s="117" t="s">
        <v>2565</v>
      </c>
      <c r="D1154" s="118" t="s">
        <v>78</v>
      </c>
      <c r="E1154" s="118" t="s">
        <v>912</v>
      </c>
      <c r="F1154" s="119">
        <v>-0.1092436974789915</v>
      </c>
      <c r="G1154" s="119">
        <v>8.4905660377358347E-2</v>
      </c>
    </row>
    <row r="1155" spans="2:7" x14ac:dyDescent="0.2">
      <c r="B1155" s="116" t="s">
        <v>2566</v>
      </c>
      <c r="C1155" s="117" t="s">
        <v>2567</v>
      </c>
      <c r="D1155" s="118" t="s">
        <v>78</v>
      </c>
      <c r="E1155" s="118" t="s">
        <v>340</v>
      </c>
      <c r="F1155" s="119">
        <v>0.13301662707838471</v>
      </c>
      <c r="G1155" s="119">
        <v>0.12788259958071291</v>
      </c>
    </row>
    <row r="1156" spans="2:7" x14ac:dyDescent="0.2">
      <c r="B1156" s="116" t="s">
        <v>2568</v>
      </c>
      <c r="C1156" s="117" t="s">
        <v>2569</v>
      </c>
      <c r="D1156" s="118" t="s">
        <v>78</v>
      </c>
      <c r="E1156" s="118" t="s">
        <v>1654</v>
      </c>
      <c r="F1156" s="119">
        <v>0.35862068965517252</v>
      </c>
      <c r="G1156" s="119">
        <v>0.1116751269035533</v>
      </c>
    </row>
    <row r="1157" spans="2:7" x14ac:dyDescent="0.2">
      <c r="B1157" s="116" t="s">
        <v>2570</v>
      </c>
      <c r="C1157" s="117" t="s">
        <v>2571</v>
      </c>
      <c r="D1157" s="118" t="s">
        <v>145</v>
      </c>
      <c r="E1157" s="118" t="s">
        <v>179</v>
      </c>
      <c r="F1157" s="119">
        <v>7.9173838209982791E-2</v>
      </c>
      <c r="G1157" s="119">
        <v>9.8883572567783115E-2</v>
      </c>
    </row>
    <row r="1158" spans="2:7" x14ac:dyDescent="0.2">
      <c r="B1158" s="116" t="s">
        <v>2572</v>
      </c>
      <c r="C1158" s="117" t="s">
        <v>2573</v>
      </c>
      <c r="D1158" s="118" t="s">
        <v>138</v>
      </c>
      <c r="E1158" s="118" t="s">
        <v>139</v>
      </c>
      <c r="F1158" s="119">
        <v>2.9661016949152661E-2</v>
      </c>
      <c r="G1158" s="119">
        <v>4.9382716049382568E-2</v>
      </c>
    </row>
    <row r="1159" spans="2:7" x14ac:dyDescent="0.2">
      <c r="B1159" s="116" t="s">
        <v>2574</v>
      </c>
      <c r="C1159" s="117" t="s">
        <v>2575</v>
      </c>
      <c r="D1159" s="118" t="s">
        <v>52</v>
      </c>
      <c r="E1159" s="118" t="s">
        <v>657</v>
      </c>
      <c r="F1159" s="119">
        <v>2.3809523809523829E-2</v>
      </c>
      <c r="G1159" s="119">
        <v>0.2170542635658915</v>
      </c>
    </row>
    <row r="1160" spans="2:7" x14ac:dyDescent="0.2">
      <c r="B1160" s="116" t="s">
        <v>2576</v>
      </c>
      <c r="C1160" s="117" t="s">
        <v>2577</v>
      </c>
      <c r="D1160" s="118" t="s">
        <v>68</v>
      </c>
      <c r="E1160" s="118" t="s">
        <v>949</v>
      </c>
      <c r="F1160" s="119">
        <v>0.19294117647058831</v>
      </c>
      <c r="G1160" s="119">
        <v>0.14003944773175539</v>
      </c>
    </row>
    <row r="1161" spans="2:7" x14ac:dyDescent="0.2">
      <c r="B1161" s="116" t="s">
        <v>2578</v>
      </c>
      <c r="C1161" s="117" t="s">
        <v>2579</v>
      </c>
      <c r="D1161" s="118" t="s">
        <v>68</v>
      </c>
      <c r="E1161" s="118" t="s">
        <v>75</v>
      </c>
      <c r="F1161" s="119">
        <v>-0.13406593406593401</v>
      </c>
      <c r="G1161" s="119">
        <v>8.3756345177664879E-2</v>
      </c>
    </row>
    <row r="1162" spans="2:7" x14ac:dyDescent="0.2">
      <c r="B1162" s="116" t="s">
        <v>2580</v>
      </c>
      <c r="C1162" s="117" t="s">
        <v>2581</v>
      </c>
      <c r="D1162" s="118" t="s">
        <v>92</v>
      </c>
      <c r="E1162" s="118" t="s">
        <v>378</v>
      </c>
      <c r="F1162" s="119">
        <v>0.13730929264909841</v>
      </c>
      <c r="G1162" s="119">
        <v>0.11707317073170739</v>
      </c>
    </row>
    <row r="1163" spans="2:7" x14ac:dyDescent="0.2">
      <c r="B1163" s="116" t="s">
        <v>2582</v>
      </c>
      <c r="C1163" s="117" t="s">
        <v>2583</v>
      </c>
      <c r="D1163" s="118" t="s">
        <v>34</v>
      </c>
      <c r="E1163" s="118" t="s">
        <v>245</v>
      </c>
      <c r="F1163" s="119">
        <v>9.3264248704663183E-2</v>
      </c>
      <c r="G1163" s="119">
        <v>5.2132701421801098E-2</v>
      </c>
    </row>
    <row r="1164" spans="2:7" x14ac:dyDescent="0.2">
      <c r="B1164" s="116" t="s">
        <v>2584</v>
      </c>
      <c r="C1164" s="117" t="s">
        <v>2585</v>
      </c>
      <c r="D1164" s="118" t="s">
        <v>92</v>
      </c>
      <c r="E1164" s="118" t="s">
        <v>142</v>
      </c>
      <c r="F1164" s="119">
        <v>1.9785655399834991E-2</v>
      </c>
      <c r="G1164" s="119">
        <v>8.3265966046887727E-2</v>
      </c>
    </row>
    <row r="1165" spans="2:7" x14ac:dyDescent="0.2">
      <c r="B1165" s="116" t="s">
        <v>2586</v>
      </c>
      <c r="C1165" s="117" t="s">
        <v>2587</v>
      </c>
      <c r="D1165" s="118" t="s">
        <v>92</v>
      </c>
      <c r="E1165" s="118" t="s">
        <v>272</v>
      </c>
      <c r="F1165" s="119">
        <v>1.892147587511819E-2</v>
      </c>
      <c r="G1165" s="119">
        <v>2.6926648096564618E-2</v>
      </c>
    </row>
    <row r="1166" spans="2:7" x14ac:dyDescent="0.2">
      <c r="B1166" s="116" t="s">
        <v>2588</v>
      </c>
      <c r="C1166" s="117" t="s">
        <v>2589</v>
      </c>
      <c r="D1166" s="118" t="s">
        <v>92</v>
      </c>
      <c r="E1166" s="118" t="s">
        <v>272</v>
      </c>
      <c r="F1166" s="119">
        <v>5.8914728682170528E-2</v>
      </c>
      <c r="G1166" s="119">
        <v>1.31771595900439E-2</v>
      </c>
    </row>
    <row r="1167" spans="2:7" x14ac:dyDescent="0.2">
      <c r="B1167" s="116" t="s">
        <v>2590</v>
      </c>
      <c r="C1167" s="117" t="s">
        <v>2591</v>
      </c>
      <c r="D1167" s="118" t="s">
        <v>34</v>
      </c>
      <c r="E1167" s="118" t="s">
        <v>2334</v>
      </c>
      <c r="F1167" s="119">
        <v>-0.15384615384615391</v>
      </c>
      <c r="G1167" s="119">
        <v>1.0909090909090911</v>
      </c>
    </row>
    <row r="1168" spans="2:7" x14ac:dyDescent="0.2">
      <c r="B1168" s="116" t="s">
        <v>2592</v>
      </c>
      <c r="C1168" s="117" t="s">
        <v>2593</v>
      </c>
      <c r="D1168" s="118" t="s">
        <v>241</v>
      </c>
      <c r="E1168" s="118" t="s">
        <v>1216</v>
      </c>
      <c r="F1168" s="119">
        <v>-0.23116089613034629</v>
      </c>
      <c r="G1168" s="119">
        <v>0.37350993377483438</v>
      </c>
    </row>
    <row r="1169" spans="2:7" x14ac:dyDescent="0.2">
      <c r="B1169" s="116" t="s">
        <v>2594</v>
      </c>
      <c r="C1169" s="117" t="s">
        <v>2595</v>
      </c>
      <c r="D1169" s="118" t="s">
        <v>241</v>
      </c>
      <c r="E1169" s="118" t="s">
        <v>2596</v>
      </c>
      <c r="F1169" s="119">
        <v>1.234567901234563E-2</v>
      </c>
      <c r="G1169" s="119">
        <v>-3.902439024390237E-2</v>
      </c>
    </row>
    <row r="1170" spans="2:7" x14ac:dyDescent="0.2">
      <c r="B1170" s="116" t="s">
        <v>2597</v>
      </c>
      <c r="C1170" s="117" t="s">
        <v>2598</v>
      </c>
      <c r="D1170" s="118" t="s">
        <v>34</v>
      </c>
      <c r="E1170" s="118" t="s">
        <v>99</v>
      </c>
      <c r="F1170" s="119">
        <v>0.21527777777777779</v>
      </c>
      <c r="G1170" s="119">
        <v>0.35428571428571443</v>
      </c>
    </row>
    <row r="1171" spans="2:7" x14ac:dyDescent="0.2">
      <c r="B1171" s="116" t="s">
        <v>2599</v>
      </c>
      <c r="C1171" s="117" t="s">
        <v>2600</v>
      </c>
      <c r="D1171" s="118" t="s">
        <v>241</v>
      </c>
      <c r="E1171" s="118" t="s">
        <v>606</v>
      </c>
      <c r="F1171" s="119">
        <v>-0.116182572614108</v>
      </c>
      <c r="G1171" s="119">
        <v>-1.643192488262897E-2</v>
      </c>
    </row>
    <row r="1172" spans="2:7" x14ac:dyDescent="0.2">
      <c r="B1172" s="116" t="s">
        <v>2601</v>
      </c>
      <c r="C1172" s="117" t="s">
        <v>2602</v>
      </c>
      <c r="D1172" s="118" t="s">
        <v>106</v>
      </c>
      <c r="E1172" s="118" t="s">
        <v>1764</v>
      </c>
      <c r="F1172" s="119">
        <v>4.5454545454545317E-2</v>
      </c>
      <c r="G1172" s="119">
        <v>-7.2463768115940486E-3</v>
      </c>
    </row>
    <row r="1173" spans="2:7" x14ac:dyDescent="0.2">
      <c r="B1173" s="116" t="s">
        <v>2603</v>
      </c>
      <c r="C1173" s="117" t="s">
        <v>2604</v>
      </c>
      <c r="D1173" s="118" t="s">
        <v>233</v>
      </c>
      <c r="E1173" s="118" t="s">
        <v>469</v>
      </c>
      <c r="F1173" s="119">
        <v>0.20155038759689931</v>
      </c>
      <c r="G1173" s="119">
        <v>-1.290322580645172E-2</v>
      </c>
    </row>
    <row r="1174" spans="2:7" x14ac:dyDescent="0.2">
      <c r="B1174" s="116" t="s">
        <v>2605</v>
      </c>
      <c r="C1174" s="117" t="s">
        <v>2606</v>
      </c>
      <c r="D1174" s="118" t="s">
        <v>92</v>
      </c>
      <c r="E1174" s="118" t="s">
        <v>142</v>
      </c>
      <c r="F1174" s="119">
        <v>3.6745406824147023E-2</v>
      </c>
      <c r="G1174" s="119">
        <v>4.8101265822784678E-2</v>
      </c>
    </row>
    <row r="1175" spans="2:7" x14ac:dyDescent="0.2">
      <c r="B1175" s="116" t="s">
        <v>2607</v>
      </c>
      <c r="C1175" s="117" t="s">
        <v>2608</v>
      </c>
      <c r="D1175" s="118" t="s">
        <v>115</v>
      </c>
      <c r="E1175" s="118" t="s">
        <v>899</v>
      </c>
      <c r="F1175" s="119">
        <v>1.0515247108306819E-3</v>
      </c>
      <c r="G1175" s="119">
        <v>7.4579831932773205E-2</v>
      </c>
    </row>
    <row r="1176" spans="2:7" x14ac:dyDescent="0.2">
      <c r="B1176" s="116" t="s">
        <v>2609</v>
      </c>
      <c r="C1176" s="117" t="s">
        <v>2610</v>
      </c>
      <c r="D1176" s="118" t="s">
        <v>34</v>
      </c>
      <c r="E1176" s="118" t="s">
        <v>319</v>
      </c>
      <c r="F1176" s="119">
        <v>0.54838709677419351</v>
      </c>
      <c r="G1176" s="119">
        <v>1.071428571428571</v>
      </c>
    </row>
    <row r="1177" spans="2:7" x14ac:dyDescent="0.2">
      <c r="B1177" s="116" t="s">
        <v>2611</v>
      </c>
      <c r="C1177" s="117" t="s">
        <v>2612</v>
      </c>
      <c r="D1177" s="118" t="s">
        <v>102</v>
      </c>
      <c r="E1177" s="118" t="s">
        <v>103</v>
      </c>
      <c r="F1177" s="119">
        <v>0.1449275362318842</v>
      </c>
      <c r="G1177" s="119">
        <v>0.16772151898734169</v>
      </c>
    </row>
    <row r="1178" spans="2:7" x14ac:dyDescent="0.2">
      <c r="B1178" s="116" t="s">
        <v>2613</v>
      </c>
      <c r="C1178" s="117" t="s">
        <v>2614</v>
      </c>
      <c r="D1178" s="118" t="s">
        <v>241</v>
      </c>
      <c r="E1178" s="118" t="s">
        <v>306</v>
      </c>
      <c r="F1178" s="119">
        <v>0.27786259541984731</v>
      </c>
      <c r="G1178" s="119">
        <v>0.21744324970131429</v>
      </c>
    </row>
    <row r="1179" spans="2:7" x14ac:dyDescent="0.2">
      <c r="B1179" s="116" t="s">
        <v>2615</v>
      </c>
      <c r="C1179" s="117" t="s">
        <v>2616</v>
      </c>
      <c r="D1179" s="118" t="s">
        <v>34</v>
      </c>
      <c r="E1179" s="118" t="s">
        <v>319</v>
      </c>
      <c r="F1179" s="119">
        <v>0.30833333333333351</v>
      </c>
      <c r="G1179" s="119">
        <v>0.1114649681528663</v>
      </c>
    </row>
    <row r="1180" spans="2:7" x14ac:dyDescent="0.2">
      <c r="B1180" s="116" t="s">
        <v>2617</v>
      </c>
      <c r="C1180" s="117" t="s">
        <v>2618</v>
      </c>
      <c r="D1180" s="118" t="s">
        <v>34</v>
      </c>
      <c r="E1180" s="118" t="s">
        <v>1253</v>
      </c>
      <c r="F1180" s="119">
        <v>-4.4198895027624349E-2</v>
      </c>
      <c r="G1180" s="119">
        <v>0.16184971098265891</v>
      </c>
    </row>
    <row r="1181" spans="2:7" x14ac:dyDescent="0.2">
      <c r="B1181" s="116" t="s">
        <v>2619</v>
      </c>
      <c r="C1181" s="117" t="s">
        <v>2620</v>
      </c>
      <c r="D1181" s="118" t="s">
        <v>68</v>
      </c>
      <c r="E1181" s="118" t="s">
        <v>87</v>
      </c>
      <c r="F1181" s="119">
        <v>5.26315789473683E-2</v>
      </c>
      <c r="G1181" s="119">
        <v>0.1214285714285715</v>
      </c>
    </row>
    <row r="1182" spans="2:7" x14ac:dyDescent="0.2">
      <c r="B1182" s="116" t="s">
        <v>2621</v>
      </c>
      <c r="C1182" s="117" t="s">
        <v>2622</v>
      </c>
      <c r="D1182" s="118" t="s">
        <v>34</v>
      </c>
      <c r="E1182" s="118" t="s">
        <v>809</v>
      </c>
      <c r="F1182" s="119">
        <v>0.25609756097560987</v>
      </c>
      <c r="G1182" s="119">
        <v>8.7378640776699101E-2</v>
      </c>
    </row>
    <row r="1183" spans="2:7" x14ac:dyDescent="0.2">
      <c r="B1183" s="116" t="s">
        <v>2623</v>
      </c>
      <c r="C1183" s="117" t="s">
        <v>2624</v>
      </c>
      <c r="D1183" s="118" t="s">
        <v>52</v>
      </c>
      <c r="E1183" s="118" t="s">
        <v>281</v>
      </c>
      <c r="F1183" s="119">
        <v>-0.19811320754716991</v>
      </c>
      <c r="G1183" s="119">
        <v>0.17647058823529421</v>
      </c>
    </row>
    <row r="1184" spans="2:7" x14ac:dyDescent="0.2">
      <c r="B1184" s="116" t="s">
        <v>2625</v>
      </c>
      <c r="C1184" s="117" t="s">
        <v>2626</v>
      </c>
      <c r="D1184" s="118" t="s">
        <v>34</v>
      </c>
      <c r="E1184" s="118" t="s">
        <v>2627</v>
      </c>
      <c r="F1184" s="119">
        <v>-8.7344028520499148E-2</v>
      </c>
      <c r="G1184" s="119">
        <v>0.203125</v>
      </c>
    </row>
    <row r="1185" spans="2:7" x14ac:dyDescent="0.2">
      <c r="B1185" s="116" t="s">
        <v>2628</v>
      </c>
      <c r="C1185" s="117" t="s">
        <v>2629</v>
      </c>
      <c r="D1185" s="118" t="s">
        <v>52</v>
      </c>
      <c r="E1185" s="118" t="s">
        <v>725</v>
      </c>
      <c r="F1185" s="119">
        <v>3.0534351145038191E-2</v>
      </c>
      <c r="G1185" s="119">
        <v>0.1074074074074074</v>
      </c>
    </row>
    <row r="1186" spans="2:7" x14ac:dyDescent="0.2">
      <c r="B1186" s="116" t="s">
        <v>2630</v>
      </c>
      <c r="C1186" s="117" t="s">
        <v>2631</v>
      </c>
      <c r="D1186" s="118" t="s">
        <v>34</v>
      </c>
      <c r="E1186" s="118" t="s">
        <v>990</v>
      </c>
      <c r="F1186" s="119">
        <v>0.23076923076923081</v>
      </c>
      <c r="G1186" s="119">
        <v>1.5</v>
      </c>
    </row>
    <row r="1187" spans="2:7" x14ac:dyDescent="0.2">
      <c r="B1187" s="116" t="s">
        <v>2632</v>
      </c>
      <c r="C1187" s="117" t="s">
        <v>2633</v>
      </c>
      <c r="D1187" s="118" t="s">
        <v>233</v>
      </c>
      <c r="E1187" s="118" t="s">
        <v>234</v>
      </c>
      <c r="F1187" s="119">
        <v>0.13725490196078419</v>
      </c>
      <c r="G1187" s="119">
        <v>0.1059113300492612</v>
      </c>
    </row>
    <row r="1188" spans="2:7" x14ac:dyDescent="0.2">
      <c r="B1188" s="116" t="s">
        <v>2634</v>
      </c>
      <c r="C1188" s="117" t="s">
        <v>2635</v>
      </c>
      <c r="D1188" s="118" t="s">
        <v>106</v>
      </c>
      <c r="E1188" s="118" t="s">
        <v>324</v>
      </c>
      <c r="F1188" s="119">
        <v>-0.85714285714285732</v>
      </c>
      <c r="G1188" s="119">
        <v>1.369230769230769</v>
      </c>
    </row>
    <row r="1189" spans="2:7" x14ac:dyDescent="0.2">
      <c r="B1189" s="116" t="s">
        <v>2636</v>
      </c>
      <c r="C1189" s="117" t="s">
        <v>2637</v>
      </c>
      <c r="D1189" s="118" t="s">
        <v>106</v>
      </c>
      <c r="E1189" s="118" t="s">
        <v>930</v>
      </c>
      <c r="F1189" s="119">
        <v>0.12389380530973459</v>
      </c>
      <c r="G1189" s="119">
        <v>0.17322834645669291</v>
      </c>
    </row>
    <row r="1190" spans="2:7" x14ac:dyDescent="0.2">
      <c r="B1190" s="116" t="s">
        <v>2638</v>
      </c>
      <c r="C1190" s="117" t="s">
        <v>2639</v>
      </c>
      <c r="D1190" s="118" t="s">
        <v>39</v>
      </c>
      <c r="E1190" s="118" t="s">
        <v>65</v>
      </c>
      <c r="F1190" s="119">
        <v>-3.0456852791878129E-2</v>
      </c>
      <c r="G1190" s="119">
        <v>9.5986038394415316E-2</v>
      </c>
    </row>
    <row r="1191" spans="2:7" x14ac:dyDescent="0.2">
      <c r="B1191" s="116" t="s">
        <v>2640</v>
      </c>
      <c r="C1191" s="117" t="s">
        <v>2641</v>
      </c>
      <c r="D1191" s="118" t="s">
        <v>78</v>
      </c>
      <c r="E1191" s="118" t="s">
        <v>796</v>
      </c>
      <c r="F1191" s="119">
        <v>4.8192771084337387E-2</v>
      </c>
      <c r="G1191" s="119">
        <v>1.149425287356323E-2</v>
      </c>
    </row>
    <row r="1192" spans="2:7" x14ac:dyDescent="0.2">
      <c r="B1192" s="116" t="s">
        <v>2642</v>
      </c>
      <c r="C1192" s="117" t="s">
        <v>2643</v>
      </c>
      <c r="D1192" s="118" t="s">
        <v>92</v>
      </c>
      <c r="E1192" s="118" t="s">
        <v>299</v>
      </c>
      <c r="F1192" s="119">
        <v>-7.4074074074074139E-2</v>
      </c>
      <c r="G1192" s="119">
        <v>8.0000000000000071E-2</v>
      </c>
    </row>
    <row r="1193" spans="2:7" x14ac:dyDescent="0.2">
      <c r="B1193" s="116" t="s">
        <v>2644</v>
      </c>
      <c r="C1193" s="117" t="s">
        <v>2645</v>
      </c>
      <c r="D1193" s="118" t="s">
        <v>115</v>
      </c>
      <c r="E1193" s="118" t="s">
        <v>686</v>
      </c>
      <c r="F1193" s="119">
        <v>5.6074766355140228E-2</v>
      </c>
      <c r="G1193" s="119">
        <v>0.112094395280236</v>
      </c>
    </row>
    <row r="1194" spans="2:7" x14ac:dyDescent="0.2">
      <c r="B1194" s="116" t="s">
        <v>2646</v>
      </c>
      <c r="C1194" s="117" t="s">
        <v>2647</v>
      </c>
      <c r="D1194" s="118" t="s">
        <v>115</v>
      </c>
      <c r="E1194" s="118" t="s">
        <v>747</v>
      </c>
      <c r="F1194" s="119">
        <v>9.0497737556561167E-2</v>
      </c>
      <c r="G1194" s="119">
        <v>0.11825726141078829</v>
      </c>
    </row>
    <row r="1195" spans="2:7" x14ac:dyDescent="0.2">
      <c r="B1195" s="116" t="s">
        <v>2648</v>
      </c>
      <c r="C1195" s="117" t="s">
        <v>2649</v>
      </c>
      <c r="D1195" s="118" t="s">
        <v>106</v>
      </c>
      <c r="E1195" s="118" t="s">
        <v>563</v>
      </c>
      <c r="F1195" s="119">
        <v>0.20430107526881719</v>
      </c>
      <c r="G1195" s="119">
        <v>0.11607142857142851</v>
      </c>
    </row>
    <row r="1196" spans="2:7" x14ac:dyDescent="0.2">
      <c r="B1196" s="116" t="s">
        <v>2650</v>
      </c>
      <c r="C1196" s="117" t="s">
        <v>2651</v>
      </c>
      <c r="D1196" s="118" t="s">
        <v>92</v>
      </c>
      <c r="E1196" s="118" t="s">
        <v>142</v>
      </c>
      <c r="F1196" s="119">
        <v>0.11320754716981141</v>
      </c>
      <c r="G1196" s="119">
        <v>3.3898305084745638E-2</v>
      </c>
    </row>
    <row r="1197" spans="2:7" x14ac:dyDescent="0.2">
      <c r="B1197" s="116" t="s">
        <v>2652</v>
      </c>
      <c r="C1197" s="117" t="s">
        <v>2653</v>
      </c>
      <c r="D1197" s="118" t="s">
        <v>241</v>
      </c>
      <c r="E1197" s="118" t="s">
        <v>606</v>
      </c>
      <c r="F1197" s="119">
        <v>-0.11394891944990181</v>
      </c>
      <c r="G1197" s="119">
        <v>0.1574279379157428</v>
      </c>
    </row>
    <row r="1198" spans="2:7" x14ac:dyDescent="0.2">
      <c r="B1198" s="116" t="s">
        <v>2654</v>
      </c>
      <c r="C1198" s="117" t="s">
        <v>2655</v>
      </c>
      <c r="D1198" s="118" t="s">
        <v>145</v>
      </c>
      <c r="E1198" s="118" t="s">
        <v>179</v>
      </c>
      <c r="F1198" s="119">
        <v>-0.1901840490797545</v>
      </c>
      <c r="G1198" s="119">
        <v>0.14393939393939389</v>
      </c>
    </row>
    <row r="1199" spans="2:7" x14ac:dyDescent="0.2">
      <c r="B1199" s="116" t="s">
        <v>2656</v>
      </c>
      <c r="C1199" s="117" t="s">
        <v>2657</v>
      </c>
      <c r="D1199" s="118" t="s">
        <v>68</v>
      </c>
      <c r="E1199" s="118" t="s">
        <v>168</v>
      </c>
      <c r="F1199" s="119">
        <v>0.35526315789473678</v>
      </c>
      <c r="G1199" s="119">
        <v>0.1213592233009709</v>
      </c>
    </row>
    <row r="1200" spans="2:7" x14ac:dyDescent="0.2">
      <c r="B1200" s="116" t="s">
        <v>2658</v>
      </c>
      <c r="C1200" s="117" t="s">
        <v>2659</v>
      </c>
      <c r="D1200" s="118" t="s">
        <v>92</v>
      </c>
      <c r="E1200" s="118" t="s">
        <v>96</v>
      </c>
      <c r="F1200" s="119">
        <v>7.5119453924914676</v>
      </c>
      <c r="G1200" s="119">
        <v>-1.8444266238973571E-2</v>
      </c>
    </row>
    <row r="1201" spans="2:7" x14ac:dyDescent="0.2">
      <c r="B1201" s="116" t="s">
        <v>2660</v>
      </c>
      <c r="C1201" s="117" t="s">
        <v>2661</v>
      </c>
      <c r="D1201" s="118" t="s">
        <v>92</v>
      </c>
      <c r="E1201" s="118" t="s">
        <v>112</v>
      </c>
      <c r="F1201" s="119">
        <v>1.319261213720312E-2</v>
      </c>
      <c r="G1201" s="119">
        <v>3.9062500000000097E-2</v>
      </c>
    </row>
    <row r="1202" spans="2:7" x14ac:dyDescent="0.2">
      <c r="B1202" s="116" t="s">
        <v>2662</v>
      </c>
      <c r="C1202" s="117" t="s">
        <v>2663</v>
      </c>
      <c r="D1202" s="118" t="s">
        <v>68</v>
      </c>
      <c r="E1202" s="118" t="s">
        <v>87</v>
      </c>
      <c r="F1202" s="119">
        <v>8.2560296846011183E-2</v>
      </c>
      <c r="G1202" s="119">
        <v>0.1053984575835476</v>
      </c>
    </row>
    <row r="1203" spans="2:7" x14ac:dyDescent="0.2">
      <c r="B1203" s="116" t="s">
        <v>2664</v>
      </c>
      <c r="C1203" s="117" t="s">
        <v>2665</v>
      </c>
      <c r="D1203" s="118" t="s">
        <v>241</v>
      </c>
      <c r="E1203" s="118" t="s">
        <v>606</v>
      </c>
      <c r="F1203" s="119">
        <v>9.4674556213017833E-2</v>
      </c>
      <c r="G1203" s="119">
        <v>0.36756756756756742</v>
      </c>
    </row>
    <row r="1204" spans="2:7" x14ac:dyDescent="0.2">
      <c r="B1204" s="116" t="s">
        <v>2666</v>
      </c>
      <c r="C1204" s="117" t="s">
        <v>2667</v>
      </c>
      <c r="D1204" s="118" t="s">
        <v>92</v>
      </c>
      <c r="E1204" s="118" t="s">
        <v>272</v>
      </c>
      <c r="F1204" s="119">
        <v>9.9999999999999881E-2</v>
      </c>
      <c r="G1204" s="119">
        <v>9.0909090909090995E-2</v>
      </c>
    </row>
    <row r="1205" spans="2:7" x14ac:dyDescent="0.2">
      <c r="B1205" s="116" t="s">
        <v>2668</v>
      </c>
      <c r="C1205" s="117" t="s">
        <v>2669</v>
      </c>
      <c r="D1205" s="118" t="s">
        <v>92</v>
      </c>
      <c r="E1205" s="118" t="s">
        <v>614</v>
      </c>
      <c r="F1205" s="119">
        <v>6.9444444444444503E-2</v>
      </c>
      <c r="G1205" s="119">
        <v>7.1428571428571341E-2</v>
      </c>
    </row>
    <row r="1206" spans="2:7" x14ac:dyDescent="0.2">
      <c r="B1206" s="116" t="s">
        <v>2670</v>
      </c>
      <c r="C1206" s="117" t="s">
        <v>2671</v>
      </c>
      <c r="D1206" s="118" t="s">
        <v>92</v>
      </c>
      <c r="E1206" s="118" t="s">
        <v>378</v>
      </c>
      <c r="F1206" s="119">
        <v>7.7750206782464804E-2</v>
      </c>
      <c r="G1206" s="119">
        <v>8.4420567920184306E-2</v>
      </c>
    </row>
    <row r="1207" spans="2:7" x14ac:dyDescent="0.2">
      <c r="B1207" s="116" t="s">
        <v>2672</v>
      </c>
      <c r="C1207" s="117" t="s">
        <v>2673</v>
      </c>
      <c r="D1207" s="118" t="s">
        <v>68</v>
      </c>
      <c r="E1207" s="118" t="s">
        <v>87</v>
      </c>
      <c r="F1207" s="119">
        <v>0.32876712328767121</v>
      </c>
      <c r="G1207" s="119">
        <v>0.1237113402061857</v>
      </c>
    </row>
    <row r="1208" spans="2:7" x14ac:dyDescent="0.2">
      <c r="B1208" s="116" t="s">
        <v>2674</v>
      </c>
      <c r="C1208" s="117" t="s">
        <v>2675</v>
      </c>
      <c r="D1208" s="118" t="s">
        <v>145</v>
      </c>
      <c r="E1208" s="118" t="s">
        <v>146</v>
      </c>
      <c r="F1208" s="119">
        <v>0.61249999999999993</v>
      </c>
      <c r="G1208" s="119">
        <v>-2.3255813953488389E-2</v>
      </c>
    </row>
    <row r="1209" spans="2:7" x14ac:dyDescent="0.2">
      <c r="B1209" s="116" t="s">
        <v>2676</v>
      </c>
      <c r="C1209" s="117" t="s">
        <v>2677</v>
      </c>
      <c r="D1209" s="118" t="s">
        <v>52</v>
      </c>
      <c r="E1209" s="118" t="s">
        <v>2678</v>
      </c>
      <c r="F1209" s="119">
        <v>0.27771156138259828</v>
      </c>
      <c r="G1209" s="119">
        <v>0.13992537313432829</v>
      </c>
    </row>
    <row r="1210" spans="2:7" x14ac:dyDescent="0.2">
      <c r="B1210" s="116" t="s">
        <v>2679</v>
      </c>
      <c r="C1210" s="117" t="s">
        <v>2680</v>
      </c>
      <c r="D1210" s="118" t="s">
        <v>68</v>
      </c>
      <c r="E1210" s="118" t="s">
        <v>69</v>
      </c>
      <c r="F1210" s="119">
        <v>0.10176991150442501</v>
      </c>
      <c r="G1210" s="119">
        <v>2.811244979919672E-2</v>
      </c>
    </row>
    <row r="1211" spans="2:7" x14ac:dyDescent="0.2">
      <c r="B1211" s="116" t="s">
        <v>2681</v>
      </c>
      <c r="C1211" s="117" t="s">
        <v>2682</v>
      </c>
      <c r="D1211" s="118" t="s">
        <v>106</v>
      </c>
      <c r="E1211" s="118" t="s">
        <v>2058</v>
      </c>
      <c r="F1211" s="119">
        <v>0.11299435028248581</v>
      </c>
      <c r="G1211" s="119">
        <v>6.59898477157361E-2</v>
      </c>
    </row>
    <row r="1212" spans="2:7" x14ac:dyDescent="0.2">
      <c r="B1212" s="116" t="s">
        <v>2683</v>
      </c>
      <c r="C1212" s="117" t="s">
        <v>2684</v>
      </c>
      <c r="D1212" s="118" t="s">
        <v>92</v>
      </c>
      <c r="E1212" s="118" t="s">
        <v>272</v>
      </c>
      <c r="F1212" s="119">
        <v>0.16068376068376081</v>
      </c>
      <c r="G1212" s="119">
        <v>6.774668630338733E-2</v>
      </c>
    </row>
    <row r="1213" spans="2:7" x14ac:dyDescent="0.2">
      <c r="B1213" s="116" t="s">
        <v>2685</v>
      </c>
      <c r="C1213" s="117" t="s">
        <v>2686</v>
      </c>
      <c r="D1213" s="118" t="s">
        <v>34</v>
      </c>
      <c r="E1213" s="118" t="s">
        <v>700</v>
      </c>
      <c r="F1213" s="119">
        <v>0.19178082191780821</v>
      </c>
      <c r="G1213" s="119">
        <v>6.8965517241379379E-2</v>
      </c>
    </row>
    <row r="1214" spans="2:7" x14ac:dyDescent="0.2">
      <c r="B1214" s="116" t="s">
        <v>2687</v>
      </c>
      <c r="C1214" s="117" t="s">
        <v>2688</v>
      </c>
      <c r="D1214" s="118" t="s">
        <v>241</v>
      </c>
      <c r="E1214" s="118" t="s">
        <v>1634</v>
      </c>
      <c r="F1214" s="119">
        <v>-0.62666666666666659</v>
      </c>
      <c r="G1214" s="119">
        <v>0.36065573770491799</v>
      </c>
    </row>
    <row r="1215" spans="2:7" x14ac:dyDescent="0.2">
      <c r="B1215" s="116" t="s">
        <v>2689</v>
      </c>
      <c r="C1215" s="117" t="s">
        <v>2690</v>
      </c>
      <c r="D1215" s="118" t="s">
        <v>145</v>
      </c>
      <c r="E1215" s="118" t="s">
        <v>402</v>
      </c>
      <c r="F1215" s="119">
        <v>0.29106029106029108</v>
      </c>
      <c r="G1215" s="119">
        <v>-0.13526570048309181</v>
      </c>
    </row>
    <row r="1216" spans="2:7" x14ac:dyDescent="0.2">
      <c r="B1216" s="116" t="s">
        <v>2691</v>
      </c>
      <c r="C1216" s="117" t="s">
        <v>2692</v>
      </c>
      <c r="D1216" s="118" t="s">
        <v>92</v>
      </c>
      <c r="E1216" s="118" t="s">
        <v>275</v>
      </c>
      <c r="F1216" s="119">
        <v>0.11951588502269291</v>
      </c>
      <c r="G1216" s="119">
        <v>0.1054054054054053</v>
      </c>
    </row>
    <row r="1217" spans="2:7" x14ac:dyDescent="0.2">
      <c r="B1217" s="116" t="s">
        <v>2693</v>
      </c>
      <c r="C1217" s="117" t="s">
        <v>2694</v>
      </c>
      <c r="D1217" s="118" t="s">
        <v>115</v>
      </c>
      <c r="E1217" s="118" t="s">
        <v>899</v>
      </c>
      <c r="F1217" s="119">
        <v>9.090909090909087E-2</v>
      </c>
      <c r="G1217" s="119">
        <v>7.1614583333333426E-2</v>
      </c>
    </row>
    <row r="1218" spans="2:7" x14ac:dyDescent="0.2">
      <c r="B1218" s="116" t="s">
        <v>2695</v>
      </c>
      <c r="C1218" s="117" t="s">
        <v>2696</v>
      </c>
      <c r="D1218" s="118" t="s">
        <v>92</v>
      </c>
      <c r="E1218" s="118" t="s">
        <v>96</v>
      </c>
      <c r="F1218" s="119">
        <v>0.36627906976744201</v>
      </c>
      <c r="G1218" s="119">
        <v>-8.5106382978723475E-3</v>
      </c>
    </row>
    <row r="1219" spans="2:7" x14ac:dyDescent="0.2">
      <c r="B1219" s="116" t="s">
        <v>2697</v>
      </c>
      <c r="C1219" s="117" t="s">
        <v>2698</v>
      </c>
      <c r="D1219" s="118" t="s">
        <v>68</v>
      </c>
      <c r="E1219" s="118" t="s">
        <v>75</v>
      </c>
      <c r="F1219" s="119">
        <v>8.5872576177285331E-2</v>
      </c>
      <c r="G1219" s="119">
        <v>9.1836734693877639E-2</v>
      </c>
    </row>
    <row r="1220" spans="2:7" x14ac:dyDescent="0.2">
      <c r="B1220" s="116" t="s">
        <v>2699</v>
      </c>
      <c r="C1220" s="117" t="s">
        <v>2700</v>
      </c>
      <c r="D1220" s="118" t="s">
        <v>34</v>
      </c>
      <c r="E1220" s="118" t="s">
        <v>1493</v>
      </c>
      <c r="F1220" s="119">
        <v>9.8591549295774739E-2</v>
      </c>
      <c r="G1220" s="119">
        <v>0.21794871794871781</v>
      </c>
    </row>
    <row r="1221" spans="2:7" x14ac:dyDescent="0.2">
      <c r="B1221" s="116" t="s">
        <v>2701</v>
      </c>
      <c r="C1221" s="117" t="s">
        <v>2702</v>
      </c>
      <c r="D1221" s="118" t="s">
        <v>233</v>
      </c>
      <c r="E1221" s="118" t="s">
        <v>469</v>
      </c>
      <c r="F1221" s="119">
        <v>-0.37345679012345689</v>
      </c>
      <c r="G1221" s="119">
        <v>1.477832512315283E-2</v>
      </c>
    </row>
    <row r="1222" spans="2:7" x14ac:dyDescent="0.2">
      <c r="B1222" s="116" t="s">
        <v>2703</v>
      </c>
      <c r="C1222" s="117" t="s">
        <v>2704</v>
      </c>
      <c r="D1222" s="118" t="s">
        <v>92</v>
      </c>
      <c r="E1222" s="118" t="s">
        <v>96</v>
      </c>
      <c r="F1222" s="119">
        <v>1.0491573033707859</v>
      </c>
      <c r="G1222" s="119">
        <v>9.5956134338588458E-3</v>
      </c>
    </row>
    <row r="1223" spans="2:7" x14ac:dyDescent="0.2">
      <c r="B1223" s="116" t="s">
        <v>2705</v>
      </c>
      <c r="C1223" s="117" t="s">
        <v>2706</v>
      </c>
      <c r="D1223" s="118" t="s">
        <v>106</v>
      </c>
      <c r="E1223" s="118" t="s">
        <v>324</v>
      </c>
      <c r="F1223" s="119">
        <v>-6.5868263473053815E-2</v>
      </c>
      <c r="G1223" s="119">
        <v>8.9743589743589675E-2</v>
      </c>
    </row>
    <row r="1224" spans="2:7" x14ac:dyDescent="0.2">
      <c r="B1224" s="116" t="s">
        <v>2707</v>
      </c>
      <c r="C1224" s="117" t="s">
        <v>2708</v>
      </c>
      <c r="D1224" s="118" t="s">
        <v>39</v>
      </c>
      <c r="E1224" s="118" t="s">
        <v>1321</v>
      </c>
      <c r="F1224" s="119">
        <v>7.4719800747198195E-2</v>
      </c>
      <c r="G1224" s="119">
        <v>2.665121668597898E-2</v>
      </c>
    </row>
    <row r="1225" spans="2:7" x14ac:dyDescent="0.2">
      <c r="B1225" s="116" t="s">
        <v>2709</v>
      </c>
      <c r="C1225" s="117" t="s">
        <v>2710</v>
      </c>
      <c r="D1225" s="118" t="s">
        <v>115</v>
      </c>
      <c r="E1225" s="118" t="s">
        <v>728</v>
      </c>
      <c r="F1225" s="119">
        <v>-2.8461538461538458</v>
      </c>
      <c r="G1225" s="119">
        <v>2.0000000000000021E-2</v>
      </c>
    </row>
    <row r="1226" spans="2:7" x14ac:dyDescent="0.2">
      <c r="B1226" s="116" t="s">
        <v>2711</v>
      </c>
      <c r="C1226" s="117" t="s">
        <v>2712</v>
      </c>
      <c r="D1226" s="118" t="s">
        <v>106</v>
      </c>
      <c r="E1226" s="118" t="s">
        <v>2713</v>
      </c>
      <c r="F1226" s="119">
        <v>-1.3698630136986309E-2</v>
      </c>
      <c r="G1226" s="119">
        <v>9.7222222222222307E-2</v>
      </c>
    </row>
    <row r="1227" spans="2:7" x14ac:dyDescent="0.2">
      <c r="B1227" s="116" t="s">
        <v>2714</v>
      </c>
      <c r="C1227" s="117" t="s">
        <v>2715</v>
      </c>
      <c r="D1227" s="118" t="s">
        <v>39</v>
      </c>
      <c r="E1227" s="118" t="s">
        <v>383</v>
      </c>
      <c r="F1227" s="119">
        <v>0.1228813559322034</v>
      </c>
      <c r="G1227" s="119">
        <v>0.1188679245283019</v>
      </c>
    </row>
    <row r="1228" spans="2:7" x14ac:dyDescent="0.2">
      <c r="B1228" s="116" t="s">
        <v>2716</v>
      </c>
      <c r="C1228" s="117" t="s">
        <v>2717</v>
      </c>
      <c r="D1228" s="118" t="s">
        <v>39</v>
      </c>
      <c r="E1228" s="118" t="s">
        <v>383</v>
      </c>
      <c r="F1228" s="119">
        <v>0.1100682593856654</v>
      </c>
      <c r="G1228" s="119">
        <v>2.3059185242121499E-2</v>
      </c>
    </row>
    <row r="1229" spans="2:7" x14ac:dyDescent="0.2">
      <c r="B1229" s="116" t="s">
        <v>2718</v>
      </c>
      <c r="C1229" s="117" t="s">
        <v>2719</v>
      </c>
      <c r="D1229" s="118" t="s">
        <v>52</v>
      </c>
      <c r="E1229" s="118" t="s">
        <v>660</v>
      </c>
      <c r="F1229" s="119">
        <v>7.1428571428571383E-2</v>
      </c>
      <c r="G1229" s="119">
        <v>9.5555555555555491E-2</v>
      </c>
    </row>
    <row r="1230" spans="2:7" x14ac:dyDescent="0.2">
      <c r="B1230" s="116" t="s">
        <v>2720</v>
      </c>
      <c r="C1230" s="117" t="s">
        <v>2721</v>
      </c>
      <c r="D1230" s="118" t="s">
        <v>34</v>
      </c>
      <c r="E1230" s="118" t="s">
        <v>990</v>
      </c>
      <c r="F1230" s="119">
        <v>0.17449664429530201</v>
      </c>
      <c r="G1230" s="119">
        <v>0.17714285714285721</v>
      </c>
    </row>
    <row r="1231" spans="2:7" x14ac:dyDescent="0.2">
      <c r="B1231" s="116" t="s">
        <v>2722</v>
      </c>
      <c r="C1231" s="117" t="s">
        <v>2723</v>
      </c>
      <c r="D1231" s="118" t="s">
        <v>102</v>
      </c>
      <c r="E1231" s="118" t="s">
        <v>2315</v>
      </c>
      <c r="F1231" s="119">
        <v>0.31249999999999989</v>
      </c>
      <c r="G1231" s="119">
        <v>0.22916666666666671</v>
      </c>
    </row>
    <row r="1232" spans="2:7" x14ac:dyDescent="0.2">
      <c r="B1232" s="116" t="s">
        <v>2724</v>
      </c>
      <c r="C1232" s="117" t="s">
        <v>2725</v>
      </c>
      <c r="D1232" s="118" t="s">
        <v>39</v>
      </c>
      <c r="E1232" s="118" t="s">
        <v>40</v>
      </c>
      <c r="F1232" s="119">
        <v>-3.4700315457413262E-2</v>
      </c>
      <c r="G1232" s="119">
        <v>-8.3877995642701486E-2</v>
      </c>
    </row>
    <row r="1233" spans="2:7" x14ac:dyDescent="0.2">
      <c r="B1233" s="116" t="s">
        <v>2726</v>
      </c>
      <c r="C1233" s="117" t="s">
        <v>2727</v>
      </c>
      <c r="D1233" s="118" t="s">
        <v>106</v>
      </c>
      <c r="E1233" s="118" t="s">
        <v>842</v>
      </c>
      <c r="F1233" s="119">
        <v>5.5374592833876343E-2</v>
      </c>
      <c r="G1233" s="119">
        <v>0.10185185185185169</v>
      </c>
    </row>
    <row r="1234" spans="2:7" x14ac:dyDescent="0.2">
      <c r="B1234" s="116" t="s">
        <v>2728</v>
      </c>
      <c r="C1234" s="117" t="s">
        <v>2729</v>
      </c>
      <c r="D1234" s="118" t="s">
        <v>198</v>
      </c>
      <c r="E1234" s="118" t="s">
        <v>199</v>
      </c>
      <c r="F1234" s="119">
        <v>0.1602373887240357</v>
      </c>
      <c r="G1234" s="119">
        <v>0.1091219096334185</v>
      </c>
    </row>
    <row r="1235" spans="2:7" x14ac:dyDescent="0.2">
      <c r="B1235" s="116" t="s">
        <v>2730</v>
      </c>
      <c r="C1235" s="117" t="s">
        <v>2731</v>
      </c>
      <c r="D1235" s="118" t="s">
        <v>106</v>
      </c>
      <c r="E1235" s="118" t="s">
        <v>1053</v>
      </c>
      <c r="F1235" s="119">
        <v>2.3255813953488389E-2</v>
      </c>
      <c r="G1235" s="119">
        <v>0.125</v>
      </c>
    </row>
    <row r="1236" spans="2:7" x14ac:dyDescent="0.2">
      <c r="B1236" s="116" t="s">
        <v>2732</v>
      </c>
      <c r="C1236" s="117" t="s">
        <v>2733</v>
      </c>
      <c r="D1236" s="118" t="s">
        <v>102</v>
      </c>
      <c r="E1236" s="118" t="s">
        <v>103</v>
      </c>
      <c r="F1236" s="119">
        <v>4.8387096774193589E-2</v>
      </c>
      <c r="G1236" s="119">
        <v>0.1076923076923076</v>
      </c>
    </row>
    <row r="1237" spans="2:7" x14ac:dyDescent="0.2">
      <c r="B1237" s="116" t="s">
        <v>2734</v>
      </c>
      <c r="C1237" s="117" t="s">
        <v>2735</v>
      </c>
      <c r="D1237" s="118" t="s">
        <v>138</v>
      </c>
      <c r="E1237" s="118" t="s">
        <v>139</v>
      </c>
      <c r="F1237" s="119">
        <v>-0.45945945945945948</v>
      </c>
      <c r="G1237" s="119">
        <v>1.24</v>
      </c>
    </row>
    <row r="1238" spans="2:7" x14ac:dyDescent="0.2">
      <c r="B1238" s="116" t="s">
        <v>2736</v>
      </c>
      <c r="C1238" s="117" t="s">
        <v>2737</v>
      </c>
      <c r="D1238" s="118" t="s">
        <v>92</v>
      </c>
      <c r="E1238" s="118" t="s">
        <v>299</v>
      </c>
      <c r="F1238" s="119">
        <v>4.4822256568778987E-2</v>
      </c>
      <c r="G1238" s="119">
        <v>5.029585798816566E-2</v>
      </c>
    </row>
    <row r="1239" spans="2:7" x14ac:dyDescent="0.2">
      <c r="B1239" s="116" t="s">
        <v>2738</v>
      </c>
      <c r="C1239" s="117" t="s">
        <v>2739</v>
      </c>
      <c r="D1239" s="118" t="s">
        <v>48</v>
      </c>
      <c r="E1239" s="118" t="s">
        <v>49</v>
      </c>
      <c r="F1239" s="119">
        <v>-0.2320754716981131</v>
      </c>
      <c r="G1239" s="119">
        <v>0.32432432432432418</v>
      </c>
    </row>
    <row r="1240" spans="2:7" x14ac:dyDescent="0.2">
      <c r="B1240" s="116" t="s">
        <v>2740</v>
      </c>
      <c r="C1240" s="117" t="s">
        <v>2741</v>
      </c>
      <c r="D1240" s="118" t="s">
        <v>198</v>
      </c>
      <c r="E1240" s="118" t="s">
        <v>199</v>
      </c>
      <c r="F1240" s="119">
        <v>1.0909090909090911</v>
      </c>
      <c r="G1240" s="119">
        <v>0.56521739130434767</v>
      </c>
    </row>
    <row r="1241" spans="2:7" x14ac:dyDescent="0.2">
      <c r="B1241" s="116" t="s">
        <v>2742</v>
      </c>
      <c r="C1241" s="117" t="s">
        <v>2743</v>
      </c>
      <c r="D1241" s="118" t="s">
        <v>102</v>
      </c>
      <c r="E1241" s="118" t="s">
        <v>1397</v>
      </c>
      <c r="F1241" s="119">
        <v>-0.42499999999999999</v>
      </c>
      <c r="G1241" s="119">
        <v>6.5217391304347755E-2</v>
      </c>
    </row>
    <row r="1242" spans="2:7" x14ac:dyDescent="0.2">
      <c r="B1242" s="116" t="s">
        <v>2744</v>
      </c>
      <c r="C1242" s="117" t="s">
        <v>2745</v>
      </c>
      <c r="D1242" s="118" t="s">
        <v>34</v>
      </c>
      <c r="E1242" s="118" t="s">
        <v>982</v>
      </c>
      <c r="F1242" s="119">
        <v>-2.75</v>
      </c>
      <c r="G1242" s="119">
        <v>-0.28571428571428548</v>
      </c>
    </row>
    <row r="1243" spans="2:7" x14ac:dyDescent="0.2">
      <c r="B1243" s="116" t="s">
        <v>2746</v>
      </c>
      <c r="C1243" s="117" t="s">
        <v>2747</v>
      </c>
      <c r="D1243" s="118" t="s">
        <v>34</v>
      </c>
      <c r="E1243" s="118" t="s">
        <v>1493</v>
      </c>
      <c r="F1243" s="119">
        <v>-0.33552631578947367</v>
      </c>
      <c r="G1243" s="119">
        <v>0.27722772277227731</v>
      </c>
    </row>
    <row r="1244" spans="2:7" x14ac:dyDescent="0.2">
      <c r="B1244" s="116" t="s">
        <v>2748</v>
      </c>
      <c r="C1244" s="117" t="s">
        <v>2749</v>
      </c>
      <c r="D1244" s="118" t="s">
        <v>78</v>
      </c>
      <c r="E1244" s="118" t="s">
        <v>1654</v>
      </c>
      <c r="F1244" s="119">
        <v>1.325358851674642</v>
      </c>
      <c r="G1244" s="119">
        <v>0.90740740740740722</v>
      </c>
    </row>
    <row r="1245" spans="2:7" x14ac:dyDescent="0.2">
      <c r="B1245" s="116" t="s">
        <v>2750</v>
      </c>
      <c r="C1245" s="117" t="s">
        <v>2751</v>
      </c>
      <c r="D1245" s="118" t="s">
        <v>198</v>
      </c>
      <c r="E1245" s="118" t="s">
        <v>456</v>
      </c>
      <c r="F1245" s="119">
        <v>0.28888888888888881</v>
      </c>
      <c r="G1245" s="119">
        <v>0.14367816091954019</v>
      </c>
    </row>
    <row r="1246" spans="2:7" x14ac:dyDescent="0.2">
      <c r="B1246" s="116" t="s">
        <v>2752</v>
      </c>
      <c r="C1246" s="117" t="s">
        <v>2753</v>
      </c>
      <c r="D1246" s="118" t="s">
        <v>68</v>
      </c>
      <c r="E1246" s="118" t="s">
        <v>985</v>
      </c>
      <c r="F1246" s="119">
        <v>-0.77025232403718458</v>
      </c>
      <c r="G1246" s="119">
        <v>7.876969242310583E-2</v>
      </c>
    </row>
    <row r="1247" spans="2:7" x14ac:dyDescent="0.2">
      <c r="B1247" s="116" t="s">
        <v>2754</v>
      </c>
      <c r="C1247" s="117" t="s">
        <v>2755</v>
      </c>
      <c r="D1247" s="118" t="s">
        <v>34</v>
      </c>
      <c r="E1247" s="118" t="s">
        <v>245</v>
      </c>
      <c r="F1247" s="119">
        <v>0.2177777777777779</v>
      </c>
      <c r="G1247" s="119">
        <v>0.12773722627737211</v>
      </c>
    </row>
    <row r="1248" spans="2:7" x14ac:dyDescent="0.2">
      <c r="B1248" s="116" t="s">
        <v>2756</v>
      </c>
      <c r="C1248" s="117" t="s">
        <v>2757</v>
      </c>
      <c r="D1248" s="118" t="s">
        <v>78</v>
      </c>
      <c r="E1248" s="118" t="s">
        <v>79</v>
      </c>
      <c r="F1248" s="119">
        <v>0.1690694626474443</v>
      </c>
      <c r="G1248" s="119">
        <v>0.1065022421524663</v>
      </c>
    </row>
    <row r="1249" spans="2:7" x14ac:dyDescent="0.2">
      <c r="B1249" s="116" t="s">
        <v>2758</v>
      </c>
      <c r="C1249" s="117" t="s">
        <v>2759</v>
      </c>
      <c r="D1249" s="118" t="s">
        <v>92</v>
      </c>
      <c r="E1249" s="118" t="s">
        <v>299</v>
      </c>
      <c r="F1249" s="119">
        <v>-1.88679245283019E-2</v>
      </c>
      <c r="G1249" s="119">
        <v>1.9230769230769249E-2</v>
      </c>
    </row>
    <row r="1250" spans="2:7" x14ac:dyDescent="0.2">
      <c r="B1250" s="116" t="s">
        <v>2760</v>
      </c>
      <c r="C1250" s="117" t="s">
        <v>2761</v>
      </c>
      <c r="D1250" s="118" t="s">
        <v>34</v>
      </c>
      <c r="E1250" s="118" t="s">
        <v>99</v>
      </c>
      <c r="F1250" s="119">
        <v>0.1051587301587302</v>
      </c>
      <c r="G1250" s="119">
        <v>0.11310592459605021</v>
      </c>
    </row>
    <row r="1251" spans="2:7" x14ac:dyDescent="0.2">
      <c r="B1251" s="116" t="s">
        <v>2762</v>
      </c>
      <c r="C1251" s="117" t="s">
        <v>2763</v>
      </c>
      <c r="D1251" s="118" t="s">
        <v>241</v>
      </c>
      <c r="E1251" s="118" t="s">
        <v>1634</v>
      </c>
      <c r="F1251" s="119">
        <v>1.166666666666667</v>
      </c>
      <c r="G1251" s="119">
        <v>1</v>
      </c>
    </row>
    <row r="1252" spans="2:7" x14ac:dyDescent="0.2">
      <c r="B1252" s="116" t="s">
        <v>2764</v>
      </c>
      <c r="C1252" s="117" t="s">
        <v>2765</v>
      </c>
      <c r="D1252" s="118" t="s">
        <v>68</v>
      </c>
      <c r="E1252" s="118" t="s">
        <v>82</v>
      </c>
      <c r="F1252" s="119">
        <v>0.19661016949152529</v>
      </c>
      <c r="G1252" s="119">
        <v>0.1104815864022663</v>
      </c>
    </row>
    <row r="1253" spans="2:7" x14ac:dyDescent="0.2">
      <c r="B1253" s="116" t="s">
        <v>2766</v>
      </c>
      <c r="C1253" s="117" t="s">
        <v>2767</v>
      </c>
      <c r="D1253" s="118" t="s">
        <v>34</v>
      </c>
      <c r="E1253" s="118" t="s">
        <v>1281</v>
      </c>
      <c r="F1253" s="119">
        <v>0.24691358024691351</v>
      </c>
      <c r="G1253" s="119">
        <v>-3.9603960396039639E-2</v>
      </c>
    </row>
    <row r="1254" spans="2:7" x14ac:dyDescent="0.2">
      <c r="B1254" s="116" t="s">
        <v>2768</v>
      </c>
      <c r="C1254" s="117" t="s">
        <v>2769</v>
      </c>
      <c r="D1254" s="118" t="s">
        <v>68</v>
      </c>
      <c r="E1254" s="118" t="s">
        <v>72</v>
      </c>
      <c r="F1254" s="119">
        <v>0.16146393972012921</v>
      </c>
      <c r="G1254" s="119">
        <v>0.1941612604263207</v>
      </c>
    </row>
    <row r="1255" spans="2:7" x14ac:dyDescent="0.2">
      <c r="B1255" s="116" t="s">
        <v>2770</v>
      </c>
      <c r="C1255" s="117" t="s">
        <v>2771</v>
      </c>
      <c r="D1255" s="118" t="s">
        <v>92</v>
      </c>
      <c r="E1255" s="118" t="s">
        <v>272</v>
      </c>
      <c r="F1255" s="119">
        <v>0.1156914893617023</v>
      </c>
      <c r="G1255" s="119">
        <v>0.10846245530393329</v>
      </c>
    </row>
    <row r="1256" spans="2:7" x14ac:dyDescent="0.2">
      <c r="B1256" s="116" t="s">
        <v>2772</v>
      </c>
      <c r="C1256" s="117" t="s">
        <v>2773</v>
      </c>
      <c r="D1256" s="118" t="s">
        <v>115</v>
      </c>
      <c r="E1256" s="118" t="s">
        <v>728</v>
      </c>
      <c r="F1256" s="119">
        <v>-0.37423312883435578</v>
      </c>
      <c r="G1256" s="119">
        <v>1.4852941176470591</v>
      </c>
    </row>
    <row r="1257" spans="2:7" x14ac:dyDescent="0.2">
      <c r="B1257" s="116" t="s">
        <v>2774</v>
      </c>
      <c r="C1257" s="117" t="s">
        <v>2775</v>
      </c>
      <c r="D1257" s="118" t="s">
        <v>92</v>
      </c>
      <c r="E1257" s="118" t="s">
        <v>399</v>
      </c>
      <c r="F1257" s="119">
        <v>0.19560439560439569</v>
      </c>
      <c r="G1257" s="119">
        <v>7.1691176470588175E-2</v>
      </c>
    </row>
    <row r="1258" spans="2:7" x14ac:dyDescent="0.2">
      <c r="B1258" s="116" t="s">
        <v>2776</v>
      </c>
      <c r="C1258" s="117" t="s">
        <v>2777</v>
      </c>
      <c r="D1258" s="118" t="s">
        <v>92</v>
      </c>
      <c r="E1258" s="118" t="s">
        <v>272</v>
      </c>
      <c r="F1258" s="119">
        <v>-0.1869565217391303</v>
      </c>
      <c r="G1258" s="119">
        <v>1.6042780748662999E-2</v>
      </c>
    </row>
    <row r="1259" spans="2:7" x14ac:dyDescent="0.2">
      <c r="B1259" s="116" t="s">
        <v>2778</v>
      </c>
      <c r="C1259" s="117" t="s">
        <v>2779</v>
      </c>
      <c r="D1259" s="118" t="s">
        <v>138</v>
      </c>
      <c r="E1259" s="118" t="s">
        <v>427</v>
      </c>
      <c r="F1259" s="119">
        <v>0.22077922077922069</v>
      </c>
      <c r="G1259" s="119">
        <v>0.12765957446808521</v>
      </c>
    </row>
    <row r="1260" spans="2:7" x14ac:dyDescent="0.2">
      <c r="B1260" s="116" t="s">
        <v>2780</v>
      </c>
      <c r="C1260" s="117" t="s">
        <v>2781</v>
      </c>
      <c r="D1260" s="118" t="s">
        <v>52</v>
      </c>
      <c r="E1260" s="118" t="s">
        <v>725</v>
      </c>
      <c r="F1260" s="119">
        <v>0.17916666666666681</v>
      </c>
      <c r="G1260" s="119">
        <v>0.1024734982332156</v>
      </c>
    </row>
    <row r="1261" spans="2:7" x14ac:dyDescent="0.2">
      <c r="B1261" s="116" t="s">
        <v>2782</v>
      </c>
      <c r="C1261" s="117" t="s">
        <v>2783</v>
      </c>
      <c r="D1261" s="118" t="s">
        <v>92</v>
      </c>
      <c r="E1261" s="118" t="s">
        <v>228</v>
      </c>
      <c r="F1261" s="119">
        <v>8.0459770114942514E-2</v>
      </c>
      <c r="G1261" s="119">
        <v>9.2198581560283779E-2</v>
      </c>
    </row>
    <row r="1262" spans="2:7" x14ac:dyDescent="0.2">
      <c r="B1262" s="116" t="s">
        <v>2784</v>
      </c>
      <c r="C1262" s="117" t="s">
        <v>2785</v>
      </c>
      <c r="D1262" s="118" t="s">
        <v>92</v>
      </c>
      <c r="E1262" s="118" t="s">
        <v>299</v>
      </c>
      <c r="F1262" s="119">
        <v>0.26153846153846139</v>
      </c>
      <c r="G1262" s="119">
        <v>0.2317073170731708</v>
      </c>
    </row>
    <row r="1263" spans="2:7" x14ac:dyDescent="0.2">
      <c r="B1263" s="116" t="s">
        <v>2786</v>
      </c>
      <c r="C1263" s="117" t="s">
        <v>2787</v>
      </c>
      <c r="D1263" s="118" t="s">
        <v>145</v>
      </c>
      <c r="E1263" s="118" t="s">
        <v>343</v>
      </c>
      <c r="F1263" s="119">
        <v>1.442307692307683E-2</v>
      </c>
      <c r="G1263" s="119">
        <v>1.42180094786731E-2</v>
      </c>
    </row>
    <row r="1264" spans="2:7" x14ac:dyDescent="0.2">
      <c r="B1264" s="116" t="s">
        <v>2788</v>
      </c>
      <c r="C1264" s="117" t="s">
        <v>2789</v>
      </c>
      <c r="D1264" s="118" t="s">
        <v>92</v>
      </c>
      <c r="E1264" s="118" t="s">
        <v>299</v>
      </c>
      <c r="F1264" s="119">
        <v>-0.16853932584269671</v>
      </c>
      <c r="G1264" s="119">
        <v>9.4594594594594683E-2</v>
      </c>
    </row>
    <row r="1265" spans="2:7" x14ac:dyDescent="0.2">
      <c r="B1265" s="116" t="s">
        <v>2790</v>
      </c>
      <c r="C1265" s="117" t="s">
        <v>2791</v>
      </c>
      <c r="D1265" s="118" t="s">
        <v>92</v>
      </c>
      <c r="E1265" s="118" t="s">
        <v>275</v>
      </c>
      <c r="F1265" s="119">
        <v>0.102880658436214</v>
      </c>
      <c r="G1265" s="119">
        <v>7.462686567164185E-3</v>
      </c>
    </row>
    <row r="1266" spans="2:7" x14ac:dyDescent="0.2">
      <c r="B1266" s="116" t="s">
        <v>2792</v>
      </c>
      <c r="C1266" s="117" t="s">
        <v>2793</v>
      </c>
      <c r="D1266" s="118" t="s">
        <v>78</v>
      </c>
      <c r="E1266" s="118" t="s">
        <v>2794</v>
      </c>
      <c r="F1266" s="119">
        <v>7.1428571428571369E-2</v>
      </c>
      <c r="G1266" s="119">
        <v>9.2307692307692271E-2</v>
      </c>
    </row>
    <row r="1267" spans="2:7" x14ac:dyDescent="0.2">
      <c r="B1267" s="116" t="s">
        <v>2795</v>
      </c>
      <c r="C1267" s="117" t="s">
        <v>2796</v>
      </c>
      <c r="D1267" s="118" t="s">
        <v>138</v>
      </c>
      <c r="E1267" s="118" t="s">
        <v>499</v>
      </c>
      <c r="F1267" s="119">
        <v>-1.7182130584192531E-2</v>
      </c>
      <c r="G1267" s="119">
        <v>-6.9930069930069999E-3</v>
      </c>
    </row>
    <row r="1268" spans="2:7" x14ac:dyDescent="0.2">
      <c r="B1268" s="116" t="s">
        <v>2797</v>
      </c>
      <c r="C1268" s="117" t="s">
        <v>2798</v>
      </c>
      <c r="D1268" s="118" t="s">
        <v>92</v>
      </c>
      <c r="E1268" s="118" t="s">
        <v>142</v>
      </c>
      <c r="F1268" s="119">
        <v>0.7142857142857143</v>
      </c>
      <c r="G1268" s="119">
        <v>5.5555555555555608E-2</v>
      </c>
    </row>
    <row r="1269" spans="2:7" x14ac:dyDescent="0.2">
      <c r="B1269" s="116" t="s">
        <v>2799</v>
      </c>
      <c r="C1269" s="117" t="s">
        <v>2800</v>
      </c>
      <c r="D1269" s="118" t="s">
        <v>39</v>
      </c>
      <c r="E1269" s="118" t="s">
        <v>1959</v>
      </c>
      <c r="F1269" s="119">
        <v>-3.4782608695652008E-2</v>
      </c>
      <c r="G1269" s="119">
        <v>0.117117117117117</v>
      </c>
    </row>
    <row r="1270" spans="2:7" x14ac:dyDescent="0.2">
      <c r="B1270" s="116" t="s">
        <v>2801</v>
      </c>
      <c r="C1270" s="117" t="s">
        <v>2802</v>
      </c>
      <c r="D1270" s="118" t="s">
        <v>92</v>
      </c>
      <c r="E1270" s="118" t="s">
        <v>2803</v>
      </c>
      <c r="F1270" s="119">
        <v>-0.17216117216117219</v>
      </c>
      <c r="G1270" s="119">
        <v>0.55000000000000004</v>
      </c>
    </row>
    <row r="1271" spans="2:7" x14ac:dyDescent="0.2">
      <c r="B1271" s="116" t="s">
        <v>2804</v>
      </c>
      <c r="C1271" s="117" t="s">
        <v>2805</v>
      </c>
      <c r="D1271" s="118" t="s">
        <v>241</v>
      </c>
      <c r="E1271" s="118" t="s">
        <v>1219</v>
      </c>
      <c r="F1271" s="119">
        <v>0.20987654320987639</v>
      </c>
      <c r="G1271" s="119">
        <v>0.19642857142857159</v>
      </c>
    </row>
    <row r="1272" spans="2:7" x14ac:dyDescent="0.2">
      <c r="B1272" s="116" t="s">
        <v>2806</v>
      </c>
      <c r="C1272" s="117" t="s">
        <v>2807</v>
      </c>
      <c r="D1272" s="118" t="s">
        <v>39</v>
      </c>
      <c r="E1272" s="118" t="s">
        <v>389</v>
      </c>
      <c r="F1272" s="119">
        <v>0.1440329218106994</v>
      </c>
      <c r="G1272" s="119">
        <v>0.10791366906474829</v>
      </c>
    </row>
    <row r="1273" spans="2:7" x14ac:dyDescent="0.2">
      <c r="B1273" s="116" t="s">
        <v>2808</v>
      </c>
      <c r="C1273" s="117" t="s">
        <v>2809</v>
      </c>
      <c r="D1273" s="118" t="s">
        <v>92</v>
      </c>
      <c r="E1273" s="118" t="s">
        <v>272</v>
      </c>
      <c r="F1273" s="119">
        <v>3.4482758620689689E-2</v>
      </c>
      <c r="G1273" s="119">
        <v>0.1000000000000001</v>
      </c>
    </row>
    <row r="1274" spans="2:7" x14ac:dyDescent="0.2">
      <c r="B1274" s="116" t="s">
        <v>2810</v>
      </c>
      <c r="C1274" s="117" t="s">
        <v>2811</v>
      </c>
      <c r="D1274" s="118" t="s">
        <v>92</v>
      </c>
      <c r="E1274" s="118" t="s">
        <v>195</v>
      </c>
      <c r="F1274" s="119">
        <v>2.5477707006369449E-2</v>
      </c>
      <c r="G1274" s="119">
        <v>0.11801242236024841</v>
      </c>
    </row>
    <row r="1275" spans="2:7" x14ac:dyDescent="0.2">
      <c r="B1275" s="116" t="s">
        <v>2812</v>
      </c>
      <c r="C1275" s="117" t="s">
        <v>2813</v>
      </c>
      <c r="D1275" s="118" t="s">
        <v>34</v>
      </c>
      <c r="E1275" s="118" t="s">
        <v>700</v>
      </c>
      <c r="F1275" s="119">
        <v>-0.20967741935483869</v>
      </c>
      <c r="G1275" s="119">
        <v>0.2040816326530612</v>
      </c>
    </row>
    <row r="1276" spans="2:7" x14ac:dyDescent="0.2">
      <c r="B1276" s="116" t="s">
        <v>2814</v>
      </c>
      <c r="C1276" s="117" t="s">
        <v>2815</v>
      </c>
      <c r="D1276" s="118" t="s">
        <v>34</v>
      </c>
      <c r="E1276" s="118" t="s">
        <v>1096</v>
      </c>
      <c r="F1276" s="119">
        <v>3.9603960396039639E-2</v>
      </c>
      <c r="G1276" s="119">
        <v>9.5238095238095108E-2</v>
      </c>
    </row>
    <row r="1277" spans="2:7" x14ac:dyDescent="0.2">
      <c r="B1277" s="116" t="s">
        <v>2816</v>
      </c>
      <c r="C1277" s="117" t="s">
        <v>2817</v>
      </c>
      <c r="D1277" s="118" t="s">
        <v>106</v>
      </c>
      <c r="E1277" s="118" t="s">
        <v>2713</v>
      </c>
      <c r="F1277" s="119">
        <v>-0.24615384615384611</v>
      </c>
      <c r="G1277" s="119">
        <v>0.15646258503401361</v>
      </c>
    </row>
    <row r="1278" spans="2:7" x14ac:dyDescent="0.2">
      <c r="B1278" s="116" t="s">
        <v>2818</v>
      </c>
      <c r="C1278" s="117" t="s">
        <v>2819</v>
      </c>
      <c r="D1278" s="118" t="s">
        <v>92</v>
      </c>
      <c r="E1278" s="118" t="s">
        <v>275</v>
      </c>
      <c r="F1278" s="119">
        <v>9.441233140655092E-2</v>
      </c>
      <c r="G1278" s="119">
        <v>9.1549295774647974E-2</v>
      </c>
    </row>
    <row r="1279" spans="2:7" x14ac:dyDescent="0.2">
      <c r="B1279" s="116" t="s">
        <v>2820</v>
      </c>
      <c r="C1279" s="117" t="s">
        <v>2821</v>
      </c>
      <c r="D1279" s="118" t="s">
        <v>68</v>
      </c>
      <c r="E1279" s="118" t="s">
        <v>87</v>
      </c>
      <c r="F1279" s="119">
        <v>-0.22222222222222221</v>
      </c>
      <c r="G1279" s="119">
        <v>0.44696969696969702</v>
      </c>
    </row>
    <row r="1280" spans="2:7" x14ac:dyDescent="0.2">
      <c r="B1280" s="116" t="s">
        <v>2822</v>
      </c>
      <c r="C1280" s="117" t="s">
        <v>2823</v>
      </c>
      <c r="D1280" s="118" t="s">
        <v>34</v>
      </c>
      <c r="E1280" s="118" t="s">
        <v>990</v>
      </c>
      <c r="F1280" s="119">
        <v>-0.1111111111111111</v>
      </c>
      <c r="G1280" s="119">
        <v>8.5526315789473617E-2</v>
      </c>
    </row>
    <row r="1281" spans="2:7" x14ac:dyDescent="0.2">
      <c r="B1281" s="116" t="s">
        <v>2824</v>
      </c>
      <c r="C1281" s="117" t="s">
        <v>2825</v>
      </c>
      <c r="D1281" s="118" t="s">
        <v>106</v>
      </c>
      <c r="E1281" s="118" t="s">
        <v>1053</v>
      </c>
      <c r="F1281" s="119">
        <v>-2.0408163265306142E-2</v>
      </c>
      <c r="G1281" s="119">
        <v>0.1145833333333334</v>
      </c>
    </row>
    <row r="1282" spans="2:7" x14ac:dyDescent="0.2">
      <c r="B1282" s="116" t="s">
        <v>2826</v>
      </c>
      <c r="C1282" s="117" t="s">
        <v>2827</v>
      </c>
      <c r="D1282" s="118" t="s">
        <v>52</v>
      </c>
      <c r="E1282" s="118" t="s">
        <v>725</v>
      </c>
      <c r="F1282" s="119">
        <v>-5.797101449275352E-2</v>
      </c>
      <c r="G1282" s="119">
        <v>0.16923076923076921</v>
      </c>
    </row>
    <row r="1283" spans="2:7" x14ac:dyDescent="0.2">
      <c r="B1283" s="116" t="s">
        <v>2828</v>
      </c>
      <c r="C1283" s="117" t="s">
        <v>2829</v>
      </c>
      <c r="D1283" s="118" t="s">
        <v>115</v>
      </c>
      <c r="E1283" s="118" t="s">
        <v>1102</v>
      </c>
      <c r="F1283" s="119">
        <v>-0.79230769230769227</v>
      </c>
      <c r="G1283" s="119">
        <v>-3.703703703703707E-2</v>
      </c>
    </row>
    <row r="1284" spans="2:7" x14ac:dyDescent="0.2">
      <c r="B1284" s="116" t="s">
        <v>2830</v>
      </c>
      <c r="C1284" s="117" t="s">
        <v>2831</v>
      </c>
      <c r="D1284" s="118" t="s">
        <v>145</v>
      </c>
      <c r="E1284" s="118" t="s">
        <v>179</v>
      </c>
      <c r="F1284" s="119">
        <v>-2.9239766081871371E-2</v>
      </c>
      <c r="G1284" s="119">
        <v>0.14457831325301199</v>
      </c>
    </row>
    <row r="1285" spans="2:7" x14ac:dyDescent="0.2">
      <c r="B1285" s="116" t="s">
        <v>2832</v>
      </c>
      <c r="C1285" s="117" t="s">
        <v>2833</v>
      </c>
      <c r="D1285" s="118" t="s">
        <v>92</v>
      </c>
      <c r="E1285" s="118" t="s">
        <v>299</v>
      </c>
      <c r="F1285" s="119">
        <v>-2.0442930153321999E-2</v>
      </c>
      <c r="G1285" s="119">
        <v>4.1739130434782647E-2</v>
      </c>
    </row>
    <row r="1286" spans="2:7" x14ac:dyDescent="0.2">
      <c r="B1286" s="116" t="s">
        <v>2834</v>
      </c>
      <c r="C1286" s="117" t="s">
        <v>2835</v>
      </c>
      <c r="D1286" s="118" t="s">
        <v>145</v>
      </c>
      <c r="E1286" s="118" t="s">
        <v>179</v>
      </c>
      <c r="F1286" s="119">
        <v>5.9782608695652113E-2</v>
      </c>
      <c r="G1286" s="119">
        <v>1.2820512820512889E-2</v>
      </c>
    </row>
    <row r="1287" spans="2:7" x14ac:dyDescent="0.2">
      <c r="B1287" s="116" t="s">
        <v>2836</v>
      </c>
      <c r="C1287" s="117" t="s">
        <v>2837</v>
      </c>
      <c r="D1287" s="118" t="s">
        <v>241</v>
      </c>
      <c r="E1287" s="118" t="s">
        <v>609</v>
      </c>
      <c r="F1287" s="119">
        <v>-7.8431372549019676E-2</v>
      </c>
      <c r="G1287" s="119">
        <v>0.11347517730496461</v>
      </c>
    </row>
    <row r="1288" spans="2:7" x14ac:dyDescent="0.2">
      <c r="B1288" s="116" t="s">
        <v>2838</v>
      </c>
      <c r="C1288" s="117" t="s">
        <v>2839</v>
      </c>
      <c r="D1288" s="118" t="s">
        <v>92</v>
      </c>
      <c r="E1288" s="118" t="s">
        <v>195</v>
      </c>
      <c r="F1288" s="119">
        <v>-0.13454545454545461</v>
      </c>
      <c r="G1288" s="119">
        <v>0.1050420168067227</v>
      </c>
    </row>
    <row r="1289" spans="2:7" x14ac:dyDescent="0.2">
      <c r="B1289" s="116" t="s">
        <v>2840</v>
      </c>
      <c r="C1289" s="117" t="s">
        <v>2841</v>
      </c>
      <c r="D1289" s="118" t="s">
        <v>92</v>
      </c>
      <c r="E1289" s="118" t="s">
        <v>272</v>
      </c>
      <c r="F1289" s="119">
        <v>-4.3478260869565057E-2</v>
      </c>
      <c r="G1289" s="119">
        <v>-1.8181818181818191E-2</v>
      </c>
    </row>
    <row r="1290" spans="2:7" x14ac:dyDescent="0.2">
      <c r="B1290" s="116" t="s">
        <v>2842</v>
      </c>
      <c r="C1290" s="117" t="s">
        <v>2843</v>
      </c>
      <c r="D1290" s="118" t="s">
        <v>34</v>
      </c>
      <c r="E1290" s="118" t="s">
        <v>202</v>
      </c>
      <c r="F1290" s="119">
        <v>0.9375</v>
      </c>
      <c r="G1290" s="119">
        <v>0.58064516129032251</v>
      </c>
    </row>
    <row r="1291" spans="2:7" x14ac:dyDescent="0.2">
      <c r="B1291" s="116" t="s">
        <v>2844</v>
      </c>
      <c r="C1291" s="117" t="s">
        <v>2845</v>
      </c>
      <c r="D1291" s="118" t="s">
        <v>102</v>
      </c>
      <c r="E1291" s="118" t="s">
        <v>2315</v>
      </c>
      <c r="F1291" s="119">
        <v>0.13977334052887211</v>
      </c>
      <c r="G1291" s="119">
        <v>0.14535984848484851</v>
      </c>
    </row>
    <row r="1292" spans="2:7" x14ac:dyDescent="0.2">
      <c r="B1292" s="116" t="s">
        <v>2846</v>
      </c>
      <c r="C1292" s="117" t="s">
        <v>2847</v>
      </c>
      <c r="D1292" s="118" t="s">
        <v>145</v>
      </c>
      <c r="E1292" s="118" t="s">
        <v>179</v>
      </c>
      <c r="F1292" s="119">
        <v>-1.8439716312056719E-2</v>
      </c>
      <c r="G1292" s="119">
        <v>-3.4682080924855523E-2</v>
      </c>
    </row>
    <row r="1293" spans="2:7" x14ac:dyDescent="0.2">
      <c r="B1293" s="116" t="s">
        <v>2848</v>
      </c>
      <c r="C1293" s="117" t="s">
        <v>2849</v>
      </c>
      <c r="D1293" s="118" t="s">
        <v>145</v>
      </c>
      <c r="E1293" s="118" t="s">
        <v>1467</v>
      </c>
      <c r="F1293" s="119">
        <v>2.1304347826086949</v>
      </c>
      <c r="G1293" s="119">
        <v>-0.23611111111111099</v>
      </c>
    </row>
    <row r="1294" spans="2:7" x14ac:dyDescent="0.2">
      <c r="B1294" s="116" t="s">
        <v>2850</v>
      </c>
      <c r="C1294" s="117" t="s">
        <v>2851</v>
      </c>
      <c r="D1294" s="118" t="s">
        <v>39</v>
      </c>
      <c r="E1294" s="118" t="s">
        <v>363</v>
      </c>
      <c r="F1294" s="119">
        <v>-5.5555555555555448E-2</v>
      </c>
      <c r="G1294" s="119">
        <v>0.1508951406649616</v>
      </c>
    </row>
    <row r="1295" spans="2:7" x14ac:dyDescent="0.2">
      <c r="B1295" s="116" t="s">
        <v>2852</v>
      </c>
      <c r="C1295" s="117" t="s">
        <v>2853</v>
      </c>
      <c r="D1295" s="118" t="s">
        <v>92</v>
      </c>
      <c r="E1295" s="118" t="s">
        <v>96</v>
      </c>
      <c r="F1295" s="119">
        <v>0.28698224852071003</v>
      </c>
      <c r="G1295" s="119">
        <v>2.7586206896551752E-2</v>
      </c>
    </row>
    <row r="1296" spans="2:7" x14ac:dyDescent="0.2">
      <c r="B1296" s="116" t="s">
        <v>2854</v>
      </c>
      <c r="C1296" s="117" t="s">
        <v>2855</v>
      </c>
      <c r="D1296" s="118" t="s">
        <v>34</v>
      </c>
      <c r="E1296" s="118" t="s">
        <v>2856</v>
      </c>
      <c r="F1296" s="119">
        <v>-0.21846153846153851</v>
      </c>
      <c r="G1296" s="119">
        <v>0.18110236220472439</v>
      </c>
    </row>
    <row r="1297" spans="2:7" x14ac:dyDescent="0.2">
      <c r="B1297" s="116" t="s">
        <v>2857</v>
      </c>
      <c r="C1297" s="117" t="s">
        <v>2858</v>
      </c>
      <c r="D1297" s="118" t="s">
        <v>115</v>
      </c>
      <c r="E1297" s="118" t="s">
        <v>728</v>
      </c>
      <c r="F1297" s="119">
        <v>-0.1923076923076924</v>
      </c>
      <c r="G1297" s="119">
        <v>0.23809523809523819</v>
      </c>
    </row>
    <row r="1298" spans="2:7" x14ac:dyDescent="0.2">
      <c r="B1298" s="116" t="s">
        <v>2859</v>
      </c>
      <c r="C1298" s="117" t="s">
        <v>2860</v>
      </c>
      <c r="D1298" s="118" t="s">
        <v>39</v>
      </c>
      <c r="E1298" s="118" t="s">
        <v>363</v>
      </c>
      <c r="F1298" s="119">
        <v>-0.16494845360824731</v>
      </c>
      <c r="G1298" s="119">
        <v>0.31481481481481471</v>
      </c>
    </row>
    <row r="1299" spans="2:7" x14ac:dyDescent="0.2">
      <c r="B1299" s="116" t="s">
        <v>2861</v>
      </c>
      <c r="C1299" s="117" t="s">
        <v>2862</v>
      </c>
      <c r="D1299" s="118" t="s">
        <v>92</v>
      </c>
      <c r="E1299" s="118" t="s">
        <v>598</v>
      </c>
      <c r="F1299" s="119">
        <v>0.18914381645215439</v>
      </c>
      <c r="G1299" s="119">
        <v>-6.258823529411757E-2</v>
      </c>
    </row>
    <row r="1300" spans="2:7" x14ac:dyDescent="0.2">
      <c r="B1300" s="116" t="s">
        <v>2863</v>
      </c>
      <c r="C1300" s="117" t="s">
        <v>2864</v>
      </c>
      <c r="D1300" s="118" t="s">
        <v>115</v>
      </c>
      <c r="E1300" s="118" t="s">
        <v>747</v>
      </c>
      <c r="F1300" s="119">
        <v>7.3359073359073337E-2</v>
      </c>
      <c r="G1300" s="119">
        <v>8.2733812949640287E-2</v>
      </c>
    </row>
    <row r="1301" spans="2:7" x14ac:dyDescent="0.2">
      <c r="B1301" s="116" t="s">
        <v>2865</v>
      </c>
      <c r="C1301" s="117" t="s">
        <v>2866</v>
      </c>
      <c r="D1301" s="118" t="s">
        <v>138</v>
      </c>
      <c r="E1301" s="118" t="s">
        <v>386</v>
      </c>
      <c r="F1301" s="119">
        <v>-0.27152317880794702</v>
      </c>
      <c r="G1301" s="119">
        <v>0.38181818181818172</v>
      </c>
    </row>
    <row r="1302" spans="2:7" x14ac:dyDescent="0.2">
      <c r="B1302" s="116" t="s">
        <v>2867</v>
      </c>
      <c r="C1302" s="117" t="s">
        <v>2868</v>
      </c>
      <c r="D1302" s="118" t="s">
        <v>78</v>
      </c>
      <c r="E1302" s="118" t="s">
        <v>340</v>
      </c>
      <c r="F1302" s="119">
        <v>2.9447852760736221E-2</v>
      </c>
      <c r="G1302" s="119">
        <v>3.9332538736591177E-2</v>
      </c>
    </row>
    <row r="1303" spans="2:7" x14ac:dyDescent="0.2">
      <c r="B1303" s="116" t="s">
        <v>2869</v>
      </c>
      <c r="C1303" s="117" t="s">
        <v>2870</v>
      </c>
      <c r="D1303" s="118" t="s">
        <v>39</v>
      </c>
      <c r="E1303" s="118" t="s">
        <v>1162</v>
      </c>
      <c r="F1303" s="119">
        <v>-7.741935483870975E-2</v>
      </c>
      <c r="G1303" s="119">
        <v>1.3986013986014E-2</v>
      </c>
    </row>
    <row r="1304" spans="2:7" x14ac:dyDescent="0.2">
      <c r="B1304" s="116" t="s">
        <v>2871</v>
      </c>
      <c r="C1304" s="117" t="s">
        <v>2872</v>
      </c>
      <c r="D1304" s="118" t="s">
        <v>34</v>
      </c>
      <c r="E1304" s="118" t="s">
        <v>278</v>
      </c>
      <c r="F1304" s="119">
        <v>-0.64084507042253513</v>
      </c>
      <c r="G1304" s="119">
        <v>0.35947712418300648</v>
      </c>
    </row>
    <row r="1305" spans="2:7" x14ac:dyDescent="0.2">
      <c r="B1305" s="116" t="s">
        <v>2873</v>
      </c>
      <c r="C1305" s="117" t="s">
        <v>2874</v>
      </c>
      <c r="D1305" s="118" t="s">
        <v>115</v>
      </c>
      <c r="E1305" s="118" t="s">
        <v>116</v>
      </c>
      <c r="F1305" s="119">
        <v>0.21621621621621609</v>
      </c>
      <c r="G1305" s="119">
        <v>0.1244444444444444</v>
      </c>
    </row>
    <row r="1306" spans="2:7" x14ac:dyDescent="0.2">
      <c r="B1306" s="116" t="s">
        <v>2875</v>
      </c>
      <c r="C1306" s="117" t="s">
        <v>2876</v>
      </c>
      <c r="D1306" s="118" t="s">
        <v>48</v>
      </c>
      <c r="E1306" s="118" t="s">
        <v>49</v>
      </c>
      <c r="F1306" s="119">
        <v>0.2093933463796476</v>
      </c>
      <c r="G1306" s="119">
        <v>5.8252427184466077E-2</v>
      </c>
    </row>
    <row r="1307" spans="2:7" x14ac:dyDescent="0.2">
      <c r="B1307" s="116" t="s">
        <v>2877</v>
      </c>
      <c r="C1307" s="117" t="s">
        <v>2878</v>
      </c>
      <c r="D1307" s="118" t="s">
        <v>34</v>
      </c>
      <c r="E1307" s="118" t="s">
        <v>119</v>
      </c>
      <c r="F1307" s="119">
        <v>-0.16844919786096271</v>
      </c>
      <c r="G1307" s="119">
        <v>0.14790996784565921</v>
      </c>
    </row>
    <row r="1308" spans="2:7" x14ac:dyDescent="0.2">
      <c r="B1308" s="116" t="s">
        <v>2879</v>
      </c>
      <c r="C1308" s="117" t="s">
        <v>2880</v>
      </c>
      <c r="D1308" s="118" t="s">
        <v>241</v>
      </c>
      <c r="E1308" s="118" t="s">
        <v>534</v>
      </c>
      <c r="F1308" s="119">
        <v>-7.9754601226993807E-2</v>
      </c>
      <c r="G1308" s="119">
        <v>0.3133333333333333</v>
      </c>
    </row>
    <row r="1309" spans="2:7" x14ac:dyDescent="0.2">
      <c r="B1309" s="116" t="s">
        <v>2881</v>
      </c>
      <c r="C1309" s="117" t="s">
        <v>2882</v>
      </c>
      <c r="D1309" s="118" t="s">
        <v>92</v>
      </c>
      <c r="E1309" s="118" t="s">
        <v>378</v>
      </c>
      <c r="F1309" s="119">
        <v>4.3835616438356213E-2</v>
      </c>
      <c r="G1309" s="119">
        <v>8.3989501312335915E-2</v>
      </c>
    </row>
    <row r="1310" spans="2:7" x14ac:dyDescent="0.2">
      <c r="B1310" s="116" t="s">
        <v>2883</v>
      </c>
      <c r="C1310" s="117" t="s">
        <v>2884</v>
      </c>
      <c r="D1310" s="118" t="s">
        <v>92</v>
      </c>
      <c r="E1310" s="118" t="s">
        <v>434</v>
      </c>
      <c r="F1310" s="119">
        <v>-0.23200000000000001</v>
      </c>
      <c r="G1310" s="119">
        <v>0.1354166666666668</v>
      </c>
    </row>
    <row r="1311" spans="2:7" x14ac:dyDescent="0.2">
      <c r="B1311" s="116" t="s">
        <v>2885</v>
      </c>
      <c r="C1311" s="117" t="s">
        <v>2886</v>
      </c>
      <c r="D1311" s="118" t="s">
        <v>92</v>
      </c>
      <c r="E1311" s="118" t="s">
        <v>272</v>
      </c>
      <c r="F1311" s="119">
        <v>2.6706231454005889E-2</v>
      </c>
      <c r="G1311" s="119">
        <v>7.2254335260115354E-3</v>
      </c>
    </row>
    <row r="1312" spans="2:7" x14ac:dyDescent="0.2">
      <c r="B1312" s="116" t="s">
        <v>2887</v>
      </c>
      <c r="C1312" s="117" t="s">
        <v>2888</v>
      </c>
      <c r="D1312" s="118" t="s">
        <v>39</v>
      </c>
      <c r="E1312" s="118" t="s">
        <v>578</v>
      </c>
      <c r="F1312" s="119">
        <v>7.3170731707317249E-2</v>
      </c>
      <c r="G1312" s="119">
        <v>6.8181818181818135E-2</v>
      </c>
    </row>
    <row r="1313" spans="2:7" x14ac:dyDescent="0.2">
      <c r="B1313" s="116" t="s">
        <v>2889</v>
      </c>
      <c r="C1313" s="117" t="s">
        <v>2890</v>
      </c>
      <c r="D1313" s="118" t="s">
        <v>92</v>
      </c>
      <c r="E1313" s="118" t="s">
        <v>228</v>
      </c>
      <c r="F1313" s="119">
        <v>0.20588235294117641</v>
      </c>
      <c r="G1313" s="119">
        <v>0.13821138211382111</v>
      </c>
    </row>
    <row r="1314" spans="2:7" x14ac:dyDescent="0.2">
      <c r="B1314" s="116" t="s">
        <v>2891</v>
      </c>
      <c r="C1314" s="117" t="s">
        <v>2892</v>
      </c>
      <c r="D1314" s="118" t="s">
        <v>34</v>
      </c>
      <c r="E1314" s="118" t="s">
        <v>319</v>
      </c>
      <c r="F1314" s="119">
        <v>-0.27906976744186057</v>
      </c>
      <c r="G1314" s="119">
        <v>1.8181818181818191E-2</v>
      </c>
    </row>
    <row r="1315" spans="2:7" x14ac:dyDescent="0.2">
      <c r="B1315" s="116" t="s">
        <v>2893</v>
      </c>
      <c r="C1315" s="117" t="s">
        <v>2894</v>
      </c>
      <c r="D1315" s="118" t="s">
        <v>34</v>
      </c>
      <c r="E1315" s="118" t="s">
        <v>1096</v>
      </c>
      <c r="F1315" s="119">
        <v>-1.1235955056179791E-2</v>
      </c>
      <c r="G1315" s="119">
        <v>6.8181818181818121E-2</v>
      </c>
    </row>
    <row r="1316" spans="2:7" x14ac:dyDescent="0.2">
      <c r="B1316" s="116" t="s">
        <v>2895</v>
      </c>
      <c r="C1316" s="117" t="s">
        <v>2896</v>
      </c>
      <c r="D1316" s="118" t="s">
        <v>92</v>
      </c>
      <c r="E1316" s="118" t="s">
        <v>299</v>
      </c>
      <c r="F1316" s="119">
        <v>3.2258064516128941E-2</v>
      </c>
      <c r="G1316" s="119">
        <v>4.1666666666666713E-2</v>
      </c>
    </row>
    <row r="1317" spans="2:7" x14ac:dyDescent="0.2">
      <c r="B1317" s="116" t="s">
        <v>2897</v>
      </c>
      <c r="C1317" s="117" t="s">
        <v>2898</v>
      </c>
      <c r="D1317" s="118" t="s">
        <v>145</v>
      </c>
      <c r="E1317" s="118" t="s">
        <v>1093</v>
      </c>
      <c r="F1317" s="119">
        <v>-4.4871794871794907E-2</v>
      </c>
      <c r="G1317" s="119">
        <v>-6.7114093959731603E-3</v>
      </c>
    </row>
    <row r="1318" spans="2:7" x14ac:dyDescent="0.2">
      <c r="B1318" s="116" t="s">
        <v>2899</v>
      </c>
      <c r="C1318" s="117" t="s">
        <v>2900</v>
      </c>
      <c r="D1318" s="118" t="s">
        <v>145</v>
      </c>
      <c r="E1318" s="118" t="s">
        <v>781</v>
      </c>
      <c r="F1318" s="119">
        <v>0.19363395225464189</v>
      </c>
      <c r="G1318" s="119">
        <v>8.66666666666666E-2</v>
      </c>
    </row>
    <row r="1319" spans="2:7" x14ac:dyDescent="0.2">
      <c r="B1319" s="116" t="s">
        <v>2901</v>
      </c>
      <c r="C1319" s="117" t="s">
        <v>2902</v>
      </c>
      <c r="D1319" s="118" t="s">
        <v>106</v>
      </c>
      <c r="E1319" s="118" t="s">
        <v>324</v>
      </c>
      <c r="F1319" s="119">
        <v>0.1008403361344539</v>
      </c>
      <c r="G1319" s="119">
        <v>3.8167938931297753E-2</v>
      </c>
    </row>
    <row r="1320" spans="2:7" x14ac:dyDescent="0.2">
      <c r="B1320" s="116" t="s">
        <v>2903</v>
      </c>
      <c r="C1320" s="117" t="s">
        <v>2904</v>
      </c>
      <c r="D1320" s="118" t="s">
        <v>34</v>
      </c>
      <c r="E1320" s="118" t="s">
        <v>251</v>
      </c>
      <c r="F1320" s="119">
        <v>0.25000000000000011</v>
      </c>
      <c r="G1320" s="119">
        <v>-0.5</v>
      </c>
    </row>
    <row r="1321" spans="2:7" x14ac:dyDescent="0.2">
      <c r="B1321" s="116" t="s">
        <v>2905</v>
      </c>
      <c r="C1321" s="117" t="s">
        <v>2906</v>
      </c>
      <c r="D1321" s="118" t="s">
        <v>34</v>
      </c>
      <c r="E1321" s="118" t="s">
        <v>119</v>
      </c>
      <c r="F1321" s="119">
        <v>-0.29357798165137622</v>
      </c>
      <c r="G1321" s="119">
        <v>0.23376623376623371</v>
      </c>
    </row>
    <row r="1322" spans="2:7" x14ac:dyDescent="0.2">
      <c r="B1322" s="116" t="s">
        <v>2907</v>
      </c>
      <c r="C1322" s="117" t="s">
        <v>2908</v>
      </c>
      <c r="D1322" s="118" t="s">
        <v>115</v>
      </c>
      <c r="E1322" s="118" t="s">
        <v>2909</v>
      </c>
      <c r="F1322" s="119">
        <v>3.8071065989847663E-2</v>
      </c>
      <c r="G1322" s="119">
        <v>5.1344743276283682E-2</v>
      </c>
    </row>
    <row r="1323" spans="2:7" x14ac:dyDescent="0.2">
      <c r="B1323" s="116" t="s">
        <v>2910</v>
      </c>
      <c r="C1323" s="117" t="s">
        <v>2911</v>
      </c>
      <c r="D1323" s="118" t="s">
        <v>34</v>
      </c>
      <c r="E1323" s="118" t="s">
        <v>319</v>
      </c>
      <c r="F1323" s="119">
        <v>0.61538461538461542</v>
      </c>
      <c r="G1323" s="119">
        <v>1</v>
      </c>
    </row>
    <row r="1324" spans="2:7" x14ac:dyDescent="0.2">
      <c r="B1324" s="116" t="s">
        <v>2912</v>
      </c>
      <c r="C1324" s="117" t="s">
        <v>2913</v>
      </c>
      <c r="D1324" s="118" t="s">
        <v>48</v>
      </c>
      <c r="E1324" s="118" t="s">
        <v>370</v>
      </c>
      <c r="F1324" s="119">
        <v>-0.125</v>
      </c>
      <c r="G1324" s="119">
        <v>7.5187969924811929E-2</v>
      </c>
    </row>
    <row r="1325" spans="2:7" x14ac:dyDescent="0.2">
      <c r="B1325" s="116" t="s">
        <v>2914</v>
      </c>
      <c r="C1325" s="117" t="s">
        <v>2915</v>
      </c>
      <c r="D1325" s="118" t="s">
        <v>115</v>
      </c>
      <c r="E1325" s="118" t="s">
        <v>1102</v>
      </c>
      <c r="F1325" s="119">
        <v>-0.35024549918166942</v>
      </c>
      <c r="G1325" s="119">
        <v>4.785894206549117E-2</v>
      </c>
    </row>
    <row r="1326" spans="2:7" x14ac:dyDescent="0.2">
      <c r="B1326" s="116" t="s">
        <v>2916</v>
      </c>
      <c r="C1326" s="117" t="s">
        <v>2917</v>
      </c>
      <c r="D1326" s="118" t="s">
        <v>68</v>
      </c>
      <c r="E1326" s="118" t="s">
        <v>75</v>
      </c>
      <c r="F1326" s="119">
        <v>7.8947368421052586E-2</v>
      </c>
      <c r="G1326" s="119">
        <v>6.8292682926829329E-2</v>
      </c>
    </row>
    <row r="1327" spans="2:7" x14ac:dyDescent="0.2">
      <c r="B1327" s="116" t="s">
        <v>2918</v>
      </c>
      <c r="C1327" s="117" t="s">
        <v>2919</v>
      </c>
      <c r="D1327" s="118" t="s">
        <v>241</v>
      </c>
      <c r="E1327" s="118" t="s">
        <v>775</v>
      </c>
      <c r="F1327" s="119">
        <v>-0.12470023980815351</v>
      </c>
      <c r="G1327" s="119">
        <v>-5.4794520547945133E-2</v>
      </c>
    </row>
    <row r="1328" spans="2:7" x14ac:dyDescent="0.2">
      <c r="B1328" s="116" t="s">
        <v>2920</v>
      </c>
      <c r="C1328" s="117" t="s">
        <v>2921</v>
      </c>
      <c r="D1328" s="118" t="s">
        <v>34</v>
      </c>
      <c r="E1328" s="118" t="s">
        <v>99</v>
      </c>
      <c r="F1328" s="119">
        <v>0.15345268542199481</v>
      </c>
      <c r="G1328" s="119">
        <v>9.7560975609756184E-2</v>
      </c>
    </row>
    <row r="1329" spans="2:7" x14ac:dyDescent="0.2">
      <c r="B1329" s="116" t="s">
        <v>2922</v>
      </c>
      <c r="C1329" s="117" t="s">
        <v>2923</v>
      </c>
      <c r="D1329" s="118" t="s">
        <v>68</v>
      </c>
      <c r="E1329" s="118" t="s">
        <v>75</v>
      </c>
      <c r="F1329" s="119">
        <v>0.3529411764705882</v>
      </c>
      <c r="G1329" s="119">
        <v>0.43478260869565222</v>
      </c>
    </row>
    <row r="1330" spans="2:7" x14ac:dyDescent="0.2">
      <c r="B1330" s="116" t="s">
        <v>2924</v>
      </c>
      <c r="C1330" s="117" t="s">
        <v>2925</v>
      </c>
      <c r="D1330" s="118" t="s">
        <v>92</v>
      </c>
      <c r="E1330" s="118" t="s">
        <v>614</v>
      </c>
      <c r="F1330" s="119">
        <v>9.5628415300546346E-2</v>
      </c>
      <c r="G1330" s="119">
        <v>7.4812967581048004E-3</v>
      </c>
    </row>
    <row r="1331" spans="2:7" x14ac:dyDescent="0.2">
      <c r="B1331" s="116" t="s">
        <v>2926</v>
      </c>
      <c r="C1331" s="117" t="s">
        <v>2927</v>
      </c>
      <c r="D1331" s="118" t="s">
        <v>34</v>
      </c>
      <c r="E1331" s="118" t="s">
        <v>990</v>
      </c>
      <c r="F1331" s="119">
        <v>0.1474785918173169</v>
      </c>
      <c r="G1331" s="119">
        <v>5.8043117744610219E-2</v>
      </c>
    </row>
    <row r="1332" spans="2:7" x14ac:dyDescent="0.2">
      <c r="B1332" s="116" t="s">
        <v>2928</v>
      </c>
      <c r="C1332" s="117" t="s">
        <v>2929</v>
      </c>
      <c r="D1332" s="118" t="s">
        <v>68</v>
      </c>
      <c r="E1332" s="118" t="s">
        <v>69</v>
      </c>
      <c r="F1332" s="119">
        <v>5.1612903225806347E-2</v>
      </c>
      <c r="G1332" s="119">
        <v>8.5889570552147326E-2</v>
      </c>
    </row>
    <row r="1333" spans="2:7" x14ac:dyDescent="0.2">
      <c r="B1333" s="116" t="s">
        <v>2930</v>
      </c>
      <c r="C1333" s="117" t="s">
        <v>2931</v>
      </c>
      <c r="D1333" s="118" t="s">
        <v>138</v>
      </c>
      <c r="E1333" s="118" t="s">
        <v>139</v>
      </c>
      <c r="F1333" s="119">
        <v>-3.2786885245900941E-3</v>
      </c>
      <c r="G1333" s="119">
        <v>3.9473684210526348E-2</v>
      </c>
    </row>
    <row r="1334" spans="2:7" x14ac:dyDescent="0.2">
      <c r="B1334" s="116" t="s">
        <v>2932</v>
      </c>
      <c r="C1334" s="117" t="s">
        <v>2933</v>
      </c>
      <c r="D1334" s="118" t="s">
        <v>106</v>
      </c>
      <c r="E1334" s="118" t="s">
        <v>1053</v>
      </c>
      <c r="F1334" s="119">
        <v>-9.708737864077667E-2</v>
      </c>
      <c r="G1334" s="119">
        <v>0.1397849462365591</v>
      </c>
    </row>
    <row r="1335" spans="2:7" x14ac:dyDescent="0.2">
      <c r="B1335" s="116" t="s">
        <v>2934</v>
      </c>
      <c r="C1335" s="117" t="s">
        <v>2935</v>
      </c>
      <c r="D1335" s="118" t="s">
        <v>145</v>
      </c>
      <c r="E1335" s="118" t="s">
        <v>179</v>
      </c>
      <c r="F1335" s="119">
        <v>-0.14465408805031441</v>
      </c>
      <c r="G1335" s="119">
        <v>-0.2720588235294118</v>
      </c>
    </row>
    <row r="1336" spans="2:7" x14ac:dyDescent="0.2">
      <c r="B1336" s="116" t="s">
        <v>2936</v>
      </c>
      <c r="C1336" s="117" t="s">
        <v>2937</v>
      </c>
      <c r="D1336" s="118" t="s">
        <v>39</v>
      </c>
      <c r="E1336" s="118" t="s">
        <v>389</v>
      </c>
      <c r="F1336" s="119">
        <v>6.8862275449101798E-2</v>
      </c>
      <c r="G1336" s="119">
        <v>3.9215686274509838E-2</v>
      </c>
    </row>
    <row r="1337" spans="2:7" x14ac:dyDescent="0.2">
      <c r="B1337" s="116" t="s">
        <v>2938</v>
      </c>
      <c r="C1337" s="117" t="s">
        <v>2939</v>
      </c>
      <c r="D1337" s="118" t="s">
        <v>68</v>
      </c>
      <c r="E1337" s="118" t="s">
        <v>82</v>
      </c>
      <c r="F1337" s="119">
        <v>6.5359477124182913E-2</v>
      </c>
      <c r="G1337" s="119">
        <v>0.1840490797546013</v>
      </c>
    </row>
    <row r="1338" spans="2:7" x14ac:dyDescent="0.2">
      <c r="B1338" s="116" t="s">
        <v>2940</v>
      </c>
      <c r="C1338" s="117" t="s">
        <v>2941</v>
      </c>
      <c r="D1338" s="118" t="s">
        <v>145</v>
      </c>
      <c r="E1338" s="118" t="s">
        <v>402</v>
      </c>
      <c r="F1338" s="119">
        <v>-0.45</v>
      </c>
      <c r="G1338" s="119">
        <v>0.21818181818181809</v>
      </c>
    </row>
    <row r="1339" spans="2:7" x14ac:dyDescent="0.2">
      <c r="B1339" s="116" t="s">
        <v>2942</v>
      </c>
      <c r="C1339" s="117" t="s">
        <v>2943</v>
      </c>
      <c r="D1339" s="118" t="s">
        <v>92</v>
      </c>
      <c r="E1339" s="118" t="s">
        <v>112</v>
      </c>
      <c r="F1339" s="119">
        <v>1.236603462489683E-2</v>
      </c>
      <c r="G1339" s="119">
        <v>3.3387622149837148E-2</v>
      </c>
    </row>
    <row r="1340" spans="2:7" x14ac:dyDescent="0.2">
      <c r="B1340" s="116" t="s">
        <v>2944</v>
      </c>
      <c r="C1340" s="117" t="s">
        <v>2945</v>
      </c>
      <c r="D1340" s="118" t="s">
        <v>106</v>
      </c>
      <c r="E1340" s="118" t="s">
        <v>563</v>
      </c>
      <c r="F1340" s="119">
        <v>8.7367178276269206E-2</v>
      </c>
      <c r="G1340" s="119">
        <v>0.10097719869706839</v>
      </c>
    </row>
    <row r="1341" spans="2:7" x14ac:dyDescent="0.2">
      <c r="B1341" s="116" t="s">
        <v>2946</v>
      </c>
      <c r="C1341" s="117" t="s">
        <v>2947</v>
      </c>
      <c r="D1341" s="118" t="s">
        <v>34</v>
      </c>
      <c r="E1341" s="118" t="s">
        <v>319</v>
      </c>
      <c r="F1341" s="119">
        <v>0.58974358974358987</v>
      </c>
      <c r="G1341" s="119">
        <v>0.24193548387096769</v>
      </c>
    </row>
    <row r="1342" spans="2:7" x14ac:dyDescent="0.2">
      <c r="B1342" s="116" t="s">
        <v>2948</v>
      </c>
      <c r="C1342" s="117" t="s">
        <v>2949</v>
      </c>
      <c r="D1342" s="118" t="s">
        <v>106</v>
      </c>
      <c r="E1342" s="118" t="s">
        <v>324</v>
      </c>
      <c r="F1342" s="119">
        <v>0.34957020057306593</v>
      </c>
      <c r="G1342" s="119">
        <v>0.32599118942731281</v>
      </c>
    </row>
    <row r="1343" spans="2:7" x14ac:dyDescent="0.2">
      <c r="B1343" s="116" t="s">
        <v>2950</v>
      </c>
      <c r="C1343" s="117" t="s">
        <v>2951</v>
      </c>
      <c r="D1343" s="118" t="s">
        <v>198</v>
      </c>
      <c r="E1343" s="118" t="s">
        <v>199</v>
      </c>
      <c r="F1343" s="119">
        <v>0.10161290322580641</v>
      </c>
      <c r="G1343" s="119">
        <v>0.1361639824304538</v>
      </c>
    </row>
    <row r="1344" spans="2:7" x14ac:dyDescent="0.2">
      <c r="B1344" s="116" t="s">
        <v>2952</v>
      </c>
      <c r="C1344" s="117" t="s">
        <v>2953</v>
      </c>
      <c r="D1344" s="118" t="s">
        <v>102</v>
      </c>
      <c r="E1344" s="118" t="s">
        <v>103</v>
      </c>
      <c r="F1344" s="119">
        <v>-6.2305295950155822E-3</v>
      </c>
      <c r="G1344" s="119">
        <v>8.1504702194357445E-2</v>
      </c>
    </row>
    <row r="1345" spans="2:7" x14ac:dyDescent="0.2">
      <c r="B1345" s="116" t="s">
        <v>2954</v>
      </c>
      <c r="C1345" s="117" t="s">
        <v>2955</v>
      </c>
      <c r="D1345" s="118" t="s">
        <v>34</v>
      </c>
      <c r="E1345" s="118" t="s">
        <v>319</v>
      </c>
      <c r="F1345" s="119">
        <v>0.67391304347826086</v>
      </c>
      <c r="G1345" s="119">
        <v>0.40259740259740268</v>
      </c>
    </row>
    <row r="1346" spans="2:7" x14ac:dyDescent="0.2">
      <c r="B1346" s="116" t="s">
        <v>2956</v>
      </c>
      <c r="C1346" s="117" t="s">
        <v>2957</v>
      </c>
      <c r="D1346" s="118" t="s">
        <v>145</v>
      </c>
      <c r="E1346" s="118" t="s">
        <v>781</v>
      </c>
      <c r="F1346" s="119">
        <v>-0.33139534883720928</v>
      </c>
      <c r="G1346" s="119">
        <v>0.15652173913043491</v>
      </c>
    </row>
    <row r="1347" spans="2:7" x14ac:dyDescent="0.2">
      <c r="B1347" s="116" t="s">
        <v>2958</v>
      </c>
      <c r="C1347" s="117" t="s">
        <v>2959</v>
      </c>
      <c r="D1347" s="118" t="s">
        <v>78</v>
      </c>
      <c r="E1347" s="118" t="s">
        <v>2960</v>
      </c>
      <c r="F1347" s="119">
        <v>0.20610687022900759</v>
      </c>
      <c r="G1347" s="119">
        <v>0.43037974683544278</v>
      </c>
    </row>
    <row r="1348" spans="2:7" x14ac:dyDescent="0.2">
      <c r="B1348" s="116" t="s">
        <v>2961</v>
      </c>
      <c r="C1348" s="117" t="s">
        <v>2962</v>
      </c>
      <c r="D1348" s="118" t="s">
        <v>138</v>
      </c>
      <c r="E1348" s="118" t="s">
        <v>386</v>
      </c>
      <c r="F1348" s="119">
        <v>1.0781671159029661E-2</v>
      </c>
      <c r="G1348" s="119">
        <v>2.9333333333333302E-2</v>
      </c>
    </row>
    <row r="1349" spans="2:7" x14ac:dyDescent="0.2">
      <c r="B1349" s="116" t="s">
        <v>2963</v>
      </c>
      <c r="C1349" s="117" t="s">
        <v>2964</v>
      </c>
      <c r="D1349" s="118" t="s">
        <v>92</v>
      </c>
      <c r="E1349" s="118" t="s">
        <v>93</v>
      </c>
      <c r="F1349" s="119">
        <v>-0.1223404255319149</v>
      </c>
      <c r="G1349" s="119">
        <v>-5.7575757575757558E-2</v>
      </c>
    </row>
    <row r="1350" spans="2:7" x14ac:dyDescent="0.2">
      <c r="B1350" s="116" t="s">
        <v>2965</v>
      </c>
      <c r="C1350" s="117" t="s">
        <v>2966</v>
      </c>
      <c r="D1350" s="118" t="s">
        <v>106</v>
      </c>
      <c r="E1350" s="118" t="s">
        <v>842</v>
      </c>
      <c r="F1350" s="119">
        <v>-0.40732265446224258</v>
      </c>
      <c r="G1350" s="119">
        <v>0.19691119691119699</v>
      </c>
    </row>
    <row r="1351" spans="2:7" x14ac:dyDescent="0.2">
      <c r="B1351" s="116" t="s">
        <v>2967</v>
      </c>
      <c r="C1351" s="117" t="s">
        <v>2968</v>
      </c>
      <c r="D1351" s="118" t="s">
        <v>138</v>
      </c>
      <c r="E1351" s="118" t="s">
        <v>386</v>
      </c>
      <c r="F1351" s="119">
        <v>9.523809523809533E-2</v>
      </c>
      <c r="G1351" s="119">
        <v>0.17056856187290961</v>
      </c>
    </row>
    <row r="1352" spans="2:7" x14ac:dyDescent="0.2">
      <c r="B1352" s="116" t="s">
        <v>2969</v>
      </c>
      <c r="C1352" s="117" t="s">
        <v>2970</v>
      </c>
      <c r="D1352" s="118" t="s">
        <v>68</v>
      </c>
      <c r="E1352" s="118" t="s">
        <v>87</v>
      </c>
      <c r="F1352" s="119">
        <v>-2.9071038251366121</v>
      </c>
      <c r="G1352" s="119">
        <v>0.3580419580419581</v>
      </c>
    </row>
    <row r="1353" spans="2:7" x14ac:dyDescent="0.2">
      <c r="B1353" s="116" t="s">
        <v>2971</v>
      </c>
      <c r="C1353" s="117" t="s">
        <v>2972</v>
      </c>
      <c r="D1353" s="118" t="s">
        <v>102</v>
      </c>
      <c r="E1353" s="118" t="s">
        <v>424</v>
      </c>
      <c r="F1353" s="119">
        <v>-0.10784313725490199</v>
      </c>
      <c r="G1353" s="119">
        <v>0.19413919413919409</v>
      </c>
    </row>
    <row r="1354" spans="2:7" x14ac:dyDescent="0.2">
      <c r="B1354" s="116" t="s">
        <v>2973</v>
      </c>
      <c r="C1354" s="117" t="s">
        <v>2974</v>
      </c>
      <c r="D1354" s="118" t="s">
        <v>78</v>
      </c>
      <c r="E1354" s="118" t="s">
        <v>912</v>
      </c>
      <c r="F1354" s="119">
        <v>0.19374999999999989</v>
      </c>
      <c r="G1354" s="119">
        <v>0.24083769633507859</v>
      </c>
    </row>
    <row r="1355" spans="2:7" x14ac:dyDescent="0.2">
      <c r="B1355" s="116" t="s">
        <v>2975</v>
      </c>
      <c r="C1355" s="117" t="s">
        <v>2976</v>
      </c>
      <c r="D1355" s="118" t="s">
        <v>34</v>
      </c>
      <c r="E1355" s="118" t="s">
        <v>1510</v>
      </c>
      <c r="F1355" s="119">
        <v>0.30232558139534899</v>
      </c>
      <c r="G1355" s="119">
        <v>0.16071428571428559</v>
      </c>
    </row>
    <row r="1356" spans="2:7" x14ac:dyDescent="0.2">
      <c r="B1356" s="116" t="s">
        <v>2977</v>
      </c>
      <c r="C1356" s="117" t="s">
        <v>2978</v>
      </c>
      <c r="D1356" s="118" t="s">
        <v>241</v>
      </c>
      <c r="E1356" s="118" t="s">
        <v>606</v>
      </c>
      <c r="F1356" s="119">
        <v>-7.7205882352941319E-2</v>
      </c>
      <c r="G1356" s="119">
        <v>-1</v>
      </c>
    </row>
    <row r="1357" spans="2:7" x14ac:dyDescent="0.2">
      <c r="B1357" s="116" t="s">
        <v>2979</v>
      </c>
      <c r="C1357" s="117" t="s">
        <v>2980</v>
      </c>
      <c r="D1357" s="118" t="s">
        <v>34</v>
      </c>
      <c r="E1357" s="118" t="s">
        <v>99</v>
      </c>
      <c r="F1357" s="119">
        <v>0.3014184397163121</v>
      </c>
      <c r="G1357" s="119">
        <v>8.4468664850136252E-2</v>
      </c>
    </row>
    <row r="1358" spans="2:7" x14ac:dyDescent="0.2">
      <c r="B1358" s="116" t="s">
        <v>2981</v>
      </c>
      <c r="C1358" s="117" t="s">
        <v>2982</v>
      </c>
      <c r="D1358" s="118" t="s">
        <v>92</v>
      </c>
      <c r="E1358" s="118" t="s">
        <v>142</v>
      </c>
      <c r="F1358" s="119">
        <v>2.339285714285714</v>
      </c>
      <c r="G1358" s="119">
        <v>0.29946524064171132</v>
      </c>
    </row>
    <row r="1359" spans="2:7" x14ac:dyDescent="0.2">
      <c r="B1359" s="116" t="s">
        <v>2983</v>
      </c>
      <c r="C1359" s="117" t="s">
        <v>2984</v>
      </c>
      <c r="D1359" s="118" t="s">
        <v>34</v>
      </c>
      <c r="E1359" s="118" t="s">
        <v>2985</v>
      </c>
      <c r="F1359" s="119">
        <v>2.7173913043477679E-3</v>
      </c>
      <c r="G1359" s="119">
        <v>8.1300813008130149E-2</v>
      </c>
    </row>
    <row r="1360" spans="2:7" x14ac:dyDescent="0.2">
      <c r="B1360" s="116" t="s">
        <v>2986</v>
      </c>
      <c r="C1360" s="117" t="s">
        <v>2987</v>
      </c>
      <c r="D1360" s="118" t="s">
        <v>92</v>
      </c>
      <c r="E1360" s="118" t="s">
        <v>272</v>
      </c>
      <c r="F1360" s="119">
        <v>2.2471910112359571E-2</v>
      </c>
      <c r="G1360" s="119">
        <v>3.8461538461538373E-2</v>
      </c>
    </row>
    <row r="1361" spans="2:7" x14ac:dyDescent="0.2">
      <c r="B1361" s="116" t="s">
        <v>2988</v>
      </c>
      <c r="C1361" s="117" t="s">
        <v>2989</v>
      </c>
      <c r="D1361" s="118" t="s">
        <v>68</v>
      </c>
      <c r="E1361" s="118" t="s">
        <v>82</v>
      </c>
      <c r="F1361" s="119">
        <v>0.13987473903966599</v>
      </c>
      <c r="G1361" s="119">
        <v>9.523809523809533E-2</v>
      </c>
    </row>
    <row r="1362" spans="2:7" x14ac:dyDescent="0.2">
      <c r="B1362" s="116" t="s">
        <v>2990</v>
      </c>
      <c r="C1362" s="117" t="s">
        <v>2991</v>
      </c>
      <c r="D1362" s="118" t="s">
        <v>92</v>
      </c>
      <c r="E1362" s="118" t="s">
        <v>461</v>
      </c>
      <c r="F1362" s="119">
        <v>-3.8260869565217348E-2</v>
      </c>
      <c r="G1362" s="119">
        <v>-2.5316455696202628E-2</v>
      </c>
    </row>
    <row r="1363" spans="2:7" x14ac:dyDescent="0.2">
      <c r="B1363" s="116" t="s">
        <v>2992</v>
      </c>
      <c r="C1363" s="117" t="s">
        <v>2993</v>
      </c>
      <c r="D1363" s="118" t="s">
        <v>92</v>
      </c>
      <c r="E1363" s="118" t="s">
        <v>399</v>
      </c>
      <c r="F1363" s="119">
        <v>7.1065989847715685E-2</v>
      </c>
      <c r="G1363" s="119">
        <v>7.1090047393364886E-2</v>
      </c>
    </row>
    <row r="1364" spans="2:7" x14ac:dyDescent="0.2">
      <c r="B1364" s="116" t="s">
        <v>2994</v>
      </c>
      <c r="C1364" s="117" t="s">
        <v>2995</v>
      </c>
      <c r="D1364" s="118" t="s">
        <v>145</v>
      </c>
      <c r="E1364" s="118" t="s">
        <v>1467</v>
      </c>
      <c r="F1364" s="119">
        <v>-0.41774491682070242</v>
      </c>
      <c r="G1364" s="119">
        <v>-7.9365079365079361E-2</v>
      </c>
    </row>
    <row r="1365" spans="2:7" x14ac:dyDescent="0.2">
      <c r="B1365" s="116" t="s">
        <v>2996</v>
      </c>
      <c r="C1365" s="117" t="s">
        <v>2997</v>
      </c>
      <c r="D1365" s="118" t="s">
        <v>34</v>
      </c>
      <c r="E1365" s="118" t="s">
        <v>1753</v>
      </c>
      <c r="F1365" s="119">
        <v>-0.26618705035971219</v>
      </c>
      <c r="G1365" s="119">
        <v>0.18627450980392149</v>
      </c>
    </row>
    <row r="1366" spans="2:7" x14ac:dyDescent="0.2">
      <c r="B1366" s="116" t="s">
        <v>2998</v>
      </c>
      <c r="C1366" s="117" t="s">
        <v>2999</v>
      </c>
      <c r="D1366" s="118" t="s">
        <v>34</v>
      </c>
      <c r="E1366" s="118" t="s">
        <v>319</v>
      </c>
      <c r="F1366" s="119">
        <v>1.28125</v>
      </c>
      <c r="G1366" s="119">
        <v>0.43835616438356168</v>
      </c>
    </row>
    <row r="1367" spans="2:7" x14ac:dyDescent="0.2">
      <c r="B1367" s="116" t="s">
        <v>3000</v>
      </c>
      <c r="C1367" s="117" t="s">
        <v>3001</v>
      </c>
      <c r="D1367" s="118" t="s">
        <v>92</v>
      </c>
      <c r="E1367" s="118" t="s">
        <v>112</v>
      </c>
      <c r="F1367" s="119">
        <v>3.825136612021849E-2</v>
      </c>
      <c r="G1367" s="119">
        <v>6.8421052631578896E-2</v>
      </c>
    </row>
    <row r="1368" spans="2:7" x14ac:dyDescent="0.2">
      <c r="B1368" s="116" t="s">
        <v>3002</v>
      </c>
      <c r="C1368" s="117" t="s">
        <v>3003</v>
      </c>
      <c r="D1368" s="118" t="s">
        <v>115</v>
      </c>
      <c r="E1368" s="118" t="s">
        <v>522</v>
      </c>
      <c r="F1368" s="119">
        <v>0.43722943722943708</v>
      </c>
      <c r="G1368" s="119">
        <v>0.121987951807229</v>
      </c>
    </row>
    <row r="1369" spans="2:7" x14ac:dyDescent="0.2">
      <c r="B1369" s="116" t="s">
        <v>3004</v>
      </c>
      <c r="C1369" s="117" t="s">
        <v>3005</v>
      </c>
      <c r="D1369" s="118" t="s">
        <v>92</v>
      </c>
      <c r="E1369" s="118" t="s">
        <v>461</v>
      </c>
      <c r="F1369" s="119">
        <v>-0.2074688796680498</v>
      </c>
      <c r="G1369" s="119">
        <v>8.551483420593356E-2</v>
      </c>
    </row>
    <row r="1370" spans="2:7" x14ac:dyDescent="0.2">
      <c r="B1370" s="116" t="s">
        <v>3006</v>
      </c>
      <c r="C1370" s="117" t="s">
        <v>3007</v>
      </c>
      <c r="D1370" s="118" t="s">
        <v>92</v>
      </c>
      <c r="E1370" s="118" t="s">
        <v>171</v>
      </c>
      <c r="F1370" s="119">
        <v>-0.15137614678899081</v>
      </c>
      <c r="G1370" s="119">
        <v>0.16216216216216209</v>
      </c>
    </row>
    <row r="1371" spans="2:7" x14ac:dyDescent="0.2">
      <c r="B1371" s="116" t="s">
        <v>3008</v>
      </c>
      <c r="C1371" s="117" t="s">
        <v>3009</v>
      </c>
      <c r="D1371" s="118" t="s">
        <v>34</v>
      </c>
      <c r="E1371" s="118" t="s">
        <v>2334</v>
      </c>
      <c r="F1371" s="119">
        <v>-0.1004184100418411</v>
      </c>
      <c r="G1371" s="119">
        <v>0.19069767441860469</v>
      </c>
    </row>
    <row r="1372" spans="2:7" x14ac:dyDescent="0.2">
      <c r="B1372" s="116" t="s">
        <v>3010</v>
      </c>
      <c r="C1372" s="117" t="s">
        <v>3011</v>
      </c>
      <c r="D1372" s="118" t="s">
        <v>78</v>
      </c>
      <c r="E1372" s="118" t="s">
        <v>79</v>
      </c>
      <c r="F1372" s="119">
        <v>-8.7431693989071108E-2</v>
      </c>
      <c r="G1372" s="119">
        <v>0.10898203592814371</v>
      </c>
    </row>
    <row r="1373" spans="2:7" x14ac:dyDescent="0.2">
      <c r="B1373" s="116" t="s">
        <v>3012</v>
      </c>
      <c r="C1373" s="117" t="s">
        <v>3013</v>
      </c>
      <c r="D1373" s="118" t="s">
        <v>241</v>
      </c>
      <c r="E1373" s="118" t="s">
        <v>1005</v>
      </c>
      <c r="F1373" s="119">
        <v>0.1136363636363636</v>
      </c>
      <c r="G1373" s="119">
        <v>-8.9795918367347016E-2</v>
      </c>
    </row>
    <row r="1374" spans="2:7" x14ac:dyDescent="0.2">
      <c r="B1374" s="116" t="s">
        <v>3014</v>
      </c>
      <c r="C1374" s="117" t="s">
        <v>3015</v>
      </c>
      <c r="D1374" s="118" t="s">
        <v>241</v>
      </c>
      <c r="E1374" s="118" t="s">
        <v>534</v>
      </c>
      <c r="F1374" s="119">
        <v>-0.64814814814814814</v>
      </c>
      <c r="G1374" s="119">
        <v>1.5789473684210531</v>
      </c>
    </row>
    <row r="1375" spans="2:7" x14ac:dyDescent="0.2">
      <c r="B1375" s="116" t="s">
        <v>3016</v>
      </c>
      <c r="C1375" s="117" t="s">
        <v>3017</v>
      </c>
      <c r="D1375" s="118" t="s">
        <v>92</v>
      </c>
      <c r="E1375" s="118" t="s">
        <v>722</v>
      </c>
      <c r="F1375" s="119">
        <v>2.0408163265306142E-2</v>
      </c>
      <c r="G1375" s="119">
        <v>2.0000000000000021E-2</v>
      </c>
    </row>
    <row r="1376" spans="2:7" x14ac:dyDescent="0.2">
      <c r="B1376" s="116" t="s">
        <v>3018</v>
      </c>
      <c r="C1376" s="117" t="s">
        <v>3019</v>
      </c>
      <c r="D1376" s="118" t="s">
        <v>92</v>
      </c>
      <c r="E1376" s="118" t="s">
        <v>93</v>
      </c>
      <c r="F1376" s="119">
        <v>6.3180827886710256E-2</v>
      </c>
      <c r="G1376" s="119">
        <v>8.6065573770491788E-2</v>
      </c>
    </row>
    <row r="1377" spans="2:7" x14ac:dyDescent="0.2">
      <c r="B1377" s="116" t="s">
        <v>3020</v>
      </c>
      <c r="C1377" s="117" t="s">
        <v>3021</v>
      </c>
      <c r="D1377" s="118" t="s">
        <v>241</v>
      </c>
      <c r="E1377" s="118" t="s">
        <v>2596</v>
      </c>
      <c r="F1377" s="119">
        <v>1.021428571428572</v>
      </c>
      <c r="G1377" s="119">
        <v>-4.5936395759717273E-2</v>
      </c>
    </row>
    <row r="1378" spans="2:7" x14ac:dyDescent="0.2">
      <c r="B1378" s="116" t="s">
        <v>3022</v>
      </c>
      <c r="C1378" s="117" t="s">
        <v>3023</v>
      </c>
      <c r="D1378" s="118" t="s">
        <v>34</v>
      </c>
      <c r="E1378" s="118" t="s">
        <v>1753</v>
      </c>
      <c r="F1378" s="119">
        <v>-0.24011299435028249</v>
      </c>
      <c r="G1378" s="119">
        <v>2.60223048327137E-2</v>
      </c>
    </row>
    <row r="1379" spans="2:7" x14ac:dyDescent="0.2">
      <c r="B1379" s="116" t="s">
        <v>3024</v>
      </c>
      <c r="C1379" s="117" t="s">
        <v>3025</v>
      </c>
      <c r="D1379" s="118" t="s">
        <v>145</v>
      </c>
      <c r="E1379" s="118" t="s">
        <v>1093</v>
      </c>
      <c r="F1379" s="119">
        <v>-0.26666666666666672</v>
      </c>
      <c r="G1379" s="119">
        <v>4.5454545454545497E-2</v>
      </c>
    </row>
    <row r="1380" spans="2:7" x14ac:dyDescent="0.2">
      <c r="B1380" s="116" t="s">
        <v>3026</v>
      </c>
      <c r="C1380" s="117" t="s">
        <v>3027</v>
      </c>
      <c r="D1380" s="118" t="s">
        <v>106</v>
      </c>
      <c r="E1380" s="118" t="s">
        <v>324</v>
      </c>
      <c r="F1380" s="119">
        <v>0.625</v>
      </c>
      <c r="G1380" s="119">
        <v>0.76923076923076927</v>
      </c>
    </row>
    <row r="1381" spans="2:7" x14ac:dyDescent="0.2">
      <c r="B1381" s="116" t="s">
        <v>3028</v>
      </c>
      <c r="C1381" s="117" t="s">
        <v>3029</v>
      </c>
      <c r="D1381" s="118" t="s">
        <v>34</v>
      </c>
      <c r="E1381" s="118" t="s">
        <v>319</v>
      </c>
      <c r="F1381" s="119">
        <v>0.41379310344827591</v>
      </c>
      <c r="G1381" s="119">
        <v>0.14634146341463411</v>
      </c>
    </row>
    <row r="1382" spans="2:7" x14ac:dyDescent="0.2">
      <c r="B1382" s="116" t="s">
        <v>3030</v>
      </c>
      <c r="C1382" s="117" t="s">
        <v>3031</v>
      </c>
      <c r="D1382" s="118" t="s">
        <v>39</v>
      </c>
      <c r="E1382" s="118" t="s">
        <v>1959</v>
      </c>
      <c r="F1382" s="119">
        <v>5.4054054054053988E-2</v>
      </c>
      <c r="G1382" s="119">
        <v>9.2074592074591968E-2</v>
      </c>
    </row>
    <row r="1383" spans="2:7" x14ac:dyDescent="0.2">
      <c r="B1383" s="116" t="s">
        <v>3032</v>
      </c>
      <c r="C1383" s="117" t="s">
        <v>3033</v>
      </c>
      <c r="D1383" s="118" t="s">
        <v>34</v>
      </c>
      <c r="E1383" s="118" t="s">
        <v>2627</v>
      </c>
      <c r="F1383" s="119">
        <v>-0.14583333333333329</v>
      </c>
      <c r="G1383" s="119">
        <v>1.6260162601625669E-3</v>
      </c>
    </row>
    <row r="1384" spans="2:7" x14ac:dyDescent="0.2">
      <c r="B1384" s="116" t="s">
        <v>3034</v>
      </c>
      <c r="C1384" s="117" t="s">
        <v>3035</v>
      </c>
      <c r="D1384" s="118" t="s">
        <v>48</v>
      </c>
      <c r="E1384" s="118" t="s">
        <v>49</v>
      </c>
      <c r="F1384" s="119">
        <v>1.63768115942029</v>
      </c>
      <c r="G1384" s="119">
        <v>-0.56043956043956045</v>
      </c>
    </row>
    <row r="1385" spans="2:7" x14ac:dyDescent="0.2">
      <c r="B1385" s="116" t="s">
        <v>3036</v>
      </c>
      <c r="C1385" s="117" t="s">
        <v>3037</v>
      </c>
      <c r="D1385" s="118" t="s">
        <v>138</v>
      </c>
      <c r="E1385" s="118" t="s">
        <v>386</v>
      </c>
      <c r="F1385" s="119">
        <v>2.631578947368424E-2</v>
      </c>
      <c r="G1385" s="119">
        <v>8.205128205128201E-2</v>
      </c>
    </row>
    <row r="1386" spans="2:7" x14ac:dyDescent="0.2">
      <c r="B1386" s="116" t="s">
        <v>3038</v>
      </c>
      <c r="C1386" s="117" t="s">
        <v>3039</v>
      </c>
      <c r="D1386" s="118" t="s">
        <v>92</v>
      </c>
      <c r="E1386" s="118" t="s">
        <v>434</v>
      </c>
      <c r="F1386" s="119">
        <v>0.1759776536312849</v>
      </c>
      <c r="G1386" s="119">
        <v>0.1116389548693586</v>
      </c>
    </row>
    <row r="1387" spans="2:7" x14ac:dyDescent="0.2">
      <c r="B1387" s="116" t="s">
        <v>3040</v>
      </c>
      <c r="C1387" s="117" t="s">
        <v>3041</v>
      </c>
      <c r="D1387" s="118" t="s">
        <v>68</v>
      </c>
      <c r="E1387" s="118" t="s">
        <v>75</v>
      </c>
      <c r="F1387" s="119">
        <v>0.12774725274725279</v>
      </c>
      <c r="G1387" s="119">
        <v>9.7442143727161853E-2</v>
      </c>
    </row>
    <row r="1388" spans="2:7" x14ac:dyDescent="0.2">
      <c r="B1388" s="116" t="s">
        <v>3042</v>
      </c>
      <c r="C1388" s="117" t="s">
        <v>3043</v>
      </c>
      <c r="D1388" s="118" t="s">
        <v>34</v>
      </c>
      <c r="E1388" s="118" t="s">
        <v>99</v>
      </c>
      <c r="F1388" s="119">
        <v>8.1761006289308102E-2</v>
      </c>
      <c r="G1388" s="119">
        <v>3.4883720930232592E-2</v>
      </c>
    </row>
    <row r="1389" spans="2:7" x14ac:dyDescent="0.2">
      <c r="B1389" s="116" t="s">
        <v>3044</v>
      </c>
      <c r="C1389" s="117" t="s">
        <v>3045</v>
      </c>
      <c r="D1389" s="118" t="s">
        <v>68</v>
      </c>
      <c r="E1389" s="118" t="s">
        <v>778</v>
      </c>
      <c r="F1389" s="119">
        <v>0.16117216117216121</v>
      </c>
      <c r="G1389" s="119">
        <v>0.14511041009463721</v>
      </c>
    </row>
    <row r="1390" spans="2:7" x14ac:dyDescent="0.2">
      <c r="B1390" s="116" t="s">
        <v>3046</v>
      </c>
      <c r="C1390" s="117" t="s">
        <v>3047</v>
      </c>
      <c r="D1390" s="118" t="s">
        <v>78</v>
      </c>
      <c r="E1390" s="118" t="s">
        <v>340</v>
      </c>
      <c r="F1390" s="119">
        <v>8.8571428571428593E-2</v>
      </c>
      <c r="G1390" s="119">
        <v>9.1863517060367481E-2</v>
      </c>
    </row>
    <row r="1391" spans="2:7" x14ac:dyDescent="0.2">
      <c r="B1391" s="116" t="s">
        <v>3048</v>
      </c>
      <c r="C1391" s="117" t="s">
        <v>3049</v>
      </c>
      <c r="D1391" s="118" t="s">
        <v>233</v>
      </c>
      <c r="E1391" s="118" t="s">
        <v>469</v>
      </c>
      <c r="F1391" s="119">
        <v>5.7224606580829809E-3</v>
      </c>
      <c r="G1391" s="119">
        <v>0.1137980085348506</v>
      </c>
    </row>
    <row r="1392" spans="2:7" x14ac:dyDescent="0.2">
      <c r="B1392" s="116" t="s">
        <v>3050</v>
      </c>
      <c r="C1392" s="117" t="s">
        <v>3051</v>
      </c>
      <c r="D1392" s="118" t="s">
        <v>34</v>
      </c>
      <c r="E1392" s="118" t="s">
        <v>982</v>
      </c>
      <c r="F1392" s="119">
        <v>1.7045454545454562E-2</v>
      </c>
      <c r="G1392" s="119">
        <v>2.234636871508382E-2</v>
      </c>
    </row>
    <row r="1393" spans="2:7" x14ac:dyDescent="0.2">
      <c r="B1393" s="116" t="s">
        <v>3052</v>
      </c>
      <c r="C1393" s="117" t="s">
        <v>3053</v>
      </c>
      <c r="D1393" s="118" t="s">
        <v>68</v>
      </c>
      <c r="E1393" s="118" t="s">
        <v>985</v>
      </c>
      <c r="F1393" s="119">
        <v>3.4117647058823519</v>
      </c>
      <c r="G1393" s="119">
        <v>0.6066666666666668</v>
      </c>
    </row>
    <row r="1394" spans="2:7" x14ac:dyDescent="0.2">
      <c r="B1394" s="116" t="s">
        <v>3054</v>
      </c>
      <c r="C1394" s="117" t="s">
        <v>3055</v>
      </c>
      <c r="D1394" s="118" t="s">
        <v>115</v>
      </c>
      <c r="E1394" s="118" t="s">
        <v>522</v>
      </c>
      <c r="F1394" s="119">
        <v>0.36666666666666659</v>
      </c>
      <c r="G1394" s="119">
        <v>0.47560975609756101</v>
      </c>
    </row>
    <row r="1395" spans="2:7" x14ac:dyDescent="0.2">
      <c r="B1395" s="116" t="s">
        <v>3056</v>
      </c>
      <c r="C1395" s="117" t="s">
        <v>3057</v>
      </c>
      <c r="D1395" s="118" t="s">
        <v>78</v>
      </c>
      <c r="E1395" s="118" t="s">
        <v>79</v>
      </c>
      <c r="F1395" s="119">
        <v>-0.12096774193548381</v>
      </c>
      <c r="G1395" s="119">
        <v>-6.8807339449541852E-3</v>
      </c>
    </row>
    <row r="1396" spans="2:7" x14ac:dyDescent="0.2">
      <c r="B1396" s="116" t="s">
        <v>3058</v>
      </c>
      <c r="C1396" s="117" t="s">
        <v>3059</v>
      </c>
      <c r="D1396" s="118" t="s">
        <v>68</v>
      </c>
      <c r="E1396" s="118" t="s">
        <v>985</v>
      </c>
      <c r="F1396" s="119">
        <v>-8.0301129234629828E-2</v>
      </c>
      <c r="G1396" s="119">
        <v>0.27012278308321969</v>
      </c>
    </row>
    <row r="1397" spans="2:7" x14ac:dyDescent="0.2">
      <c r="B1397" s="116" t="s">
        <v>3060</v>
      </c>
      <c r="C1397" s="117" t="s">
        <v>3061</v>
      </c>
      <c r="D1397" s="118" t="s">
        <v>78</v>
      </c>
      <c r="E1397" s="118" t="s">
        <v>340</v>
      </c>
      <c r="F1397" s="119">
        <v>-6.0377358490565927E-2</v>
      </c>
      <c r="G1397" s="119">
        <v>6.0240963855421638E-2</v>
      </c>
    </row>
    <row r="1398" spans="2:7" x14ac:dyDescent="0.2">
      <c r="B1398" s="116" t="s">
        <v>3062</v>
      </c>
      <c r="C1398" s="117" t="s">
        <v>3063</v>
      </c>
      <c r="D1398" s="118" t="s">
        <v>34</v>
      </c>
      <c r="E1398" s="118" t="s">
        <v>202</v>
      </c>
      <c r="F1398" s="119">
        <v>0.2288135593220339</v>
      </c>
      <c r="G1398" s="119">
        <v>0.25517241379310351</v>
      </c>
    </row>
    <row r="1399" spans="2:7" x14ac:dyDescent="0.2">
      <c r="B1399" s="116" t="s">
        <v>3064</v>
      </c>
      <c r="C1399" s="117" t="s">
        <v>3065</v>
      </c>
      <c r="D1399" s="118" t="s">
        <v>92</v>
      </c>
      <c r="E1399" s="118" t="s">
        <v>299</v>
      </c>
      <c r="F1399" s="119">
        <v>4.6843177189409273E-2</v>
      </c>
      <c r="G1399" s="119">
        <v>5.6420233463035027E-2</v>
      </c>
    </row>
    <row r="1400" spans="2:7" x14ac:dyDescent="0.2">
      <c r="B1400" s="116" t="s">
        <v>3066</v>
      </c>
      <c r="C1400" s="117" t="s">
        <v>3067</v>
      </c>
      <c r="D1400" s="118" t="s">
        <v>34</v>
      </c>
      <c r="E1400" s="118" t="s">
        <v>2334</v>
      </c>
      <c r="F1400" s="119">
        <v>0.19354838709677419</v>
      </c>
      <c r="G1400" s="119">
        <v>0.358108108108108</v>
      </c>
    </row>
    <row r="1401" spans="2:7" x14ac:dyDescent="0.2">
      <c r="B1401" s="116" t="s">
        <v>3068</v>
      </c>
      <c r="C1401" s="117" t="s">
        <v>3069</v>
      </c>
      <c r="D1401" s="118" t="s">
        <v>198</v>
      </c>
      <c r="E1401" s="118" t="s">
        <v>199</v>
      </c>
      <c r="F1401" s="119">
        <v>2.9461756373937859E-2</v>
      </c>
      <c r="G1401" s="119">
        <v>0.18161805173362669</v>
      </c>
    </row>
    <row r="1402" spans="2:7" x14ac:dyDescent="0.2">
      <c r="B1402" s="116" t="s">
        <v>3070</v>
      </c>
      <c r="C1402" s="117" t="s">
        <v>3071</v>
      </c>
      <c r="D1402" s="118" t="s">
        <v>68</v>
      </c>
      <c r="E1402" s="118" t="s">
        <v>949</v>
      </c>
      <c r="F1402" s="119">
        <v>-5.4054054054054113E-2</v>
      </c>
      <c r="G1402" s="119">
        <v>0.28205128205128199</v>
      </c>
    </row>
    <row r="1403" spans="2:7" x14ac:dyDescent="0.2">
      <c r="B1403" s="116" t="s">
        <v>3072</v>
      </c>
      <c r="C1403" s="117" t="s">
        <v>3073</v>
      </c>
      <c r="D1403" s="118" t="s">
        <v>198</v>
      </c>
      <c r="E1403" s="118" t="s">
        <v>199</v>
      </c>
      <c r="F1403" s="119">
        <v>0.13714285714285709</v>
      </c>
      <c r="G1403" s="119">
        <v>0.1035175879396986</v>
      </c>
    </row>
    <row r="1404" spans="2:7" x14ac:dyDescent="0.2">
      <c r="B1404" s="116" t="s">
        <v>3074</v>
      </c>
      <c r="C1404" s="117" t="s">
        <v>3075</v>
      </c>
      <c r="D1404" s="118" t="s">
        <v>34</v>
      </c>
      <c r="E1404" s="118" t="s">
        <v>319</v>
      </c>
      <c r="F1404" s="119">
        <v>0.2317073170731708</v>
      </c>
      <c r="G1404" s="119">
        <v>0.25742574257425738</v>
      </c>
    </row>
    <row r="1405" spans="2:7" x14ac:dyDescent="0.2">
      <c r="B1405" s="116" t="s">
        <v>3076</v>
      </c>
      <c r="C1405" s="117" t="s">
        <v>3077</v>
      </c>
      <c r="D1405" s="118" t="s">
        <v>52</v>
      </c>
      <c r="E1405" s="118" t="s">
        <v>3078</v>
      </c>
      <c r="F1405" s="119">
        <v>0.1378995433789956</v>
      </c>
      <c r="G1405" s="119">
        <v>4.173354735152484E-2</v>
      </c>
    </row>
    <row r="1406" spans="2:7" x14ac:dyDescent="0.2">
      <c r="B1406" s="116" t="s">
        <v>3079</v>
      </c>
      <c r="C1406" s="117" t="s">
        <v>3080</v>
      </c>
      <c r="D1406" s="118" t="s">
        <v>68</v>
      </c>
      <c r="E1406" s="118" t="s">
        <v>87</v>
      </c>
      <c r="F1406" s="119">
        <v>9.8468271334791954E-2</v>
      </c>
      <c r="G1406" s="119">
        <v>0.1772908366533866</v>
      </c>
    </row>
    <row r="1407" spans="2:7" x14ac:dyDescent="0.2">
      <c r="B1407" s="116" t="s">
        <v>3081</v>
      </c>
      <c r="C1407" s="117" t="s">
        <v>3082</v>
      </c>
      <c r="D1407" s="118" t="s">
        <v>145</v>
      </c>
      <c r="E1407" s="118" t="s">
        <v>402</v>
      </c>
      <c r="F1407" s="119">
        <v>-0.15432098765432101</v>
      </c>
      <c r="G1407" s="119">
        <v>-6.2043795620438089E-2</v>
      </c>
    </row>
    <row r="1408" spans="2:7" x14ac:dyDescent="0.2">
      <c r="B1408" s="116" t="s">
        <v>3083</v>
      </c>
      <c r="C1408" s="117" t="s">
        <v>3084</v>
      </c>
      <c r="D1408" s="118" t="s">
        <v>138</v>
      </c>
      <c r="E1408" s="118" t="s">
        <v>499</v>
      </c>
      <c r="F1408" s="119">
        <v>-0.14444444444444449</v>
      </c>
      <c r="G1408" s="119">
        <v>2.5974025974026E-2</v>
      </c>
    </row>
    <row r="1409" spans="2:7" x14ac:dyDescent="0.2">
      <c r="B1409" s="116" t="s">
        <v>3085</v>
      </c>
      <c r="C1409" s="117" t="s">
        <v>3086</v>
      </c>
      <c r="D1409" s="118" t="s">
        <v>34</v>
      </c>
      <c r="E1409" s="118" t="s">
        <v>44</v>
      </c>
      <c r="F1409" s="119">
        <v>-1.2522361359570709E-2</v>
      </c>
      <c r="G1409" s="119">
        <v>5.6159420289855169E-2</v>
      </c>
    </row>
    <row r="1410" spans="2:7" x14ac:dyDescent="0.2">
      <c r="B1410" s="116" t="s">
        <v>3087</v>
      </c>
      <c r="C1410" s="117" t="s">
        <v>3088</v>
      </c>
      <c r="D1410" s="118" t="s">
        <v>138</v>
      </c>
      <c r="E1410" s="118" t="s">
        <v>499</v>
      </c>
      <c r="F1410" s="119">
        <v>0.24999999999999989</v>
      </c>
      <c r="G1410" s="119">
        <v>9.5652173913043564E-2</v>
      </c>
    </row>
    <row r="1411" spans="2:7" x14ac:dyDescent="0.2">
      <c r="B1411" s="116" t="s">
        <v>3089</v>
      </c>
      <c r="C1411" s="117" t="s">
        <v>3090</v>
      </c>
      <c r="D1411" s="118" t="s">
        <v>138</v>
      </c>
      <c r="E1411" s="118" t="s">
        <v>793</v>
      </c>
      <c r="F1411" s="119">
        <v>1.466666666666667</v>
      </c>
      <c r="G1411" s="119">
        <v>0.9642857142857143</v>
      </c>
    </row>
    <row r="1412" spans="2:7" x14ac:dyDescent="0.2">
      <c r="B1412" s="116" t="s">
        <v>3091</v>
      </c>
      <c r="C1412" s="117" t="s">
        <v>3092</v>
      </c>
      <c r="D1412" s="118" t="s">
        <v>34</v>
      </c>
      <c r="E1412" s="118" t="s">
        <v>35</v>
      </c>
      <c r="F1412" s="119">
        <v>0.1111111111111111</v>
      </c>
      <c r="G1412" s="119">
        <v>0.21199999999999991</v>
      </c>
    </row>
    <row r="1413" spans="2:7" x14ac:dyDescent="0.2">
      <c r="B1413" s="116" t="s">
        <v>3093</v>
      </c>
      <c r="C1413" s="117" t="s">
        <v>3094</v>
      </c>
      <c r="D1413" s="118" t="s">
        <v>138</v>
      </c>
      <c r="E1413" s="118" t="s">
        <v>139</v>
      </c>
      <c r="F1413" s="119">
        <v>-1.631578947368421</v>
      </c>
      <c r="G1413" s="119">
        <v>-0.66666666666666685</v>
      </c>
    </row>
    <row r="1414" spans="2:7" x14ac:dyDescent="0.2">
      <c r="B1414" s="116" t="s">
        <v>3095</v>
      </c>
      <c r="C1414" s="117" t="s">
        <v>3096</v>
      </c>
      <c r="D1414" s="118" t="s">
        <v>68</v>
      </c>
      <c r="E1414" s="118" t="s">
        <v>168</v>
      </c>
      <c r="F1414" s="119">
        <v>-0.1938775510204081</v>
      </c>
      <c r="G1414" s="119">
        <v>5.9071729957805769E-2</v>
      </c>
    </row>
    <row r="1415" spans="2:7" x14ac:dyDescent="0.2">
      <c r="B1415" s="116" t="s">
        <v>3097</v>
      </c>
      <c r="C1415" s="117" t="s">
        <v>3098</v>
      </c>
      <c r="D1415" s="118" t="s">
        <v>68</v>
      </c>
      <c r="E1415" s="118" t="s">
        <v>82</v>
      </c>
      <c r="F1415" s="119">
        <v>0.11301715438950551</v>
      </c>
      <c r="G1415" s="119">
        <v>0.1604714415231189</v>
      </c>
    </row>
    <row r="1416" spans="2:7" x14ac:dyDescent="0.2">
      <c r="B1416" s="116" t="s">
        <v>3099</v>
      </c>
      <c r="C1416" s="117" t="s">
        <v>3100</v>
      </c>
      <c r="D1416" s="118" t="s">
        <v>241</v>
      </c>
      <c r="E1416" s="118" t="s">
        <v>639</v>
      </c>
      <c r="F1416" s="119">
        <v>0.52040816326530615</v>
      </c>
      <c r="G1416" s="119">
        <v>-0.1879194630872483</v>
      </c>
    </row>
    <row r="1417" spans="2:7" x14ac:dyDescent="0.2">
      <c r="B1417" s="116" t="s">
        <v>3101</v>
      </c>
      <c r="C1417" s="117" t="s">
        <v>3102</v>
      </c>
      <c r="D1417" s="118" t="s">
        <v>115</v>
      </c>
      <c r="E1417" s="118" t="s">
        <v>728</v>
      </c>
      <c r="F1417" s="119">
        <v>-0.3258426966292135</v>
      </c>
      <c r="G1417" s="119">
        <v>0.46666666666666667</v>
      </c>
    </row>
    <row r="1418" spans="2:7" x14ac:dyDescent="0.2">
      <c r="B1418" s="116" t="s">
        <v>3103</v>
      </c>
      <c r="C1418" s="117" t="s">
        <v>3104</v>
      </c>
      <c r="D1418" s="118" t="s">
        <v>52</v>
      </c>
      <c r="E1418" s="118" t="s">
        <v>660</v>
      </c>
      <c r="F1418" s="119">
        <v>0.13729128014842301</v>
      </c>
      <c r="G1418" s="119">
        <v>5.546492659053831E-2</v>
      </c>
    </row>
    <row r="1419" spans="2:7" x14ac:dyDescent="0.2">
      <c r="B1419" s="116" t="s">
        <v>3105</v>
      </c>
      <c r="C1419" s="117" t="s">
        <v>3106</v>
      </c>
      <c r="D1419" s="118" t="s">
        <v>92</v>
      </c>
      <c r="E1419" s="118" t="s">
        <v>96</v>
      </c>
      <c r="F1419" s="119">
        <v>0.22023809523809521</v>
      </c>
      <c r="G1419" s="119">
        <v>9.7560975609756198E-2</v>
      </c>
    </row>
    <row r="1420" spans="2:7" x14ac:dyDescent="0.2">
      <c r="B1420" s="116" t="s">
        <v>3107</v>
      </c>
      <c r="C1420" s="117" t="s">
        <v>3108</v>
      </c>
      <c r="D1420" s="118" t="s">
        <v>78</v>
      </c>
      <c r="E1420" s="118" t="s">
        <v>340</v>
      </c>
      <c r="F1420" s="119">
        <v>0.1549295774647888</v>
      </c>
      <c r="G1420" s="119">
        <v>0.15853658536585369</v>
      </c>
    </row>
    <row r="1421" spans="2:7" x14ac:dyDescent="0.2">
      <c r="B1421" s="116" t="s">
        <v>3109</v>
      </c>
      <c r="C1421" s="117" t="s">
        <v>3110</v>
      </c>
      <c r="D1421" s="118" t="s">
        <v>52</v>
      </c>
      <c r="E1421" s="118" t="s">
        <v>3111</v>
      </c>
      <c r="F1421" s="119">
        <v>3.2119914346895151E-2</v>
      </c>
      <c r="G1421" s="119">
        <v>6.0165975103734441E-2</v>
      </c>
    </row>
    <row r="1422" spans="2:7" x14ac:dyDescent="0.2">
      <c r="B1422" s="116" t="s">
        <v>3112</v>
      </c>
      <c r="C1422" s="117" t="s">
        <v>3113</v>
      </c>
      <c r="D1422" s="118" t="s">
        <v>34</v>
      </c>
      <c r="E1422" s="118" t="s">
        <v>278</v>
      </c>
      <c r="F1422" s="119">
        <v>-0.77966101694915257</v>
      </c>
      <c r="G1422" s="119">
        <v>2.7692307692307692</v>
      </c>
    </row>
    <row r="1423" spans="2:7" x14ac:dyDescent="0.2">
      <c r="B1423" s="116" t="s">
        <v>3114</v>
      </c>
      <c r="C1423" s="117" t="s">
        <v>3115</v>
      </c>
      <c r="D1423" s="118" t="s">
        <v>138</v>
      </c>
      <c r="E1423" s="118" t="s">
        <v>499</v>
      </c>
      <c r="F1423" s="119">
        <v>0.1029411764705882</v>
      </c>
      <c r="G1423" s="119">
        <v>2.6666666666666689E-2</v>
      </c>
    </row>
    <row r="1424" spans="2:7" x14ac:dyDescent="0.2">
      <c r="B1424" s="116" t="s">
        <v>3116</v>
      </c>
      <c r="C1424" s="117" t="s">
        <v>3117</v>
      </c>
      <c r="D1424" s="118" t="s">
        <v>52</v>
      </c>
      <c r="E1424" s="118" t="s">
        <v>660</v>
      </c>
      <c r="F1424" s="119">
        <v>6.967213114754095E-2</v>
      </c>
      <c r="G1424" s="119">
        <v>8.0459770114942514E-2</v>
      </c>
    </row>
    <row r="1425" spans="2:7" x14ac:dyDescent="0.2">
      <c r="B1425" s="116" t="s">
        <v>3118</v>
      </c>
      <c r="C1425" s="117" t="s">
        <v>3119</v>
      </c>
      <c r="D1425" s="118" t="s">
        <v>138</v>
      </c>
      <c r="E1425" s="118" t="s">
        <v>499</v>
      </c>
      <c r="F1425" s="119">
        <v>0.34482758620689652</v>
      </c>
      <c r="G1425" s="119">
        <v>7.6923076923076997E-2</v>
      </c>
    </row>
    <row r="1426" spans="2:7" x14ac:dyDescent="0.2">
      <c r="B1426" s="116" t="s">
        <v>3120</v>
      </c>
      <c r="C1426" s="117" t="s">
        <v>3121</v>
      </c>
      <c r="D1426" s="118" t="s">
        <v>145</v>
      </c>
      <c r="E1426" s="118" t="s">
        <v>1467</v>
      </c>
      <c r="F1426" s="119">
        <v>-3.2222222222222232</v>
      </c>
      <c r="G1426" s="119">
        <v>6.1999999999999993</v>
      </c>
    </row>
    <row r="1427" spans="2:7" x14ac:dyDescent="0.2">
      <c r="B1427" s="116" t="s">
        <v>3122</v>
      </c>
      <c r="C1427" s="117" t="s">
        <v>3123</v>
      </c>
      <c r="D1427" s="118" t="s">
        <v>34</v>
      </c>
      <c r="E1427" s="118" t="s">
        <v>278</v>
      </c>
      <c r="F1427" s="119">
        <v>4.6153846153846191E-2</v>
      </c>
      <c r="G1427" s="119">
        <v>0.27941176470588219</v>
      </c>
    </row>
    <row r="1428" spans="2:7" x14ac:dyDescent="0.2">
      <c r="B1428" s="116" t="s">
        <v>3124</v>
      </c>
      <c r="C1428" s="117" t="s">
        <v>3125</v>
      </c>
      <c r="D1428" s="118" t="s">
        <v>92</v>
      </c>
      <c r="E1428" s="118" t="s">
        <v>96</v>
      </c>
      <c r="F1428" s="119">
        <v>1.379310344827598E-2</v>
      </c>
      <c r="G1428" s="119">
        <v>-4.5351473922903536E-3</v>
      </c>
    </row>
    <row r="1429" spans="2:7" x14ac:dyDescent="0.2">
      <c r="B1429" s="116" t="s">
        <v>3126</v>
      </c>
      <c r="C1429" s="117" t="s">
        <v>3127</v>
      </c>
      <c r="D1429" s="118" t="s">
        <v>39</v>
      </c>
      <c r="E1429" s="118" t="s">
        <v>1162</v>
      </c>
      <c r="F1429" s="119">
        <v>0.16864608076009499</v>
      </c>
      <c r="G1429" s="119">
        <v>5.2845528455284507E-2</v>
      </c>
    </row>
    <row r="1430" spans="2:7" x14ac:dyDescent="0.2">
      <c r="B1430" s="116" t="s">
        <v>3128</v>
      </c>
      <c r="C1430" s="117" t="s">
        <v>3129</v>
      </c>
      <c r="D1430" s="118" t="s">
        <v>34</v>
      </c>
      <c r="E1430" s="118" t="s">
        <v>278</v>
      </c>
      <c r="F1430" s="119">
        <v>-0.10526315789473679</v>
      </c>
      <c r="G1430" s="119">
        <v>0.1176470588235293</v>
      </c>
    </row>
    <row r="1431" spans="2:7" x14ac:dyDescent="0.2">
      <c r="B1431" s="116" t="s">
        <v>3130</v>
      </c>
      <c r="C1431" s="117" t="s">
        <v>3131</v>
      </c>
      <c r="D1431" s="118" t="s">
        <v>138</v>
      </c>
      <c r="E1431" s="118" t="s">
        <v>499</v>
      </c>
      <c r="F1431" s="119">
        <v>-0.1875</v>
      </c>
      <c r="G1431" s="119">
        <v>0.1076923076923076</v>
      </c>
    </row>
    <row r="1432" spans="2:7" x14ac:dyDescent="0.2">
      <c r="B1432" s="116" t="s">
        <v>3132</v>
      </c>
      <c r="C1432" s="117" t="s">
        <v>3133</v>
      </c>
      <c r="D1432" s="118" t="s">
        <v>138</v>
      </c>
      <c r="E1432" s="118" t="s">
        <v>793</v>
      </c>
      <c r="F1432" s="119">
        <v>0.17241379310344851</v>
      </c>
      <c r="G1432" s="119">
        <v>-8.8235294117647134E-2</v>
      </c>
    </row>
    <row r="1433" spans="2:7" x14ac:dyDescent="0.2">
      <c r="B1433" s="116" t="s">
        <v>3134</v>
      </c>
      <c r="C1433" s="117" t="s">
        <v>3135</v>
      </c>
      <c r="D1433" s="118" t="s">
        <v>233</v>
      </c>
      <c r="E1433" s="118" t="s">
        <v>469</v>
      </c>
      <c r="F1433" s="119">
        <v>0.19181380417335461</v>
      </c>
      <c r="G1433" s="119">
        <v>8.3501683501683521E-2</v>
      </c>
    </row>
    <row r="1434" spans="2:7" x14ac:dyDescent="0.2">
      <c r="B1434" s="116" t="s">
        <v>3136</v>
      </c>
      <c r="C1434" s="117" t="s">
        <v>3137</v>
      </c>
      <c r="D1434" s="118" t="s">
        <v>34</v>
      </c>
      <c r="E1434" s="118" t="s">
        <v>2856</v>
      </c>
      <c r="F1434" s="119">
        <v>2.631578947368423E-2</v>
      </c>
      <c r="G1434" s="119">
        <v>0.4102564102564103</v>
      </c>
    </row>
    <row r="1435" spans="2:7" x14ac:dyDescent="0.2">
      <c r="B1435" s="116" t="s">
        <v>3138</v>
      </c>
      <c r="C1435" s="117" t="s">
        <v>3139</v>
      </c>
      <c r="D1435" s="118" t="s">
        <v>34</v>
      </c>
      <c r="E1435" s="118" t="s">
        <v>99</v>
      </c>
      <c r="F1435" s="119">
        <v>4.4198895027624217E-2</v>
      </c>
      <c r="G1435" s="119">
        <v>0.1058201058201058</v>
      </c>
    </row>
    <row r="1436" spans="2:7" x14ac:dyDescent="0.2">
      <c r="B1436" s="116" t="s">
        <v>3140</v>
      </c>
      <c r="C1436" s="117" t="s">
        <v>3141</v>
      </c>
      <c r="D1436" s="118" t="s">
        <v>68</v>
      </c>
      <c r="E1436" s="118" t="s">
        <v>82</v>
      </c>
      <c r="F1436" s="119">
        <v>0.1076923076923076</v>
      </c>
      <c r="G1436" s="119">
        <v>0.10784313725490199</v>
      </c>
    </row>
    <row r="1437" spans="2:7" x14ac:dyDescent="0.2">
      <c r="B1437" s="116" t="s">
        <v>3142</v>
      </c>
      <c r="C1437" s="117" t="s">
        <v>3143</v>
      </c>
      <c r="D1437" s="118" t="s">
        <v>34</v>
      </c>
      <c r="E1437" s="118" t="s">
        <v>982</v>
      </c>
      <c r="F1437" s="119">
        <v>0.21921921921921911</v>
      </c>
      <c r="G1437" s="119">
        <v>0.20197044334975381</v>
      </c>
    </row>
    <row r="1438" spans="2:7" x14ac:dyDescent="0.2">
      <c r="B1438" s="116" t="s">
        <v>3144</v>
      </c>
      <c r="C1438" s="117" t="s">
        <v>3145</v>
      </c>
      <c r="D1438" s="118" t="s">
        <v>68</v>
      </c>
      <c r="E1438" s="118" t="s">
        <v>82</v>
      </c>
      <c r="F1438" s="119">
        <v>0.78881987577639745</v>
      </c>
      <c r="G1438" s="119">
        <v>0.8970588235294118</v>
      </c>
    </row>
    <row r="1439" spans="2:7" x14ac:dyDescent="0.2">
      <c r="B1439" s="116" t="s">
        <v>3146</v>
      </c>
      <c r="C1439" s="117" t="s">
        <v>3147</v>
      </c>
      <c r="D1439" s="118" t="s">
        <v>106</v>
      </c>
      <c r="E1439" s="118" t="s">
        <v>125</v>
      </c>
      <c r="F1439" s="119">
        <v>0.16271186440677959</v>
      </c>
      <c r="G1439" s="119">
        <v>0.1399416909620991</v>
      </c>
    </row>
    <row r="1440" spans="2:7" x14ac:dyDescent="0.2">
      <c r="B1440" s="116" t="s">
        <v>3148</v>
      </c>
      <c r="C1440" s="117" t="s">
        <v>3149</v>
      </c>
      <c r="D1440" s="118" t="s">
        <v>34</v>
      </c>
      <c r="E1440" s="118" t="s">
        <v>944</v>
      </c>
      <c r="F1440" s="119">
        <v>-0.17228464419475659</v>
      </c>
      <c r="G1440" s="119">
        <v>0.30316742081447962</v>
      </c>
    </row>
    <row r="1441" spans="2:7" x14ac:dyDescent="0.2">
      <c r="B1441" s="116" t="s">
        <v>3150</v>
      </c>
      <c r="C1441" s="117" t="s">
        <v>3151</v>
      </c>
      <c r="D1441" s="118" t="s">
        <v>102</v>
      </c>
      <c r="E1441" s="118" t="s">
        <v>1081</v>
      </c>
      <c r="F1441" s="119">
        <v>-0.14782608695652169</v>
      </c>
      <c r="G1441" s="119">
        <v>3.5714285714285643E-2</v>
      </c>
    </row>
    <row r="1442" spans="2:7" x14ac:dyDescent="0.2">
      <c r="B1442" s="116" t="s">
        <v>3152</v>
      </c>
      <c r="C1442" s="117" t="s">
        <v>3153</v>
      </c>
      <c r="D1442" s="118" t="s">
        <v>241</v>
      </c>
      <c r="E1442" s="118" t="s">
        <v>606</v>
      </c>
      <c r="F1442" s="119">
        <v>-0.1183206106870229</v>
      </c>
      <c r="G1442" s="119">
        <v>0.1861471861471862</v>
      </c>
    </row>
    <row r="1443" spans="2:7" x14ac:dyDescent="0.2">
      <c r="B1443" s="116" t="s">
        <v>3154</v>
      </c>
      <c r="C1443" s="117" t="s">
        <v>3155</v>
      </c>
      <c r="D1443" s="118" t="s">
        <v>52</v>
      </c>
      <c r="E1443" s="118" t="s">
        <v>2678</v>
      </c>
      <c r="F1443" s="119">
        <v>0.19112627986348121</v>
      </c>
      <c r="G1443" s="119">
        <v>0.53868194842406869</v>
      </c>
    </row>
    <row r="1444" spans="2:7" x14ac:dyDescent="0.2">
      <c r="B1444" s="116" t="s">
        <v>3156</v>
      </c>
      <c r="C1444" s="117" t="s">
        <v>3157</v>
      </c>
      <c r="D1444" s="118" t="s">
        <v>92</v>
      </c>
      <c r="E1444" s="118" t="s">
        <v>1262</v>
      </c>
      <c r="F1444" s="119">
        <v>-7.7571669477234401E-2</v>
      </c>
      <c r="G1444" s="119">
        <v>0.55941499085923208</v>
      </c>
    </row>
    <row r="1445" spans="2:7" x14ac:dyDescent="0.2">
      <c r="B1445" s="116" t="s">
        <v>3158</v>
      </c>
      <c r="C1445" s="117" t="s">
        <v>3159</v>
      </c>
      <c r="D1445" s="118" t="s">
        <v>102</v>
      </c>
      <c r="E1445" s="118" t="s">
        <v>1397</v>
      </c>
      <c r="F1445" s="119">
        <v>3.056768558951958E-2</v>
      </c>
      <c r="G1445" s="119">
        <v>0.22033898305084751</v>
      </c>
    </row>
    <row r="1446" spans="2:7" x14ac:dyDescent="0.2">
      <c r="B1446" s="116" t="s">
        <v>3160</v>
      </c>
      <c r="C1446" s="117" t="s">
        <v>3161</v>
      </c>
      <c r="D1446" s="118" t="s">
        <v>241</v>
      </c>
      <c r="E1446" s="118" t="s">
        <v>2596</v>
      </c>
      <c r="F1446" s="119">
        <v>-6.666666666666667</v>
      </c>
      <c r="G1446" s="119">
        <v>1.1764705882352939</v>
      </c>
    </row>
    <row r="1447" spans="2:7" x14ac:dyDescent="0.2">
      <c r="B1447" s="116" t="s">
        <v>3162</v>
      </c>
      <c r="C1447" s="117" t="s">
        <v>3163</v>
      </c>
      <c r="D1447" s="118" t="s">
        <v>106</v>
      </c>
      <c r="E1447" s="118" t="s">
        <v>324</v>
      </c>
      <c r="F1447" s="119">
        <v>0.89062499999999989</v>
      </c>
      <c r="G1447" s="119">
        <v>0.60330578512396693</v>
      </c>
    </row>
    <row r="1448" spans="2:7" x14ac:dyDescent="0.2">
      <c r="B1448" s="116" t="s">
        <v>3164</v>
      </c>
      <c r="C1448" s="117" t="s">
        <v>3165</v>
      </c>
      <c r="D1448" s="118" t="s">
        <v>52</v>
      </c>
      <c r="E1448" s="118" t="s">
        <v>281</v>
      </c>
      <c r="F1448" s="119">
        <v>5.7471264367816147E-2</v>
      </c>
      <c r="G1448" s="119">
        <v>0.1793478260869564</v>
      </c>
    </row>
    <row r="1449" spans="2:7" x14ac:dyDescent="0.2">
      <c r="B1449" s="116" t="s">
        <v>3166</v>
      </c>
      <c r="C1449" s="117" t="s">
        <v>3167</v>
      </c>
      <c r="D1449" s="118" t="s">
        <v>34</v>
      </c>
      <c r="E1449" s="118" t="s">
        <v>1096</v>
      </c>
      <c r="F1449" s="119">
        <v>2.0942408376963369E-2</v>
      </c>
      <c r="G1449" s="119">
        <v>0.1179487179487181</v>
      </c>
    </row>
    <row r="1450" spans="2:7" x14ac:dyDescent="0.2">
      <c r="B1450" s="116" t="s">
        <v>3168</v>
      </c>
      <c r="C1450" s="117" t="s">
        <v>3169</v>
      </c>
      <c r="D1450" s="118" t="s">
        <v>92</v>
      </c>
      <c r="E1450" s="118" t="s">
        <v>272</v>
      </c>
      <c r="F1450" s="119">
        <v>4.5454545454545317E-2</v>
      </c>
      <c r="G1450" s="119">
        <v>9.4202898550724723E-2</v>
      </c>
    </row>
    <row r="1451" spans="2:7" x14ac:dyDescent="0.2">
      <c r="B1451" s="116" t="s">
        <v>3170</v>
      </c>
      <c r="C1451" s="117" t="s">
        <v>3171</v>
      </c>
      <c r="D1451" s="118" t="s">
        <v>92</v>
      </c>
      <c r="E1451" s="118" t="s">
        <v>195</v>
      </c>
      <c r="F1451" s="119">
        <v>4.4295302013422827E-2</v>
      </c>
      <c r="G1451" s="119">
        <v>4.7557840616966593E-2</v>
      </c>
    </row>
    <row r="1452" spans="2:7" x14ac:dyDescent="0.2">
      <c r="B1452" s="116" t="s">
        <v>3172</v>
      </c>
      <c r="C1452" s="117" t="s">
        <v>3173</v>
      </c>
      <c r="D1452" s="118" t="s">
        <v>241</v>
      </c>
      <c r="E1452" s="118" t="s">
        <v>1017</v>
      </c>
      <c r="F1452" s="119">
        <v>9.4736842105263161E-2</v>
      </c>
      <c r="G1452" s="119">
        <v>-6.4102564102564161E-3</v>
      </c>
    </row>
    <row r="1453" spans="2:7" x14ac:dyDescent="0.2">
      <c r="B1453" s="116" t="s">
        <v>3174</v>
      </c>
      <c r="C1453" s="117" t="s">
        <v>3175</v>
      </c>
      <c r="D1453" s="118" t="s">
        <v>106</v>
      </c>
      <c r="E1453" s="118" t="s">
        <v>563</v>
      </c>
      <c r="F1453" s="119">
        <v>8.8709677419354913E-2</v>
      </c>
      <c r="G1453" s="119">
        <v>0.14074074074074069</v>
      </c>
    </row>
    <row r="1454" spans="2:7" x14ac:dyDescent="0.2">
      <c r="B1454" s="116" t="s">
        <v>3176</v>
      </c>
      <c r="C1454" s="117" t="s">
        <v>3177</v>
      </c>
      <c r="D1454" s="118" t="s">
        <v>92</v>
      </c>
      <c r="E1454" s="118" t="s">
        <v>96</v>
      </c>
      <c r="F1454" s="119">
        <v>0.18672665916760409</v>
      </c>
      <c r="G1454" s="119">
        <v>8.9099526066350659E-2</v>
      </c>
    </row>
    <row r="1455" spans="2:7" x14ac:dyDescent="0.2">
      <c r="B1455" s="116" t="s">
        <v>3178</v>
      </c>
      <c r="C1455" s="117" t="s">
        <v>3179</v>
      </c>
      <c r="D1455" s="118" t="s">
        <v>39</v>
      </c>
      <c r="E1455" s="118" t="s">
        <v>3180</v>
      </c>
      <c r="F1455" s="119">
        <v>-7.8651685393258494E-2</v>
      </c>
      <c r="G1455" s="119">
        <v>-7.3170731707317013E-2</v>
      </c>
    </row>
    <row r="1456" spans="2:7" x14ac:dyDescent="0.2">
      <c r="B1456" s="116" t="s">
        <v>3181</v>
      </c>
      <c r="C1456" s="117" t="s">
        <v>3182</v>
      </c>
      <c r="D1456" s="118" t="s">
        <v>39</v>
      </c>
      <c r="E1456" s="118" t="s">
        <v>3183</v>
      </c>
      <c r="F1456" s="119">
        <v>-1.307189542483661E-2</v>
      </c>
      <c r="G1456" s="119">
        <v>0.19205298013245031</v>
      </c>
    </row>
    <row r="1457" spans="2:7" x14ac:dyDescent="0.2">
      <c r="B1457" s="116" t="s">
        <v>3184</v>
      </c>
      <c r="C1457" s="117" t="s">
        <v>3185</v>
      </c>
      <c r="D1457" s="118" t="s">
        <v>52</v>
      </c>
      <c r="E1457" s="118" t="s">
        <v>714</v>
      </c>
      <c r="F1457" s="119">
        <v>0.11111111111111099</v>
      </c>
      <c r="G1457" s="119">
        <v>0.1000000000000001</v>
      </c>
    </row>
    <row r="1458" spans="2:7" x14ac:dyDescent="0.2">
      <c r="B1458" s="116" t="s">
        <v>3186</v>
      </c>
      <c r="C1458" s="117" t="s">
        <v>3187</v>
      </c>
      <c r="D1458" s="118" t="s">
        <v>52</v>
      </c>
      <c r="E1458" s="118" t="s">
        <v>1099</v>
      </c>
      <c r="F1458" s="119">
        <v>0.1048951048951049</v>
      </c>
      <c r="G1458" s="119">
        <v>0.1139240506329114</v>
      </c>
    </row>
    <row r="1459" spans="2:7" x14ac:dyDescent="0.2">
      <c r="B1459" s="116" t="s">
        <v>3188</v>
      </c>
      <c r="C1459" s="117" t="s">
        <v>3189</v>
      </c>
      <c r="D1459" s="118" t="s">
        <v>115</v>
      </c>
      <c r="E1459" s="118" t="s">
        <v>799</v>
      </c>
      <c r="F1459" s="119">
        <v>-0.20547945205479451</v>
      </c>
      <c r="G1459" s="119">
        <v>0.15517241379310329</v>
      </c>
    </row>
    <row r="1460" spans="2:7" x14ac:dyDescent="0.2">
      <c r="B1460" s="116" t="s">
        <v>3190</v>
      </c>
      <c r="C1460" s="117" t="s">
        <v>3191</v>
      </c>
      <c r="D1460" s="118" t="s">
        <v>233</v>
      </c>
      <c r="E1460" s="118" t="s">
        <v>1314</v>
      </c>
      <c r="F1460" s="119">
        <v>-1.569105691056911</v>
      </c>
      <c r="G1460" s="119">
        <v>2.5253164556962031</v>
      </c>
    </row>
    <row r="1461" spans="2:7" x14ac:dyDescent="0.2">
      <c r="B1461" s="116" t="s">
        <v>3192</v>
      </c>
      <c r="C1461" s="117" t="s">
        <v>3193</v>
      </c>
      <c r="D1461" s="118" t="s">
        <v>34</v>
      </c>
      <c r="E1461" s="118" t="s">
        <v>3194</v>
      </c>
      <c r="F1461" s="119">
        <v>-6.3636363636363685E-2</v>
      </c>
      <c r="G1461" s="119">
        <v>0.19417475728155331</v>
      </c>
    </row>
    <row r="1462" spans="2:7" x14ac:dyDescent="0.2">
      <c r="B1462" s="116" t="s">
        <v>3195</v>
      </c>
      <c r="C1462" s="117" t="s">
        <v>3196</v>
      </c>
      <c r="D1462" s="118" t="s">
        <v>78</v>
      </c>
      <c r="E1462" s="118" t="s">
        <v>1654</v>
      </c>
      <c r="F1462" s="119">
        <v>-7.4324324324324245E-2</v>
      </c>
      <c r="G1462" s="119">
        <v>0.22262773722627729</v>
      </c>
    </row>
    <row r="1463" spans="2:7" x14ac:dyDescent="0.2">
      <c r="B1463" s="116" t="s">
        <v>3197</v>
      </c>
      <c r="C1463" s="117" t="s">
        <v>3198</v>
      </c>
      <c r="D1463" s="118" t="s">
        <v>34</v>
      </c>
      <c r="E1463" s="118" t="s">
        <v>278</v>
      </c>
      <c r="F1463" s="119">
        <v>-0.28030303030303039</v>
      </c>
      <c r="G1463" s="119">
        <v>0.13684210526315799</v>
      </c>
    </row>
    <row r="1464" spans="2:7" x14ac:dyDescent="0.2">
      <c r="B1464" s="116" t="s">
        <v>3199</v>
      </c>
      <c r="C1464" s="117" t="s">
        <v>3200</v>
      </c>
      <c r="D1464" s="118" t="s">
        <v>115</v>
      </c>
      <c r="E1464" s="118" t="s">
        <v>2909</v>
      </c>
      <c r="F1464" s="119">
        <v>0.1003717472118959</v>
      </c>
      <c r="G1464" s="119">
        <v>0.12837837837837829</v>
      </c>
    </row>
    <row r="1465" spans="2:7" x14ac:dyDescent="0.2">
      <c r="B1465" s="116" t="s">
        <v>3201</v>
      </c>
      <c r="C1465" s="117" t="s">
        <v>3202</v>
      </c>
      <c r="D1465" s="118" t="s">
        <v>34</v>
      </c>
      <c r="E1465" s="118" t="s">
        <v>202</v>
      </c>
      <c r="F1465" s="119">
        <v>0.34309623430962333</v>
      </c>
      <c r="G1465" s="119">
        <v>0.14953271028037379</v>
      </c>
    </row>
    <row r="1466" spans="2:7" x14ac:dyDescent="0.2">
      <c r="B1466" s="116" t="s">
        <v>3203</v>
      </c>
      <c r="C1466" s="117" t="s">
        <v>3204</v>
      </c>
      <c r="D1466" s="118" t="s">
        <v>34</v>
      </c>
      <c r="E1466" s="118" t="s">
        <v>44</v>
      </c>
      <c r="F1466" s="119">
        <v>0.197651663405088</v>
      </c>
      <c r="G1466" s="119">
        <v>0.16503267973856209</v>
      </c>
    </row>
    <row r="1467" spans="2:7" x14ac:dyDescent="0.2">
      <c r="B1467" s="116" t="s">
        <v>3205</v>
      </c>
      <c r="C1467" s="117" t="s">
        <v>3206</v>
      </c>
      <c r="D1467" s="118" t="s">
        <v>39</v>
      </c>
      <c r="E1467" s="118" t="s">
        <v>1056</v>
      </c>
      <c r="F1467" s="119">
        <v>0.1811320754716981</v>
      </c>
      <c r="G1467" s="119">
        <v>9.9041533546325902E-2</v>
      </c>
    </row>
    <row r="1468" spans="2:7" x14ac:dyDescent="0.2">
      <c r="B1468" s="116" t="s">
        <v>3207</v>
      </c>
      <c r="C1468" s="117" t="s">
        <v>3208</v>
      </c>
      <c r="D1468" s="118" t="s">
        <v>233</v>
      </c>
      <c r="E1468" s="118" t="s">
        <v>469</v>
      </c>
      <c r="F1468" s="119">
        <v>1.621621621621621</v>
      </c>
      <c r="G1468" s="119">
        <v>0.6288659793814434</v>
      </c>
    </row>
    <row r="1469" spans="2:7" x14ac:dyDescent="0.2">
      <c r="B1469" s="116" t="s">
        <v>3209</v>
      </c>
      <c r="C1469" s="117" t="s">
        <v>3210</v>
      </c>
      <c r="D1469" s="118" t="s">
        <v>115</v>
      </c>
      <c r="E1469" s="118" t="s">
        <v>394</v>
      </c>
      <c r="F1469" s="119">
        <v>-3.7422037422037369E-2</v>
      </c>
      <c r="G1469" s="119">
        <v>5.3995680345572353E-2</v>
      </c>
    </row>
    <row r="1470" spans="2:7" x14ac:dyDescent="0.2">
      <c r="B1470" s="116" t="s">
        <v>3211</v>
      </c>
      <c r="C1470" s="117" t="s">
        <v>3212</v>
      </c>
      <c r="D1470" s="118" t="s">
        <v>138</v>
      </c>
      <c r="E1470" s="118" t="s">
        <v>499</v>
      </c>
      <c r="F1470" s="119">
        <v>1.8518518518518531E-2</v>
      </c>
      <c r="G1470" s="119">
        <v>6.3636363636363491E-2</v>
      </c>
    </row>
    <row r="1471" spans="2:7" x14ac:dyDescent="0.2">
      <c r="B1471" s="116" t="s">
        <v>3213</v>
      </c>
      <c r="C1471" s="117" t="s">
        <v>3214</v>
      </c>
      <c r="D1471" s="118" t="s">
        <v>115</v>
      </c>
      <c r="E1471" s="118" t="s">
        <v>728</v>
      </c>
      <c r="F1471" s="119">
        <v>-0.43750000000000011</v>
      </c>
      <c r="G1471" s="119">
        <v>0.52777777777777801</v>
      </c>
    </row>
    <row r="1472" spans="2:7" x14ac:dyDescent="0.2">
      <c r="B1472" s="116" t="s">
        <v>3215</v>
      </c>
      <c r="C1472" s="117" t="s">
        <v>3216</v>
      </c>
      <c r="D1472" s="118" t="s">
        <v>52</v>
      </c>
      <c r="E1472" s="118" t="s">
        <v>1324</v>
      </c>
      <c r="F1472" s="119">
        <v>-7.9710144927536142E-2</v>
      </c>
      <c r="G1472" s="119">
        <v>7.0866141732283533E-2</v>
      </c>
    </row>
    <row r="1473" spans="2:7" x14ac:dyDescent="0.2">
      <c r="B1473" s="116" t="s">
        <v>3217</v>
      </c>
      <c r="C1473" s="117" t="s">
        <v>3218</v>
      </c>
      <c r="D1473" s="118" t="s">
        <v>34</v>
      </c>
      <c r="E1473" s="118" t="s">
        <v>319</v>
      </c>
      <c r="F1473" s="119">
        <v>0.54545454545454553</v>
      </c>
      <c r="G1473" s="119">
        <v>0.82352941176470573</v>
      </c>
    </row>
    <row r="1474" spans="2:7" x14ac:dyDescent="0.2">
      <c r="B1474" s="116" t="s">
        <v>3219</v>
      </c>
      <c r="C1474" s="117" t="s">
        <v>3220</v>
      </c>
      <c r="D1474" s="118" t="s">
        <v>92</v>
      </c>
      <c r="E1474" s="118" t="s">
        <v>171</v>
      </c>
      <c r="F1474" s="119">
        <v>-0.15897435897435899</v>
      </c>
      <c r="G1474" s="119">
        <v>2.439024390243905E-2</v>
      </c>
    </row>
    <row r="1475" spans="2:7" x14ac:dyDescent="0.2">
      <c r="B1475" s="116" t="s">
        <v>3221</v>
      </c>
      <c r="C1475" s="117" t="s">
        <v>3222</v>
      </c>
      <c r="D1475" s="118" t="s">
        <v>34</v>
      </c>
      <c r="E1475" s="118" t="s">
        <v>319</v>
      </c>
      <c r="F1475" s="119">
        <v>2.0750000000000002</v>
      </c>
      <c r="G1475" s="119">
        <v>-0.52032520325203258</v>
      </c>
    </row>
    <row r="1476" spans="2:7" x14ac:dyDescent="0.2">
      <c r="B1476" s="116" t="s">
        <v>3223</v>
      </c>
      <c r="C1476" s="117" t="s">
        <v>3224</v>
      </c>
      <c r="D1476" s="118" t="s">
        <v>145</v>
      </c>
      <c r="E1476" s="118" t="s">
        <v>1467</v>
      </c>
      <c r="F1476" s="119">
        <v>-0.60154241645244211</v>
      </c>
      <c r="G1476" s="119">
        <v>-0.1258064516129033</v>
      </c>
    </row>
    <row r="1477" spans="2:7" x14ac:dyDescent="0.2">
      <c r="B1477" s="116" t="s">
        <v>3225</v>
      </c>
      <c r="C1477" s="117" t="s">
        <v>3226</v>
      </c>
      <c r="D1477" s="118" t="s">
        <v>34</v>
      </c>
      <c r="E1477" s="118" t="s">
        <v>1753</v>
      </c>
      <c r="F1477" s="119">
        <v>-4.3087971274685853E-2</v>
      </c>
      <c r="G1477" s="119">
        <v>9.0056285178236314E-2</v>
      </c>
    </row>
    <row r="1478" spans="2:7" x14ac:dyDescent="0.2">
      <c r="B1478" s="116" t="s">
        <v>3227</v>
      </c>
      <c r="C1478" s="117" t="s">
        <v>3228</v>
      </c>
      <c r="D1478" s="118" t="s">
        <v>52</v>
      </c>
      <c r="E1478" s="118" t="s">
        <v>725</v>
      </c>
      <c r="F1478" s="119">
        <v>4.5662100456621037E-2</v>
      </c>
      <c r="G1478" s="119">
        <v>9.170305676855893E-2</v>
      </c>
    </row>
    <row r="1479" spans="2:7" x14ac:dyDescent="0.2">
      <c r="B1479" s="116" t="s">
        <v>3229</v>
      </c>
      <c r="C1479" s="117" t="s">
        <v>3230</v>
      </c>
      <c r="D1479" s="118" t="s">
        <v>198</v>
      </c>
      <c r="E1479" s="118" t="s">
        <v>456</v>
      </c>
      <c r="F1479" s="119">
        <v>0.17924528301886791</v>
      </c>
      <c r="G1479" s="119">
        <v>7.4666666666666728E-2</v>
      </c>
    </row>
    <row r="1480" spans="2:7" x14ac:dyDescent="0.2">
      <c r="B1480" s="116" t="s">
        <v>3231</v>
      </c>
      <c r="C1480" s="117" t="s">
        <v>3232</v>
      </c>
      <c r="D1480" s="118" t="s">
        <v>34</v>
      </c>
      <c r="E1480" s="118" t="s">
        <v>990</v>
      </c>
      <c r="F1480" s="119">
        <v>0.10833333333333341</v>
      </c>
      <c r="G1480" s="119">
        <v>0.1109022556390977</v>
      </c>
    </row>
    <row r="1481" spans="2:7" x14ac:dyDescent="0.2">
      <c r="B1481" s="116" t="s">
        <v>3233</v>
      </c>
      <c r="C1481" s="117" t="s">
        <v>3234</v>
      </c>
      <c r="D1481" s="118" t="s">
        <v>115</v>
      </c>
      <c r="E1481" s="118" t="s">
        <v>899</v>
      </c>
      <c r="F1481" s="119">
        <v>0.54545454545454553</v>
      </c>
      <c r="G1481" s="119">
        <v>0.44117647058823523</v>
      </c>
    </row>
    <row r="1482" spans="2:7" x14ac:dyDescent="0.2">
      <c r="B1482" s="116" t="s">
        <v>3235</v>
      </c>
      <c r="C1482" s="117" t="s">
        <v>3236</v>
      </c>
      <c r="D1482" s="118" t="s">
        <v>48</v>
      </c>
      <c r="E1482" s="118" t="s">
        <v>49</v>
      </c>
      <c r="F1482" s="119">
        <v>0.35805330243337191</v>
      </c>
      <c r="G1482" s="119">
        <v>6.655290102389072E-2</v>
      </c>
    </row>
    <row r="1483" spans="2:7" x14ac:dyDescent="0.2">
      <c r="B1483" s="116" t="s">
        <v>3237</v>
      </c>
      <c r="C1483" s="117" t="s">
        <v>3238</v>
      </c>
      <c r="D1483" s="118" t="s">
        <v>92</v>
      </c>
      <c r="E1483" s="118" t="s">
        <v>299</v>
      </c>
      <c r="F1483" s="119">
        <v>-0.10218978102189789</v>
      </c>
      <c r="G1483" s="119">
        <v>2.439024390243905E-2</v>
      </c>
    </row>
    <row r="1484" spans="2:7" x14ac:dyDescent="0.2">
      <c r="B1484" s="116" t="s">
        <v>3239</v>
      </c>
      <c r="C1484" s="117" t="s">
        <v>3240</v>
      </c>
      <c r="D1484" s="118" t="s">
        <v>92</v>
      </c>
      <c r="E1484" s="118" t="s">
        <v>614</v>
      </c>
      <c r="F1484" s="119">
        <v>3.2653061224489639E-2</v>
      </c>
      <c r="G1484" s="119">
        <v>-7.9051383399209568E-3</v>
      </c>
    </row>
    <row r="1485" spans="2:7" x14ac:dyDescent="0.2">
      <c r="B1485" s="116" t="s">
        <v>3241</v>
      </c>
      <c r="C1485" s="117" t="s">
        <v>3242</v>
      </c>
      <c r="D1485" s="118" t="s">
        <v>34</v>
      </c>
      <c r="E1485" s="118" t="s">
        <v>202</v>
      </c>
      <c r="F1485" s="119">
        <v>5.5194805194805172E-2</v>
      </c>
      <c r="G1485" s="119">
        <v>-1</v>
      </c>
    </row>
    <row r="1486" spans="2:7" x14ac:dyDescent="0.2">
      <c r="B1486" s="116" t="s">
        <v>3243</v>
      </c>
      <c r="C1486" s="117" t="s">
        <v>3244</v>
      </c>
      <c r="D1486" s="118" t="s">
        <v>92</v>
      </c>
      <c r="E1486" s="118" t="s">
        <v>93</v>
      </c>
      <c r="F1486" s="119">
        <v>6.7010309278350458E-2</v>
      </c>
      <c r="G1486" s="119">
        <v>5.7971014492753679E-2</v>
      </c>
    </row>
    <row r="1487" spans="2:7" x14ac:dyDescent="0.2">
      <c r="B1487" s="116" t="s">
        <v>3245</v>
      </c>
      <c r="C1487" s="117" t="s">
        <v>3246</v>
      </c>
      <c r="D1487" s="118" t="s">
        <v>138</v>
      </c>
      <c r="E1487" s="118" t="s">
        <v>386</v>
      </c>
      <c r="F1487" s="119">
        <v>-0.12727272727272729</v>
      </c>
      <c r="G1487" s="119">
        <v>0.3000000000000001</v>
      </c>
    </row>
    <row r="1488" spans="2:7" x14ac:dyDescent="0.2">
      <c r="B1488" s="116" t="s">
        <v>3247</v>
      </c>
      <c r="C1488" s="117" t="s">
        <v>3248</v>
      </c>
      <c r="D1488" s="118" t="s">
        <v>241</v>
      </c>
      <c r="E1488" s="118" t="s">
        <v>937</v>
      </c>
      <c r="F1488" s="119">
        <v>8.0000000000000071E-2</v>
      </c>
      <c r="G1488" s="119">
        <v>0.11111111111111099</v>
      </c>
    </row>
    <row r="1489" spans="2:7" x14ac:dyDescent="0.2">
      <c r="B1489" s="116" t="s">
        <v>3249</v>
      </c>
      <c r="C1489" s="117" t="s">
        <v>3250</v>
      </c>
      <c r="D1489" s="118" t="s">
        <v>48</v>
      </c>
      <c r="E1489" s="118" t="s">
        <v>207</v>
      </c>
      <c r="F1489" s="119">
        <v>0.1130820399113082</v>
      </c>
      <c r="G1489" s="119">
        <v>0.11902390438247019</v>
      </c>
    </row>
    <row r="1490" spans="2:7" x14ac:dyDescent="0.2">
      <c r="B1490" s="116" t="s">
        <v>3251</v>
      </c>
      <c r="C1490" s="117" t="s">
        <v>3252</v>
      </c>
      <c r="D1490" s="118" t="s">
        <v>68</v>
      </c>
      <c r="E1490" s="118" t="s">
        <v>1563</v>
      </c>
      <c r="F1490" s="119">
        <v>7.6923076923076969E-2</v>
      </c>
      <c r="G1490" s="119">
        <v>7.7299412915851184E-2</v>
      </c>
    </row>
    <row r="1491" spans="2:7" x14ac:dyDescent="0.2">
      <c r="B1491" s="116" t="s">
        <v>3253</v>
      </c>
      <c r="C1491" s="117" t="s">
        <v>3254</v>
      </c>
      <c r="D1491" s="118" t="s">
        <v>34</v>
      </c>
      <c r="E1491" s="118" t="s">
        <v>1253</v>
      </c>
      <c r="F1491" s="119">
        <v>9.0909090909090912E-2</v>
      </c>
      <c r="G1491" s="119">
        <v>9.9637681159420427E-2</v>
      </c>
    </row>
    <row r="1492" spans="2:7" x14ac:dyDescent="0.2">
      <c r="B1492" s="116" t="s">
        <v>3255</v>
      </c>
      <c r="C1492" s="117" t="s">
        <v>3256</v>
      </c>
      <c r="D1492" s="118" t="s">
        <v>78</v>
      </c>
      <c r="E1492" s="118" t="s">
        <v>796</v>
      </c>
      <c r="F1492" s="119">
        <v>6.8965517241379379E-2</v>
      </c>
      <c r="G1492" s="119">
        <v>9.3189964157706015E-2</v>
      </c>
    </row>
    <row r="1493" spans="2:7" x14ac:dyDescent="0.2">
      <c r="B1493" s="116" t="s">
        <v>3257</v>
      </c>
      <c r="C1493" s="117" t="s">
        <v>3258</v>
      </c>
      <c r="D1493" s="118" t="s">
        <v>52</v>
      </c>
      <c r="E1493" s="118" t="s">
        <v>1099</v>
      </c>
      <c r="F1493" s="119">
        <v>9.8255280073461918E-2</v>
      </c>
      <c r="G1493" s="119">
        <v>0.1204013377926421</v>
      </c>
    </row>
    <row r="1494" spans="2:7" x14ac:dyDescent="0.2">
      <c r="B1494" s="116" t="s">
        <v>3259</v>
      </c>
      <c r="C1494" s="117" t="s">
        <v>3260</v>
      </c>
      <c r="D1494" s="118" t="s">
        <v>92</v>
      </c>
      <c r="E1494" s="118" t="s">
        <v>351</v>
      </c>
      <c r="F1494" s="119">
        <v>2.850877192982474E-2</v>
      </c>
      <c r="G1494" s="119">
        <v>2.1321961620468632E-3</v>
      </c>
    </row>
    <row r="1495" spans="2:7" x14ac:dyDescent="0.2">
      <c r="B1495" s="116" t="s">
        <v>3261</v>
      </c>
      <c r="C1495" s="117" t="s">
        <v>3262</v>
      </c>
      <c r="D1495" s="118" t="s">
        <v>92</v>
      </c>
      <c r="E1495" s="118" t="s">
        <v>598</v>
      </c>
      <c r="F1495" s="119">
        <v>0.10273972602739739</v>
      </c>
      <c r="G1495" s="119">
        <v>-1.8633540372670818E-2</v>
      </c>
    </row>
    <row r="1496" spans="2:7" x14ac:dyDescent="0.2">
      <c r="B1496" s="116" t="s">
        <v>3263</v>
      </c>
      <c r="C1496" s="117" t="s">
        <v>3264</v>
      </c>
      <c r="D1496" s="118" t="s">
        <v>78</v>
      </c>
      <c r="E1496" s="118" t="s">
        <v>796</v>
      </c>
      <c r="F1496" s="119">
        <v>6.4638783269961947E-2</v>
      </c>
      <c r="G1496" s="119">
        <v>9.2857142857142944E-2</v>
      </c>
    </row>
    <row r="1497" spans="2:7" x14ac:dyDescent="0.2">
      <c r="B1497" s="116" t="s">
        <v>3265</v>
      </c>
      <c r="C1497" s="117" t="s">
        <v>3266</v>
      </c>
      <c r="D1497" s="118" t="s">
        <v>92</v>
      </c>
      <c r="E1497" s="118" t="s">
        <v>299</v>
      </c>
      <c r="F1497" s="119">
        <v>0.26035502958579881</v>
      </c>
      <c r="G1497" s="119">
        <v>-7.0422535211267567E-2</v>
      </c>
    </row>
    <row r="1498" spans="2:7" x14ac:dyDescent="0.2">
      <c r="B1498" s="116" t="s">
        <v>3267</v>
      </c>
      <c r="C1498" s="117" t="s">
        <v>3268</v>
      </c>
      <c r="D1498" s="118" t="s">
        <v>39</v>
      </c>
      <c r="E1498" s="118" t="s">
        <v>979</v>
      </c>
      <c r="F1498" s="119">
        <v>-4.079254079254075E-2</v>
      </c>
      <c r="G1498" s="119">
        <v>0.1178614823815308</v>
      </c>
    </row>
    <row r="1499" spans="2:7" x14ac:dyDescent="0.2">
      <c r="B1499" s="116" t="s">
        <v>3269</v>
      </c>
      <c r="C1499" s="117" t="s">
        <v>3270</v>
      </c>
      <c r="D1499" s="118" t="s">
        <v>68</v>
      </c>
      <c r="E1499" s="118" t="s">
        <v>296</v>
      </c>
      <c r="F1499" s="119">
        <v>0.15703125000000001</v>
      </c>
      <c r="G1499" s="119">
        <v>0.11951384199864939</v>
      </c>
    </row>
    <row r="1500" spans="2:7" x14ac:dyDescent="0.2">
      <c r="B1500" s="116" t="s">
        <v>3271</v>
      </c>
      <c r="C1500" s="117" t="s">
        <v>3272</v>
      </c>
      <c r="D1500" s="118" t="s">
        <v>92</v>
      </c>
      <c r="E1500" s="118" t="s">
        <v>158</v>
      </c>
      <c r="F1500" s="119">
        <v>4.6065259117082577E-2</v>
      </c>
      <c r="G1500" s="119">
        <v>6.7889908256880752E-2</v>
      </c>
    </row>
    <row r="1501" spans="2:7" x14ac:dyDescent="0.2">
      <c r="B1501" s="116" t="s">
        <v>3273</v>
      </c>
      <c r="C1501" s="117" t="s">
        <v>3274</v>
      </c>
      <c r="D1501" s="118" t="s">
        <v>48</v>
      </c>
      <c r="E1501" s="118" t="s">
        <v>835</v>
      </c>
      <c r="F1501" s="119">
        <v>0.13613231552162841</v>
      </c>
      <c r="G1501" s="119">
        <v>0.1209406494960806</v>
      </c>
    </row>
    <row r="1502" spans="2:7" x14ac:dyDescent="0.2">
      <c r="B1502" s="116" t="s">
        <v>3275</v>
      </c>
      <c r="C1502" s="117" t="s">
        <v>3276</v>
      </c>
      <c r="D1502" s="118" t="s">
        <v>145</v>
      </c>
      <c r="E1502" s="118" t="s">
        <v>179</v>
      </c>
      <c r="F1502" s="119">
        <v>-0.1055900621118013</v>
      </c>
      <c r="G1502" s="119">
        <v>0.1736111111111111</v>
      </c>
    </row>
    <row r="1503" spans="2:7" x14ac:dyDescent="0.2">
      <c r="B1503" s="116" t="s">
        <v>3277</v>
      </c>
      <c r="C1503" s="117" t="s">
        <v>3278</v>
      </c>
      <c r="D1503" s="118" t="s">
        <v>92</v>
      </c>
      <c r="E1503" s="118" t="s">
        <v>299</v>
      </c>
      <c r="F1503" s="119">
        <v>1.3661202185792301E-2</v>
      </c>
      <c r="G1503" s="119">
        <v>3.7735849056603807E-2</v>
      </c>
    </row>
    <row r="1504" spans="2:7" x14ac:dyDescent="0.2">
      <c r="B1504" s="116" t="s">
        <v>3279</v>
      </c>
      <c r="C1504" s="117" t="s">
        <v>3280</v>
      </c>
      <c r="D1504" s="118" t="s">
        <v>48</v>
      </c>
      <c r="E1504" s="118" t="s">
        <v>1341</v>
      </c>
      <c r="F1504" s="119">
        <v>3.8781163434903093E-2</v>
      </c>
      <c r="G1504" s="119">
        <v>7.4666666666666728E-2</v>
      </c>
    </row>
    <row r="1505" spans="2:7" x14ac:dyDescent="0.2">
      <c r="B1505" s="116" t="s">
        <v>3281</v>
      </c>
      <c r="C1505" s="117" t="s">
        <v>3282</v>
      </c>
      <c r="D1505" s="118" t="s">
        <v>102</v>
      </c>
      <c r="E1505" s="118" t="s">
        <v>424</v>
      </c>
      <c r="F1505" s="119">
        <v>0.18623232944068849</v>
      </c>
      <c r="G1505" s="119">
        <v>9.9999999999999978E-2</v>
      </c>
    </row>
    <row r="1506" spans="2:7" x14ac:dyDescent="0.2">
      <c r="B1506" s="116" t="s">
        <v>3283</v>
      </c>
      <c r="C1506" s="117" t="s">
        <v>3284</v>
      </c>
      <c r="D1506" s="118" t="s">
        <v>92</v>
      </c>
      <c r="E1506" s="118" t="s">
        <v>461</v>
      </c>
      <c r="F1506" s="119">
        <v>4.8780487804878099E-2</v>
      </c>
      <c r="G1506" s="119">
        <v>3.720930232558143E-2</v>
      </c>
    </row>
    <row r="1507" spans="2:7" x14ac:dyDescent="0.2">
      <c r="B1507" s="116" t="s">
        <v>3285</v>
      </c>
      <c r="C1507" s="117" t="s">
        <v>3286</v>
      </c>
      <c r="D1507" s="118" t="s">
        <v>78</v>
      </c>
      <c r="E1507" s="118" t="s">
        <v>340</v>
      </c>
      <c r="F1507" s="119">
        <v>0.1073170731707318</v>
      </c>
      <c r="G1507" s="119">
        <v>0.12334801762114531</v>
      </c>
    </row>
    <row r="1508" spans="2:7" x14ac:dyDescent="0.2">
      <c r="B1508" s="116" t="s">
        <v>3287</v>
      </c>
      <c r="C1508" s="117" t="s">
        <v>3288</v>
      </c>
      <c r="D1508" s="118" t="s">
        <v>34</v>
      </c>
      <c r="E1508" s="118" t="s">
        <v>982</v>
      </c>
      <c r="F1508" s="119">
        <v>-7.4074074074074139E-2</v>
      </c>
      <c r="G1508" s="119">
        <v>6.6666666666666721E-2</v>
      </c>
    </row>
    <row r="1509" spans="2:7" x14ac:dyDescent="0.2">
      <c r="B1509" s="116" t="s">
        <v>3289</v>
      </c>
      <c r="C1509" s="117" t="s">
        <v>3290</v>
      </c>
      <c r="D1509" s="118" t="s">
        <v>92</v>
      </c>
      <c r="E1509" s="118" t="s">
        <v>722</v>
      </c>
      <c r="F1509" s="119">
        <v>0.1136363636363636</v>
      </c>
      <c r="G1509" s="119">
        <v>0.1224489795918368</v>
      </c>
    </row>
    <row r="1510" spans="2:7" x14ac:dyDescent="0.2">
      <c r="B1510" s="116" t="s">
        <v>3291</v>
      </c>
      <c r="C1510" s="117" t="s">
        <v>3292</v>
      </c>
      <c r="D1510" s="118" t="s">
        <v>68</v>
      </c>
      <c r="E1510" s="118" t="s">
        <v>985</v>
      </c>
      <c r="F1510" s="119">
        <v>-1.129458388375165</v>
      </c>
      <c r="G1510" s="119">
        <v>5.7755102040816331</v>
      </c>
    </row>
    <row r="1511" spans="2:7" x14ac:dyDescent="0.2">
      <c r="B1511" s="116" t="s">
        <v>3293</v>
      </c>
      <c r="C1511" s="117" t="s">
        <v>3294</v>
      </c>
      <c r="D1511" s="118" t="s">
        <v>678</v>
      </c>
      <c r="E1511" s="118" t="s">
        <v>679</v>
      </c>
      <c r="F1511" s="119">
        <v>0.1183844011142061</v>
      </c>
      <c r="G1511" s="119">
        <v>9.7135740971357562E-2</v>
      </c>
    </row>
    <row r="1512" spans="2:7" x14ac:dyDescent="0.2">
      <c r="B1512" s="116" t="s">
        <v>3295</v>
      </c>
      <c r="C1512" s="117" t="s">
        <v>3296</v>
      </c>
      <c r="D1512" s="118" t="s">
        <v>106</v>
      </c>
      <c r="E1512" s="118" t="s">
        <v>131</v>
      </c>
      <c r="F1512" s="119">
        <v>0.17647058823529421</v>
      </c>
      <c r="G1512" s="119">
        <v>0.1555555555555555</v>
      </c>
    </row>
    <row r="1513" spans="2:7" x14ac:dyDescent="0.2">
      <c r="B1513" s="116" t="s">
        <v>3297</v>
      </c>
      <c r="C1513" s="117" t="s">
        <v>3298</v>
      </c>
      <c r="D1513" s="118" t="s">
        <v>115</v>
      </c>
      <c r="E1513" s="118" t="s">
        <v>806</v>
      </c>
      <c r="F1513" s="119">
        <v>0.3724137931034483</v>
      </c>
      <c r="G1513" s="119">
        <v>0.1231155778894472</v>
      </c>
    </row>
    <row r="1514" spans="2:7" x14ac:dyDescent="0.2">
      <c r="B1514" s="116" t="s">
        <v>3299</v>
      </c>
      <c r="C1514" s="117" t="s">
        <v>3300</v>
      </c>
      <c r="D1514" s="118" t="s">
        <v>145</v>
      </c>
      <c r="E1514" s="118" t="s">
        <v>1416</v>
      </c>
      <c r="F1514" s="119">
        <v>-4.6979865771812117E-2</v>
      </c>
      <c r="G1514" s="119">
        <v>9.1549295774647974E-2</v>
      </c>
    </row>
    <row r="1515" spans="2:7" x14ac:dyDescent="0.2">
      <c r="B1515" s="116" t="s">
        <v>3301</v>
      </c>
      <c r="C1515" s="117" t="s">
        <v>3302</v>
      </c>
      <c r="D1515" s="118" t="s">
        <v>68</v>
      </c>
      <c r="E1515" s="118" t="s">
        <v>82</v>
      </c>
      <c r="F1515" s="119">
        <v>3.8202247191011222E-2</v>
      </c>
      <c r="G1515" s="119">
        <v>0.12770562770562771</v>
      </c>
    </row>
    <row r="1516" spans="2:7" x14ac:dyDescent="0.2">
      <c r="B1516" s="116" t="s">
        <v>3303</v>
      </c>
      <c r="C1516" s="117" t="s">
        <v>3304</v>
      </c>
      <c r="D1516" s="118" t="s">
        <v>34</v>
      </c>
      <c r="E1516" s="118" t="s">
        <v>319</v>
      </c>
      <c r="F1516" s="119">
        <v>0.33544303797468339</v>
      </c>
      <c r="G1516" s="119">
        <v>0.1469194312796209</v>
      </c>
    </row>
    <row r="1517" spans="2:7" x14ac:dyDescent="0.2">
      <c r="B1517" s="116" t="s">
        <v>3305</v>
      </c>
      <c r="C1517" s="117" t="s">
        <v>3306</v>
      </c>
      <c r="D1517" s="118" t="s">
        <v>138</v>
      </c>
      <c r="E1517" s="118" t="s">
        <v>427</v>
      </c>
      <c r="F1517" s="119">
        <v>1.4184397163120579E-2</v>
      </c>
      <c r="G1517" s="119">
        <v>9.7902097902097987E-2</v>
      </c>
    </row>
    <row r="1518" spans="2:7" x14ac:dyDescent="0.2">
      <c r="B1518" s="116" t="s">
        <v>3307</v>
      </c>
      <c r="C1518" s="117" t="s">
        <v>3308</v>
      </c>
      <c r="D1518" s="118" t="s">
        <v>138</v>
      </c>
      <c r="E1518" s="118" t="s">
        <v>499</v>
      </c>
      <c r="F1518" s="119">
        <v>0.28571428571428548</v>
      </c>
      <c r="G1518" s="119">
        <v>0.1388888888888889</v>
      </c>
    </row>
    <row r="1519" spans="2:7" x14ac:dyDescent="0.2">
      <c r="B1519" s="116" t="s">
        <v>3309</v>
      </c>
      <c r="C1519" s="117" t="s">
        <v>3310</v>
      </c>
      <c r="D1519" s="118" t="s">
        <v>92</v>
      </c>
      <c r="E1519" s="118" t="s">
        <v>272</v>
      </c>
      <c r="F1519" s="119">
        <v>-2.7777777777777801E-2</v>
      </c>
      <c r="G1519" s="119">
        <v>-2.8571428571428439E-2</v>
      </c>
    </row>
    <row r="1520" spans="2:7" x14ac:dyDescent="0.2">
      <c r="B1520" s="116" t="s">
        <v>3311</v>
      </c>
      <c r="C1520" s="117" t="s">
        <v>3312</v>
      </c>
      <c r="D1520" s="118" t="s">
        <v>115</v>
      </c>
      <c r="E1520" s="118" t="s">
        <v>899</v>
      </c>
      <c r="F1520" s="119">
        <v>-9.1644204851751981E-2</v>
      </c>
      <c r="G1520" s="119">
        <v>0.14540059347181</v>
      </c>
    </row>
    <row r="1521" spans="2:7" x14ac:dyDescent="0.2">
      <c r="B1521" s="116" t="s">
        <v>3313</v>
      </c>
      <c r="C1521" s="117" t="s">
        <v>3314</v>
      </c>
      <c r="D1521" s="118" t="s">
        <v>34</v>
      </c>
      <c r="E1521" s="118" t="s">
        <v>1493</v>
      </c>
      <c r="F1521" s="119">
        <v>-0.1764705882352941</v>
      </c>
      <c r="G1521" s="119">
        <v>-0.10714285714285721</v>
      </c>
    </row>
    <row r="1522" spans="2:7" x14ac:dyDescent="0.2">
      <c r="B1522" s="116" t="s">
        <v>3315</v>
      </c>
      <c r="C1522" s="117" t="s">
        <v>3316</v>
      </c>
      <c r="D1522" s="118" t="s">
        <v>115</v>
      </c>
      <c r="E1522" s="118" t="s">
        <v>1086</v>
      </c>
      <c r="F1522" s="119">
        <v>-1.951219512195124E-2</v>
      </c>
      <c r="G1522" s="119">
        <v>7.4626865671641979E-2</v>
      </c>
    </row>
    <row r="1523" spans="2:7" x14ac:dyDescent="0.2">
      <c r="B1523" s="116" t="s">
        <v>3317</v>
      </c>
      <c r="C1523" s="117" t="s">
        <v>3318</v>
      </c>
      <c r="D1523" s="118" t="s">
        <v>34</v>
      </c>
      <c r="E1523" s="118" t="s">
        <v>287</v>
      </c>
      <c r="F1523" s="119">
        <v>4.5454545454545317E-2</v>
      </c>
      <c r="G1523" s="119">
        <v>0.1159420289855074</v>
      </c>
    </row>
    <row r="1524" spans="2:7" x14ac:dyDescent="0.2">
      <c r="B1524" s="116" t="s">
        <v>3319</v>
      </c>
      <c r="C1524" s="117" t="s">
        <v>3320</v>
      </c>
      <c r="D1524" s="118" t="s">
        <v>92</v>
      </c>
      <c r="E1524" s="118" t="s">
        <v>272</v>
      </c>
      <c r="F1524" s="119">
        <v>6.9930069930069999E-3</v>
      </c>
      <c r="G1524" s="119">
        <v>0.1111111111111112</v>
      </c>
    </row>
    <row r="1525" spans="2:7" x14ac:dyDescent="0.2">
      <c r="B1525" s="116" t="s">
        <v>3321</v>
      </c>
      <c r="C1525" s="117" t="s">
        <v>3322</v>
      </c>
      <c r="D1525" s="118" t="s">
        <v>34</v>
      </c>
      <c r="E1525" s="118" t="s">
        <v>1448</v>
      </c>
      <c r="F1525" s="119">
        <v>0.39655172413793122</v>
      </c>
      <c r="G1525" s="119">
        <v>0.2345679012345678</v>
      </c>
    </row>
    <row r="1526" spans="2:7" x14ac:dyDescent="0.2">
      <c r="B1526" s="116" t="s">
        <v>3323</v>
      </c>
      <c r="C1526" s="117" t="s">
        <v>3324</v>
      </c>
      <c r="D1526" s="118" t="s">
        <v>92</v>
      </c>
      <c r="E1526" s="118" t="s">
        <v>434</v>
      </c>
      <c r="F1526" s="119">
        <v>-0.38461538461538458</v>
      </c>
      <c r="G1526" s="119">
        <v>0.44166666666666671</v>
      </c>
    </row>
    <row r="1527" spans="2:7" x14ac:dyDescent="0.2">
      <c r="B1527" s="116" t="s">
        <v>3325</v>
      </c>
      <c r="C1527" s="117" t="s">
        <v>3326</v>
      </c>
      <c r="D1527" s="118" t="s">
        <v>138</v>
      </c>
      <c r="E1527" s="118" t="s">
        <v>499</v>
      </c>
      <c r="F1527" s="119">
        <v>-0.42465753424657537</v>
      </c>
      <c r="G1527" s="119">
        <v>8.3333333333333412E-2</v>
      </c>
    </row>
    <row r="1528" spans="2:7" x14ac:dyDescent="0.2">
      <c r="B1528" s="116" t="s">
        <v>3327</v>
      </c>
      <c r="C1528" s="117" t="s">
        <v>3328</v>
      </c>
      <c r="D1528" s="118" t="s">
        <v>138</v>
      </c>
      <c r="E1528" s="118" t="s">
        <v>499</v>
      </c>
      <c r="F1528" s="119">
        <v>0.1485148514851484</v>
      </c>
      <c r="G1528" s="119">
        <v>0.1982758620689655</v>
      </c>
    </row>
    <row r="1529" spans="2:7" x14ac:dyDescent="0.2">
      <c r="B1529" s="116" t="s">
        <v>3329</v>
      </c>
      <c r="C1529" s="117" t="s">
        <v>3330</v>
      </c>
      <c r="D1529" s="118" t="s">
        <v>233</v>
      </c>
      <c r="E1529" s="118" t="s">
        <v>234</v>
      </c>
      <c r="F1529" s="119">
        <v>-0.35099337748344372</v>
      </c>
      <c r="G1529" s="119">
        <v>0.44897959183673458</v>
      </c>
    </row>
    <row r="1530" spans="2:7" x14ac:dyDescent="0.2">
      <c r="B1530" s="116" t="s">
        <v>3331</v>
      </c>
      <c r="C1530" s="117" t="s">
        <v>3332</v>
      </c>
      <c r="D1530" s="118" t="s">
        <v>241</v>
      </c>
      <c r="E1530" s="118" t="s">
        <v>1216</v>
      </c>
      <c r="F1530" s="119">
        <v>-0.2016</v>
      </c>
      <c r="G1530" s="119">
        <v>0.90981963927855691</v>
      </c>
    </row>
    <row r="1531" spans="2:7" x14ac:dyDescent="0.2">
      <c r="B1531" s="116" t="s">
        <v>3333</v>
      </c>
      <c r="C1531" s="117" t="s">
        <v>3334</v>
      </c>
      <c r="D1531" s="118" t="s">
        <v>145</v>
      </c>
      <c r="E1531" s="118" t="s">
        <v>3335</v>
      </c>
      <c r="F1531" s="119">
        <v>-0.42</v>
      </c>
      <c r="G1531" s="119">
        <v>0.48275862068965519</v>
      </c>
    </row>
    <row r="1532" spans="2:7" x14ac:dyDescent="0.2">
      <c r="B1532" s="116" t="s">
        <v>3336</v>
      </c>
      <c r="C1532" s="117" t="s">
        <v>3337</v>
      </c>
      <c r="D1532" s="118" t="s">
        <v>233</v>
      </c>
      <c r="E1532" s="118" t="s">
        <v>234</v>
      </c>
      <c r="F1532" s="119">
        <v>0.16233766233766231</v>
      </c>
      <c r="G1532" s="119">
        <v>-0.15642458100558659</v>
      </c>
    </row>
    <row r="1533" spans="2:7" x14ac:dyDescent="0.2">
      <c r="B1533" s="116" t="s">
        <v>3338</v>
      </c>
      <c r="C1533" s="117" t="s">
        <v>3339</v>
      </c>
      <c r="D1533" s="118" t="s">
        <v>92</v>
      </c>
      <c r="E1533" s="118" t="s">
        <v>399</v>
      </c>
      <c r="F1533" s="119">
        <v>0.14634146341463411</v>
      </c>
      <c r="G1533" s="119">
        <v>6.3829787234042618E-2</v>
      </c>
    </row>
    <row r="1534" spans="2:7" x14ac:dyDescent="0.2">
      <c r="B1534" s="116" t="s">
        <v>3340</v>
      </c>
      <c r="C1534" s="117" t="s">
        <v>3341</v>
      </c>
      <c r="D1534" s="118" t="s">
        <v>102</v>
      </c>
      <c r="E1534" s="118" t="s">
        <v>176</v>
      </c>
      <c r="F1534" s="119">
        <v>0.23155216284987271</v>
      </c>
      <c r="G1534" s="119">
        <v>0.17768595041322319</v>
      </c>
    </row>
    <row r="1535" spans="2:7" x14ac:dyDescent="0.2">
      <c r="B1535" s="116" t="s">
        <v>3342</v>
      </c>
      <c r="C1535" s="117" t="s">
        <v>3343</v>
      </c>
      <c r="D1535" s="118" t="s">
        <v>39</v>
      </c>
      <c r="E1535" s="118" t="s">
        <v>3183</v>
      </c>
      <c r="F1535" s="119">
        <v>8.9828269484808418E-2</v>
      </c>
      <c r="G1535" s="119">
        <v>0.1551515151515151</v>
      </c>
    </row>
    <row r="1536" spans="2:7" x14ac:dyDescent="0.2">
      <c r="B1536" s="116" t="s">
        <v>3344</v>
      </c>
      <c r="C1536" s="117" t="s">
        <v>3345</v>
      </c>
      <c r="D1536" s="118" t="s">
        <v>34</v>
      </c>
      <c r="E1536" s="118" t="s">
        <v>99</v>
      </c>
      <c r="F1536" s="119">
        <v>4.8154093097913291E-2</v>
      </c>
      <c r="G1536" s="119">
        <v>0.11791730474732</v>
      </c>
    </row>
    <row r="1537" spans="2:7" x14ac:dyDescent="0.2">
      <c r="B1537" s="116" t="s">
        <v>3346</v>
      </c>
      <c r="C1537" s="117" t="s">
        <v>3347</v>
      </c>
      <c r="D1537" s="118" t="s">
        <v>92</v>
      </c>
      <c r="E1537" s="118" t="s">
        <v>272</v>
      </c>
      <c r="F1537" s="119">
        <v>-8.9473684210526289E-2</v>
      </c>
      <c r="G1537" s="119">
        <v>4.9132947976878602E-2</v>
      </c>
    </row>
    <row r="1538" spans="2:7" x14ac:dyDescent="0.2">
      <c r="B1538" s="116" t="s">
        <v>3348</v>
      </c>
      <c r="C1538" s="117" t="s">
        <v>3349</v>
      </c>
      <c r="D1538" s="118" t="s">
        <v>241</v>
      </c>
      <c r="E1538" s="118" t="s">
        <v>306</v>
      </c>
      <c r="F1538" s="119">
        <v>-0.58139534883720934</v>
      </c>
      <c r="G1538" s="119">
        <v>-0.17777777777777781</v>
      </c>
    </row>
    <row r="1539" spans="2:7" x14ac:dyDescent="0.2">
      <c r="B1539" s="116" t="s">
        <v>3350</v>
      </c>
      <c r="C1539" s="117" t="s">
        <v>3351</v>
      </c>
      <c r="D1539" s="118" t="s">
        <v>34</v>
      </c>
      <c r="E1539" s="118" t="s">
        <v>278</v>
      </c>
      <c r="F1539" s="119">
        <v>0.17204301075268821</v>
      </c>
      <c r="G1539" s="119">
        <v>0.1559633027522935</v>
      </c>
    </row>
    <row r="1540" spans="2:7" x14ac:dyDescent="0.2">
      <c r="B1540" s="116" t="s">
        <v>3352</v>
      </c>
      <c r="C1540" s="117" t="s">
        <v>3353</v>
      </c>
      <c r="D1540" s="118" t="s">
        <v>241</v>
      </c>
      <c r="E1540" s="118" t="s">
        <v>1634</v>
      </c>
      <c r="F1540" s="119">
        <v>0.22310756972111559</v>
      </c>
      <c r="G1540" s="119">
        <v>5.5374592833876343E-2</v>
      </c>
    </row>
    <row r="1541" spans="2:7" x14ac:dyDescent="0.2">
      <c r="B1541" s="116" t="s">
        <v>3354</v>
      </c>
      <c r="C1541" s="117" t="s">
        <v>3355</v>
      </c>
      <c r="D1541" s="118" t="s">
        <v>92</v>
      </c>
      <c r="E1541" s="118" t="s">
        <v>378</v>
      </c>
      <c r="F1541" s="119">
        <v>0.38987341772151901</v>
      </c>
      <c r="G1541" s="119">
        <v>0.13114754098360651</v>
      </c>
    </row>
    <row r="1542" spans="2:7" x14ac:dyDescent="0.2">
      <c r="B1542" s="116" t="s">
        <v>3356</v>
      </c>
      <c r="C1542" s="117" t="s">
        <v>3357</v>
      </c>
      <c r="D1542" s="118" t="s">
        <v>34</v>
      </c>
      <c r="E1542" s="118" t="s">
        <v>99</v>
      </c>
      <c r="F1542" s="119">
        <v>0.15141955835962151</v>
      </c>
      <c r="G1542" s="119">
        <v>0.11780821917808219</v>
      </c>
    </row>
    <row r="1543" spans="2:7" x14ac:dyDescent="0.2">
      <c r="B1543" s="116" t="s">
        <v>3358</v>
      </c>
      <c r="C1543" s="117" t="s">
        <v>3359</v>
      </c>
      <c r="D1543" s="118" t="s">
        <v>106</v>
      </c>
      <c r="E1543" s="118" t="s">
        <v>563</v>
      </c>
      <c r="F1543" s="119">
        <v>6.506024096385532E-2</v>
      </c>
      <c r="G1543" s="119">
        <v>0.1063348416289592</v>
      </c>
    </row>
    <row r="1544" spans="2:7" x14ac:dyDescent="0.2">
      <c r="B1544" s="116" t="s">
        <v>3360</v>
      </c>
      <c r="C1544" s="117" t="s">
        <v>3361</v>
      </c>
      <c r="D1544" s="118" t="s">
        <v>34</v>
      </c>
      <c r="E1544" s="118" t="s">
        <v>1493</v>
      </c>
      <c r="F1544" s="119">
        <v>0.1170212765957446</v>
      </c>
      <c r="G1544" s="119">
        <v>8.1904761904761855E-2</v>
      </c>
    </row>
    <row r="1545" spans="2:7" x14ac:dyDescent="0.2">
      <c r="B1545" s="116" t="s">
        <v>3362</v>
      </c>
      <c r="C1545" s="117" t="s">
        <v>3363</v>
      </c>
      <c r="D1545" s="118" t="s">
        <v>68</v>
      </c>
      <c r="E1545" s="118" t="s">
        <v>87</v>
      </c>
      <c r="F1545" s="119">
        <v>0.195822454308094</v>
      </c>
      <c r="G1545" s="119">
        <v>0.31659388646288211</v>
      </c>
    </row>
    <row r="1546" spans="2:7" x14ac:dyDescent="0.2">
      <c r="B1546" s="116" t="s">
        <v>3364</v>
      </c>
      <c r="C1546" s="117" t="s">
        <v>3365</v>
      </c>
      <c r="D1546" s="118" t="s">
        <v>34</v>
      </c>
      <c r="E1546" s="118" t="s">
        <v>1253</v>
      </c>
      <c r="F1546" s="119">
        <v>0.83216783216783219</v>
      </c>
      <c r="G1546" s="119">
        <v>3.916666666666667</v>
      </c>
    </row>
    <row r="1547" spans="2:7" x14ac:dyDescent="0.2">
      <c r="B1547" s="116" t="s">
        <v>3366</v>
      </c>
      <c r="C1547" s="117" t="s">
        <v>3367</v>
      </c>
      <c r="D1547" s="118" t="s">
        <v>145</v>
      </c>
      <c r="E1547" s="118" t="s">
        <v>360</v>
      </c>
      <c r="F1547" s="119">
        <v>-8.6206896551724223E-3</v>
      </c>
      <c r="G1547" s="119">
        <v>8.6956521739130523E-3</v>
      </c>
    </row>
    <row r="1548" spans="2:7" x14ac:dyDescent="0.2">
      <c r="B1548" s="116" t="s">
        <v>3368</v>
      </c>
      <c r="C1548" s="117" t="s">
        <v>3369</v>
      </c>
      <c r="D1548" s="118" t="s">
        <v>138</v>
      </c>
      <c r="E1548" s="118" t="s">
        <v>139</v>
      </c>
      <c r="F1548" s="119">
        <v>0.63358778625954204</v>
      </c>
      <c r="G1548" s="119">
        <v>0.1121495327102803</v>
      </c>
    </row>
    <row r="1549" spans="2:7" x14ac:dyDescent="0.2">
      <c r="B1549" s="116" t="s">
        <v>3370</v>
      </c>
      <c r="C1549" s="117" t="s">
        <v>3371</v>
      </c>
      <c r="D1549" s="118" t="s">
        <v>92</v>
      </c>
      <c r="E1549" s="118" t="s">
        <v>272</v>
      </c>
      <c r="F1549" s="119">
        <v>-4.477611940298501E-2</v>
      </c>
      <c r="G1549" s="119">
        <v>2.343750000000008E-2</v>
      </c>
    </row>
    <row r="1550" spans="2:7" x14ac:dyDescent="0.2">
      <c r="B1550" s="116" t="s">
        <v>3372</v>
      </c>
      <c r="C1550" s="117" t="s">
        <v>3373</v>
      </c>
      <c r="D1550" s="118" t="s">
        <v>145</v>
      </c>
      <c r="E1550" s="118" t="s">
        <v>360</v>
      </c>
      <c r="F1550" s="119">
        <v>3.100775193798452E-2</v>
      </c>
      <c r="G1550" s="119">
        <v>9.774436090225555E-2</v>
      </c>
    </row>
    <row r="1551" spans="2:7" x14ac:dyDescent="0.2">
      <c r="B1551" s="116" t="s">
        <v>3374</v>
      </c>
      <c r="C1551" s="117" t="s">
        <v>3375</v>
      </c>
      <c r="D1551" s="118" t="s">
        <v>233</v>
      </c>
      <c r="E1551" s="118" t="s">
        <v>469</v>
      </c>
      <c r="F1551" s="119">
        <v>0.12592592592592591</v>
      </c>
      <c r="G1551" s="119">
        <v>2.960526315789469E-2</v>
      </c>
    </row>
    <row r="1552" spans="2:7" x14ac:dyDescent="0.2">
      <c r="B1552" s="116" t="s">
        <v>3376</v>
      </c>
      <c r="C1552" s="117" t="s">
        <v>3377</v>
      </c>
      <c r="D1552" s="118" t="s">
        <v>34</v>
      </c>
      <c r="E1552" s="118" t="s">
        <v>982</v>
      </c>
      <c r="F1552" s="119">
        <v>2.7777777777777759E-2</v>
      </c>
      <c r="G1552" s="119">
        <v>1.8711018711018872E-2</v>
      </c>
    </row>
    <row r="1553" spans="2:7" x14ac:dyDescent="0.2">
      <c r="B1553" s="116" t="s">
        <v>3378</v>
      </c>
      <c r="C1553" s="117" t="s">
        <v>3379</v>
      </c>
      <c r="D1553" s="118" t="s">
        <v>52</v>
      </c>
      <c r="E1553" s="118" t="s">
        <v>281</v>
      </c>
      <c r="F1553" s="119">
        <v>-0.55140186915887834</v>
      </c>
      <c r="G1553" s="119">
        <v>4.6686746987951749E-2</v>
      </c>
    </row>
    <row r="1554" spans="2:7" x14ac:dyDescent="0.2">
      <c r="B1554" s="116" t="s">
        <v>3380</v>
      </c>
      <c r="C1554" s="117" t="s">
        <v>3381</v>
      </c>
      <c r="D1554" s="118" t="s">
        <v>48</v>
      </c>
      <c r="E1554" s="118" t="s">
        <v>207</v>
      </c>
      <c r="F1554" s="119">
        <v>8.5714285714285618E-2</v>
      </c>
      <c r="G1554" s="119">
        <v>0.13157894736842121</v>
      </c>
    </row>
    <row r="1555" spans="2:7" x14ac:dyDescent="0.2">
      <c r="B1555" s="116" t="s">
        <v>3382</v>
      </c>
      <c r="C1555" s="117" t="s">
        <v>3383</v>
      </c>
      <c r="D1555" s="118" t="s">
        <v>92</v>
      </c>
      <c r="E1555" s="118" t="s">
        <v>598</v>
      </c>
      <c r="F1555" s="119">
        <v>0.17241379310344829</v>
      </c>
      <c r="G1555" s="119">
        <v>6.5126050420168169E-2</v>
      </c>
    </row>
    <row r="1556" spans="2:7" x14ac:dyDescent="0.2">
      <c r="B1556" s="116" t="s">
        <v>3384</v>
      </c>
      <c r="C1556" s="117" t="s">
        <v>3385</v>
      </c>
      <c r="D1556" s="118" t="s">
        <v>34</v>
      </c>
      <c r="E1556" s="118" t="s">
        <v>628</v>
      </c>
      <c r="F1556" s="119">
        <v>0.1178660049627791</v>
      </c>
      <c r="G1556" s="119">
        <v>0.12430632630410671</v>
      </c>
    </row>
    <row r="1557" spans="2:7" x14ac:dyDescent="0.2">
      <c r="B1557" s="116" t="s">
        <v>3386</v>
      </c>
      <c r="C1557" s="117" t="s">
        <v>3387</v>
      </c>
      <c r="D1557" s="118" t="s">
        <v>34</v>
      </c>
      <c r="E1557" s="118" t="s">
        <v>2856</v>
      </c>
      <c r="F1557" s="119">
        <v>4.4943820224719142E-2</v>
      </c>
      <c r="G1557" s="119">
        <v>0.1505376344086021</v>
      </c>
    </row>
    <row r="1558" spans="2:7" x14ac:dyDescent="0.2">
      <c r="B1558" s="116" t="s">
        <v>3388</v>
      </c>
      <c r="C1558" s="117" t="s">
        <v>3389</v>
      </c>
      <c r="D1558" s="118" t="s">
        <v>233</v>
      </c>
      <c r="E1558" s="118" t="s">
        <v>234</v>
      </c>
      <c r="F1558" s="119">
        <v>-4.0103492884864228E-2</v>
      </c>
      <c r="G1558" s="119">
        <v>4.7169811320754672E-2</v>
      </c>
    </row>
    <row r="1559" spans="2:7" x14ac:dyDescent="0.2">
      <c r="B1559" s="116" t="s">
        <v>3390</v>
      </c>
      <c r="C1559" s="117" t="s">
        <v>3391</v>
      </c>
      <c r="D1559" s="118" t="s">
        <v>92</v>
      </c>
      <c r="E1559" s="118" t="s">
        <v>299</v>
      </c>
      <c r="F1559" s="119">
        <v>-0.13529411764705879</v>
      </c>
      <c r="G1559" s="119">
        <v>8.8435374149659948E-2</v>
      </c>
    </row>
    <row r="1560" spans="2:7" x14ac:dyDescent="0.2">
      <c r="B1560" s="116" t="s">
        <v>3392</v>
      </c>
      <c r="C1560" s="117" t="s">
        <v>3393</v>
      </c>
      <c r="D1560" s="118" t="s">
        <v>92</v>
      </c>
      <c r="E1560" s="118" t="s">
        <v>399</v>
      </c>
      <c r="F1560" s="119">
        <v>9.8930481283422481E-2</v>
      </c>
      <c r="G1560" s="119">
        <v>-1.946472019464722E-2</v>
      </c>
    </row>
    <row r="1561" spans="2:7" x14ac:dyDescent="0.2">
      <c r="B1561" s="116" t="s">
        <v>3394</v>
      </c>
      <c r="C1561" s="117" t="s">
        <v>3395</v>
      </c>
      <c r="D1561" s="118" t="s">
        <v>68</v>
      </c>
      <c r="E1561" s="118" t="s">
        <v>296</v>
      </c>
      <c r="F1561" s="119">
        <v>0.27479526842584162</v>
      </c>
      <c r="G1561" s="119">
        <v>0.18201284796573869</v>
      </c>
    </row>
    <row r="1562" spans="2:7" x14ac:dyDescent="0.2">
      <c r="B1562" s="116" t="s">
        <v>3396</v>
      </c>
      <c r="C1562" s="117" t="s">
        <v>3397</v>
      </c>
      <c r="D1562" s="118" t="s">
        <v>106</v>
      </c>
      <c r="E1562" s="118" t="s">
        <v>842</v>
      </c>
      <c r="F1562" s="119">
        <v>5.9523809523809493E-2</v>
      </c>
      <c r="G1562" s="119">
        <v>0.153558052434457</v>
      </c>
    </row>
    <row r="1563" spans="2:7" x14ac:dyDescent="0.2">
      <c r="B1563" s="116" t="s">
        <v>3398</v>
      </c>
      <c r="C1563" s="117" t="s">
        <v>3399</v>
      </c>
      <c r="D1563" s="118" t="s">
        <v>34</v>
      </c>
      <c r="E1563" s="118" t="s">
        <v>319</v>
      </c>
      <c r="F1563" s="119">
        <v>0.32283464566929132</v>
      </c>
      <c r="G1563" s="119">
        <v>0.3095238095238097</v>
      </c>
    </row>
    <row r="1564" spans="2:7" x14ac:dyDescent="0.2">
      <c r="B1564" s="116" t="s">
        <v>3400</v>
      </c>
      <c r="C1564" s="117" t="s">
        <v>3401</v>
      </c>
      <c r="D1564" s="118" t="s">
        <v>34</v>
      </c>
      <c r="E1564" s="118" t="s">
        <v>2334</v>
      </c>
      <c r="F1564" s="119">
        <v>-0.36929460580912871</v>
      </c>
      <c r="G1564" s="119">
        <v>1.3322368421052631</v>
      </c>
    </row>
    <row r="1565" spans="2:7" x14ac:dyDescent="0.2">
      <c r="B1565" s="116" t="s">
        <v>3402</v>
      </c>
      <c r="C1565" s="117" t="s">
        <v>3403</v>
      </c>
      <c r="D1565" s="118" t="s">
        <v>138</v>
      </c>
      <c r="E1565" s="118" t="s">
        <v>139</v>
      </c>
      <c r="F1565" s="119">
        <v>5.3892215568862332E-2</v>
      </c>
      <c r="G1565" s="119">
        <v>6.8181818181818121E-2</v>
      </c>
    </row>
    <row r="1566" spans="2:7" x14ac:dyDescent="0.2">
      <c r="B1566" s="116" t="s">
        <v>3404</v>
      </c>
      <c r="C1566" s="117" t="s">
        <v>3405</v>
      </c>
      <c r="D1566" s="118" t="s">
        <v>102</v>
      </c>
      <c r="E1566" s="118" t="s">
        <v>103</v>
      </c>
      <c r="F1566" s="119">
        <v>-4.9180327868852507E-2</v>
      </c>
      <c r="G1566" s="119">
        <v>0.1206896551724139</v>
      </c>
    </row>
    <row r="1567" spans="2:7" x14ac:dyDescent="0.2">
      <c r="B1567" s="116" t="s">
        <v>3406</v>
      </c>
      <c r="C1567" s="117" t="s">
        <v>3407</v>
      </c>
      <c r="D1567" s="118" t="s">
        <v>92</v>
      </c>
      <c r="E1567" s="118" t="s">
        <v>272</v>
      </c>
      <c r="F1567" s="119">
        <v>2.9629629629629659E-2</v>
      </c>
      <c r="G1567" s="119">
        <v>4.5563549160671547E-2</v>
      </c>
    </row>
    <row r="1568" spans="2:7" x14ac:dyDescent="0.2">
      <c r="B1568" s="116" t="s">
        <v>3408</v>
      </c>
      <c r="C1568" s="117" t="s">
        <v>3409</v>
      </c>
      <c r="D1568" s="118" t="s">
        <v>52</v>
      </c>
      <c r="E1568" s="118" t="s">
        <v>725</v>
      </c>
      <c r="F1568" s="119">
        <v>5.2631578947368467E-2</v>
      </c>
      <c r="G1568" s="119">
        <v>0.25000000000000011</v>
      </c>
    </row>
    <row r="1569" spans="2:7" x14ac:dyDescent="0.2">
      <c r="B1569" s="116" t="s">
        <v>3410</v>
      </c>
      <c r="C1569" s="117" t="s">
        <v>3411</v>
      </c>
      <c r="D1569" s="118" t="s">
        <v>241</v>
      </c>
      <c r="E1569" s="118" t="s">
        <v>2596</v>
      </c>
      <c r="F1569" s="119">
        <v>-0.1333333333333333</v>
      </c>
      <c r="G1569" s="119">
        <v>0.34319526627218938</v>
      </c>
    </row>
    <row r="1570" spans="2:7" x14ac:dyDescent="0.2">
      <c r="B1570" s="116" t="s">
        <v>3412</v>
      </c>
      <c r="C1570" s="117" t="s">
        <v>3413</v>
      </c>
      <c r="D1570" s="118" t="s">
        <v>106</v>
      </c>
      <c r="E1570" s="118" t="s">
        <v>131</v>
      </c>
      <c r="F1570" s="119">
        <v>0.12698412698412709</v>
      </c>
      <c r="G1570" s="119">
        <v>0.15926327193932821</v>
      </c>
    </row>
    <row r="1571" spans="2:7" x14ac:dyDescent="0.2">
      <c r="B1571" s="116" t="s">
        <v>3414</v>
      </c>
      <c r="C1571" s="117" t="s">
        <v>3415</v>
      </c>
      <c r="D1571" s="118" t="s">
        <v>92</v>
      </c>
      <c r="E1571" s="118" t="s">
        <v>195</v>
      </c>
      <c r="F1571" s="119">
        <v>-7.2792362768496557E-2</v>
      </c>
      <c r="G1571" s="119">
        <v>5.5341055341055309E-2</v>
      </c>
    </row>
    <row r="1572" spans="2:7" x14ac:dyDescent="0.2">
      <c r="B1572" s="116" t="s">
        <v>3416</v>
      </c>
      <c r="C1572" s="117" t="s">
        <v>3417</v>
      </c>
      <c r="D1572" s="118" t="s">
        <v>92</v>
      </c>
      <c r="E1572" s="118" t="s">
        <v>461</v>
      </c>
      <c r="F1572" s="119">
        <v>0.12499999999999981</v>
      </c>
      <c r="G1572" s="119">
        <v>-5.2410901467505253E-2</v>
      </c>
    </row>
    <row r="1573" spans="2:7" x14ac:dyDescent="0.2">
      <c r="B1573" s="116" t="s">
        <v>3418</v>
      </c>
      <c r="C1573" s="117" t="s">
        <v>3419</v>
      </c>
      <c r="D1573" s="118" t="s">
        <v>115</v>
      </c>
      <c r="E1573" s="118" t="s">
        <v>806</v>
      </c>
      <c r="F1573" s="119">
        <v>0.19924812030075181</v>
      </c>
      <c r="G1573" s="119">
        <v>0.12225705329153611</v>
      </c>
    </row>
    <row r="1574" spans="2:7" x14ac:dyDescent="0.2">
      <c r="B1574" s="116" t="s">
        <v>3420</v>
      </c>
      <c r="C1574" s="117" t="s">
        <v>3421</v>
      </c>
      <c r="D1574" s="118" t="s">
        <v>115</v>
      </c>
      <c r="E1574" s="118" t="s">
        <v>1201</v>
      </c>
      <c r="F1574" s="119">
        <v>3.6326250856751147E-2</v>
      </c>
      <c r="G1574" s="119">
        <v>0.10251322751322769</v>
      </c>
    </row>
    <row r="1575" spans="2:7" x14ac:dyDescent="0.2">
      <c r="B1575" s="116" t="s">
        <v>3422</v>
      </c>
      <c r="C1575" s="117" t="s">
        <v>3423</v>
      </c>
      <c r="D1575" s="118" t="s">
        <v>68</v>
      </c>
      <c r="E1575" s="118" t="s">
        <v>75</v>
      </c>
      <c r="F1575" s="119">
        <v>-3.1746031746031772E-2</v>
      </c>
      <c r="G1575" s="119">
        <v>0.1967213114754098</v>
      </c>
    </row>
    <row r="1576" spans="2:7" x14ac:dyDescent="0.2">
      <c r="B1576" s="116" t="s">
        <v>3424</v>
      </c>
      <c r="C1576" s="117" t="s">
        <v>3425</v>
      </c>
      <c r="D1576" s="118" t="s">
        <v>34</v>
      </c>
      <c r="E1576" s="118" t="s">
        <v>990</v>
      </c>
      <c r="F1576" s="119">
        <v>0.14285714285714279</v>
      </c>
      <c r="G1576" s="119">
        <v>4.1666666666666713E-2</v>
      </c>
    </row>
    <row r="1577" spans="2:7" x14ac:dyDescent="0.2">
      <c r="B1577" s="116" t="s">
        <v>3426</v>
      </c>
      <c r="C1577" s="117" t="s">
        <v>3427</v>
      </c>
      <c r="D1577" s="118" t="s">
        <v>34</v>
      </c>
      <c r="E1577" s="118" t="s">
        <v>245</v>
      </c>
      <c r="F1577" s="119">
        <v>7.9545454545454489E-2</v>
      </c>
      <c r="G1577" s="119">
        <v>0.46315789473684199</v>
      </c>
    </row>
    <row r="1578" spans="2:7" x14ac:dyDescent="0.2">
      <c r="B1578" s="116" t="s">
        <v>3428</v>
      </c>
      <c r="C1578" s="117" t="s">
        <v>3429</v>
      </c>
      <c r="D1578" s="118" t="s">
        <v>48</v>
      </c>
      <c r="E1578" s="118" t="s">
        <v>835</v>
      </c>
      <c r="F1578" s="119">
        <v>0.21285140562248989</v>
      </c>
      <c r="G1578" s="119">
        <v>2.3178807947019819E-2</v>
      </c>
    </row>
    <row r="1579" spans="2:7" x14ac:dyDescent="0.2">
      <c r="B1579" s="116" t="s">
        <v>3430</v>
      </c>
      <c r="C1579" s="117" t="s">
        <v>3431</v>
      </c>
      <c r="D1579" s="118" t="s">
        <v>145</v>
      </c>
      <c r="E1579" s="118" t="s">
        <v>917</v>
      </c>
      <c r="F1579" s="119">
        <v>-0.55966587112171851</v>
      </c>
      <c r="G1579" s="119">
        <v>0.2872628726287263</v>
      </c>
    </row>
    <row r="1580" spans="2:7" x14ac:dyDescent="0.2">
      <c r="B1580" s="116" t="s">
        <v>3432</v>
      </c>
      <c r="C1580" s="117" t="s">
        <v>3433</v>
      </c>
      <c r="D1580" s="118" t="s">
        <v>92</v>
      </c>
      <c r="E1580" s="118" t="s">
        <v>192</v>
      </c>
      <c r="F1580" s="119">
        <v>0.11644535240040869</v>
      </c>
      <c r="G1580" s="119">
        <v>9.7895699908508715E-2</v>
      </c>
    </row>
    <row r="1581" spans="2:7" x14ac:dyDescent="0.2">
      <c r="B1581" s="116" t="s">
        <v>3434</v>
      </c>
      <c r="C1581" s="117" t="s">
        <v>3435</v>
      </c>
      <c r="D1581" s="118" t="s">
        <v>106</v>
      </c>
      <c r="E1581" s="118" t="s">
        <v>842</v>
      </c>
      <c r="F1581" s="119">
        <v>4.5893719806763378E-2</v>
      </c>
      <c r="G1581" s="119">
        <v>8.5450346420323342E-2</v>
      </c>
    </row>
    <row r="1582" spans="2:7" x14ac:dyDescent="0.2">
      <c r="B1582" s="116" t="s">
        <v>3436</v>
      </c>
      <c r="C1582" s="117" t="s">
        <v>3437</v>
      </c>
      <c r="D1582" s="118" t="s">
        <v>241</v>
      </c>
      <c r="E1582" s="118" t="s">
        <v>937</v>
      </c>
      <c r="F1582" s="119">
        <v>0.23749999999999991</v>
      </c>
      <c r="G1582" s="119">
        <v>9.0909090909090995E-2</v>
      </c>
    </row>
    <row r="1583" spans="2:7" x14ac:dyDescent="0.2">
      <c r="B1583" s="116" t="s">
        <v>3438</v>
      </c>
      <c r="C1583" s="117" t="s">
        <v>3439</v>
      </c>
      <c r="D1583" s="118" t="s">
        <v>52</v>
      </c>
      <c r="E1583" s="118" t="s">
        <v>714</v>
      </c>
      <c r="F1583" s="119">
        <v>0.1165048543689319</v>
      </c>
      <c r="G1583" s="119">
        <v>8.6956521739130516E-2</v>
      </c>
    </row>
    <row r="1584" spans="2:7" x14ac:dyDescent="0.2">
      <c r="B1584" s="116" t="s">
        <v>3440</v>
      </c>
      <c r="C1584" s="117" t="s">
        <v>3441</v>
      </c>
      <c r="D1584" s="118" t="s">
        <v>52</v>
      </c>
      <c r="E1584" s="118" t="s">
        <v>714</v>
      </c>
      <c r="F1584" s="119">
        <v>1.6563146997929622E-2</v>
      </c>
      <c r="G1584" s="119">
        <v>4.2769857433808553E-2</v>
      </c>
    </row>
    <row r="1585" spans="2:7" x14ac:dyDescent="0.2">
      <c r="B1585" s="116" t="s">
        <v>3442</v>
      </c>
      <c r="C1585" s="117" t="s">
        <v>3443</v>
      </c>
      <c r="D1585" s="118" t="s">
        <v>106</v>
      </c>
      <c r="E1585" s="118" t="s">
        <v>1053</v>
      </c>
      <c r="F1585" s="119">
        <v>8.2706766917293131E-2</v>
      </c>
      <c r="G1585" s="119">
        <v>9.027777777777786E-2</v>
      </c>
    </row>
    <row r="1586" spans="2:7" x14ac:dyDescent="0.2">
      <c r="B1586" s="116" t="s">
        <v>3444</v>
      </c>
      <c r="C1586" s="117" t="s">
        <v>3445</v>
      </c>
      <c r="D1586" s="118" t="s">
        <v>92</v>
      </c>
      <c r="E1586" s="118" t="s">
        <v>272</v>
      </c>
      <c r="F1586" s="119">
        <v>-7.421150278293126E-2</v>
      </c>
      <c r="G1586" s="119">
        <v>1.6032064128256529E-2</v>
      </c>
    </row>
    <row r="1587" spans="2:7" x14ac:dyDescent="0.2">
      <c r="B1587" s="116" t="s">
        <v>3446</v>
      </c>
      <c r="C1587" s="117" t="s">
        <v>3447</v>
      </c>
      <c r="D1587" s="118" t="s">
        <v>145</v>
      </c>
      <c r="E1587" s="118" t="s">
        <v>402</v>
      </c>
      <c r="F1587" s="119">
        <v>0.17391304347826089</v>
      </c>
      <c r="G1587" s="119">
        <v>0.37037037037037018</v>
      </c>
    </row>
    <row r="1588" spans="2:7" x14ac:dyDescent="0.2">
      <c r="B1588" s="116" t="s">
        <v>3448</v>
      </c>
      <c r="C1588" s="117" t="s">
        <v>3449</v>
      </c>
      <c r="D1588" s="118" t="s">
        <v>106</v>
      </c>
      <c r="E1588" s="118" t="s">
        <v>1764</v>
      </c>
      <c r="F1588" s="119">
        <v>-9.9702380952380945E-2</v>
      </c>
      <c r="G1588" s="119">
        <v>-1.6528925619834649E-2</v>
      </c>
    </row>
    <row r="1589" spans="2:7" x14ac:dyDescent="0.2">
      <c r="B1589" s="116" t="s">
        <v>3450</v>
      </c>
      <c r="C1589" s="117" t="s">
        <v>3451</v>
      </c>
      <c r="D1589" s="118" t="s">
        <v>241</v>
      </c>
      <c r="E1589" s="118" t="s">
        <v>306</v>
      </c>
      <c r="F1589" s="119">
        <v>1.9230769230769229</v>
      </c>
      <c r="G1589" s="119">
        <v>0.94736842105263153</v>
      </c>
    </row>
    <row r="1590" spans="2:7" x14ac:dyDescent="0.2">
      <c r="B1590" s="116" t="s">
        <v>3452</v>
      </c>
      <c r="C1590" s="117" t="s">
        <v>3453</v>
      </c>
      <c r="D1590" s="118" t="s">
        <v>92</v>
      </c>
      <c r="E1590" s="118" t="s">
        <v>96</v>
      </c>
      <c r="F1590" s="119">
        <v>0.1171874999999999</v>
      </c>
      <c r="G1590" s="119">
        <v>2.0979020979021001E-2</v>
      </c>
    </row>
    <row r="1591" spans="2:7" x14ac:dyDescent="0.2">
      <c r="B1591" s="116" t="s">
        <v>3454</v>
      </c>
      <c r="C1591" s="117" t="s">
        <v>3455</v>
      </c>
      <c r="D1591" s="118" t="s">
        <v>92</v>
      </c>
      <c r="E1591" s="118" t="s">
        <v>112</v>
      </c>
      <c r="F1591" s="119">
        <v>-8.2969432314410452E-2</v>
      </c>
      <c r="G1591" s="119">
        <v>1.904761904761906E-2</v>
      </c>
    </row>
    <row r="1592" spans="2:7" x14ac:dyDescent="0.2">
      <c r="B1592" s="116" t="s">
        <v>3456</v>
      </c>
      <c r="C1592" s="117" t="s">
        <v>3457</v>
      </c>
      <c r="D1592" s="118" t="s">
        <v>145</v>
      </c>
      <c r="E1592" s="118" t="s">
        <v>1093</v>
      </c>
      <c r="F1592" s="119">
        <v>-2.2277227722772242E-2</v>
      </c>
      <c r="G1592" s="119">
        <v>-0.14177215189873421</v>
      </c>
    </row>
    <row r="1593" spans="2:7" x14ac:dyDescent="0.2">
      <c r="B1593" s="116" t="s">
        <v>3458</v>
      </c>
      <c r="C1593" s="117" t="s">
        <v>3459</v>
      </c>
      <c r="D1593" s="118" t="s">
        <v>52</v>
      </c>
      <c r="E1593" s="118" t="s">
        <v>2678</v>
      </c>
      <c r="F1593" s="119">
        <v>9.9537037037036966E-2</v>
      </c>
      <c r="G1593" s="119">
        <v>3.3684210526315823E-2</v>
      </c>
    </row>
    <row r="1594" spans="2:7" x14ac:dyDescent="0.2">
      <c r="B1594" s="116" t="s">
        <v>3460</v>
      </c>
      <c r="C1594" s="117" t="s">
        <v>3461</v>
      </c>
      <c r="D1594" s="118" t="s">
        <v>102</v>
      </c>
      <c r="E1594" s="118" t="s">
        <v>1977</v>
      </c>
      <c r="F1594" s="119">
        <v>2.0123839009287912E-2</v>
      </c>
      <c r="G1594" s="119">
        <v>5.1593323216995432E-2</v>
      </c>
    </row>
    <row r="1595" spans="2:7" x14ac:dyDescent="0.2">
      <c r="B1595" s="116" t="s">
        <v>3462</v>
      </c>
      <c r="C1595" s="117" t="s">
        <v>3463</v>
      </c>
      <c r="D1595" s="118" t="s">
        <v>68</v>
      </c>
      <c r="E1595" s="118" t="s">
        <v>72</v>
      </c>
      <c r="F1595" s="119">
        <v>9.6428571428571447E-2</v>
      </c>
      <c r="G1595" s="119">
        <v>9.7719869706840476E-2</v>
      </c>
    </row>
    <row r="1596" spans="2:7" x14ac:dyDescent="0.2">
      <c r="B1596" s="116" t="s">
        <v>3464</v>
      </c>
      <c r="C1596" s="117" t="s">
        <v>3465</v>
      </c>
      <c r="D1596" s="118" t="s">
        <v>92</v>
      </c>
      <c r="E1596" s="118" t="s">
        <v>351</v>
      </c>
      <c r="F1596" s="119">
        <v>8.2101806239736983E-3</v>
      </c>
      <c r="G1596" s="119">
        <v>7.654723127035841E-2</v>
      </c>
    </row>
    <row r="1597" spans="2:7" x14ac:dyDescent="0.2">
      <c r="B1597" s="116" t="s">
        <v>3466</v>
      </c>
      <c r="C1597" s="117" t="s">
        <v>3467</v>
      </c>
      <c r="D1597" s="118" t="s">
        <v>138</v>
      </c>
      <c r="E1597" s="118" t="s">
        <v>427</v>
      </c>
      <c r="F1597" s="119">
        <v>3.5460992907801449E-2</v>
      </c>
      <c r="G1597" s="119">
        <v>8.9041095890411037E-2</v>
      </c>
    </row>
    <row r="1598" spans="2:7" x14ac:dyDescent="0.2">
      <c r="B1598" s="116" t="s">
        <v>3468</v>
      </c>
      <c r="C1598" s="117" t="s">
        <v>3469</v>
      </c>
      <c r="D1598" s="118" t="s">
        <v>34</v>
      </c>
      <c r="E1598" s="118" t="s">
        <v>2985</v>
      </c>
      <c r="F1598" s="119">
        <v>8.8471849865951649E-2</v>
      </c>
      <c r="G1598" s="119">
        <v>6.8965517241379379E-2</v>
      </c>
    </row>
    <row r="1599" spans="2:7" x14ac:dyDescent="0.2">
      <c r="B1599" s="116" t="s">
        <v>3470</v>
      </c>
      <c r="C1599" s="117" t="s">
        <v>3471</v>
      </c>
      <c r="D1599" s="118" t="s">
        <v>106</v>
      </c>
      <c r="E1599" s="118" t="s">
        <v>131</v>
      </c>
      <c r="F1599" s="119">
        <v>-8.3333333333333301E-2</v>
      </c>
      <c r="G1599" s="119">
        <v>0.1022727272727272</v>
      </c>
    </row>
    <row r="1600" spans="2:7" x14ac:dyDescent="0.2">
      <c r="B1600" s="116" t="s">
        <v>3472</v>
      </c>
      <c r="C1600" s="117" t="s">
        <v>3473</v>
      </c>
      <c r="D1600" s="118" t="s">
        <v>34</v>
      </c>
      <c r="E1600" s="118" t="s">
        <v>1493</v>
      </c>
      <c r="F1600" s="119">
        <v>1.891089108910891</v>
      </c>
      <c r="G1600" s="119">
        <v>-0.53253424657534243</v>
      </c>
    </row>
    <row r="1601" spans="2:7" x14ac:dyDescent="0.2">
      <c r="B1601" s="116" t="s">
        <v>3474</v>
      </c>
      <c r="C1601" s="117" t="s">
        <v>3475</v>
      </c>
      <c r="D1601" s="118" t="s">
        <v>34</v>
      </c>
      <c r="E1601" s="118" t="s">
        <v>2985</v>
      </c>
      <c r="F1601" s="119">
        <v>0.29894179894179912</v>
      </c>
      <c r="G1601" s="119">
        <v>0.1181262729124236</v>
      </c>
    </row>
    <row r="1602" spans="2:7" x14ac:dyDescent="0.2">
      <c r="B1602" s="116" t="s">
        <v>3476</v>
      </c>
      <c r="C1602" s="117" t="s">
        <v>3477</v>
      </c>
      <c r="D1602" s="118" t="s">
        <v>115</v>
      </c>
      <c r="E1602" s="118" t="s">
        <v>1772</v>
      </c>
      <c r="F1602" s="119">
        <v>4.2105263157894778E-2</v>
      </c>
      <c r="G1602" s="119">
        <v>1.7474747474747481</v>
      </c>
    </row>
    <row r="1603" spans="2:7" x14ac:dyDescent="0.2">
      <c r="B1603" s="116" t="s">
        <v>3478</v>
      </c>
      <c r="C1603" s="117" t="s">
        <v>3479</v>
      </c>
      <c r="D1603" s="118" t="s">
        <v>102</v>
      </c>
      <c r="E1603" s="118" t="s">
        <v>1397</v>
      </c>
      <c r="F1603" s="119">
        <v>-0.53278688524590168</v>
      </c>
      <c r="G1603" s="119">
        <v>0.52631578947368429</v>
      </c>
    </row>
    <row r="1604" spans="2:7" x14ac:dyDescent="0.2">
      <c r="B1604" s="116" t="s">
        <v>3480</v>
      </c>
      <c r="C1604" s="117" t="s">
        <v>3481</v>
      </c>
      <c r="D1604" s="118" t="s">
        <v>115</v>
      </c>
      <c r="E1604" s="118" t="s">
        <v>806</v>
      </c>
      <c r="F1604" s="119">
        <v>0.14937759336099579</v>
      </c>
      <c r="G1604" s="119">
        <v>8.1227436823104723E-2</v>
      </c>
    </row>
    <row r="1605" spans="2:7" x14ac:dyDescent="0.2">
      <c r="B1605" s="116" t="s">
        <v>3482</v>
      </c>
      <c r="C1605" s="117" t="s">
        <v>3483</v>
      </c>
      <c r="D1605" s="118" t="s">
        <v>115</v>
      </c>
      <c r="E1605" s="118" t="s">
        <v>799</v>
      </c>
      <c r="F1605" s="119">
        <v>-0.1409883720930232</v>
      </c>
      <c r="G1605" s="119">
        <v>0.1082910321489001</v>
      </c>
    </row>
    <row r="1606" spans="2:7" x14ac:dyDescent="0.2">
      <c r="B1606" s="116" t="s">
        <v>3484</v>
      </c>
      <c r="C1606" s="117" t="s">
        <v>3485</v>
      </c>
      <c r="D1606" s="118" t="s">
        <v>241</v>
      </c>
      <c r="E1606" s="118" t="s">
        <v>306</v>
      </c>
      <c r="F1606" s="119">
        <v>-0.35465924895688472</v>
      </c>
      <c r="G1606" s="119">
        <v>0.47844827586206912</v>
      </c>
    </row>
    <row r="1607" spans="2:7" x14ac:dyDescent="0.2">
      <c r="B1607" s="116" t="s">
        <v>3486</v>
      </c>
      <c r="C1607" s="117" t="s">
        <v>3487</v>
      </c>
      <c r="D1607" s="118" t="s">
        <v>138</v>
      </c>
      <c r="E1607" s="118" t="s">
        <v>139</v>
      </c>
      <c r="F1607" s="119">
        <v>6.0728744939271218E-2</v>
      </c>
      <c r="G1607" s="119">
        <v>6.4885496183206076E-2</v>
      </c>
    </row>
    <row r="1608" spans="2:7" x14ac:dyDescent="0.2">
      <c r="B1608" s="116" t="s">
        <v>3488</v>
      </c>
      <c r="C1608" s="117" t="s">
        <v>3489</v>
      </c>
      <c r="D1608" s="118" t="s">
        <v>34</v>
      </c>
      <c r="E1608" s="118" t="s">
        <v>3490</v>
      </c>
      <c r="F1608" s="119">
        <v>8.2857142857142865E-2</v>
      </c>
      <c r="G1608" s="119">
        <v>0.14511873350923479</v>
      </c>
    </row>
    <row r="1609" spans="2:7" x14ac:dyDescent="0.2">
      <c r="B1609" s="116" t="s">
        <v>3491</v>
      </c>
      <c r="C1609" s="117" t="s">
        <v>3492</v>
      </c>
      <c r="D1609" s="118" t="s">
        <v>138</v>
      </c>
      <c r="E1609" s="118" t="s">
        <v>386</v>
      </c>
      <c r="F1609" s="119">
        <v>7.2874493927125389E-2</v>
      </c>
      <c r="G1609" s="119">
        <v>5.6603773584905627E-2</v>
      </c>
    </row>
    <row r="1610" spans="2:7" x14ac:dyDescent="0.2">
      <c r="B1610" s="116" t="s">
        <v>3493</v>
      </c>
      <c r="C1610" s="117" t="s">
        <v>3494</v>
      </c>
      <c r="D1610" s="118" t="s">
        <v>241</v>
      </c>
      <c r="E1610" s="118" t="s">
        <v>606</v>
      </c>
      <c r="F1610" s="119">
        <v>-0.33478260869565207</v>
      </c>
      <c r="G1610" s="119">
        <v>0.52614379084967311</v>
      </c>
    </row>
    <row r="1611" spans="2:7" x14ac:dyDescent="0.2">
      <c r="B1611" s="116" t="s">
        <v>3495</v>
      </c>
      <c r="C1611" s="117" t="s">
        <v>3496</v>
      </c>
      <c r="D1611" s="118" t="s">
        <v>48</v>
      </c>
      <c r="E1611" s="118" t="s">
        <v>370</v>
      </c>
      <c r="F1611" s="119">
        <v>0.1631419939577039</v>
      </c>
      <c r="G1611" s="119">
        <v>0.2051948051948051</v>
      </c>
    </row>
    <row r="1612" spans="2:7" x14ac:dyDescent="0.2">
      <c r="B1612" s="116" t="s">
        <v>3497</v>
      </c>
      <c r="C1612" s="117" t="s">
        <v>3498</v>
      </c>
      <c r="D1612" s="118" t="s">
        <v>68</v>
      </c>
      <c r="E1612" s="118" t="s">
        <v>72</v>
      </c>
      <c r="F1612" s="119">
        <v>0.21319796954314729</v>
      </c>
      <c r="G1612" s="119">
        <v>0.1171548117154811</v>
      </c>
    </row>
    <row r="1613" spans="2:7" x14ac:dyDescent="0.2">
      <c r="B1613" s="116" t="s">
        <v>3499</v>
      </c>
      <c r="C1613" s="117" t="s">
        <v>3500</v>
      </c>
      <c r="D1613" s="118" t="s">
        <v>39</v>
      </c>
      <c r="E1613" s="118" t="s">
        <v>421</v>
      </c>
      <c r="F1613" s="119">
        <v>0.1210374639769452</v>
      </c>
      <c r="G1613" s="119">
        <v>2.8277634961439559E-2</v>
      </c>
    </row>
    <row r="1614" spans="2:7" x14ac:dyDescent="0.2">
      <c r="B1614" s="116" t="s">
        <v>3501</v>
      </c>
      <c r="C1614" s="117" t="s">
        <v>3502</v>
      </c>
      <c r="D1614" s="118" t="s">
        <v>39</v>
      </c>
      <c r="E1614" s="118" t="s">
        <v>383</v>
      </c>
      <c r="F1614" s="119">
        <v>9.6885813148788857E-2</v>
      </c>
      <c r="G1614" s="119">
        <v>0.14826498422712939</v>
      </c>
    </row>
    <row r="1615" spans="2:7" x14ac:dyDescent="0.2">
      <c r="B1615" s="116" t="s">
        <v>3503</v>
      </c>
      <c r="C1615" s="117" t="s">
        <v>3504</v>
      </c>
      <c r="D1615" s="118" t="s">
        <v>92</v>
      </c>
      <c r="E1615" s="118" t="s">
        <v>96</v>
      </c>
      <c r="F1615" s="119">
        <v>1.739948119325551</v>
      </c>
      <c r="G1615" s="119">
        <v>0.1072189349112426</v>
      </c>
    </row>
    <row r="1616" spans="2:7" x14ac:dyDescent="0.2">
      <c r="B1616" s="116" t="s">
        <v>3505</v>
      </c>
      <c r="C1616" s="117" t="s">
        <v>3506</v>
      </c>
      <c r="D1616" s="118" t="s">
        <v>34</v>
      </c>
      <c r="E1616" s="118" t="s">
        <v>202</v>
      </c>
      <c r="F1616" s="119">
        <v>0.14285714285714279</v>
      </c>
      <c r="G1616" s="119">
        <v>0.1875</v>
      </c>
    </row>
    <row r="1617" spans="2:7" x14ac:dyDescent="0.2">
      <c r="B1617" s="116" t="s">
        <v>3507</v>
      </c>
      <c r="C1617" s="117" t="s">
        <v>3508</v>
      </c>
      <c r="D1617" s="118" t="s">
        <v>233</v>
      </c>
      <c r="E1617" s="118" t="s">
        <v>469</v>
      </c>
      <c r="F1617" s="119">
        <v>-0.1075697211155377</v>
      </c>
      <c r="G1617" s="119">
        <v>9.3749999999999972E-2</v>
      </c>
    </row>
    <row r="1618" spans="2:7" x14ac:dyDescent="0.2">
      <c r="B1618" s="116" t="s">
        <v>3509</v>
      </c>
      <c r="C1618" s="117" t="s">
        <v>3510</v>
      </c>
      <c r="D1618" s="118" t="s">
        <v>34</v>
      </c>
      <c r="E1618" s="118" t="s">
        <v>2856</v>
      </c>
      <c r="F1618" s="119">
        <v>0.36363636363636381</v>
      </c>
      <c r="G1618" s="119">
        <v>0.42222222222222211</v>
      </c>
    </row>
    <row r="1619" spans="2:7" x14ac:dyDescent="0.2">
      <c r="B1619" s="116" t="s">
        <v>3511</v>
      </c>
      <c r="C1619" s="117" t="s">
        <v>3512</v>
      </c>
      <c r="D1619" s="118" t="s">
        <v>241</v>
      </c>
      <c r="E1619" s="118" t="s">
        <v>606</v>
      </c>
      <c r="F1619" s="119">
        <v>-0.57692307692307698</v>
      </c>
      <c r="G1619" s="119">
        <v>-0.46753246753246758</v>
      </c>
    </row>
    <row r="1620" spans="2:7" x14ac:dyDescent="0.2">
      <c r="B1620" s="116" t="s">
        <v>3513</v>
      </c>
      <c r="C1620" s="117" t="s">
        <v>3514</v>
      </c>
      <c r="D1620" s="118" t="s">
        <v>52</v>
      </c>
      <c r="E1620" s="118" t="s">
        <v>725</v>
      </c>
      <c r="F1620" s="119">
        <v>4.0322580645161261E-2</v>
      </c>
      <c r="G1620" s="119">
        <v>9.5607235142118885E-2</v>
      </c>
    </row>
    <row r="1621" spans="2:7" x14ac:dyDescent="0.2">
      <c r="B1621" s="116" t="s">
        <v>3515</v>
      </c>
      <c r="C1621" s="117" t="s">
        <v>3516</v>
      </c>
      <c r="D1621" s="118" t="s">
        <v>52</v>
      </c>
      <c r="E1621" s="118" t="s">
        <v>725</v>
      </c>
      <c r="F1621" s="119">
        <v>0.1324503311258278</v>
      </c>
      <c r="G1621" s="119">
        <v>9.941520467836254E-2</v>
      </c>
    </row>
    <row r="1622" spans="2:7" x14ac:dyDescent="0.2">
      <c r="B1622" s="116" t="s">
        <v>3517</v>
      </c>
      <c r="C1622" s="117" t="s">
        <v>3518</v>
      </c>
      <c r="D1622" s="118" t="s">
        <v>34</v>
      </c>
      <c r="E1622" s="118" t="s">
        <v>2856</v>
      </c>
      <c r="F1622" s="119">
        <v>-0.47506925207756229</v>
      </c>
      <c r="G1622" s="119">
        <v>0.20580474934036949</v>
      </c>
    </row>
    <row r="1623" spans="2:7" x14ac:dyDescent="0.2">
      <c r="B1623" s="116" t="s">
        <v>3519</v>
      </c>
      <c r="C1623" s="117" t="s">
        <v>3520</v>
      </c>
      <c r="D1623" s="118" t="s">
        <v>34</v>
      </c>
      <c r="E1623" s="118" t="s">
        <v>3521</v>
      </c>
      <c r="F1623" s="119">
        <v>0.5</v>
      </c>
      <c r="G1623" s="119">
        <v>1.3333333333333339E-2</v>
      </c>
    </row>
    <row r="1624" spans="2:7" x14ac:dyDescent="0.2">
      <c r="B1624" s="116" t="s">
        <v>3522</v>
      </c>
      <c r="C1624" s="117" t="s">
        <v>3523</v>
      </c>
      <c r="D1624" s="118" t="s">
        <v>68</v>
      </c>
      <c r="E1624" s="118" t="s">
        <v>75</v>
      </c>
      <c r="F1624" s="119">
        <v>2.356020942408385E-2</v>
      </c>
      <c r="G1624" s="119">
        <v>6.3938618925831206E-2</v>
      </c>
    </row>
    <row r="1625" spans="2:7" x14ac:dyDescent="0.2">
      <c r="B1625" s="116" t="s">
        <v>3524</v>
      </c>
      <c r="C1625" s="117" t="s">
        <v>3525</v>
      </c>
      <c r="D1625" s="118" t="s">
        <v>39</v>
      </c>
      <c r="E1625" s="118" t="s">
        <v>1817</v>
      </c>
      <c r="F1625" s="119">
        <v>0.18433179723502299</v>
      </c>
      <c r="G1625" s="119">
        <v>8.6381322957198539E-2</v>
      </c>
    </row>
    <row r="1626" spans="2:7" x14ac:dyDescent="0.2">
      <c r="B1626" s="116" t="s">
        <v>3526</v>
      </c>
      <c r="C1626" s="117" t="s">
        <v>3527</v>
      </c>
      <c r="D1626" s="118" t="s">
        <v>34</v>
      </c>
      <c r="E1626" s="118" t="s">
        <v>319</v>
      </c>
      <c r="F1626" s="119">
        <v>0.625</v>
      </c>
      <c r="G1626" s="119">
        <v>1.1923076923076921</v>
      </c>
    </row>
    <row r="1627" spans="2:7" x14ac:dyDescent="0.2">
      <c r="B1627" s="116" t="s">
        <v>3528</v>
      </c>
      <c r="C1627" s="117" t="s">
        <v>3529</v>
      </c>
      <c r="D1627" s="118" t="s">
        <v>92</v>
      </c>
      <c r="E1627" s="118" t="s">
        <v>598</v>
      </c>
      <c r="F1627" s="119">
        <v>3.4313725490195998E-2</v>
      </c>
      <c r="G1627" s="119">
        <v>4.7393364928909998E-2</v>
      </c>
    </row>
    <row r="1628" spans="2:7" x14ac:dyDescent="0.2">
      <c r="B1628" s="116" t="s">
        <v>3530</v>
      </c>
      <c r="C1628" s="117" t="s">
        <v>3531</v>
      </c>
      <c r="D1628" s="118" t="s">
        <v>115</v>
      </c>
      <c r="E1628" s="118" t="s">
        <v>799</v>
      </c>
      <c r="F1628" s="119">
        <v>0.43750000000000011</v>
      </c>
      <c r="G1628" s="119">
        <v>0.13043478260869559</v>
      </c>
    </row>
    <row r="1629" spans="2:7" x14ac:dyDescent="0.2">
      <c r="B1629" s="116" t="s">
        <v>3532</v>
      </c>
      <c r="C1629" s="117" t="s">
        <v>3533</v>
      </c>
      <c r="D1629" s="118" t="s">
        <v>48</v>
      </c>
      <c r="E1629" s="118" t="s">
        <v>49</v>
      </c>
      <c r="F1629" s="119">
        <v>0.9031007751937985</v>
      </c>
      <c r="G1629" s="119">
        <v>0.26272912423625261</v>
      </c>
    </row>
    <row r="1630" spans="2:7" x14ac:dyDescent="0.2">
      <c r="B1630" s="116" t="s">
        <v>3534</v>
      </c>
      <c r="C1630" s="117" t="s">
        <v>3535</v>
      </c>
      <c r="D1630" s="118" t="s">
        <v>34</v>
      </c>
      <c r="E1630" s="118" t="s">
        <v>202</v>
      </c>
      <c r="F1630" s="119">
        <v>-0.1764705882352941</v>
      </c>
      <c r="G1630" s="119">
        <v>0.78571428571428559</v>
      </c>
    </row>
    <row r="1631" spans="2:7" x14ac:dyDescent="0.2">
      <c r="B1631" s="116" t="s">
        <v>3536</v>
      </c>
      <c r="C1631" s="117" t="s">
        <v>3537</v>
      </c>
      <c r="D1631" s="118" t="s">
        <v>34</v>
      </c>
      <c r="E1631" s="118" t="s">
        <v>1253</v>
      </c>
      <c r="F1631" s="119">
        <v>1.675</v>
      </c>
      <c r="G1631" s="119">
        <v>7.4074074074073931E-2</v>
      </c>
    </row>
    <row r="1632" spans="2:7" x14ac:dyDescent="0.2">
      <c r="B1632" s="116" t="s">
        <v>3538</v>
      </c>
      <c r="C1632" s="117" t="s">
        <v>3539</v>
      </c>
      <c r="D1632" s="118" t="s">
        <v>48</v>
      </c>
      <c r="E1632" s="118" t="s">
        <v>370</v>
      </c>
      <c r="F1632" s="119">
        <v>0.22666666666666671</v>
      </c>
      <c r="G1632" s="119">
        <v>0.26086956521739119</v>
      </c>
    </row>
    <row r="1633" spans="2:7" x14ac:dyDescent="0.2">
      <c r="B1633" s="116" t="s">
        <v>3540</v>
      </c>
      <c r="C1633" s="117" t="s">
        <v>3541</v>
      </c>
      <c r="D1633" s="118" t="s">
        <v>68</v>
      </c>
      <c r="E1633" s="118" t="s">
        <v>985</v>
      </c>
      <c r="F1633" s="119">
        <v>0.14790996784565921</v>
      </c>
      <c r="G1633" s="119">
        <v>0.1064425770308124</v>
      </c>
    </row>
    <row r="1634" spans="2:7" x14ac:dyDescent="0.2">
      <c r="B1634" s="116" t="s">
        <v>3542</v>
      </c>
      <c r="C1634" s="117" t="s">
        <v>3543</v>
      </c>
      <c r="D1634" s="118" t="s">
        <v>92</v>
      </c>
      <c r="E1634" s="118" t="s">
        <v>142</v>
      </c>
      <c r="F1634" s="119">
        <v>0.20353982300884979</v>
      </c>
      <c r="G1634" s="119">
        <v>9.9264705882352935E-2</v>
      </c>
    </row>
  </sheetData>
  <autoFilter ref="B3:G3" xr:uid="{00000000-0009-0000-0000-000006000000}"/>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B2:G2097"/>
  <sheetViews>
    <sheetView zoomScale="170" zoomScaleNormal="170" workbookViewId="0">
      <selection activeCell="I20" sqref="I20"/>
    </sheetView>
  </sheetViews>
  <sheetFormatPr baseColWidth="10" defaultColWidth="9.1640625" defaultRowHeight="15" x14ac:dyDescent="0.2"/>
  <cols>
    <col min="1" max="1" width="9.1640625" style="2" customWidth="1"/>
    <col min="2" max="2" width="29" style="2" customWidth="1"/>
    <col min="3" max="3" width="29" style="3" customWidth="1"/>
    <col min="4" max="4" width="33" style="3" customWidth="1"/>
    <col min="5" max="5" width="9.1640625" style="2" customWidth="1"/>
    <col min="6" max="16384" width="9.1640625" style="2"/>
  </cols>
  <sheetData>
    <row r="2" spans="2:7" ht="16" customHeight="1" thickBot="1" x14ac:dyDescent="0.25"/>
    <row r="3" spans="2:7" x14ac:dyDescent="0.2">
      <c r="B3" s="112" t="s">
        <v>25</v>
      </c>
      <c r="C3" s="113" t="s">
        <v>26</v>
      </c>
      <c r="D3" s="113" t="s">
        <v>3547</v>
      </c>
      <c r="G3" s="2" t="s">
        <v>3548</v>
      </c>
    </row>
    <row r="4" spans="2:7" x14ac:dyDescent="0.2">
      <c r="B4" s="116" t="s">
        <v>32</v>
      </c>
      <c r="C4" s="117" t="s">
        <v>33</v>
      </c>
      <c r="D4" s="118">
        <v>0.84</v>
      </c>
      <c r="G4" s="2" t="s">
        <v>3549</v>
      </c>
    </row>
    <row r="5" spans="2:7" x14ac:dyDescent="0.2">
      <c r="B5" s="116" t="s">
        <v>37</v>
      </c>
      <c r="C5" s="117" t="s">
        <v>38</v>
      </c>
      <c r="D5" s="118">
        <v>0</v>
      </c>
    </row>
    <row r="6" spans="2:7" x14ac:dyDescent="0.2">
      <c r="B6" s="116" t="s">
        <v>3550</v>
      </c>
      <c r="C6" s="117" t="s">
        <v>3551</v>
      </c>
      <c r="D6" s="118">
        <v>0</v>
      </c>
    </row>
    <row r="7" spans="2:7" x14ac:dyDescent="0.2">
      <c r="B7" s="116" t="s">
        <v>42</v>
      </c>
      <c r="C7" s="117" t="s">
        <v>43</v>
      </c>
      <c r="D7" s="118">
        <v>1.44</v>
      </c>
    </row>
    <row r="8" spans="2:7" x14ac:dyDescent="0.2">
      <c r="B8" s="116" t="s">
        <v>3552</v>
      </c>
      <c r="C8" s="117" t="s">
        <v>3553</v>
      </c>
      <c r="D8" s="118">
        <v>0.78</v>
      </c>
    </row>
    <row r="9" spans="2:7" x14ac:dyDescent="0.2">
      <c r="B9" s="116" t="s">
        <v>46</v>
      </c>
      <c r="C9" s="117" t="s">
        <v>47</v>
      </c>
      <c r="D9" s="118">
        <v>1.43</v>
      </c>
    </row>
    <row r="10" spans="2:7" x14ac:dyDescent="0.2">
      <c r="B10" s="116" t="s">
        <v>50</v>
      </c>
      <c r="C10" s="117" t="s">
        <v>51</v>
      </c>
      <c r="D10" s="118">
        <v>0.23</v>
      </c>
    </row>
    <row r="11" spans="2:7" x14ac:dyDescent="0.2">
      <c r="B11" s="116" t="s">
        <v>54</v>
      </c>
      <c r="C11" s="117" t="s">
        <v>55</v>
      </c>
      <c r="D11" s="118">
        <v>0.15</v>
      </c>
    </row>
    <row r="12" spans="2:7" x14ac:dyDescent="0.2">
      <c r="B12" s="116" t="s">
        <v>57</v>
      </c>
      <c r="C12" s="117" t="s">
        <v>58</v>
      </c>
      <c r="D12" s="118">
        <v>1.41</v>
      </c>
    </row>
    <row r="13" spans="2:7" x14ac:dyDescent="0.2">
      <c r="B13" s="116" t="s">
        <v>60</v>
      </c>
      <c r="C13" s="117" t="s">
        <v>61</v>
      </c>
      <c r="D13" s="118">
        <v>0</v>
      </c>
    </row>
    <row r="14" spans="2:7" x14ac:dyDescent="0.2">
      <c r="B14" s="116" t="s">
        <v>63</v>
      </c>
      <c r="C14" s="117" t="s">
        <v>64</v>
      </c>
      <c r="D14" s="118">
        <v>2.4500000000000002</v>
      </c>
    </row>
    <row r="15" spans="2:7" x14ac:dyDescent="0.2">
      <c r="B15" s="116" t="s">
        <v>66</v>
      </c>
      <c r="C15" s="117" t="s">
        <v>67</v>
      </c>
      <c r="D15" s="118">
        <v>5.91</v>
      </c>
    </row>
    <row r="16" spans="2:7" x14ac:dyDescent="0.2">
      <c r="B16" s="116" t="s">
        <v>70</v>
      </c>
      <c r="C16" s="117" t="s">
        <v>71</v>
      </c>
      <c r="D16" s="118">
        <v>1.88</v>
      </c>
    </row>
    <row r="17" spans="2:4" x14ac:dyDescent="0.2">
      <c r="B17" s="116" t="s">
        <v>76</v>
      </c>
      <c r="C17" s="117" t="s">
        <v>77</v>
      </c>
      <c r="D17" s="118">
        <v>1.79</v>
      </c>
    </row>
    <row r="18" spans="2:4" x14ac:dyDescent="0.2">
      <c r="B18" s="116" t="s">
        <v>80</v>
      </c>
      <c r="C18" s="117" t="s">
        <v>81</v>
      </c>
      <c r="D18" s="118">
        <v>0</v>
      </c>
    </row>
    <row r="19" spans="2:4" x14ac:dyDescent="0.2">
      <c r="B19" s="116" t="s">
        <v>83</v>
      </c>
      <c r="C19" s="117" t="s">
        <v>84</v>
      </c>
      <c r="D19" s="118">
        <v>1.53</v>
      </c>
    </row>
    <row r="20" spans="2:4" x14ac:dyDescent="0.2">
      <c r="B20" s="116" t="s">
        <v>85</v>
      </c>
      <c r="C20" s="117" t="s">
        <v>86</v>
      </c>
      <c r="D20" s="118">
        <v>0</v>
      </c>
    </row>
    <row r="21" spans="2:4" x14ac:dyDescent="0.2">
      <c r="B21" s="116" t="s">
        <v>88</v>
      </c>
      <c r="C21" s="117" t="s">
        <v>89</v>
      </c>
      <c r="D21" s="118">
        <v>0</v>
      </c>
    </row>
    <row r="22" spans="2:4" x14ac:dyDescent="0.2">
      <c r="B22" s="116" t="s">
        <v>90</v>
      </c>
      <c r="C22" s="117" t="s">
        <v>91</v>
      </c>
      <c r="D22" s="118">
        <v>3.99</v>
      </c>
    </row>
    <row r="23" spans="2:4" x14ac:dyDescent="0.2">
      <c r="B23" s="116" t="s">
        <v>3554</v>
      </c>
      <c r="C23" s="117" t="s">
        <v>3555</v>
      </c>
      <c r="D23" s="118">
        <v>0</v>
      </c>
    </row>
    <row r="24" spans="2:4" x14ac:dyDescent="0.2">
      <c r="B24" s="116" t="s">
        <v>3556</v>
      </c>
      <c r="C24" s="117" t="s">
        <v>3557</v>
      </c>
      <c r="D24" s="118">
        <v>5.26</v>
      </c>
    </row>
    <row r="25" spans="2:4" x14ac:dyDescent="0.2">
      <c r="B25" s="116" t="s">
        <v>94</v>
      </c>
      <c r="C25" s="117" t="s">
        <v>95</v>
      </c>
      <c r="D25" s="118">
        <v>0</v>
      </c>
    </row>
    <row r="26" spans="2:4" x14ac:dyDescent="0.2">
      <c r="B26" s="116" t="s">
        <v>3558</v>
      </c>
      <c r="C26" s="117" t="s">
        <v>3559</v>
      </c>
      <c r="D26" s="118">
        <v>0</v>
      </c>
    </row>
    <row r="27" spans="2:4" x14ac:dyDescent="0.2">
      <c r="B27" s="116" t="s">
        <v>97</v>
      </c>
      <c r="C27" s="117" t="s">
        <v>98</v>
      </c>
      <c r="D27" s="118">
        <v>0</v>
      </c>
    </row>
    <row r="28" spans="2:4" x14ac:dyDescent="0.2">
      <c r="B28" s="116" t="s">
        <v>100</v>
      </c>
      <c r="C28" s="117" t="s">
        <v>101</v>
      </c>
      <c r="D28" s="118">
        <v>0</v>
      </c>
    </row>
    <row r="29" spans="2:4" x14ac:dyDescent="0.2">
      <c r="B29" s="116" t="s">
        <v>104</v>
      </c>
      <c r="C29" s="117" t="s">
        <v>105</v>
      </c>
      <c r="D29" s="118">
        <v>1.51</v>
      </c>
    </row>
    <row r="30" spans="2:4" x14ac:dyDescent="0.2">
      <c r="B30" s="116" t="s">
        <v>3560</v>
      </c>
      <c r="C30" s="117" t="s">
        <v>3561</v>
      </c>
      <c r="D30" s="118">
        <v>2.09</v>
      </c>
    </row>
    <row r="31" spans="2:4" x14ac:dyDescent="0.2">
      <c r="B31" s="116" t="s">
        <v>108</v>
      </c>
      <c r="C31" s="117" t="s">
        <v>109</v>
      </c>
      <c r="D31" s="118">
        <v>0</v>
      </c>
    </row>
    <row r="32" spans="2:4" x14ac:dyDescent="0.2">
      <c r="B32" s="116" t="s">
        <v>110</v>
      </c>
      <c r="C32" s="117" t="s">
        <v>111</v>
      </c>
      <c r="D32" s="118">
        <v>3.11</v>
      </c>
    </row>
    <row r="33" spans="2:4" x14ac:dyDescent="0.2">
      <c r="B33" s="116" t="s">
        <v>113</v>
      </c>
      <c r="C33" s="117" t="s">
        <v>114</v>
      </c>
      <c r="D33" s="118">
        <v>0.89</v>
      </c>
    </row>
    <row r="34" spans="2:4" x14ac:dyDescent="0.2">
      <c r="B34" s="116" t="s">
        <v>117</v>
      </c>
      <c r="C34" s="117" t="s">
        <v>118</v>
      </c>
      <c r="D34" s="118">
        <v>1.87</v>
      </c>
    </row>
    <row r="35" spans="2:4" x14ac:dyDescent="0.2">
      <c r="B35" s="116" t="s">
        <v>120</v>
      </c>
      <c r="C35" s="117" t="s">
        <v>121</v>
      </c>
      <c r="D35" s="118">
        <v>3.42</v>
      </c>
    </row>
    <row r="36" spans="2:4" x14ac:dyDescent="0.2">
      <c r="B36" s="116" t="s">
        <v>123</v>
      </c>
      <c r="C36" s="117" t="s">
        <v>124</v>
      </c>
      <c r="D36" s="118">
        <v>1.98</v>
      </c>
    </row>
    <row r="37" spans="2:4" x14ac:dyDescent="0.2">
      <c r="B37" s="116" t="s">
        <v>3562</v>
      </c>
      <c r="C37" s="117" t="s">
        <v>3563</v>
      </c>
      <c r="D37" s="118">
        <v>0</v>
      </c>
    </row>
    <row r="38" spans="2:4" x14ac:dyDescent="0.2">
      <c r="B38" s="116" t="s">
        <v>126</v>
      </c>
      <c r="C38" s="117" t="s">
        <v>127</v>
      </c>
      <c r="D38" s="118">
        <v>2.1</v>
      </c>
    </row>
    <row r="39" spans="2:4" x14ac:dyDescent="0.2">
      <c r="B39" s="116" t="s">
        <v>3564</v>
      </c>
      <c r="C39" s="117" t="s">
        <v>3565</v>
      </c>
      <c r="D39" s="118">
        <v>3.16</v>
      </c>
    </row>
    <row r="40" spans="2:4" x14ac:dyDescent="0.2">
      <c r="B40" s="116" t="s">
        <v>129</v>
      </c>
      <c r="C40" s="117" t="s">
        <v>130</v>
      </c>
      <c r="D40" s="118">
        <v>1.94</v>
      </c>
    </row>
    <row r="41" spans="2:4" x14ac:dyDescent="0.2">
      <c r="B41" s="116" t="s">
        <v>132</v>
      </c>
      <c r="C41" s="117" t="s">
        <v>133</v>
      </c>
      <c r="D41" s="118">
        <v>0</v>
      </c>
    </row>
    <row r="42" spans="2:4" x14ac:dyDescent="0.2">
      <c r="B42" s="116" t="s">
        <v>134</v>
      </c>
      <c r="C42" s="117" t="s">
        <v>135</v>
      </c>
      <c r="D42" s="118">
        <v>2.2999999999999998</v>
      </c>
    </row>
    <row r="43" spans="2:4" x14ac:dyDescent="0.2">
      <c r="B43" s="116" t="s">
        <v>136</v>
      </c>
      <c r="C43" s="117" t="s">
        <v>137</v>
      </c>
      <c r="D43" s="118">
        <v>2.4</v>
      </c>
    </row>
    <row r="44" spans="2:4" x14ac:dyDescent="0.2">
      <c r="B44" s="116" t="s">
        <v>140</v>
      </c>
      <c r="C44" s="117" t="s">
        <v>141</v>
      </c>
      <c r="D44" s="118">
        <v>6.73</v>
      </c>
    </row>
    <row r="45" spans="2:4" x14ac:dyDescent="0.2">
      <c r="B45" s="116" t="s">
        <v>143</v>
      </c>
      <c r="C45" s="117" t="s">
        <v>144</v>
      </c>
      <c r="D45" s="118">
        <v>0.86</v>
      </c>
    </row>
    <row r="46" spans="2:4" x14ac:dyDescent="0.2">
      <c r="B46" s="116" t="s">
        <v>147</v>
      </c>
      <c r="C46" s="117" t="s">
        <v>148</v>
      </c>
      <c r="D46" s="118">
        <v>2.88</v>
      </c>
    </row>
    <row r="47" spans="2:4" x14ac:dyDescent="0.2">
      <c r="B47" s="116" t="s">
        <v>149</v>
      </c>
      <c r="C47" s="117" t="s">
        <v>150</v>
      </c>
      <c r="D47" s="118">
        <v>0</v>
      </c>
    </row>
    <row r="48" spans="2:4" x14ac:dyDescent="0.2">
      <c r="B48" s="116" t="s">
        <v>152</v>
      </c>
      <c r="C48" s="117" t="s">
        <v>153</v>
      </c>
      <c r="D48" s="118">
        <v>3.39</v>
      </c>
    </row>
    <row r="49" spans="2:4" x14ac:dyDescent="0.2">
      <c r="B49" s="116" t="s">
        <v>3566</v>
      </c>
      <c r="C49" s="117" t="s">
        <v>3567</v>
      </c>
      <c r="D49" s="118">
        <v>30.27</v>
      </c>
    </row>
    <row r="50" spans="2:4" x14ac:dyDescent="0.2">
      <c r="B50" s="116" t="s">
        <v>154</v>
      </c>
      <c r="C50" s="117" t="s">
        <v>155</v>
      </c>
      <c r="D50" s="118">
        <v>1.48</v>
      </c>
    </row>
    <row r="51" spans="2:4" x14ac:dyDescent="0.2">
      <c r="B51" s="116" t="s">
        <v>156</v>
      </c>
      <c r="C51" s="117" t="s">
        <v>157</v>
      </c>
      <c r="D51" s="118">
        <v>2.08</v>
      </c>
    </row>
    <row r="52" spans="2:4" x14ac:dyDescent="0.2">
      <c r="B52" s="116" t="s">
        <v>159</v>
      </c>
      <c r="C52" s="117" t="s">
        <v>160</v>
      </c>
      <c r="D52" s="118">
        <v>0</v>
      </c>
    </row>
    <row r="53" spans="2:4" x14ac:dyDescent="0.2">
      <c r="B53" s="116" t="s">
        <v>161</v>
      </c>
      <c r="C53" s="117" t="s">
        <v>162</v>
      </c>
      <c r="D53" s="118">
        <v>0.84</v>
      </c>
    </row>
    <row r="54" spans="2:4" x14ac:dyDescent="0.2">
      <c r="B54" s="116" t="s">
        <v>164</v>
      </c>
      <c r="C54" s="117" t="s">
        <v>165</v>
      </c>
      <c r="D54" s="118">
        <v>3.06</v>
      </c>
    </row>
    <row r="55" spans="2:4" x14ac:dyDescent="0.2">
      <c r="B55" s="116" t="s">
        <v>3568</v>
      </c>
      <c r="C55" s="117" t="s">
        <v>3569</v>
      </c>
      <c r="D55" s="118">
        <v>2.71</v>
      </c>
    </row>
    <row r="56" spans="2:4" x14ac:dyDescent="0.2">
      <c r="B56" s="116" t="s">
        <v>166</v>
      </c>
      <c r="C56" s="117" t="s">
        <v>167</v>
      </c>
      <c r="D56" s="118">
        <v>1.78</v>
      </c>
    </row>
    <row r="57" spans="2:4" x14ac:dyDescent="0.2">
      <c r="B57" s="116" t="s">
        <v>169</v>
      </c>
      <c r="C57" s="117" t="s">
        <v>170</v>
      </c>
      <c r="D57" s="118">
        <v>11.81</v>
      </c>
    </row>
    <row r="58" spans="2:4" x14ac:dyDescent="0.2">
      <c r="B58" s="116" t="s">
        <v>3570</v>
      </c>
      <c r="C58" s="117" t="s">
        <v>3571</v>
      </c>
      <c r="D58" s="118">
        <v>1.58</v>
      </c>
    </row>
    <row r="59" spans="2:4" x14ac:dyDescent="0.2">
      <c r="B59" s="116" t="s">
        <v>3572</v>
      </c>
      <c r="C59" s="117" t="s">
        <v>3573</v>
      </c>
      <c r="D59" s="118">
        <v>11.3</v>
      </c>
    </row>
    <row r="60" spans="2:4" x14ac:dyDescent="0.2">
      <c r="B60" s="116" t="s">
        <v>172</v>
      </c>
      <c r="C60" s="117" t="s">
        <v>173</v>
      </c>
      <c r="D60" s="118">
        <v>3.41</v>
      </c>
    </row>
    <row r="61" spans="2:4" x14ac:dyDescent="0.2">
      <c r="B61" s="116" t="s">
        <v>174</v>
      </c>
      <c r="C61" s="117" t="s">
        <v>175</v>
      </c>
      <c r="D61" s="118">
        <v>3.57</v>
      </c>
    </row>
    <row r="62" spans="2:4" x14ac:dyDescent="0.2">
      <c r="B62" s="116" t="s">
        <v>3574</v>
      </c>
      <c r="C62" s="117" t="s">
        <v>3575</v>
      </c>
      <c r="D62" s="118">
        <v>2.64</v>
      </c>
    </row>
    <row r="63" spans="2:4" x14ac:dyDescent="0.2">
      <c r="B63" s="116" t="s">
        <v>177</v>
      </c>
      <c r="C63" s="117" t="s">
        <v>178</v>
      </c>
      <c r="D63" s="118">
        <v>2.25</v>
      </c>
    </row>
    <row r="64" spans="2:4" x14ac:dyDescent="0.2">
      <c r="B64" s="116" t="s">
        <v>180</v>
      </c>
      <c r="C64" s="117" t="s">
        <v>181</v>
      </c>
      <c r="D64" s="118">
        <v>2.23</v>
      </c>
    </row>
    <row r="65" spans="2:4" x14ac:dyDescent="0.2">
      <c r="B65" s="116" t="s">
        <v>182</v>
      </c>
      <c r="C65" s="117" t="s">
        <v>183</v>
      </c>
      <c r="D65" s="118">
        <v>1.86</v>
      </c>
    </row>
    <row r="66" spans="2:4" x14ac:dyDescent="0.2">
      <c r="B66" s="116" t="s">
        <v>184</v>
      </c>
      <c r="C66" s="117" t="s">
        <v>185</v>
      </c>
      <c r="D66" s="118">
        <v>1.38</v>
      </c>
    </row>
    <row r="67" spans="2:4" x14ac:dyDescent="0.2">
      <c r="B67" s="116" t="s">
        <v>186</v>
      </c>
      <c r="C67" s="117" t="s">
        <v>187</v>
      </c>
      <c r="D67" s="118">
        <v>3.05</v>
      </c>
    </row>
    <row r="68" spans="2:4" x14ac:dyDescent="0.2">
      <c r="B68" s="116" t="s">
        <v>188</v>
      </c>
      <c r="C68" s="117" t="s">
        <v>189</v>
      </c>
      <c r="D68" s="118">
        <v>1.9</v>
      </c>
    </row>
    <row r="69" spans="2:4" x14ac:dyDescent="0.2">
      <c r="B69" s="116" t="s">
        <v>190</v>
      </c>
      <c r="C69" s="117" t="s">
        <v>191</v>
      </c>
      <c r="D69" s="118">
        <v>1.94</v>
      </c>
    </row>
    <row r="70" spans="2:4" x14ac:dyDescent="0.2">
      <c r="B70" s="116" t="s">
        <v>3576</v>
      </c>
      <c r="C70" s="117" t="s">
        <v>3577</v>
      </c>
      <c r="D70" s="118">
        <v>1.1299999999999999</v>
      </c>
    </row>
    <row r="71" spans="2:4" x14ac:dyDescent="0.2">
      <c r="B71" s="116" t="s">
        <v>193</v>
      </c>
      <c r="C71" s="117" t="s">
        <v>194</v>
      </c>
      <c r="D71" s="118">
        <v>0</v>
      </c>
    </row>
    <row r="72" spans="2:4" x14ac:dyDescent="0.2">
      <c r="B72" s="116" t="s">
        <v>196</v>
      </c>
      <c r="C72" s="117" t="s">
        <v>197</v>
      </c>
      <c r="D72" s="118">
        <v>0</v>
      </c>
    </row>
    <row r="73" spans="2:4" x14ac:dyDescent="0.2">
      <c r="B73" s="116" t="s">
        <v>200</v>
      </c>
      <c r="C73" s="117" t="s">
        <v>201</v>
      </c>
      <c r="D73" s="118">
        <v>0</v>
      </c>
    </row>
    <row r="74" spans="2:4" x14ac:dyDescent="0.2">
      <c r="B74" s="116" t="s">
        <v>3578</v>
      </c>
      <c r="C74" s="117" t="s">
        <v>3579</v>
      </c>
      <c r="D74" s="118">
        <v>0</v>
      </c>
    </row>
    <row r="75" spans="2:4" x14ac:dyDescent="0.2">
      <c r="B75" s="116" t="s">
        <v>203</v>
      </c>
      <c r="C75" s="117" t="s">
        <v>204</v>
      </c>
      <c r="D75" s="118">
        <v>3.01</v>
      </c>
    </row>
    <row r="76" spans="2:4" x14ac:dyDescent="0.2">
      <c r="B76" s="116" t="s">
        <v>205</v>
      </c>
      <c r="C76" s="117" t="s">
        <v>206</v>
      </c>
      <c r="D76" s="118">
        <v>1.22</v>
      </c>
    </row>
    <row r="77" spans="2:4" x14ac:dyDescent="0.2">
      <c r="B77" s="116" t="s">
        <v>208</v>
      </c>
      <c r="C77" s="117" t="s">
        <v>209</v>
      </c>
      <c r="D77" s="118">
        <v>2.13</v>
      </c>
    </row>
    <row r="78" spans="2:4" x14ac:dyDescent="0.2">
      <c r="B78" s="116" t="s">
        <v>210</v>
      </c>
      <c r="C78" s="117" t="s">
        <v>211</v>
      </c>
      <c r="D78" s="118">
        <v>2.69</v>
      </c>
    </row>
    <row r="79" spans="2:4" x14ac:dyDescent="0.2">
      <c r="B79" s="116" t="s">
        <v>3580</v>
      </c>
      <c r="C79" s="117" t="s">
        <v>3581</v>
      </c>
      <c r="D79" s="118">
        <v>1.99</v>
      </c>
    </row>
    <row r="80" spans="2:4" x14ac:dyDescent="0.2">
      <c r="B80" s="116" t="s">
        <v>212</v>
      </c>
      <c r="C80" s="117" t="s">
        <v>213</v>
      </c>
      <c r="D80" s="118">
        <v>0</v>
      </c>
    </row>
    <row r="81" spans="2:4" x14ac:dyDescent="0.2">
      <c r="B81" s="116" t="s">
        <v>214</v>
      </c>
      <c r="C81" s="117" t="s">
        <v>215</v>
      </c>
      <c r="D81" s="118">
        <v>2.15</v>
      </c>
    </row>
    <row r="82" spans="2:4" x14ac:dyDescent="0.2">
      <c r="B82" s="116" t="s">
        <v>216</v>
      </c>
      <c r="C82" s="117" t="s">
        <v>217</v>
      </c>
      <c r="D82" s="118">
        <v>0</v>
      </c>
    </row>
    <row r="83" spans="2:4" x14ac:dyDescent="0.2">
      <c r="B83" s="116" t="s">
        <v>218</v>
      </c>
      <c r="C83" s="117" t="s">
        <v>219</v>
      </c>
      <c r="D83" s="118">
        <v>1.85</v>
      </c>
    </row>
    <row r="84" spans="2:4" x14ac:dyDescent="0.2">
      <c r="B84" s="116" t="s">
        <v>220</v>
      </c>
      <c r="C84" s="117" t="s">
        <v>221</v>
      </c>
      <c r="D84" s="118">
        <v>1.06</v>
      </c>
    </row>
    <row r="85" spans="2:4" x14ac:dyDescent="0.2">
      <c r="B85" s="116" t="s">
        <v>222</v>
      </c>
      <c r="C85" s="117" t="s">
        <v>223</v>
      </c>
      <c r="D85" s="118">
        <v>0</v>
      </c>
    </row>
    <row r="86" spans="2:4" x14ac:dyDescent="0.2">
      <c r="B86" s="116" t="s">
        <v>224</v>
      </c>
      <c r="C86" s="117" t="s">
        <v>225</v>
      </c>
      <c r="D86" s="118">
        <v>0</v>
      </c>
    </row>
    <row r="87" spans="2:4" x14ac:dyDescent="0.2">
      <c r="B87" s="116" t="s">
        <v>226</v>
      </c>
      <c r="C87" s="117" t="s">
        <v>227</v>
      </c>
      <c r="D87" s="118">
        <v>2.02</v>
      </c>
    </row>
    <row r="88" spans="2:4" x14ac:dyDescent="0.2">
      <c r="B88" s="116" t="s">
        <v>3582</v>
      </c>
      <c r="C88" s="117" t="s">
        <v>3583</v>
      </c>
      <c r="D88" s="118">
        <v>1.48</v>
      </c>
    </row>
    <row r="89" spans="2:4" x14ac:dyDescent="0.2">
      <c r="B89" s="116" t="s">
        <v>229</v>
      </c>
      <c r="C89" s="117" t="s">
        <v>230</v>
      </c>
      <c r="D89" s="118">
        <v>0</v>
      </c>
    </row>
    <row r="90" spans="2:4" x14ac:dyDescent="0.2">
      <c r="B90" s="116" t="s">
        <v>3584</v>
      </c>
      <c r="C90" s="117" t="s">
        <v>3585</v>
      </c>
      <c r="D90" s="118">
        <v>1.79</v>
      </c>
    </row>
    <row r="91" spans="2:4" x14ac:dyDescent="0.2">
      <c r="B91" s="116" t="s">
        <v>3586</v>
      </c>
      <c r="C91" s="117" t="s">
        <v>3587</v>
      </c>
      <c r="D91" s="118">
        <v>11.37</v>
      </c>
    </row>
    <row r="92" spans="2:4" x14ac:dyDescent="0.2">
      <c r="B92" s="116" t="s">
        <v>231</v>
      </c>
      <c r="C92" s="117" t="s">
        <v>232</v>
      </c>
      <c r="D92" s="118">
        <v>1.3</v>
      </c>
    </row>
    <row r="93" spans="2:4" x14ac:dyDescent="0.2">
      <c r="B93" s="116" t="s">
        <v>235</v>
      </c>
      <c r="C93" s="117" t="s">
        <v>236</v>
      </c>
      <c r="D93" s="118">
        <v>3.17</v>
      </c>
    </row>
    <row r="94" spans="2:4" x14ac:dyDescent="0.2">
      <c r="B94" s="116" t="s">
        <v>237</v>
      </c>
      <c r="C94" s="117" t="s">
        <v>238</v>
      </c>
      <c r="D94" s="118">
        <v>0</v>
      </c>
    </row>
    <row r="95" spans="2:4" x14ac:dyDescent="0.2">
      <c r="B95" s="116" t="s">
        <v>239</v>
      </c>
      <c r="C95" s="117" t="s">
        <v>240</v>
      </c>
      <c r="D95" s="118">
        <v>16.73</v>
      </c>
    </row>
    <row r="96" spans="2:4" x14ac:dyDescent="0.2">
      <c r="B96" s="116" t="s">
        <v>243</v>
      </c>
      <c r="C96" s="117" t="s">
        <v>244</v>
      </c>
      <c r="D96" s="118">
        <v>1.49</v>
      </c>
    </row>
    <row r="97" spans="2:4" x14ac:dyDescent="0.2">
      <c r="B97" s="116" t="s">
        <v>246</v>
      </c>
      <c r="C97" s="117" t="s">
        <v>247</v>
      </c>
      <c r="D97" s="118">
        <v>1.65</v>
      </c>
    </row>
    <row r="98" spans="2:4" x14ac:dyDescent="0.2">
      <c r="B98" s="116" t="s">
        <v>3588</v>
      </c>
      <c r="C98" s="117" t="s">
        <v>3589</v>
      </c>
      <c r="D98" s="118">
        <v>4.97</v>
      </c>
    </row>
    <row r="99" spans="2:4" x14ac:dyDescent="0.2">
      <c r="B99" s="116" t="s">
        <v>249</v>
      </c>
      <c r="C99" s="117" t="s">
        <v>250</v>
      </c>
      <c r="D99" s="118">
        <v>0</v>
      </c>
    </row>
    <row r="100" spans="2:4" x14ac:dyDescent="0.2">
      <c r="B100" s="116" t="s">
        <v>3590</v>
      </c>
      <c r="C100" s="117" t="s">
        <v>3591</v>
      </c>
      <c r="D100" s="118">
        <v>3.6</v>
      </c>
    </row>
    <row r="101" spans="2:4" x14ac:dyDescent="0.2">
      <c r="B101" s="116" t="s">
        <v>252</v>
      </c>
      <c r="C101" s="117" t="s">
        <v>253</v>
      </c>
      <c r="D101" s="118">
        <v>0.62</v>
      </c>
    </row>
    <row r="102" spans="2:4" x14ac:dyDescent="0.2">
      <c r="B102" s="116" t="s">
        <v>254</v>
      </c>
      <c r="C102" s="117" t="s">
        <v>255</v>
      </c>
      <c r="D102" s="118">
        <v>0</v>
      </c>
    </row>
    <row r="103" spans="2:4" x14ac:dyDescent="0.2">
      <c r="B103" s="116" t="s">
        <v>257</v>
      </c>
      <c r="C103" s="117" t="s">
        <v>258</v>
      </c>
      <c r="D103" s="118">
        <v>1.49</v>
      </c>
    </row>
    <row r="104" spans="2:4" x14ac:dyDescent="0.2">
      <c r="B104" s="116" t="s">
        <v>259</v>
      </c>
      <c r="C104" s="117" t="s">
        <v>260</v>
      </c>
      <c r="D104" s="118">
        <v>2.95</v>
      </c>
    </row>
    <row r="105" spans="2:4" x14ac:dyDescent="0.2">
      <c r="B105" s="116" t="s">
        <v>261</v>
      </c>
      <c r="C105" s="117" t="s">
        <v>262</v>
      </c>
      <c r="D105" s="118">
        <v>0.79</v>
      </c>
    </row>
    <row r="106" spans="2:4" x14ac:dyDescent="0.2">
      <c r="B106" s="116" t="s">
        <v>263</v>
      </c>
      <c r="C106" s="117" t="s">
        <v>264</v>
      </c>
      <c r="D106" s="118">
        <v>1.27</v>
      </c>
    </row>
    <row r="107" spans="2:4" x14ac:dyDescent="0.2">
      <c r="B107" s="116" t="s">
        <v>266</v>
      </c>
      <c r="C107" s="117" t="s">
        <v>267</v>
      </c>
      <c r="D107" s="118">
        <v>2.66</v>
      </c>
    </row>
    <row r="108" spans="2:4" x14ac:dyDescent="0.2">
      <c r="B108" s="116" t="s">
        <v>268</v>
      </c>
      <c r="C108" s="117" t="s">
        <v>269</v>
      </c>
      <c r="D108" s="118">
        <v>0</v>
      </c>
    </row>
    <row r="109" spans="2:4" x14ac:dyDescent="0.2">
      <c r="B109" s="116" t="s">
        <v>3592</v>
      </c>
      <c r="C109" s="117" t="s">
        <v>3593</v>
      </c>
      <c r="D109" s="118">
        <v>0</v>
      </c>
    </row>
    <row r="110" spans="2:4" x14ac:dyDescent="0.2">
      <c r="B110" s="116" t="s">
        <v>270</v>
      </c>
      <c r="C110" s="117" t="s">
        <v>271</v>
      </c>
      <c r="D110" s="118">
        <v>1.63</v>
      </c>
    </row>
    <row r="111" spans="2:4" x14ac:dyDescent="0.2">
      <c r="B111" s="116" t="s">
        <v>273</v>
      </c>
      <c r="C111" s="117" t="s">
        <v>274</v>
      </c>
      <c r="D111" s="118">
        <v>2.44</v>
      </c>
    </row>
    <row r="112" spans="2:4" x14ac:dyDescent="0.2">
      <c r="B112" s="116" t="s">
        <v>276</v>
      </c>
      <c r="C112" s="117" t="s">
        <v>277</v>
      </c>
      <c r="D112" s="118">
        <v>2.5</v>
      </c>
    </row>
    <row r="113" spans="2:4" x14ac:dyDescent="0.2">
      <c r="B113" s="116" t="s">
        <v>279</v>
      </c>
      <c r="C113" s="117" t="s">
        <v>280</v>
      </c>
      <c r="D113" s="118">
        <v>0</v>
      </c>
    </row>
    <row r="114" spans="2:4" x14ac:dyDescent="0.2">
      <c r="B114" s="116" t="s">
        <v>282</v>
      </c>
      <c r="C114" s="117" t="s">
        <v>283</v>
      </c>
      <c r="D114" s="118">
        <v>0</v>
      </c>
    </row>
    <row r="115" spans="2:4" x14ac:dyDescent="0.2">
      <c r="B115" s="116" t="s">
        <v>3594</v>
      </c>
      <c r="C115" s="117" t="s">
        <v>3595</v>
      </c>
      <c r="D115" s="118">
        <v>2.66</v>
      </c>
    </row>
    <row r="116" spans="2:4" x14ac:dyDescent="0.2">
      <c r="B116" s="116" t="s">
        <v>285</v>
      </c>
      <c r="C116" s="117" t="s">
        <v>286</v>
      </c>
      <c r="D116" s="118">
        <v>0</v>
      </c>
    </row>
    <row r="117" spans="2:4" x14ac:dyDescent="0.2">
      <c r="B117" s="116" t="s">
        <v>288</v>
      </c>
      <c r="C117" s="117" t="s">
        <v>289</v>
      </c>
      <c r="D117" s="118">
        <v>0</v>
      </c>
    </row>
    <row r="118" spans="2:4" x14ac:dyDescent="0.2">
      <c r="B118" s="116" t="s">
        <v>290</v>
      </c>
      <c r="C118" s="117" t="s">
        <v>291</v>
      </c>
      <c r="D118" s="118">
        <v>0</v>
      </c>
    </row>
    <row r="119" spans="2:4" x14ac:dyDescent="0.2">
      <c r="B119" s="116" t="s">
        <v>292</v>
      </c>
      <c r="C119" s="117" t="s">
        <v>293</v>
      </c>
      <c r="D119" s="118">
        <v>0</v>
      </c>
    </row>
    <row r="120" spans="2:4" x14ac:dyDescent="0.2">
      <c r="B120" s="116" t="s">
        <v>294</v>
      </c>
      <c r="C120" s="117" t="s">
        <v>295</v>
      </c>
      <c r="D120" s="118">
        <v>1.27</v>
      </c>
    </row>
    <row r="121" spans="2:4" x14ac:dyDescent="0.2">
      <c r="B121" s="116" t="s">
        <v>297</v>
      </c>
      <c r="C121" s="117" t="s">
        <v>298</v>
      </c>
      <c r="D121" s="118">
        <v>5.84</v>
      </c>
    </row>
    <row r="122" spans="2:4" x14ac:dyDescent="0.2">
      <c r="B122" s="116" t="s">
        <v>300</v>
      </c>
      <c r="C122" s="117" t="s">
        <v>301</v>
      </c>
      <c r="D122" s="118">
        <v>0.91</v>
      </c>
    </row>
    <row r="123" spans="2:4" x14ac:dyDescent="0.2">
      <c r="B123" s="116" t="s">
        <v>302</v>
      </c>
      <c r="C123" s="117" t="s">
        <v>303</v>
      </c>
      <c r="D123" s="118">
        <v>1.85</v>
      </c>
    </row>
    <row r="124" spans="2:4" x14ac:dyDescent="0.2">
      <c r="B124" s="116" t="s">
        <v>304</v>
      </c>
      <c r="C124" s="117" t="s">
        <v>305</v>
      </c>
      <c r="D124" s="118">
        <v>3.88</v>
      </c>
    </row>
    <row r="125" spans="2:4" x14ac:dyDescent="0.2">
      <c r="B125" s="116" t="s">
        <v>307</v>
      </c>
      <c r="C125" s="117" t="s">
        <v>308</v>
      </c>
      <c r="D125" s="118">
        <v>2.09</v>
      </c>
    </row>
    <row r="126" spans="2:4" x14ac:dyDescent="0.2">
      <c r="B126" s="116" t="s">
        <v>309</v>
      </c>
      <c r="C126" s="117" t="s">
        <v>310</v>
      </c>
      <c r="D126" s="118">
        <v>1.79</v>
      </c>
    </row>
    <row r="127" spans="2:4" x14ac:dyDescent="0.2">
      <c r="B127" s="116" t="s">
        <v>312</v>
      </c>
      <c r="C127" s="117" t="s">
        <v>313</v>
      </c>
      <c r="D127" s="118">
        <v>1.07</v>
      </c>
    </row>
    <row r="128" spans="2:4" x14ac:dyDescent="0.2">
      <c r="B128" s="116" t="s">
        <v>3596</v>
      </c>
      <c r="C128" s="117" t="s">
        <v>3597</v>
      </c>
      <c r="D128" s="118">
        <v>7.33</v>
      </c>
    </row>
    <row r="129" spans="2:4" x14ac:dyDescent="0.2">
      <c r="B129" s="116" t="s">
        <v>315</v>
      </c>
      <c r="C129" s="117" t="s">
        <v>316</v>
      </c>
      <c r="D129" s="118">
        <v>4.99</v>
      </c>
    </row>
    <row r="130" spans="2:4" x14ac:dyDescent="0.2">
      <c r="B130" s="116" t="s">
        <v>317</v>
      </c>
      <c r="C130" s="117" t="s">
        <v>318</v>
      </c>
      <c r="D130" s="118">
        <v>0</v>
      </c>
    </row>
    <row r="131" spans="2:4" x14ac:dyDescent="0.2">
      <c r="B131" s="116" t="s">
        <v>320</v>
      </c>
      <c r="C131" s="117" t="s">
        <v>321</v>
      </c>
      <c r="D131" s="118">
        <v>0</v>
      </c>
    </row>
    <row r="132" spans="2:4" x14ac:dyDescent="0.2">
      <c r="B132" s="116" t="s">
        <v>322</v>
      </c>
      <c r="C132" s="117" t="s">
        <v>323</v>
      </c>
      <c r="D132" s="118">
        <v>1.01</v>
      </c>
    </row>
    <row r="133" spans="2:4" x14ac:dyDescent="0.2">
      <c r="B133" s="116" t="s">
        <v>325</v>
      </c>
      <c r="C133" s="117" t="s">
        <v>326</v>
      </c>
      <c r="D133" s="118">
        <v>4.1500000000000004</v>
      </c>
    </row>
    <row r="134" spans="2:4" x14ac:dyDescent="0.2">
      <c r="B134" s="116" t="s">
        <v>327</v>
      </c>
      <c r="C134" s="117" t="s">
        <v>328</v>
      </c>
      <c r="D134" s="118">
        <v>8.49</v>
      </c>
    </row>
    <row r="135" spans="2:4" x14ac:dyDescent="0.2">
      <c r="B135" s="116" t="s">
        <v>330</v>
      </c>
      <c r="C135" s="117" t="s">
        <v>331</v>
      </c>
      <c r="D135" s="118">
        <v>2.61</v>
      </c>
    </row>
    <row r="136" spans="2:4" x14ac:dyDescent="0.2">
      <c r="B136" s="116" t="s">
        <v>332</v>
      </c>
      <c r="C136" s="117" t="s">
        <v>333</v>
      </c>
      <c r="D136" s="118">
        <v>4.3600000000000003</v>
      </c>
    </row>
    <row r="137" spans="2:4" x14ac:dyDescent="0.2">
      <c r="B137" s="116" t="s">
        <v>334</v>
      </c>
      <c r="C137" s="117" t="s">
        <v>335</v>
      </c>
      <c r="D137" s="118">
        <v>0</v>
      </c>
    </row>
    <row r="138" spans="2:4" x14ac:dyDescent="0.2">
      <c r="B138" s="116" t="s">
        <v>3598</v>
      </c>
      <c r="C138" s="117" t="s">
        <v>3599</v>
      </c>
      <c r="D138" s="118">
        <v>9.42</v>
      </c>
    </row>
    <row r="139" spans="2:4" x14ac:dyDescent="0.2">
      <c r="B139" s="116" t="s">
        <v>336</v>
      </c>
      <c r="C139" s="117" t="s">
        <v>337</v>
      </c>
      <c r="D139" s="118">
        <v>2.4900000000000002</v>
      </c>
    </row>
    <row r="140" spans="2:4" x14ac:dyDescent="0.2">
      <c r="B140" s="116" t="s">
        <v>338</v>
      </c>
      <c r="C140" s="117" t="s">
        <v>339</v>
      </c>
      <c r="D140" s="118">
        <v>1.04</v>
      </c>
    </row>
    <row r="141" spans="2:4" x14ac:dyDescent="0.2">
      <c r="B141" s="116" t="s">
        <v>341</v>
      </c>
      <c r="C141" s="117" t="s">
        <v>342</v>
      </c>
      <c r="D141" s="118">
        <v>0.3</v>
      </c>
    </row>
    <row r="142" spans="2:4" x14ac:dyDescent="0.2">
      <c r="B142" s="116" t="s">
        <v>344</v>
      </c>
      <c r="C142" s="117" t="s">
        <v>345</v>
      </c>
      <c r="D142" s="118">
        <v>0</v>
      </c>
    </row>
    <row r="143" spans="2:4" x14ac:dyDescent="0.2">
      <c r="B143" s="116" t="s">
        <v>347</v>
      </c>
      <c r="C143" s="117" t="s">
        <v>348</v>
      </c>
      <c r="D143" s="118">
        <v>1.17</v>
      </c>
    </row>
    <row r="144" spans="2:4" x14ac:dyDescent="0.2">
      <c r="B144" s="116" t="s">
        <v>349</v>
      </c>
      <c r="C144" s="117" t="s">
        <v>350</v>
      </c>
      <c r="D144" s="118">
        <v>3.35</v>
      </c>
    </row>
    <row r="145" spans="2:4" x14ac:dyDescent="0.2">
      <c r="B145" s="116" t="s">
        <v>352</v>
      </c>
      <c r="C145" s="117" t="s">
        <v>353</v>
      </c>
      <c r="D145" s="118">
        <v>0.9</v>
      </c>
    </row>
    <row r="146" spans="2:4" x14ac:dyDescent="0.2">
      <c r="B146" s="116" t="s">
        <v>354</v>
      </c>
      <c r="C146" s="117" t="s">
        <v>355</v>
      </c>
      <c r="D146" s="118">
        <v>3.92</v>
      </c>
    </row>
    <row r="147" spans="2:4" x14ac:dyDescent="0.2">
      <c r="B147" s="116" t="s">
        <v>3600</v>
      </c>
      <c r="C147" s="117" t="s">
        <v>3601</v>
      </c>
      <c r="D147" s="118">
        <v>2.39</v>
      </c>
    </row>
    <row r="148" spans="2:4" x14ac:dyDescent="0.2">
      <c r="B148" s="116" t="s">
        <v>356</v>
      </c>
      <c r="C148" s="117" t="s">
        <v>357</v>
      </c>
      <c r="D148" s="118">
        <v>0</v>
      </c>
    </row>
    <row r="149" spans="2:4" x14ac:dyDescent="0.2">
      <c r="B149" s="116" t="s">
        <v>358</v>
      </c>
      <c r="C149" s="117" t="s">
        <v>359</v>
      </c>
      <c r="D149" s="118">
        <v>1.42</v>
      </c>
    </row>
    <row r="150" spans="2:4" x14ac:dyDescent="0.2">
      <c r="B150" s="116" t="s">
        <v>361</v>
      </c>
      <c r="C150" s="117" t="s">
        <v>362</v>
      </c>
      <c r="D150" s="118">
        <v>2.85</v>
      </c>
    </row>
    <row r="151" spans="2:4" x14ac:dyDescent="0.2">
      <c r="B151" s="116" t="s">
        <v>3602</v>
      </c>
      <c r="C151" s="117" t="s">
        <v>3603</v>
      </c>
      <c r="D151" s="118">
        <v>1.03</v>
      </c>
    </row>
    <row r="152" spans="2:4" x14ac:dyDescent="0.2">
      <c r="B152" s="116" t="s">
        <v>364</v>
      </c>
      <c r="C152" s="117" t="s">
        <v>365</v>
      </c>
      <c r="D152" s="118">
        <v>0.81</v>
      </c>
    </row>
    <row r="153" spans="2:4" x14ac:dyDescent="0.2">
      <c r="B153" s="116" t="s">
        <v>366</v>
      </c>
      <c r="C153" s="117" t="s">
        <v>367</v>
      </c>
      <c r="D153" s="118">
        <v>0</v>
      </c>
    </row>
    <row r="154" spans="2:4" x14ac:dyDescent="0.2">
      <c r="B154" s="116" t="s">
        <v>368</v>
      </c>
      <c r="C154" s="117" t="s">
        <v>369</v>
      </c>
      <c r="D154" s="118">
        <v>2.97</v>
      </c>
    </row>
    <row r="155" spans="2:4" x14ac:dyDescent="0.2">
      <c r="B155" s="116" t="s">
        <v>371</v>
      </c>
      <c r="C155" s="117" t="s">
        <v>372</v>
      </c>
      <c r="D155" s="118">
        <v>2.35</v>
      </c>
    </row>
    <row r="156" spans="2:4" x14ac:dyDescent="0.2">
      <c r="B156" s="116" t="s">
        <v>3604</v>
      </c>
      <c r="C156" s="117" t="s">
        <v>3605</v>
      </c>
      <c r="D156" s="118">
        <v>2.74</v>
      </c>
    </row>
    <row r="157" spans="2:4" x14ac:dyDescent="0.2">
      <c r="B157" s="116" t="s">
        <v>3606</v>
      </c>
      <c r="C157" s="117" t="s">
        <v>3607</v>
      </c>
      <c r="D157" s="118">
        <v>1.45</v>
      </c>
    </row>
    <row r="158" spans="2:4" x14ac:dyDescent="0.2">
      <c r="B158" s="116" t="s">
        <v>373</v>
      </c>
      <c r="C158" s="117" t="s">
        <v>374</v>
      </c>
      <c r="D158" s="118">
        <v>1.38</v>
      </c>
    </row>
    <row r="159" spans="2:4" x14ac:dyDescent="0.2">
      <c r="B159" s="116" t="s">
        <v>376</v>
      </c>
      <c r="C159" s="117" t="s">
        <v>377</v>
      </c>
      <c r="D159" s="118">
        <v>0</v>
      </c>
    </row>
    <row r="160" spans="2:4" x14ac:dyDescent="0.2">
      <c r="B160" s="116" t="s">
        <v>379</v>
      </c>
      <c r="C160" s="117" t="s">
        <v>380</v>
      </c>
      <c r="D160" s="118">
        <v>0</v>
      </c>
    </row>
    <row r="161" spans="2:4" x14ac:dyDescent="0.2">
      <c r="B161" s="116" t="s">
        <v>381</v>
      </c>
      <c r="C161" s="117" t="s">
        <v>382</v>
      </c>
      <c r="D161" s="118">
        <v>0.85</v>
      </c>
    </row>
    <row r="162" spans="2:4" x14ac:dyDescent="0.2">
      <c r="B162" s="116" t="s">
        <v>384</v>
      </c>
      <c r="C162" s="117" t="s">
        <v>385</v>
      </c>
      <c r="D162" s="118">
        <v>1.86</v>
      </c>
    </row>
    <row r="163" spans="2:4" x14ac:dyDescent="0.2">
      <c r="B163" s="116" t="s">
        <v>387</v>
      </c>
      <c r="C163" s="117" t="s">
        <v>388</v>
      </c>
      <c r="D163" s="118">
        <v>1.22</v>
      </c>
    </row>
    <row r="164" spans="2:4" x14ac:dyDescent="0.2">
      <c r="B164" s="116" t="s">
        <v>390</v>
      </c>
      <c r="C164" s="117" t="s">
        <v>391</v>
      </c>
      <c r="D164" s="118">
        <v>0</v>
      </c>
    </row>
    <row r="165" spans="2:4" x14ac:dyDescent="0.2">
      <c r="B165" s="116" t="s">
        <v>392</v>
      </c>
      <c r="C165" s="117" t="s">
        <v>393</v>
      </c>
      <c r="D165" s="118">
        <v>0.68</v>
      </c>
    </row>
    <row r="166" spans="2:4" x14ac:dyDescent="0.2">
      <c r="B166" s="116" t="s">
        <v>395</v>
      </c>
      <c r="C166" s="117" t="s">
        <v>396</v>
      </c>
      <c r="D166" s="118">
        <v>0.27</v>
      </c>
    </row>
    <row r="167" spans="2:4" x14ac:dyDescent="0.2">
      <c r="B167" s="116" t="s">
        <v>397</v>
      </c>
      <c r="C167" s="117" t="s">
        <v>398</v>
      </c>
      <c r="D167" s="118">
        <v>2.61</v>
      </c>
    </row>
    <row r="168" spans="2:4" x14ac:dyDescent="0.2">
      <c r="B168" s="116" t="s">
        <v>400</v>
      </c>
      <c r="C168" s="117" t="s">
        <v>401</v>
      </c>
      <c r="D168" s="118">
        <v>2.76</v>
      </c>
    </row>
    <row r="169" spans="2:4" x14ac:dyDescent="0.2">
      <c r="B169" s="116" t="s">
        <v>403</v>
      </c>
      <c r="C169" s="117" t="s">
        <v>404</v>
      </c>
      <c r="D169" s="118">
        <v>0.57999999999999996</v>
      </c>
    </row>
    <row r="170" spans="2:4" x14ac:dyDescent="0.2">
      <c r="B170" s="116" t="s">
        <v>405</v>
      </c>
      <c r="C170" s="117" t="s">
        <v>406</v>
      </c>
      <c r="D170" s="118">
        <v>3.24</v>
      </c>
    </row>
    <row r="171" spans="2:4" x14ac:dyDescent="0.2">
      <c r="B171" s="116" t="s">
        <v>407</v>
      </c>
      <c r="C171" s="117" t="s">
        <v>408</v>
      </c>
      <c r="D171" s="118">
        <v>4.67</v>
      </c>
    </row>
    <row r="172" spans="2:4" x14ac:dyDescent="0.2">
      <c r="B172" s="116" t="s">
        <v>409</v>
      </c>
      <c r="C172" s="117" t="s">
        <v>410</v>
      </c>
      <c r="D172" s="118">
        <v>2.91</v>
      </c>
    </row>
    <row r="173" spans="2:4" x14ac:dyDescent="0.2">
      <c r="B173" s="116" t="s">
        <v>411</v>
      </c>
      <c r="C173" s="117" t="s">
        <v>412</v>
      </c>
      <c r="D173" s="118">
        <v>3.73</v>
      </c>
    </row>
    <row r="174" spans="2:4" x14ac:dyDescent="0.2">
      <c r="B174" s="116" t="s">
        <v>3608</v>
      </c>
      <c r="C174" s="117" t="s">
        <v>3609</v>
      </c>
      <c r="D174" s="118">
        <v>2.69</v>
      </c>
    </row>
    <row r="175" spans="2:4" x14ac:dyDescent="0.2">
      <c r="B175" s="116" t="s">
        <v>413</v>
      </c>
      <c r="C175" s="117" t="s">
        <v>414</v>
      </c>
      <c r="D175" s="118">
        <v>0</v>
      </c>
    </row>
    <row r="176" spans="2:4" x14ac:dyDescent="0.2">
      <c r="B176" s="116" t="s">
        <v>415</v>
      </c>
      <c r="C176" s="117" t="s">
        <v>416</v>
      </c>
      <c r="D176" s="118">
        <v>1.94</v>
      </c>
    </row>
    <row r="177" spans="2:4" x14ac:dyDescent="0.2">
      <c r="B177" s="116" t="s">
        <v>3610</v>
      </c>
      <c r="C177" s="117" t="s">
        <v>3611</v>
      </c>
      <c r="D177" s="118">
        <v>0</v>
      </c>
    </row>
    <row r="178" spans="2:4" x14ac:dyDescent="0.2">
      <c r="B178" s="116" t="s">
        <v>417</v>
      </c>
      <c r="C178" s="117" t="s">
        <v>418</v>
      </c>
      <c r="D178" s="118">
        <v>4.3499999999999996</v>
      </c>
    </row>
    <row r="179" spans="2:4" x14ac:dyDescent="0.2">
      <c r="B179" s="116" t="s">
        <v>419</v>
      </c>
      <c r="C179" s="117" t="s">
        <v>420</v>
      </c>
      <c r="D179" s="118">
        <v>2.06</v>
      </c>
    </row>
    <row r="180" spans="2:4" x14ac:dyDescent="0.2">
      <c r="B180" s="116" t="s">
        <v>3612</v>
      </c>
      <c r="C180" s="117" t="s">
        <v>3613</v>
      </c>
      <c r="D180" s="118">
        <v>5.12</v>
      </c>
    </row>
    <row r="181" spans="2:4" x14ac:dyDescent="0.2">
      <c r="B181" s="116" t="s">
        <v>422</v>
      </c>
      <c r="C181" s="117" t="s">
        <v>423</v>
      </c>
      <c r="D181" s="118">
        <v>0.72</v>
      </c>
    </row>
    <row r="182" spans="2:4" x14ac:dyDescent="0.2">
      <c r="B182" s="116" t="s">
        <v>425</v>
      </c>
      <c r="C182" s="117" t="s">
        <v>426</v>
      </c>
      <c r="D182" s="118">
        <v>1.63</v>
      </c>
    </row>
    <row r="183" spans="2:4" x14ac:dyDescent="0.2">
      <c r="B183" s="116" t="s">
        <v>428</v>
      </c>
      <c r="C183" s="117" t="s">
        <v>429</v>
      </c>
      <c r="D183" s="118">
        <v>1.35</v>
      </c>
    </row>
    <row r="184" spans="2:4" x14ac:dyDescent="0.2">
      <c r="B184" s="116" t="s">
        <v>430</v>
      </c>
      <c r="C184" s="117" t="s">
        <v>431</v>
      </c>
      <c r="D184" s="118">
        <v>4.82</v>
      </c>
    </row>
    <row r="185" spans="2:4" x14ac:dyDescent="0.2">
      <c r="B185" s="116" t="s">
        <v>432</v>
      </c>
      <c r="C185" s="117" t="s">
        <v>433</v>
      </c>
      <c r="D185" s="118">
        <v>1.34</v>
      </c>
    </row>
    <row r="186" spans="2:4" x14ac:dyDescent="0.2">
      <c r="B186" s="116" t="s">
        <v>435</v>
      </c>
      <c r="C186" s="117" t="s">
        <v>436</v>
      </c>
      <c r="D186" s="118">
        <v>2.44</v>
      </c>
    </row>
    <row r="187" spans="2:4" x14ac:dyDescent="0.2">
      <c r="B187" s="116" t="s">
        <v>437</v>
      </c>
      <c r="C187" s="117" t="s">
        <v>438</v>
      </c>
      <c r="D187" s="118">
        <v>0</v>
      </c>
    </row>
    <row r="188" spans="2:4" x14ac:dyDescent="0.2">
      <c r="B188" s="116" t="s">
        <v>439</v>
      </c>
      <c r="C188" s="117" t="s">
        <v>440</v>
      </c>
      <c r="D188" s="118">
        <v>0.38</v>
      </c>
    </row>
    <row r="189" spans="2:4" x14ac:dyDescent="0.2">
      <c r="B189" s="116" t="s">
        <v>442</v>
      </c>
      <c r="C189" s="117" t="s">
        <v>443</v>
      </c>
      <c r="D189" s="118">
        <v>0</v>
      </c>
    </row>
    <row r="190" spans="2:4" x14ac:dyDescent="0.2">
      <c r="B190" s="116" t="s">
        <v>444</v>
      </c>
      <c r="C190" s="117" t="s">
        <v>445</v>
      </c>
      <c r="D190" s="118">
        <v>1.95</v>
      </c>
    </row>
    <row r="191" spans="2:4" x14ac:dyDescent="0.2">
      <c r="B191" s="116" t="s">
        <v>446</v>
      </c>
      <c r="C191" s="117" t="s">
        <v>447</v>
      </c>
      <c r="D191" s="118">
        <v>0</v>
      </c>
    </row>
    <row r="192" spans="2:4" x14ac:dyDescent="0.2">
      <c r="B192" s="116" t="s">
        <v>448</v>
      </c>
      <c r="C192" s="117" t="s">
        <v>449</v>
      </c>
      <c r="D192" s="118">
        <v>0</v>
      </c>
    </row>
    <row r="193" spans="2:4" x14ac:dyDescent="0.2">
      <c r="B193" s="116" t="s">
        <v>450</v>
      </c>
      <c r="C193" s="117" t="s">
        <v>451</v>
      </c>
      <c r="D193" s="118">
        <v>3.2</v>
      </c>
    </row>
    <row r="194" spans="2:4" x14ac:dyDescent="0.2">
      <c r="B194" s="116" t="s">
        <v>452</v>
      </c>
      <c r="C194" s="117" t="s">
        <v>453</v>
      </c>
      <c r="D194" s="118">
        <v>0</v>
      </c>
    </row>
    <row r="195" spans="2:4" x14ac:dyDescent="0.2">
      <c r="B195" s="116" t="s">
        <v>454</v>
      </c>
      <c r="C195" s="117" t="s">
        <v>455</v>
      </c>
      <c r="D195" s="118">
        <v>2.17</v>
      </c>
    </row>
    <row r="196" spans="2:4" x14ac:dyDescent="0.2">
      <c r="B196" s="116" t="s">
        <v>457</v>
      </c>
      <c r="C196" s="117" t="s">
        <v>458</v>
      </c>
      <c r="D196" s="118">
        <v>0</v>
      </c>
    </row>
    <row r="197" spans="2:4" x14ac:dyDescent="0.2">
      <c r="B197" s="116" t="s">
        <v>459</v>
      </c>
      <c r="C197" s="117" t="s">
        <v>460</v>
      </c>
      <c r="D197" s="118">
        <v>2.4300000000000002</v>
      </c>
    </row>
    <row r="198" spans="2:4" x14ac:dyDescent="0.2">
      <c r="B198" s="116" t="s">
        <v>3614</v>
      </c>
      <c r="C198" s="117" t="s">
        <v>3615</v>
      </c>
      <c r="D198" s="118">
        <v>5.64</v>
      </c>
    </row>
    <row r="199" spans="2:4" x14ac:dyDescent="0.2">
      <c r="B199" s="116" t="s">
        <v>462</v>
      </c>
      <c r="C199" s="117" t="s">
        <v>463</v>
      </c>
      <c r="D199" s="118">
        <v>4.5199999999999996</v>
      </c>
    </row>
    <row r="200" spans="2:4" x14ac:dyDescent="0.2">
      <c r="B200" s="116" t="s">
        <v>464</v>
      </c>
      <c r="C200" s="117" t="s">
        <v>465</v>
      </c>
      <c r="D200" s="118">
        <v>1.31</v>
      </c>
    </row>
    <row r="201" spans="2:4" x14ac:dyDescent="0.2">
      <c r="B201" s="116" t="s">
        <v>3616</v>
      </c>
      <c r="C201" s="117" t="s">
        <v>3617</v>
      </c>
      <c r="D201" s="118">
        <v>1.19</v>
      </c>
    </row>
    <row r="202" spans="2:4" x14ac:dyDescent="0.2">
      <c r="B202" s="116" t="s">
        <v>467</v>
      </c>
      <c r="C202" s="117" t="s">
        <v>468</v>
      </c>
      <c r="D202" s="118">
        <v>0</v>
      </c>
    </row>
    <row r="203" spans="2:4" x14ac:dyDescent="0.2">
      <c r="B203" s="116" t="s">
        <v>470</v>
      </c>
      <c r="C203" s="117" t="s">
        <v>471</v>
      </c>
      <c r="D203" s="118">
        <v>2.9</v>
      </c>
    </row>
    <row r="204" spans="2:4" x14ac:dyDescent="0.2">
      <c r="B204" s="116" t="s">
        <v>472</v>
      </c>
      <c r="C204" s="117" t="s">
        <v>473</v>
      </c>
      <c r="D204" s="118">
        <v>3.67</v>
      </c>
    </row>
    <row r="205" spans="2:4" x14ac:dyDescent="0.2">
      <c r="B205" s="116" t="s">
        <v>474</v>
      </c>
      <c r="C205" s="117" t="s">
        <v>475</v>
      </c>
      <c r="D205" s="118">
        <v>1.01</v>
      </c>
    </row>
    <row r="206" spans="2:4" x14ac:dyDescent="0.2">
      <c r="B206" s="116" t="s">
        <v>476</v>
      </c>
      <c r="C206" s="117" t="s">
        <v>477</v>
      </c>
      <c r="D206" s="118">
        <v>2.95</v>
      </c>
    </row>
    <row r="207" spans="2:4" x14ac:dyDescent="0.2">
      <c r="B207" s="116" t="s">
        <v>478</v>
      </c>
      <c r="C207" s="117" t="s">
        <v>479</v>
      </c>
      <c r="D207" s="118">
        <v>0</v>
      </c>
    </row>
    <row r="208" spans="2:4" x14ac:dyDescent="0.2">
      <c r="B208" s="116" t="s">
        <v>480</v>
      </c>
      <c r="C208" s="117" t="s">
        <v>481</v>
      </c>
      <c r="D208" s="118">
        <v>1.91</v>
      </c>
    </row>
    <row r="209" spans="2:4" x14ac:dyDescent="0.2">
      <c r="B209" s="116" t="s">
        <v>482</v>
      </c>
      <c r="C209" s="117" t="s">
        <v>483</v>
      </c>
      <c r="D209" s="118">
        <v>0.53</v>
      </c>
    </row>
    <row r="210" spans="2:4" x14ac:dyDescent="0.2">
      <c r="B210" s="116" t="s">
        <v>482</v>
      </c>
      <c r="C210" s="117" t="s">
        <v>3618</v>
      </c>
      <c r="D210" s="118">
        <v>0.52</v>
      </c>
    </row>
    <row r="211" spans="2:4" x14ac:dyDescent="0.2">
      <c r="B211" s="116" t="s">
        <v>3619</v>
      </c>
      <c r="C211" s="117" t="s">
        <v>3620</v>
      </c>
      <c r="D211" s="118">
        <v>0</v>
      </c>
    </row>
    <row r="212" spans="2:4" x14ac:dyDescent="0.2">
      <c r="B212" s="116" t="s">
        <v>484</v>
      </c>
      <c r="C212" s="117" t="s">
        <v>485</v>
      </c>
      <c r="D212" s="118">
        <v>7.03</v>
      </c>
    </row>
    <row r="213" spans="2:4" x14ac:dyDescent="0.2">
      <c r="B213" s="116" t="s">
        <v>3621</v>
      </c>
      <c r="C213" s="117" t="s">
        <v>3622</v>
      </c>
      <c r="D213" s="118">
        <v>5.53</v>
      </c>
    </row>
    <row r="214" spans="2:4" x14ac:dyDescent="0.2">
      <c r="B214" s="116" t="s">
        <v>486</v>
      </c>
      <c r="C214" s="117" t="s">
        <v>487</v>
      </c>
      <c r="D214" s="118">
        <v>3.43</v>
      </c>
    </row>
    <row r="215" spans="2:4" x14ac:dyDescent="0.2">
      <c r="B215" s="116" t="s">
        <v>3623</v>
      </c>
      <c r="C215" s="117" t="s">
        <v>3624</v>
      </c>
      <c r="D215" s="118">
        <v>0.66</v>
      </c>
    </row>
    <row r="216" spans="2:4" x14ac:dyDescent="0.2">
      <c r="B216" s="116" t="s">
        <v>488</v>
      </c>
      <c r="C216" s="117" t="s">
        <v>489</v>
      </c>
      <c r="D216" s="118">
        <v>5.46</v>
      </c>
    </row>
    <row r="217" spans="2:4" x14ac:dyDescent="0.2">
      <c r="B217" s="116" t="s">
        <v>490</v>
      </c>
      <c r="C217" s="117" t="s">
        <v>491</v>
      </c>
      <c r="D217" s="118">
        <v>3</v>
      </c>
    </row>
    <row r="218" spans="2:4" x14ac:dyDescent="0.2">
      <c r="B218" s="116" t="s">
        <v>492</v>
      </c>
      <c r="C218" s="117" t="s">
        <v>493</v>
      </c>
      <c r="D218" s="118">
        <v>1.61</v>
      </c>
    </row>
    <row r="219" spans="2:4" x14ac:dyDescent="0.2">
      <c r="B219" s="116" t="s">
        <v>495</v>
      </c>
      <c r="C219" s="117" t="s">
        <v>496</v>
      </c>
      <c r="D219" s="118">
        <v>1.1200000000000001</v>
      </c>
    </row>
    <row r="220" spans="2:4" x14ac:dyDescent="0.2">
      <c r="B220" s="116" t="s">
        <v>497</v>
      </c>
      <c r="C220" s="117" t="s">
        <v>498</v>
      </c>
      <c r="D220" s="118">
        <v>4.92</v>
      </c>
    </row>
    <row r="221" spans="2:4" x14ac:dyDescent="0.2">
      <c r="B221" s="116" t="s">
        <v>500</v>
      </c>
      <c r="C221" s="117" t="s">
        <v>501</v>
      </c>
      <c r="D221" s="118">
        <v>2.73</v>
      </c>
    </row>
    <row r="222" spans="2:4" x14ac:dyDescent="0.2">
      <c r="B222" s="116" t="s">
        <v>3625</v>
      </c>
      <c r="C222" s="117" t="s">
        <v>3626</v>
      </c>
      <c r="D222" s="118">
        <v>0.67</v>
      </c>
    </row>
    <row r="223" spans="2:4" x14ac:dyDescent="0.2">
      <c r="B223" s="116" t="s">
        <v>502</v>
      </c>
      <c r="C223" s="117" t="s">
        <v>503</v>
      </c>
      <c r="D223" s="118">
        <v>8.1999999999999993</v>
      </c>
    </row>
    <row r="224" spans="2:4" x14ac:dyDescent="0.2">
      <c r="B224" s="116" t="s">
        <v>3627</v>
      </c>
      <c r="C224" s="117" t="s">
        <v>3628</v>
      </c>
      <c r="D224" s="118">
        <v>5.63</v>
      </c>
    </row>
    <row r="225" spans="2:4" x14ac:dyDescent="0.2">
      <c r="B225" s="116" t="s">
        <v>504</v>
      </c>
      <c r="C225" s="117" t="s">
        <v>505</v>
      </c>
      <c r="D225" s="118">
        <v>0.72</v>
      </c>
    </row>
    <row r="226" spans="2:4" x14ac:dyDescent="0.2">
      <c r="B226" s="116" t="s">
        <v>506</v>
      </c>
      <c r="C226" s="117" t="s">
        <v>507</v>
      </c>
      <c r="D226" s="118">
        <v>0.48</v>
      </c>
    </row>
    <row r="227" spans="2:4" x14ac:dyDescent="0.2">
      <c r="B227" s="116" t="s">
        <v>508</v>
      </c>
      <c r="C227" s="117" t="s">
        <v>509</v>
      </c>
      <c r="D227" s="118">
        <v>3.85</v>
      </c>
    </row>
    <row r="228" spans="2:4" x14ac:dyDescent="0.2">
      <c r="B228" s="116" t="s">
        <v>3629</v>
      </c>
      <c r="C228" s="117" t="s">
        <v>3630</v>
      </c>
      <c r="D228" s="118">
        <v>2.13</v>
      </c>
    </row>
    <row r="229" spans="2:4" x14ac:dyDescent="0.2">
      <c r="B229" s="116" t="s">
        <v>510</v>
      </c>
      <c r="C229" s="117" t="s">
        <v>511</v>
      </c>
      <c r="D229" s="118">
        <v>1.21</v>
      </c>
    </row>
    <row r="230" spans="2:4" x14ac:dyDescent="0.2">
      <c r="B230" s="116" t="s">
        <v>512</v>
      </c>
      <c r="C230" s="117" t="s">
        <v>513</v>
      </c>
      <c r="D230" s="118">
        <v>3.54</v>
      </c>
    </row>
    <row r="231" spans="2:4" x14ac:dyDescent="0.2">
      <c r="B231" s="116" t="s">
        <v>3631</v>
      </c>
      <c r="C231" s="117" t="s">
        <v>3632</v>
      </c>
      <c r="D231" s="118">
        <v>5.47</v>
      </c>
    </row>
    <row r="232" spans="2:4" x14ac:dyDescent="0.2">
      <c r="B232" s="116" t="s">
        <v>514</v>
      </c>
      <c r="C232" s="117" t="s">
        <v>515</v>
      </c>
      <c r="D232" s="118">
        <v>0</v>
      </c>
    </row>
    <row r="233" spans="2:4" x14ac:dyDescent="0.2">
      <c r="B233" s="116" t="s">
        <v>516</v>
      </c>
      <c r="C233" s="117" t="s">
        <v>517</v>
      </c>
      <c r="D233" s="118">
        <v>1.08</v>
      </c>
    </row>
    <row r="234" spans="2:4" x14ac:dyDescent="0.2">
      <c r="B234" s="116" t="s">
        <v>518</v>
      </c>
      <c r="C234" s="117" t="s">
        <v>519</v>
      </c>
      <c r="D234" s="118">
        <v>1.04</v>
      </c>
    </row>
    <row r="235" spans="2:4" x14ac:dyDescent="0.2">
      <c r="B235" s="116" t="s">
        <v>520</v>
      </c>
      <c r="C235" s="117" t="s">
        <v>521</v>
      </c>
      <c r="D235" s="118">
        <v>0</v>
      </c>
    </row>
    <row r="236" spans="2:4" x14ac:dyDescent="0.2">
      <c r="B236" s="116" t="s">
        <v>523</v>
      </c>
      <c r="C236" s="117" t="s">
        <v>524</v>
      </c>
      <c r="D236" s="118">
        <v>3.57</v>
      </c>
    </row>
    <row r="237" spans="2:4" x14ac:dyDescent="0.2">
      <c r="B237" s="116" t="s">
        <v>526</v>
      </c>
      <c r="C237" s="117" t="s">
        <v>527</v>
      </c>
      <c r="D237" s="118">
        <v>0</v>
      </c>
    </row>
    <row r="238" spans="2:4" x14ac:dyDescent="0.2">
      <c r="B238" s="116" t="s">
        <v>528</v>
      </c>
      <c r="C238" s="117" t="s">
        <v>529</v>
      </c>
      <c r="D238" s="118">
        <v>0</v>
      </c>
    </row>
    <row r="239" spans="2:4" x14ac:dyDescent="0.2">
      <c r="B239" s="116" t="s">
        <v>530</v>
      </c>
      <c r="C239" s="117" t="s">
        <v>531</v>
      </c>
      <c r="D239" s="118">
        <v>0</v>
      </c>
    </row>
    <row r="240" spans="2:4" x14ac:dyDescent="0.2">
      <c r="B240" s="116" t="s">
        <v>532</v>
      </c>
      <c r="C240" s="117" t="s">
        <v>533</v>
      </c>
      <c r="D240" s="118">
        <v>3.05</v>
      </c>
    </row>
    <row r="241" spans="2:4" x14ac:dyDescent="0.2">
      <c r="B241" s="116" t="s">
        <v>3633</v>
      </c>
      <c r="C241" s="117" t="s">
        <v>3634</v>
      </c>
      <c r="D241" s="118">
        <v>6.74</v>
      </c>
    </row>
    <row r="242" spans="2:4" x14ac:dyDescent="0.2">
      <c r="B242" s="116" t="s">
        <v>535</v>
      </c>
      <c r="C242" s="117" t="s">
        <v>536</v>
      </c>
      <c r="D242" s="118">
        <v>0</v>
      </c>
    </row>
    <row r="243" spans="2:4" x14ac:dyDescent="0.2">
      <c r="B243" s="116" t="s">
        <v>537</v>
      </c>
      <c r="C243" s="117" t="s">
        <v>538</v>
      </c>
      <c r="D243" s="118">
        <v>6.12</v>
      </c>
    </row>
    <row r="244" spans="2:4" x14ac:dyDescent="0.2">
      <c r="B244" s="116" t="s">
        <v>539</v>
      </c>
      <c r="C244" s="117" t="s">
        <v>540</v>
      </c>
      <c r="D244" s="118">
        <v>0</v>
      </c>
    </row>
    <row r="245" spans="2:4" x14ac:dyDescent="0.2">
      <c r="B245" s="116" t="s">
        <v>541</v>
      </c>
      <c r="C245" s="117" t="s">
        <v>542</v>
      </c>
      <c r="D245" s="118">
        <v>0</v>
      </c>
    </row>
    <row r="246" spans="2:4" x14ac:dyDescent="0.2">
      <c r="B246" s="116" t="s">
        <v>543</v>
      </c>
      <c r="C246" s="117" t="s">
        <v>544</v>
      </c>
      <c r="D246" s="118">
        <v>0</v>
      </c>
    </row>
    <row r="247" spans="2:4" x14ac:dyDescent="0.2">
      <c r="B247" s="116" t="s">
        <v>545</v>
      </c>
      <c r="C247" s="117" t="s">
        <v>546</v>
      </c>
      <c r="D247" s="118">
        <v>0</v>
      </c>
    </row>
    <row r="248" spans="2:4" x14ac:dyDescent="0.2">
      <c r="B248" s="116" t="s">
        <v>545</v>
      </c>
      <c r="C248" s="117" t="s">
        <v>3635</v>
      </c>
      <c r="D248" s="118">
        <v>0</v>
      </c>
    </row>
    <row r="249" spans="2:4" x14ac:dyDescent="0.2">
      <c r="B249" s="116" t="s">
        <v>547</v>
      </c>
      <c r="C249" s="117" t="s">
        <v>548</v>
      </c>
      <c r="D249" s="118">
        <v>4.21</v>
      </c>
    </row>
    <row r="250" spans="2:4" x14ac:dyDescent="0.2">
      <c r="B250" s="116" t="s">
        <v>549</v>
      </c>
      <c r="C250" s="117" t="s">
        <v>550</v>
      </c>
      <c r="D250" s="118">
        <v>0</v>
      </c>
    </row>
    <row r="251" spans="2:4" x14ac:dyDescent="0.2">
      <c r="B251" s="116" t="s">
        <v>552</v>
      </c>
      <c r="C251" s="117" t="s">
        <v>553</v>
      </c>
      <c r="D251" s="118">
        <v>2.67</v>
      </c>
    </row>
    <row r="252" spans="2:4" x14ac:dyDescent="0.2">
      <c r="B252" s="116" t="s">
        <v>554</v>
      </c>
      <c r="C252" s="117" t="s">
        <v>555</v>
      </c>
      <c r="D252" s="118">
        <v>1</v>
      </c>
    </row>
    <row r="253" spans="2:4" x14ac:dyDescent="0.2">
      <c r="B253" s="116" t="s">
        <v>556</v>
      </c>
      <c r="C253" s="117" t="s">
        <v>557</v>
      </c>
      <c r="D253" s="118">
        <v>0.91</v>
      </c>
    </row>
    <row r="254" spans="2:4" x14ac:dyDescent="0.2">
      <c r="B254" s="116" t="s">
        <v>559</v>
      </c>
      <c r="C254" s="117" t="s">
        <v>560</v>
      </c>
      <c r="D254" s="118">
        <v>2.63</v>
      </c>
    </row>
    <row r="255" spans="2:4" x14ac:dyDescent="0.2">
      <c r="B255" s="116" t="s">
        <v>3636</v>
      </c>
      <c r="C255" s="117" t="s">
        <v>3637</v>
      </c>
      <c r="D255" s="118">
        <v>0</v>
      </c>
    </row>
    <row r="256" spans="2:4" x14ac:dyDescent="0.2">
      <c r="B256" s="116" t="s">
        <v>561</v>
      </c>
      <c r="C256" s="117" t="s">
        <v>562</v>
      </c>
      <c r="D256" s="118">
        <v>0</v>
      </c>
    </row>
    <row r="257" spans="2:4" x14ac:dyDescent="0.2">
      <c r="B257" s="116" t="s">
        <v>564</v>
      </c>
      <c r="C257" s="117" t="s">
        <v>565</v>
      </c>
      <c r="D257" s="118">
        <v>0</v>
      </c>
    </row>
    <row r="258" spans="2:4" x14ac:dyDescent="0.2">
      <c r="B258" s="116" t="s">
        <v>566</v>
      </c>
      <c r="C258" s="117" t="s">
        <v>567</v>
      </c>
      <c r="D258" s="118">
        <v>3.79</v>
      </c>
    </row>
    <row r="259" spans="2:4" x14ac:dyDescent="0.2">
      <c r="B259" s="116" t="s">
        <v>568</v>
      </c>
      <c r="C259" s="117" t="s">
        <v>569</v>
      </c>
      <c r="D259" s="118">
        <v>2.5</v>
      </c>
    </row>
    <row r="260" spans="2:4" x14ac:dyDescent="0.2">
      <c r="B260" s="116" t="s">
        <v>570</v>
      </c>
      <c r="C260" s="117" t="s">
        <v>571</v>
      </c>
      <c r="D260" s="118">
        <v>0</v>
      </c>
    </row>
    <row r="261" spans="2:4" x14ac:dyDescent="0.2">
      <c r="B261" s="116" t="s">
        <v>572</v>
      </c>
      <c r="C261" s="117" t="s">
        <v>573</v>
      </c>
      <c r="D261" s="118">
        <v>2.97</v>
      </c>
    </row>
    <row r="262" spans="2:4" x14ac:dyDescent="0.2">
      <c r="B262" s="116" t="s">
        <v>574</v>
      </c>
      <c r="C262" s="117" t="s">
        <v>575</v>
      </c>
      <c r="D262" s="118">
        <v>0.53</v>
      </c>
    </row>
    <row r="263" spans="2:4" x14ac:dyDescent="0.2">
      <c r="B263" s="116" t="s">
        <v>576</v>
      </c>
      <c r="C263" s="117" t="s">
        <v>577</v>
      </c>
      <c r="D263" s="118">
        <v>0.81</v>
      </c>
    </row>
    <row r="264" spans="2:4" x14ac:dyDescent="0.2">
      <c r="B264" s="116" t="s">
        <v>579</v>
      </c>
      <c r="C264" s="117" t="s">
        <v>580</v>
      </c>
      <c r="D264" s="118">
        <v>0</v>
      </c>
    </row>
    <row r="265" spans="2:4" x14ac:dyDescent="0.2">
      <c r="B265" s="116" t="s">
        <v>3638</v>
      </c>
      <c r="C265" s="117" t="s">
        <v>3639</v>
      </c>
      <c r="D265" s="118">
        <v>3.04</v>
      </c>
    </row>
    <row r="266" spans="2:4" x14ac:dyDescent="0.2">
      <c r="B266" s="116" t="s">
        <v>3640</v>
      </c>
      <c r="C266" s="117" t="s">
        <v>3641</v>
      </c>
      <c r="D266" s="118">
        <v>0</v>
      </c>
    </row>
    <row r="267" spans="2:4" x14ac:dyDescent="0.2">
      <c r="B267" s="116" t="s">
        <v>581</v>
      </c>
      <c r="C267" s="117" t="s">
        <v>582</v>
      </c>
      <c r="D267" s="118">
        <v>4.25</v>
      </c>
    </row>
    <row r="268" spans="2:4" x14ac:dyDescent="0.2">
      <c r="B268" s="116" t="s">
        <v>583</v>
      </c>
      <c r="C268" s="117" t="s">
        <v>584</v>
      </c>
      <c r="D268" s="118">
        <v>0</v>
      </c>
    </row>
    <row r="269" spans="2:4" x14ac:dyDescent="0.2">
      <c r="B269" s="116" t="s">
        <v>585</v>
      </c>
      <c r="C269" s="117" t="s">
        <v>586</v>
      </c>
      <c r="D269" s="118">
        <v>1.89</v>
      </c>
    </row>
    <row r="270" spans="2:4" x14ac:dyDescent="0.2">
      <c r="B270" s="116" t="s">
        <v>588</v>
      </c>
      <c r="C270" s="117" t="s">
        <v>589</v>
      </c>
      <c r="D270" s="118">
        <v>3.24</v>
      </c>
    </row>
    <row r="271" spans="2:4" x14ac:dyDescent="0.2">
      <c r="B271" s="116" t="s">
        <v>590</v>
      </c>
      <c r="C271" s="117" t="s">
        <v>591</v>
      </c>
      <c r="D271" s="118">
        <v>5.73</v>
      </c>
    </row>
    <row r="272" spans="2:4" x14ac:dyDescent="0.2">
      <c r="B272" s="116" t="s">
        <v>592</v>
      </c>
      <c r="C272" s="117" t="s">
        <v>593</v>
      </c>
      <c r="D272" s="118">
        <v>4.72</v>
      </c>
    </row>
    <row r="273" spans="2:4" x14ac:dyDescent="0.2">
      <c r="B273" s="116" t="s">
        <v>594</v>
      </c>
      <c r="C273" s="117" t="s">
        <v>595</v>
      </c>
      <c r="D273" s="118">
        <v>1.75</v>
      </c>
    </row>
    <row r="274" spans="2:4" x14ac:dyDescent="0.2">
      <c r="B274" s="116" t="s">
        <v>596</v>
      </c>
      <c r="C274" s="117" t="s">
        <v>597</v>
      </c>
      <c r="D274" s="118">
        <v>3.02</v>
      </c>
    </row>
    <row r="275" spans="2:4" x14ac:dyDescent="0.2">
      <c r="B275" s="116" t="s">
        <v>599</v>
      </c>
      <c r="C275" s="117" t="s">
        <v>600</v>
      </c>
      <c r="D275" s="118">
        <v>2.4700000000000002</v>
      </c>
    </row>
    <row r="276" spans="2:4" x14ac:dyDescent="0.2">
      <c r="B276" s="116" t="s">
        <v>3642</v>
      </c>
      <c r="C276" s="117" t="s">
        <v>3643</v>
      </c>
      <c r="D276" s="118">
        <v>3.47</v>
      </c>
    </row>
    <row r="277" spans="2:4" x14ac:dyDescent="0.2">
      <c r="B277" s="116" t="s">
        <v>602</v>
      </c>
      <c r="C277" s="117" t="s">
        <v>603</v>
      </c>
      <c r="D277" s="118">
        <v>0.6</v>
      </c>
    </row>
    <row r="278" spans="2:4" x14ac:dyDescent="0.2">
      <c r="B278" s="116" t="s">
        <v>604</v>
      </c>
      <c r="C278" s="117" t="s">
        <v>605</v>
      </c>
      <c r="D278" s="118">
        <v>6.26</v>
      </c>
    </row>
    <row r="279" spans="2:4" x14ac:dyDescent="0.2">
      <c r="B279" s="116" t="s">
        <v>607</v>
      </c>
      <c r="C279" s="117" t="s">
        <v>608</v>
      </c>
      <c r="D279" s="118">
        <v>7.31</v>
      </c>
    </row>
    <row r="280" spans="2:4" x14ac:dyDescent="0.2">
      <c r="B280" s="116" t="s">
        <v>610</v>
      </c>
      <c r="C280" s="117" t="s">
        <v>611</v>
      </c>
      <c r="D280" s="118">
        <v>0</v>
      </c>
    </row>
    <row r="281" spans="2:4" x14ac:dyDescent="0.2">
      <c r="B281" s="116" t="s">
        <v>612</v>
      </c>
      <c r="C281" s="117" t="s">
        <v>613</v>
      </c>
      <c r="D281" s="118">
        <v>2.2000000000000002</v>
      </c>
    </row>
    <row r="282" spans="2:4" x14ac:dyDescent="0.2">
      <c r="B282" s="116" t="s">
        <v>3644</v>
      </c>
      <c r="C282" s="117" t="s">
        <v>3645</v>
      </c>
      <c r="D282" s="118">
        <v>6.62</v>
      </c>
    </row>
    <row r="283" spans="2:4" x14ac:dyDescent="0.2">
      <c r="B283" s="116" t="s">
        <v>615</v>
      </c>
      <c r="C283" s="117" t="s">
        <v>616</v>
      </c>
      <c r="D283" s="118">
        <v>1.7</v>
      </c>
    </row>
    <row r="284" spans="2:4" x14ac:dyDescent="0.2">
      <c r="B284" s="116" t="s">
        <v>617</v>
      </c>
      <c r="C284" s="117" t="s">
        <v>618</v>
      </c>
      <c r="D284" s="118">
        <v>2.76</v>
      </c>
    </row>
    <row r="285" spans="2:4" x14ac:dyDescent="0.2">
      <c r="B285" s="116" t="s">
        <v>620</v>
      </c>
      <c r="C285" s="117" t="s">
        <v>621</v>
      </c>
      <c r="D285" s="118">
        <v>0</v>
      </c>
    </row>
    <row r="286" spans="2:4" x14ac:dyDescent="0.2">
      <c r="B286" s="116" t="s">
        <v>622</v>
      </c>
      <c r="C286" s="117" t="s">
        <v>3646</v>
      </c>
      <c r="D286" s="118">
        <v>0</v>
      </c>
    </row>
    <row r="287" spans="2:4" x14ac:dyDescent="0.2">
      <c r="B287" s="116" t="s">
        <v>622</v>
      </c>
      <c r="C287" s="117" t="s">
        <v>623</v>
      </c>
      <c r="D287" s="118">
        <v>0</v>
      </c>
    </row>
    <row r="288" spans="2:4" x14ac:dyDescent="0.2">
      <c r="B288" s="116" t="s">
        <v>624</v>
      </c>
      <c r="C288" s="117" t="s">
        <v>625</v>
      </c>
      <c r="D288" s="118">
        <v>10.92</v>
      </c>
    </row>
    <row r="289" spans="2:4" x14ac:dyDescent="0.2">
      <c r="B289" s="116" t="s">
        <v>626</v>
      </c>
      <c r="C289" s="117" t="s">
        <v>627</v>
      </c>
      <c r="D289" s="118">
        <v>0.37</v>
      </c>
    </row>
    <row r="290" spans="2:4" x14ac:dyDescent="0.2">
      <c r="B290" s="116" t="s">
        <v>629</v>
      </c>
      <c r="C290" s="117" t="s">
        <v>630</v>
      </c>
      <c r="D290" s="118">
        <v>0.88</v>
      </c>
    </row>
    <row r="291" spans="2:4" x14ac:dyDescent="0.2">
      <c r="B291" s="116" t="s">
        <v>3647</v>
      </c>
      <c r="C291" s="117" t="s">
        <v>3648</v>
      </c>
      <c r="D291" s="118">
        <v>2.25</v>
      </c>
    </row>
    <row r="292" spans="2:4" x14ac:dyDescent="0.2">
      <c r="B292" s="116" t="s">
        <v>631</v>
      </c>
      <c r="C292" s="117" t="s">
        <v>632</v>
      </c>
      <c r="D292" s="118">
        <v>5.65</v>
      </c>
    </row>
    <row r="293" spans="2:4" x14ac:dyDescent="0.2">
      <c r="B293" s="116" t="s">
        <v>633</v>
      </c>
      <c r="C293" s="117" t="s">
        <v>634</v>
      </c>
      <c r="D293" s="118">
        <v>2.92</v>
      </c>
    </row>
    <row r="294" spans="2:4" x14ac:dyDescent="0.2">
      <c r="B294" s="116" t="s">
        <v>635</v>
      </c>
      <c r="C294" s="117" t="s">
        <v>636</v>
      </c>
      <c r="D294" s="118">
        <v>2.27</v>
      </c>
    </row>
    <row r="295" spans="2:4" x14ac:dyDescent="0.2">
      <c r="B295" s="116" t="s">
        <v>640</v>
      </c>
      <c r="C295" s="117" t="s">
        <v>641</v>
      </c>
      <c r="D295" s="118">
        <v>0.75</v>
      </c>
    </row>
    <row r="296" spans="2:4" x14ac:dyDescent="0.2">
      <c r="B296" s="116" t="s">
        <v>642</v>
      </c>
      <c r="C296" s="117" t="s">
        <v>643</v>
      </c>
      <c r="D296" s="118">
        <v>0</v>
      </c>
    </row>
    <row r="297" spans="2:4" x14ac:dyDescent="0.2">
      <c r="B297" s="116" t="s">
        <v>644</v>
      </c>
      <c r="C297" s="117" t="s">
        <v>645</v>
      </c>
      <c r="D297" s="118">
        <v>2.84</v>
      </c>
    </row>
    <row r="298" spans="2:4" x14ac:dyDescent="0.2">
      <c r="B298" s="116" t="s">
        <v>646</v>
      </c>
      <c r="C298" s="117" t="s">
        <v>647</v>
      </c>
      <c r="D298" s="118">
        <v>0</v>
      </c>
    </row>
    <row r="299" spans="2:4" x14ac:dyDescent="0.2">
      <c r="B299" s="116" t="s">
        <v>648</v>
      </c>
      <c r="C299" s="117" t="s">
        <v>649</v>
      </c>
      <c r="D299" s="118">
        <v>6.73</v>
      </c>
    </row>
    <row r="300" spans="2:4" x14ac:dyDescent="0.2">
      <c r="B300" s="116" t="s">
        <v>3649</v>
      </c>
      <c r="C300" s="117" t="s">
        <v>3650</v>
      </c>
      <c r="D300" s="118">
        <v>4.2</v>
      </c>
    </row>
    <row r="301" spans="2:4" x14ac:dyDescent="0.2">
      <c r="B301" s="116" t="s">
        <v>651</v>
      </c>
      <c r="C301" s="117" t="s">
        <v>652</v>
      </c>
      <c r="D301" s="118">
        <v>11.72</v>
      </c>
    </row>
    <row r="302" spans="2:4" x14ac:dyDescent="0.2">
      <c r="B302" s="116" t="s">
        <v>3651</v>
      </c>
      <c r="C302" s="117" t="s">
        <v>3652</v>
      </c>
      <c r="D302" s="118">
        <v>1.49</v>
      </c>
    </row>
    <row r="303" spans="2:4" x14ac:dyDescent="0.2">
      <c r="B303" s="116" t="s">
        <v>653</v>
      </c>
      <c r="C303" s="117" t="s">
        <v>654</v>
      </c>
      <c r="D303" s="118">
        <v>1.73</v>
      </c>
    </row>
    <row r="304" spans="2:4" x14ac:dyDescent="0.2">
      <c r="B304" s="116" t="s">
        <v>655</v>
      </c>
      <c r="C304" s="117" t="s">
        <v>656</v>
      </c>
      <c r="D304" s="118">
        <v>2.6</v>
      </c>
    </row>
    <row r="305" spans="2:4" x14ac:dyDescent="0.2">
      <c r="B305" s="116" t="s">
        <v>658</v>
      </c>
      <c r="C305" s="117" t="s">
        <v>659</v>
      </c>
      <c r="D305" s="118">
        <v>0</v>
      </c>
    </row>
    <row r="306" spans="2:4" x14ac:dyDescent="0.2">
      <c r="B306" s="116" t="s">
        <v>661</v>
      </c>
      <c r="C306" s="117" t="s">
        <v>662</v>
      </c>
      <c r="D306" s="118">
        <v>0.78</v>
      </c>
    </row>
    <row r="307" spans="2:4" x14ac:dyDescent="0.2">
      <c r="B307" s="116" t="s">
        <v>664</v>
      </c>
      <c r="C307" s="117" t="s">
        <v>665</v>
      </c>
      <c r="D307" s="118">
        <v>0</v>
      </c>
    </row>
    <row r="308" spans="2:4" x14ac:dyDescent="0.2">
      <c r="B308" s="116" t="s">
        <v>666</v>
      </c>
      <c r="C308" s="117" t="s">
        <v>667</v>
      </c>
      <c r="D308" s="118">
        <v>1.85</v>
      </c>
    </row>
    <row r="309" spans="2:4" x14ac:dyDescent="0.2">
      <c r="B309" s="116" t="s">
        <v>668</v>
      </c>
      <c r="C309" s="117" t="s">
        <v>669</v>
      </c>
      <c r="D309" s="118">
        <v>1.1399999999999999</v>
      </c>
    </row>
    <row r="310" spans="2:4" x14ac:dyDescent="0.2">
      <c r="B310" s="116" t="s">
        <v>670</v>
      </c>
      <c r="C310" s="117" t="s">
        <v>671</v>
      </c>
      <c r="D310" s="118">
        <v>3.63</v>
      </c>
    </row>
    <row r="311" spans="2:4" x14ac:dyDescent="0.2">
      <c r="B311" s="116" t="s">
        <v>3653</v>
      </c>
      <c r="C311" s="117" t="s">
        <v>3654</v>
      </c>
      <c r="D311" s="118">
        <v>2.12</v>
      </c>
    </row>
    <row r="312" spans="2:4" x14ac:dyDescent="0.2">
      <c r="B312" s="116" t="s">
        <v>672</v>
      </c>
      <c r="C312" s="117" t="s">
        <v>673</v>
      </c>
      <c r="D312" s="118">
        <v>6.8</v>
      </c>
    </row>
    <row r="313" spans="2:4" x14ac:dyDescent="0.2">
      <c r="B313" s="116" t="s">
        <v>674</v>
      </c>
      <c r="C313" s="117" t="s">
        <v>675</v>
      </c>
      <c r="D313" s="118">
        <v>2.92</v>
      </c>
    </row>
    <row r="314" spans="2:4" x14ac:dyDescent="0.2">
      <c r="B314" s="116" t="s">
        <v>3655</v>
      </c>
      <c r="C314" s="117" t="s">
        <v>3656</v>
      </c>
      <c r="D314" s="118">
        <v>0</v>
      </c>
    </row>
    <row r="315" spans="2:4" x14ac:dyDescent="0.2">
      <c r="B315" s="116" t="s">
        <v>676</v>
      </c>
      <c r="C315" s="117" t="s">
        <v>677</v>
      </c>
      <c r="D315" s="118">
        <v>3.12</v>
      </c>
    </row>
    <row r="316" spans="2:4" x14ac:dyDescent="0.2">
      <c r="B316" s="116" t="s">
        <v>3657</v>
      </c>
      <c r="C316" s="117" t="s">
        <v>3658</v>
      </c>
      <c r="D316" s="118">
        <v>0</v>
      </c>
    </row>
    <row r="317" spans="2:4" x14ac:dyDescent="0.2">
      <c r="B317" s="116" t="s">
        <v>680</v>
      </c>
      <c r="C317" s="117" t="s">
        <v>681</v>
      </c>
      <c r="D317" s="118">
        <v>2.94</v>
      </c>
    </row>
    <row r="318" spans="2:4" x14ac:dyDescent="0.2">
      <c r="B318" s="116" t="s">
        <v>682</v>
      </c>
      <c r="C318" s="117" t="s">
        <v>683</v>
      </c>
      <c r="D318" s="118">
        <v>1.27</v>
      </c>
    </row>
    <row r="319" spans="2:4" x14ac:dyDescent="0.2">
      <c r="B319" s="116" t="s">
        <v>684</v>
      </c>
      <c r="C319" s="117" t="s">
        <v>685</v>
      </c>
      <c r="D319" s="118">
        <v>0.72</v>
      </c>
    </row>
    <row r="320" spans="2:4" x14ac:dyDescent="0.2">
      <c r="B320" s="116" t="s">
        <v>687</v>
      </c>
      <c r="C320" s="117" t="s">
        <v>688</v>
      </c>
      <c r="D320" s="118">
        <v>0</v>
      </c>
    </row>
    <row r="321" spans="2:4" x14ac:dyDescent="0.2">
      <c r="B321" s="116" t="s">
        <v>689</v>
      </c>
      <c r="C321" s="117" t="s">
        <v>690</v>
      </c>
      <c r="D321" s="118">
        <v>0</v>
      </c>
    </row>
    <row r="322" spans="2:4" x14ac:dyDescent="0.2">
      <c r="B322" s="116" t="s">
        <v>692</v>
      </c>
      <c r="C322" s="117" t="s">
        <v>693</v>
      </c>
      <c r="D322" s="118">
        <v>1.31</v>
      </c>
    </row>
    <row r="323" spans="2:4" x14ac:dyDescent="0.2">
      <c r="B323" s="116" t="s">
        <v>694</v>
      </c>
      <c r="C323" s="117" t="s">
        <v>695</v>
      </c>
      <c r="D323" s="118">
        <v>2.85</v>
      </c>
    </row>
    <row r="324" spans="2:4" x14ac:dyDescent="0.2">
      <c r="B324" s="116" t="s">
        <v>696</v>
      </c>
      <c r="C324" s="117" t="s">
        <v>697</v>
      </c>
      <c r="D324" s="118">
        <v>4.0199999999999996</v>
      </c>
    </row>
    <row r="325" spans="2:4" x14ac:dyDescent="0.2">
      <c r="B325" s="116" t="s">
        <v>698</v>
      </c>
      <c r="C325" s="117" t="s">
        <v>699</v>
      </c>
      <c r="D325" s="118">
        <v>4.47</v>
      </c>
    </row>
    <row r="326" spans="2:4" x14ac:dyDescent="0.2">
      <c r="B326" s="116" t="s">
        <v>3659</v>
      </c>
      <c r="C326" s="117" t="s">
        <v>3660</v>
      </c>
      <c r="D326" s="118">
        <v>6.16</v>
      </c>
    </row>
    <row r="327" spans="2:4" x14ac:dyDescent="0.2">
      <c r="B327" s="116" t="s">
        <v>701</v>
      </c>
      <c r="C327" s="117" t="s">
        <v>702</v>
      </c>
      <c r="D327" s="118">
        <v>0</v>
      </c>
    </row>
    <row r="328" spans="2:4" x14ac:dyDescent="0.2">
      <c r="B328" s="116" t="s">
        <v>704</v>
      </c>
      <c r="C328" s="117" t="s">
        <v>705</v>
      </c>
      <c r="D328" s="118">
        <v>0.78</v>
      </c>
    </row>
    <row r="329" spans="2:4" x14ac:dyDescent="0.2">
      <c r="B329" s="116" t="s">
        <v>707</v>
      </c>
      <c r="C329" s="117" t="s">
        <v>708</v>
      </c>
      <c r="D329" s="118">
        <v>3.21</v>
      </c>
    </row>
    <row r="330" spans="2:4" x14ac:dyDescent="0.2">
      <c r="B330" s="116" t="s">
        <v>710</v>
      </c>
      <c r="C330" s="117" t="s">
        <v>711</v>
      </c>
      <c r="D330" s="118">
        <v>1.9</v>
      </c>
    </row>
    <row r="331" spans="2:4" x14ac:dyDescent="0.2">
      <c r="B331" s="116" t="s">
        <v>712</v>
      </c>
      <c r="C331" s="117" t="s">
        <v>713</v>
      </c>
      <c r="D331" s="118">
        <v>0.6</v>
      </c>
    </row>
    <row r="332" spans="2:4" x14ac:dyDescent="0.2">
      <c r="B332" s="116" t="s">
        <v>3661</v>
      </c>
      <c r="C332" s="117" t="s">
        <v>3662</v>
      </c>
      <c r="D332" s="118">
        <v>0</v>
      </c>
    </row>
    <row r="333" spans="2:4" x14ac:dyDescent="0.2">
      <c r="B333" s="116" t="s">
        <v>715</v>
      </c>
      <c r="C333" s="117" t="s">
        <v>716</v>
      </c>
      <c r="D333" s="118">
        <v>1.25</v>
      </c>
    </row>
    <row r="334" spans="2:4" x14ac:dyDescent="0.2">
      <c r="B334" s="116" t="s">
        <v>718</v>
      </c>
      <c r="C334" s="117" t="s">
        <v>719</v>
      </c>
      <c r="D334" s="118">
        <v>0</v>
      </c>
    </row>
    <row r="335" spans="2:4" x14ac:dyDescent="0.2">
      <c r="B335" s="116" t="s">
        <v>720</v>
      </c>
      <c r="C335" s="117" t="s">
        <v>721</v>
      </c>
      <c r="D335" s="118">
        <v>0</v>
      </c>
    </row>
    <row r="336" spans="2:4" x14ac:dyDescent="0.2">
      <c r="B336" s="116" t="s">
        <v>723</v>
      </c>
      <c r="C336" s="117" t="s">
        <v>724</v>
      </c>
      <c r="D336" s="118">
        <v>3.13</v>
      </c>
    </row>
    <row r="337" spans="2:4" x14ac:dyDescent="0.2">
      <c r="B337" s="116" t="s">
        <v>726</v>
      </c>
      <c r="C337" s="117" t="s">
        <v>727</v>
      </c>
      <c r="D337" s="118">
        <v>1.72</v>
      </c>
    </row>
    <row r="338" spans="2:4" x14ac:dyDescent="0.2">
      <c r="B338" s="116" t="s">
        <v>726</v>
      </c>
      <c r="C338" s="117" t="s">
        <v>3663</v>
      </c>
      <c r="D338" s="118">
        <v>1.64</v>
      </c>
    </row>
    <row r="339" spans="2:4" x14ac:dyDescent="0.2">
      <c r="B339" s="116" t="s">
        <v>3664</v>
      </c>
      <c r="C339" s="117" t="s">
        <v>3665</v>
      </c>
      <c r="D339" s="118">
        <v>1.72</v>
      </c>
    </row>
    <row r="340" spans="2:4" x14ac:dyDescent="0.2">
      <c r="B340" s="116" t="s">
        <v>729</v>
      </c>
      <c r="C340" s="117" t="s">
        <v>730</v>
      </c>
      <c r="D340" s="118">
        <v>2.59</v>
      </c>
    </row>
    <row r="341" spans="2:4" x14ac:dyDescent="0.2">
      <c r="B341" s="116" t="s">
        <v>3666</v>
      </c>
      <c r="C341" s="117" t="s">
        <v>3667</v>
      </c>
      <c r="D341" s="118">
        <v>0</v>
      </c>
    </row>
    <row r="342" spans="2:4" x14ac:dyDescent="0.2">
      <c r="B342" s="116" t="s">
        <v>731</v>
      </c>
      <c r="C342" s="117" t="s">
        <v>732</v>
      </c>
      <c r="D342" s="118">
        <v>3.34</v>
      </c>
    </row>
    <row r="343" spans="2:4" x14ac:dyDescent="0.2">
      <c r="B343" s="116" t="s">
        <v>734</v>
      </c>
      <c r="C343" s="117" t="s">
        <v>735</v>
      </c>
      <c r="D343" s="118">
        <v>0</v>
      </c>
    </row>
    <row r="344" spans="2:4" x14ac:dyDescent="0.2">
      <c r="B344" s="116" t="s">
        <v>737</v>
      </c>
      <c r="C344" s="117" t="s">
        <v>738</v>
      </c>
      <c r="D344" s="118">
        <v>8.69</v>
      </c>
    </row>
    <row r="345" spans="2:4" x14ac:dyDescent="0.2">
      <c r="B345" s="116" t="s">
        <v>739</v>
      </c>
      <c r="C345" s="117" t="s">
        <v>740</v>
      </c>
      <c r="D345" s="118">
        <v>3.2</v>
      </c>
    </row>
    <row r="346" spans="2:4" x14ac:dyDescent="0.2">
      <c r="B346" s="116" t="s">
        <v>741</v>
      </c>
      <c r="C346" s="117" t="s">
        <v>742</v>
      </c>
      <c r="D346" s="118">
        <v>0.65</v>
      </c>
    </row>
    <row r="347" spans="2:4" x14ac:dyDescent="0.2">
      <c r="B347" s="116" t="s">
        <v>743</v>
      </c>
      <c r="C347" s="117" t="s">
        <v>744</v>
      </c>
      <c r="D347" s="118">
        <v>0</v>
      </c>
    </row>
    <row r="348" spans="2:4" x14ac:dyDescent="0.2">
      <c r="B348" s="116" t="s">
        <v>745</v>
      </c>
      <c r="C348" s="117" t="s">
        <v>746</v>
      </c>
      <c r="D348" s="118">
        <v>4.1500000000000004</v>
      </c>
    </row>
    <row r="349" spans="2:4" x14ac:dyDescent="0.2">
      <c r="B349" s="116" t="s">
        <v>748</v>
      </c>
      <c r="C349" s="117" t="s">
        <v>749</v>
      </c>
      <c r="D349" s="118">
        <v>3.65</v>
      </c>
    </row>
    <row r="350" spans="2:4" x14ac:dyDescent="0.2">
      <c r="B350" s="116" t="s">
        <v>750</v>
      </c>
      <c r="C350" s="117" t="s">
        <v>751</v>
      </c>
      <c r="D350" s="118">
        <v>1.1599999999999999</v>
      </c>
    </row>
    <row r="351" spans="2:4" x14ac:dyDescent="0.2">
      <c r="B351" s="116" t="s">
        <v>3668</v>
      </c>
      <c r="C351" s="117" t="s">
        <v>3669</v>
      </c>
      <c r="D351" s="118">
        <v>1.06</v>
      </c>
    </row>
    <row r="352" spans="2:4" x14ac:dyDescent="0.2">
      <c r="B352" s="116" t="s">
        <v>3670</v>
      </c>
      <c r="C352" s="117" t="s">
        <v>3671</v>
      </c>
      <c r="D352" s="118">
        <v>3.93</v>
      </c>
    </row>
    <row r="353" spans="2:4" x14ac:dyDescent="0.2">
      <c r="B353" s="116" t="s">
        <v>752</v>
      </c>
      <c r="C353" s="117" t="s">
        <v>753</v>
      </c>
      <c r="D353" s="118">
        <v>2.2000000000000002</v>
      </c>
    </row>
    <row r="354" spans="2:4" x14ac:dyDescent="0.2">
      <c r="B354" s="116" t="s">
        <v>755</v>
      </c>
      <c r="C354" s="117" t="s">
        <v>756</v>
      </c>
      <c r="D354" s="118">
        <v>1.84</v>
      </c>
    </row>
    <row r="355" spans="2:4" x14ac:dyDescent="0.2">
      <c r="B355" s="116" t="s">
        <v>757</v>
      </c>
      <c r="C355" s="117" t="s">
        <v>758</v>
      </c>
      <c r="D355" s="118">
        <v>0</v>
      </c>
    </row>
    <row r="356" spans="2:4" x14ac:dyDescent="0.2">
      <c r="B356" s="116" t="s">
        <v>759</v>
      </c>
      <c r="C356" s="117" t="s">
        <v>760</v>
      </c>
      <c r="D356" s="118">
        <v>1.0900000000000001</v>
      </c>
    </row>
    <row r="357" spans="2:4" x14ac:dyDescent="0.2">
      <c r="B357" s="116" t="s">
        <v>761</v>
      </c>
      <c r="C357" s="117" t="s">
        <v>762</v>
      </c>
      <c r="D357" s="118">
        <v>1.26</v>
      </c>
    </row>
    <row r="358" spans="2:4" x14ac:dyDescent="0.2">
      <c r="B358" s="116" t="s">
        <v>763</v>
      </c>
      <c r="C358" s="117" t="s">
        <v>764</v>
      </c>
      <c r="D358" s="118">
        <v>0</v>
      </c>
    </row>
    <row r="359" spans="2:4" x14ac:dyDescent="0.2">
      <c r="B359" s="116" t="s">
        <v>765</v>
      </c>
      <c r="C359" s="117" t="s">
        <v>766</v>
      </c>
      <c r="D359" s="118">
        <v>0.97</v>
      </c>
    </row>
    <row r="360" spans="2:4" x14ac:dyDescent="0.2">
      <c r="B360" s="116" t="s">
        <v>767</v>
      </c>
      <c r="C360" s="117" t="s">
        <v>768</v>
      </c>
      <c r="D360" s="118">
        <v>2.02</v>
      </c>
    </row>
    <row r="361" spans="2:4" x14ac:dyDescent="0.2">
      <c r="B361" s="116" t="s">
        <v>769</v>
      </c>
      <c r="C361" s="117" t="s">
        <v>770</v>
      </c>
      <c r="D361" s="118">
        <v>0</v>
      </c>
    </row>
    <row r="362" spans="2:4" x14ac:dyDescent="0.2">
      <c r="B362" s="116" t="s">
        <v>771</v>
      </c>
      <c r="C362" s="117" t="s">
        <v>772</v>
      </c>
      <c r="D362" s="118">
        <v>0</v>
      </c>
    </row>
    <row r="363" spans="2:4" x14ac:dyDescent="0.2">
      <c r="B363" s="116" t="s">
        <v>773</v>
      </c>
      <c r="C363" s="117" t="s">
        <v>774</v>
      </c>
      <c r="D363" s="118">
        <v>4.7300000000000004</v>
      </c>
    </row>
    <row r="364" spans="2:4" x14ac:dyDescent="0.2">
      <c r="B364" s="116" t="s">
        <v>776</v>
      </c>
      <c r="C364" s="117" t="s">
        <v>777</v>
      </c>
      <c r="D364" s="118">
        <v>1.05</v>
      </c>
    </row>
    <row r="365" spans="2:4" x14ac:dyDescent="0.2">
      <c r="B365" s="116" t="s">
        <v>779</v>
      </c>
      <c r="C365" s="117" t="s">
        <v>780</v>
      </c>
      <c r="D365" s="118">
        <v>2.4300000000000002</v>
      </c>
    </row>
    <row r="366" spans="2:4" x14ac:dyDescent="0.2">
      <c r="B366" s="116" t="s">
        <v>782</v>
      </c>
      <c r="C366" s="117" t="s">
        <v>783</v>
      </c>
      <c r="D366" s="118">
        <v>4.01</v>
      </c>
    </row>
    <row r="367" spans="2:4" x14ac:dyDescent="0.2">
      <c r="B367" s="116" t="s">
        <v>3672</v>
      </c>
      <c r="C367" s="117" t="s">
        <v>3673</v>
      </c>
      <c r="D367" s="118">
        <v>3.21</v>
      </c>
    </row>
    <row r="368" spans="2:4" x14ac:dyDescent="0.2">
      <c r="B368" s="116" t="s">
        <v>3674</v>
      </c>
      <c r="C368" s="117" t="s">
        <v>3675</v>
      </c>
      <c r="D368" s="118">
        <v>1.57</v>
      </c>
    </row>
    <row r="369" spans="2:4" x14ac:dyDescent="0.2">
      <c r="B369" s="116" t="s">
        <v>785</v>
      </c>
      <c r="C369" s="117" t="s">
        <v>786</v>
      </c>
      <c r="D369" s="118">
        <v>0</v>
      </c>
    </row>
    <row r="370" spans="2:4" x14ac:dyDescent="0.2">
      <c r="B370" s="116" t="s">
        <v>787</v>
      </c>
      <c r="C370" s="117" t="s">
        <v>788</v>
      </c>
      <c r="D370" s="118">
        <v>0</v>
      </c>
    </row>
    <row r="371" spans="2:4" x14ac:dyDescent="0.2">
      <c r="B371" s="116" t="s">
        <v>3676</v>
      </c>
      <c r="C371" s="117" t="s">
        <v>3677</v>
      </c>
      <c r="D371" s="118">
        <v>1.17</v>
      </c>
    </row>
    <row r="372" spans="2:4" x14ac:dyDescent="0.2">
      <c r="B372" s="116" t="s">
        <v>789</v>
      </c>
      <c r="C372" s="117" t="s">
        <v>790</v>
      </c>
      <c r="D372" s="118">
        <v>0.41</v>
      </c>
    </row>
    <row r="373" spans="2:4" x14ac:dyDescent="0.2">
      <c r="B373" s="116" t="s">
        <v>791</v>
      </c>
      <c r="C373" s="117" t="s">
        <v>792</v>
      </c>
      <c r="D373" s="118">
        <v>3.17</v>
      </c>
    </row>
    <row r="374" spans="2:4" x14ac:dyDescent="0.2">
      <c r="B374" s="116" t="s">
        <v>3678</v>
      </c>
      <c r="C374" s="117" t="s">
        <v>3679</v>
      </c>
      <c r="D374" s="118">
        <v>2</v>
      </c>
    </row>
    <row r="375" spans="2:4" x14ac:dyDescent="0.2">
      <c r="B375" s="116" t="s">
        <v>3680</v>
      </c>
      <c r="C375" s="117" t="s">
        <v>3681</v>
      </c>
      <c r="D375" s="118">
        <v>4.9800000000000004</v>
      </c>
    </row>
    <row r="376" spans="2:4" x14ac:dyDescent="0.2">
      <c r="B376" s="116" t="s">
        <v>794</v>
      </c>
      <c r="C376" s="117" t="s">
        <v>795</v>
      </c>
      <c r="D376" s="118">
        <v>1.25</v>
      </c>
    </row>
    <row r="377" spans="2:4" x14ac:dyDescent="0.2">
      <c r="B377" s="116" t="s">
        <v>797</v>
      </c>
      <c r="C377" s="117" t="s">
        <v>798</v>
      </c>
      <c r="D377" s="118">
        <v>0.44</v>
      </c>
    </row>
    <row r="378" spans="2:4" x14ac:dyDescent="0.2">
      <c r="B378" s="116" t="s">
        <v>800</v>
      </c>
      <c r="C378" s="117" t="s">
        <v>801</v>
      </c>
      <c r="D378" s="118">
        <v>0.3</v>
      </c>
    </row>
    <row r="379" spans="2:4" x14ac:dyDescent="0.2">
      <c r="B379" s="116" t="s">
        <v>3682</v>
      </c>
      <c r="C379" s="117" t="s">
        <v>3683</v>
      </c>
      <c r="D379" s="118">
        <v>0</v>
      </c>
    </row>
    <row r="380" spans="2:4" x14ac:dyDescent="0.2">
      <c r="B380" s="116" t="s">
        <v>802</v>
      </c>
      <c r="C380" s="117" t="s">
        <v>803</v>
      </c>
      <c r="D380" s="118">
        <v>0</v>
      </c>
    </row>
    <row r="381" spans="2:4" x14ac:dyDescent="0.2">
      <c r="B381" s="116" t="s">
        <v>804</v>
      </c>
      <c r="C381" s="117" t="s">
        <v>805</v>
      </c>
      <c r="D381" s="118">
        <v>0.95</v>
      </c>
    </row>
    <row r="382" spans="2:4" x14ac:dyDescent="0.2">
      <c r="B382" s="116" t="s">
        <v>807</v>
      </c>
      <c r="C382" s="117" t="s">
        <v>808</v>
      </c>
      <c r="D382" s="118">
        <v>0</v>
      </c>
    </row>
    <row r="383" spans="2:4" x14ac:dyDescent="0.2">
      <c r="B383" s="116" t="s">
        <v>810</v>
      </c>
      <c r="C383" s="117" t="s">
        <v>811</v>
      </c>
      <c r="D383" s="118">
        <v>4.2699999999999996</v>
      </c>
    </row>
    <row r="384" spans="2:4" x14ac:dyDescent="0.2">
      <c r="B384" s="116" t="s">
        <v>812</v>
      </c>
      <c r="C384" s="117" t="s">
        <v>813</v>
      </c>
      <c r="D384" s="118">
        <v>2.37</v>
      </c>
    </row>
    <row r="385" spans="2:4" x14ac:dyDescent="0.2">
      <c r="B385" s="116" t="s">
        <v>3684</v>
      </c>
      <c r="C385" s="117" t="s">
        <v>3685</v>
      </c>
      <c r="D385" s="118">
        <v>3.07</v>
      </c>
    </row>
    <row r="386" spans="2:4" x14ac:dyDescent="0.2">
      <c r="B386" s="116" t="s">
        <v>814</v>
      </c>
      <c r="C386" s="117" t="s">
        <v>815</v>
      </c>
      <c r="D386" s="118">
        <v>0</v>
      </c>
    </row>
    <row r="387" spans="2:4" x14ac:dyDescent="0.2">
      <c r="B387" s="116" t="s">
        <v>816</v>
      </c>
      <c r="C387" s="117" t="s">
        <v>817</v>
      </c>
      <c r="D387" s="118">
        <v>1.72</v>
      </c>
    </row>
    <row r="388" spans="2:4" x14ac:dyDescent="0.2">
      <c r="B388" s="116" t="s">
        <v>3686</v>
      </c>
      <c r="C388" s="117" t="s">
        <v>3687</v>
      </c>
      <c r="D388" s="118">
        <v>0</v>
      </c>
    </row>
    <row r="389" spans="2:4" x14ac:dyDescent="0.2">
      <c r="B389" s="116" t="s">
        <v>818</v>
      </c>
      <c r="C389" s="117" t="s">
        <v>819</v>
      </c>
      <c r="D389" s="118">
        <v>0.02</v>
      </c>
    </row>
    <row r="390" spans="2:4" x14ac:dyDescent="0.2">
      <c r="B390" s="116" t="s">
        <v>3688</v>
      </c>
      <c r="C390" s="117" t="s">
        <v>3689</v>
      </c>
      <c r="D390" s="118">
        <v>0.54</v>
      </c>
    </row>
    <row r="391" spans="2:4" x14ac:dyDescent="0.2">
      <c r="B391" s="116" t="s">
        <v>820</v>
      </c>
      <c r="C391" s="117" t="s">
        <v>821</v>
      </c>
      <c r="D391" s="118">
        <v>2.5</v>
      </c>
    </row>
    <row r="392" spans="2:4" x14ac:dyDescent="0.2">
      <c r="B392" s="116" t="s">
        <v>3690</v>
      </c>
      <c r="C392" s="117" t="s">
        <v>3691</v>
      </c>
      <c r="D392" s="118">
        <v>4.97</v>
      </c>
    </row>
    <row r="393" spans="2:4" x14ac:dyDescent="0.2">
      <c r="B393" s="116" t="s">
        <v>822</v>
      </c>
      <c r="C393" s="117" t="s">
        <v>823</v>
      </c>
      <c r="D393" s="118">
        <v>0</v>
      </c>
    </row>
    <row r="394" spans="2:4" x14ac:dyDescent="0.2">
      <c r="B394" s="116" t="s">
        <v>824</v>
      </c>
      <c r="C394" s="117" t="s">
        <v>825</v>
      </c>
      <c r="D394" s="118">
        <v>0</v>
      </c>
    </row>
    <row r="395" spans="2:4" x14ac:dyDescent="0.2">
      <c r="B395" s="116" t="s">
        <v>3692</v>
      </c>
      <c r="C395" s="117" t="s">
        <v>3693</v>
      </c>
      <c r="D395" s="118">
        <v>2.77</v>
      </c>
    </row>
    <row r="396" spans="2:4" x14ac:dyDescent="0.2">
      <c r="B396" s="116" t="s">
        <v>3694</v>
      </c>
      <c r="C396" s="117" t="s">
        <v>3695</v>
      </c>
      <c r="D396" s="118">
        <v>2.42</v>
      </c>
    </row>
    <row r="397" spans="2:4" x14ac:dyDescent="0.2">
      <c r="B397" s="116" t="s">
        <v>827</v>
      </c>
      <c r="C397" s="117" t="s">
        <v>828</v>
      </c>
      <c r="D397" s="118">
        <v>9.99</v>
      </c>
    </row>
    <row r="398" spans="2:4" x14ac:dyDescent="0.2">
      <c r="B398" s="116" t="s">
        <v>829</v>
      </c>
      <c r="C398" s="117" t="s">
        <v>830</v>
      </c>
      <c r="D398" s="118">
        <v>1.97</v>
      </c>
    </row>
    <row r="399" spans="2:4" x14ac:dyDescent="0.2">
      <c r="B399" s="116" t="s">
        <v>3696</v>
      </c>
      <c r="C399" s="117" t="s">
        <v>3697</v>
      </c>
      <c r="D399" s="118">
        <v>8.56</v>
      </c>
    </row>
    <row r="400" spans="2:4" x14ac:dyDescent="0.2">
      <c r="B400" s="116" t="s">
        <v>831</v>
      </c>
      <c r="C400" s="117" t="s">
        <v>832</v>
      </c>
      <c r="D400" s="118">
        <v>3.06</v>
      </c>
    </row>
    <row r="401" spans="2:4" x14ac:dyDescent="0.2">
      <c r="B401" s="116" t="s">
        <v>3698</v>
      </c>
      <c r="C401" s="117" t="s">
        <v>3699</v>
      </c>
      <c r="D401" s="118">
        <v>4.8499999999999996</v>
      </c>
    </row>
    <row r="402" spans="2:4" x14ac:dyDescent="0.2">
      <c r="B402" s="116" t="s">
        <v>833</v>
      </c>
      <c r="C402" s="117" t="s">
        <v>834</v>
      </c>
      <c r="D402" s="118">
        <v>0.46</v>
      </c>
    </row>
    <row r="403" spans="2:4" x14ac:dyDescent="0.2">
      <c r="B403" s="116" t="s">
        <v>3700</v>
      </c>
      <c r="C403" s="117" t="s">
        <v>3701</v>
      </c>
      <c r="D403" s="118">
        <v>2.06</v>
      </c>
    </row>
    <row r="404" spans="2:4" x14ac:dyDescent="0.2">
      <c r="B404" s="116" t="s">
        <v>836</v>
      </c>
      <c r="C404" s="117" t="s">
        <v>837</v>
      </c>
      <c r="D404" s="118">
        <v>2.42</v>
      </c>
    </row>
    <row r="405" spans="2:4" x14ac:dyDescent="0.2">
      <c r="B405" s="116" t="s">
        <v>838</v>
      </c>
      <c r="C405" s="117" t="s">
        <v>839</v>
      </c>
      <c r="D405" s="118">
        <v>0</v>
      </c>
    </row>
    <row r="406" spans="2:4" x14ac:dyDescent="0.2">
      <c r="B406" s="116" t="s">
        <v>840</v>
      </c>
      <c r="C406" s="117" t="s">
        <v>841</v>
      </c>
      <c r="D406" s="118">
        <v>0</v>
      </c>
    </row>
    <row r="407" spans="2:4" x14ac:dyDescent="0.2">
      <c r="B407" s="116" t="s">
        <v>3702</v>
      </c>
      <c r="C407" s="117" t="s">
        <v>3703</v>
      </c>
      <c r="D407" s="118">
        <v>3.04</v>
      </c>
    </row>
    <row r="408" spans="2:4" x14ac:dyDescent="0.2">
      <c r="B408" s="116" t="s">
        <v>3704</v>
      </c>
      <c r="C408" s="117" t="s">
        <v>3705</v>
      </c>
      <c r="D408" s="118">
        <v>0.67</v>
      </c>
    </row>
    <row r="409" spans="2:4" x14ac:dyDescent="0.2">
      <c r="B409" s="116" t="s">
        <v>843</v>
      </c>
      <c r="C409" s="117" t="s">
        <v>844</v>
      </c>
      <c r="D409" s="118">
        <v>2.8</v>
      </c>
    </row>
    <row r="410" spans="2:4" x14ac:dyDescent="0.2">
      <c r="B410" s="116" t="s">
        <v>845</v>
      </c>
      <c r="C410" s="117" t="s">
        <v>846</v>
      </c>
      <c r="D410" s="118">
        <v>0</v>
      </c>
    </row>
    <row r="411" spans="2:4" x14ac:dyDescent="0.2">
      <c r="B411" s="116" t="s">
        <v>847</v>
      </c>
      <c r="C411" s="117" t="s">
        <v>848</v>
      </c>
      <c r="D411" s="118">
        <v>2.79</v>
      </c>
    </row>
    <row r="412" spans="2:4" x14ac:dyDescent="0.2">
      <c r="B412" s="116" t="s">
        <v>849</v>
      </c>
      <c r="C412" s="117" t="s">
        <v>850</v>
      </c>
      <c r="D412" s="118">
        <v>4.95</v>
      </c>
    </row>
    <row r="413" spans="2:4" x14ac:dyDescent="0.2">
      <c r="B413" s="116" t="s">
        <v>851</v>
      </c>
      <c r="C413" s="117" t="s">
        <v>852</v>
      </c>
      <c r="D413" s="118">
        <v>4.0599999999999996</v>
      </c>
    </row>
    <row r="414" spans="2:4" x14ac:dyDescent="0.2">
      <c r="B414" s="116" t="s">
        <v>3706</v>
      </c>
      <c r="C414" s="117" t="s">
        <v>3707</v>
      </c>
      <c r="D414" s="118">
        <v>5.77</v>
      </c>
    </row>
    <row r="415" spans="2:4" x14ac:dyDescent="0.2">
      <c r="B415" s="116" t="s">
        <v>853</v>
      </c>
      <c r="C415" s="117" t="s">
        <v>854</v>
      </c>
      <c r="D415" s="118">
        <v>1.81</v>
      </c>
    </row>
    <row r="416" spans="2:4" x14ac:dyDescent="0.2">
      <c r="B416" s="116" t="s">
        <v>855</v>
      </c>
      <c r="C416" s="117" t="s">
        <v>856</v>
      </c>
      <c r="D416" s="118">
        <v>0.24</v>
      </c>
    </row>
    <row r="417" spans="2:4" x14ac:dyDescent="0.2">
      <c r="B417" s="116" t="s">
        <v>857</v>
      </c>
      <c r="C417" s="117" t="s">
        <v>858</v>
      </c>
      <c r="D417" s="118">
        <v>1.42</v>
      </c>
    </row>
    <row r="418" spans="2:4" x14ac:dyDescent="0.2">
      <c r="B418" s="116" t="s">
        <v>859</v>
      </c>
      <c r="C418" s="117" t="s">
        <v>860</v>
      </c>
      <c r="D418" s="118">
        <v>0</v>
      </c>
    </row>
    <row r="419" spans="2:4" x14ac:dyDescent="0.2">
      <c r="B419" s="116" t="s">
        <v>3708</v>
      </c>
      <c r="C419" s="117" t="s">
        <v>3709</v>
      </c>
      <c r="D419" s="118">
        <v>0</v>
      </c>
    </row>
    <row r="420" spans="2:4" x14ac:dyDescent="0.2">
      <c r="B420" s="116" t="s">
        <v>861</v>
      </c>
      <c r="C420" s="117" t="s">
        <v>862</v>
      </c>
      <c r="D420" s="118">
        <v>3.25</v>
      </c>
    </row>
    <row r="421" spans="2:4" x14ac:dyDescent="0.2">
      <c r="B421" s="116" t="s">
        <v>864</v>
      </c>
      <c r="C421" s="117" t="s">
        <v>865</v>
      </c>
      <c r="D421" s="118">
        <v>1.17</v>
      </c>
    </row>
    <row r="422" spans="2:4" x14ac:dyDescent="0.2">
      <c r="B422" s="116" t="s">
        <v>866</v>
      </c>
      <c r="C422" s="117" t="s">
        <v>867</v>
      </c>
      <c r="D422" s="118">
        <v>0</v>
      </c>
    </row>
    <row r="423" spans="2:4" x14ac:dyDescent="0.2">
      <c r="B423" s="116" t="s">
        <v>869</v>
      </c>
      <c r="C423" s="117" t="s">
        <v>870</v>
      </c>
      <c r="D423" s="118">
        <v>2.42</v>
      </c>
    </row>
    <row r="424" spans="2:4" x14ac:dyDescent="0.2">
      <c r="B424" s="116" t="s">
        <v>3710</v>
      </c>
      <c r="C424" s="117" t="s">
        <v>3711</v>
      </c>
      <c r="D424" s="118">
        <v>5.55</v>
      </c>
    </row>
    <row r="425" spans="2:4" x14ac:dyDescent="0.2">
      <c r="B425" s="116" t="s">
        <v>871</v>
      </c>
      <c r="C425" s="117" t="s">
        <v>872</v>
      </c>
      <c r="D425" s="118">
        <v>2.85</v>
      </c>
    </row>
    <row r="426" spans="2:4" x14ac:dyDescent="0.2">
      <c r="B426" s="116" t="s">
        <v>873</v>
      </c>
      <c r="C426" s="117" t="s">
        <v>874</v>
      </c>
      <c r="D426" s="118">
        <v>0</v>
      </c>
    </row>
    <row r="427" spans="2:4" x14ac:dyDescent="0.2">
      <c r="B427" s="116" t="s">
        <v>875</v>
      </c>
      <c r="C427" s="117" t="s">
        <v>876</v>
      </c>
      <c r="D427" s="118">
        <v>0</v>
      </c>
    </row>
    <row r="428" spans="2:4" x14ac:dyDescent="0.2">
      <c r="B428" s="116" t="s">
        <v>877</v>
      </c>
      <c r="C428" s="117" t="s">
        <v>878</v>
      </c>
      <c r="D428" s="118">
        <v>1.83</v>
      </c>
    </row>
    <row r="429" spans="2:4" x14ac:dyDescent="0.2">
      <c r="B429" s="116" t="s">
        <v>879</v>
      </c>
      <c r="C429" s="117" t="s">
        <v>880</v>
      </c>
      <c r="D429" s="118">
        <v>3.59</v>
      </c>
    </row>
    <row r="430" spans="2:4" x14ac:dyDescent="0.2">
      <c r="B430" s="116" t="s">
        <v>881</v>
      </c>
      <c r="C430" s="117" t="s">
        <v>882</v>
      </c>
      <c r="D430" s="118">
        <v>3.79</v>
      </c>
    </row>
    <row r="431" spans="2:4" x14ac:dyDescent="0.2">
      <c r="B431" s="116" t="s">
        <v>883</v>
      </c>
      <c r="C431" s="117" t="s">
        <v>884</v>
      </c>
      <c r="D431" s="118">
        <v>4.1100000000000003</v>
      </c>
    </row>
    <row r="432" spans="2:4" x14ac:dyDescent="0.2">
      <c r="B432" s="116" t="s">
        <v>886</v>
      </c>
      <c r="C432" s="117" t="s">
        <v>887</v>
      </c>
      <c r="D432" s="118">
        <v>1.73</v>
      </c>
    </row>
    <row r="433" spans="2:4" x14ac:dyDescent="0.2">
      <c r="B433" s="116" t="s">
        <v>888</v>
      </c>
      <c r="C433" s="117" t="s">
        <v>889</v>
      </c>
      <c r="D433" s="118">
        <v>1.99</v>
      </c>
    </row>
    <row r="434" spans="2:4" x14ac:dyDescent="0.2">
      <c r="B434" s="116" t="s">
        <v>890</v>
      </c>
      <c r="C434" s="117" t="s">
        <v>891</v>
      </c>
      <c r="D434" s="118">
        <v>0</v>
      </c>
    </row>
    <row r="435" spans="2:4" x14ac:dyDescent="0.2">
      <c r="B435" s="116" t="s">
        <v>893</v>
      </c>
      <c r="C435" s="117" t="s">
        <v>894</v>
      </c>
      <c r="D435" s="118">
        <v>1.42</v>
      </c>
    </row>
    <row r="436" spans="2:4" x14ac:dyDescent="0.2">
      <c r="B436" s="116" t="s">
        <v>895</v>
      </c>
      <c r="C436" s="117" t="s">
        <v>896</v>
      </c>
      <c r="D436" s="118">
        <v>2.17</v>
      </c>
    </row>
    <row r="437" spans="2:4" x14ac:dyDescent="0.2">
      <c r="B437" s="116" t="s">
        <v>897</v>
      </c>
      <c r="C437" s="117" t="s">
        <v>898</v>
      </c>
      <c r="D437" s="118">
        <v>1</v>
      </c>
    </row>
    <row r="438" spans="2:4" x14ac:dyDescent="0.2">
      <c r="B438" s="116" t="s">
        <v>900</v>
      </c>
      <c r="C438" s="117" t="s">
        <v>901</v>
      </c>
      <c r="D438" s="118">
        <v>2.37</v>
      </c>
    </row>
    <row r="439" spans="2:4" x14ac:dyDescent="0.2">
      <c r="B439" s="116" t="s">
        <v>902</v>
      </c>
      <c r="C439" s="117" t="s">
        <v>903</v>
      </c>
      <c r="D439" s="118">
        <v>0.02</v>
      </c>
    </row>
    <row r="440" spans="2:4" x14ac:dyDescent="0.2">
      <c r="B440" s="116" t="s">
        <v>904</v>
      </c>
      <c r="C440" s="117" t="s">
        <v>905</v>
      </c>
      <c r="D440" s="118">
        <v>2.0099999999999998</v>
      </c>
    </row>
    <row r="441" spans="2:4" x14ac:dyDescent="0.2">
      <c r="B441" s="116" t="s">
        <v>906</v>
      </c>
      <c r="C441" s="117" t="s">
        <v>907</v>
      </c>
      <c r="D441" s="118">
        <v>4.07</v>
      </c>
    </row>
    <row r="442" spans="2:4" x14ac:dyDescent="0.2">
      <c r="B442" s="116" t="s">
        <v>908</v>
      </c>
      <c r="C442" s="117" t="s">
        <v>909</v>
      </c>
      <c r="D442" s="118">
        <v>0.91</v>
      </c>
    </row>
    <row r="443" spans="2:4" x14ac:dyDescent="0.2">
      <c r="B443" s="116" t="s">
        <v>910</v>
      </c>
      <c r="C443" s="117" t="s">
        <v>911</v>
      </c>
      <c r="D443" s="118">
        <v>4.92</v>
      </c>
    </row>
    <row r="444" spans="2:4" x14ac:dyDescent="0.2">
      <c r="B444" s="116" t="s">
        <v>913</v>
      </c>
      <c r="C444" s="117" t="s">
        <v>914</v>
      </c>
      <c r="D444" s="118">
        <v>0</v>
      </c>
    </row>
    <row r="445" spans="2:4" x14ac:dyDescent="0.2">
      <c r="B445" s="116" t="s">
        <v>915</v>
      </c>
      <c r="C445" s="117" t="s">
        <v>916</v>
      </c>
      <c r="D445" s="118">
        <v>3.95</v>
      </c>
    </row>
    <row r="446" spans="2:4" x14ac:dyDescent="0.2">
      <c r="B446" s="116" t="s">
        <v>918</v>
      </c>
      <c r="C446" s="117" t="s">
        <v>919</v>
      </c>
      <c r="D446" s="118">
        <v>1.1000000000000001</v>
      </c>
    </row>
    <row r="447" spans="2:4" x14ac:dyDescent="0.2">
      <c r="B447" s="116" t="s">
        <v>920</v>
      </c>
      <c r="C447" s="117" t="s">
        <v>921</v>
      </c>
      <c r="D447" s="118">
        <v>2.72</v>
      </c>
    </row>
    <row r="448" spans="2:4" x14ac:dyDescent="0.2">
      <c r="B448" s="116" t="s">
        <v>922</v>
      </c>
      <c r="C448" s="117" t="s">
        <v>923</v>
      </c>
      <c r="D448" s="118">
        <v>2.99</v>
      </c>
    </row>
    <row r="449" spans="2:4" x14ac:dyDescent="0.2">
      <c r="B449" s="116" t="s">
        <v>924</v>
      </c>
      <c r="C449" s="117" t="s">
        <v>925</v>
      </c>
      <c r="D449" s="118">
        <v>3.12</v>
      </c>
    </row>
    <row r="450" spans="2:4" x14ac:dyDescent="0.2">
      <c r="B450" s="116" t="s">
        <v>3712</v>
      </c>
      <c r="C450" s="117" t="s">
        <v>3713</v>
      </c>
      <c r="D450" s="118">
        <v>1.44</v>
      </c>
    </row>
    <row r="451" spans="2:4" x14ac:dyDescent="0.2">
      <c r="B451" s="116" t="s">
        <v>926</v>
      </c>
      <c r="C451" s="117" t="s">
        <v>927</v>
      </c>
      <c r="D451" s="118">
        <v>0</v>
      </c>
    </row>
    <row r="452" spans="2:4" x14ac:dyDescent="0.2">
      <c r="B452" s="116" t="s">
        <v>928</v>
      </c>
      <c r="C452" s="117" t="s">
        <v>929</v>
      </c>
      <c r="D452" s="118">
        <v>0</v>
      </c>
    </row>
    <row r="453" spans="2:4" x14ac:dyDescent="0.2">
      <c r="B453" s="116" t="s">
        <v>931</v>
      </c>
      <c r="C453" s="117" t="s">
        <v>932</v>
      </c>
      <c r="D453" s="118">
        <v>2.91</v>
      </c>
    </row>
    <row r="454" spans="2:4" x14ac:dyDescent="0.2">
      <c r="B454" s="116" t="s">
        <v>933</v>
      </c>
      <c r="C454" s="117" t="s">
        <v>934</v>
      </c>
      <c r="D454" s="118">
        <v>21.63</v>
      </c>
    </row>
    <row r="455" spans="2:4" x14ac:dyDescent="0.2">
      <c r="B455" s="116" t="s">
        <v>935</v>
      </c>
      <c r="C455" s="117" t="s">
        <v>936</v>
      </c>
      <c r="D455" s="118">
        <v>5.15</v>
      </c>
    </row>
    <row r="456" spans="2:4" x14ac:dyDescent="0.2">
      <c r="B456" s="116" t="s">
        <v>938</v>
      </c>
      <c r="C456" s="117" t="s">
        <v>939</v>
      </c>
      <c r="D456" s="118">
        <v>1.93</v>
      </c>
    </row>
    <row r="457" spans="2:4" x14ac:dyDescent="0.2">
      <c r="B457" s="116" t="s">
        <v>940</v>
      </c>
      <c r="C457" s="117" t="s">
        <v>941</v>
      </c>
      <c r="D457" s="118">
        <v>4.43</v>
      </c>
    </row>
    <row r="458" spans="2:4" x14ac:dyDescent="0.2">
      <c r="B458" s="116" t="s">
        <v>942</v>
      </c>
      <c r="C458" s="117" t="s">
        <v>943</v>
      </c>
      <c r="D458" s="118">
        <v>0</v>
      </c>
    </row>
    <row r="459" spans="2:4" x14ac:dyDescent="0.2">
      <c r="B459" s="116" t="s">
        <v>3714</v>
      </c>
      <c r="C459" s="117" t="s">
        <v>3715</v>
      </c>
      <c r="D459" s="118">
        <v>1.05</v>
      </c>
    </row>
    <row r="460" spans="2:4" x14ac:dyDescent="0.2">
      <c r="B460" s="116" t="s">
        <v>3716</v>
      </c>
      <c r="C460" s="117" t="s">
        <v>3717</v>
      </c>
      <c r="D460" s="118">
        <v>0.12</v>
      </c>
    </row>
    <row r="461" spans="2:4" x14ac:dyDescent="0.2">
      <c r="B461" s="116" t="s">
        <v>945</v>
      </c>
      <c r="C461" s="117" t="s">
        <v>946</v>
      </c>
      <c r="D461" s="118">
        <v>2.2400000000000002</v>
      </c>
    </row>
    <row r="462" spans="2:4" x14ac:dyDescent="0.2">
      <c r="B462" s="116" t="s">
        <v>947</v>
      </c>
      <c r="C462" s="117" t="s">
        <v>948</v>
      </c>
      <c r="D462" s="118">
        <v>0</v>
      </c>
    </row>
    <row r="463" spans="2:4" x14ac:dyDescent="0.2">
      <c r="B463" s="116" t="s">
        <v>950</v>
      </c>
      <c r="C463" s="117" t="s">
        <v>951</v>
      </c>
      <c r="D463" s="118">
        <v>0</v>
      </c>
    </row>
    <row r="464" spans="2:4" x14ac:dyDescent="0.2">
      <c r="B464" s="116" t="s">
        <v>952</v>
      </c>
      <c r="C464" s="117" t="s">
        <v>953</v>
      </c>
      <c r="D464" s="118">
        <v>0</v>
      </c>
    </row>
    <row r="465" spans="2:4" x14ac:dyDescent="0.2">
      <c r="B465" s="116" t="s">
        <v>954</v>
      </c>
      <c r="C465" s="117" t="s">
        <v>955</v>
      </c>
      <c r="D465" s="118">
        <v>3.52</v>
      </c>
    </row>
    <row r="466" spans="2:4" x14ac:dyDescent="0.2">
      <c r="B466" s="116" t="s">
        <v>956</v>
      </c>
      <c r="C466" s="117" t="s">
        <v>957</v>
      </c>
      <c r="D466" s="118">
        <v>1.87</v>
      </c>
    </row>
    <row r="467" spans="2:4" x14ac:dyDescent="0.2">
      <c r="B467" s="116" t="s">
        <v>958</v>
      </c>
      <c r="C467" s="117" t="s">
        <v>959</v>
      </c>
      <c r="D467" s="118">
        <v>0</v>
      </c>
    </row>
    <row r="468" spans="2:4" x14ac:dyDescent="0.2">
      <c r="B468" s="116" t="s">
        <v>3718</v>
      </c>
      <c r="C468" s="117" t="s">
        <v>3719</v>
      </c>
      <c r="D468" s="118">
        <v>0</v>
      </c>
    </row>
    <row r="469" spans="2:4" x14ac:dyDescent="0.2">
      <c r="B469" s="116" t="s">
        <v>3720</v>
      </c>
      <c r="C469" s="117" t="s">
        <v>3721</v>
      </c>
      <c r="D469" s="118">
        <v>2.16</v>
      </c>
    </row>
    <row r="470" spans="2:4" x14ac:dyDescent="0.2">
      <c r="B470" s="116" t="s">
        <v>3722</v>
      </c>
      <c r="C470" s="117" t="s">
        <v>3723</v>
      </c>
      <c r="D470" s="118">
        <v>2.33</v>
      </c>
    </row>
    <row r="471" spans="2:4" x14ac:dyDescent="0.2">
      <c r="B471" s="116" t="s">
        <v>960</v>
      </c>
      <c r="C471" s="117" t="s">
        <v>961</v>
      </c>
      <c r="D471" s="118">
        <v>2.0099999999999998</v>
      </c>
    </row>
    <row r="472" spans="2:4" x14ac:dyDescent="0.2">
      <c r="B472" s="116" t="s">
        <v>962</v>
      </c>
      <c r="C472" s="117" t="s">
        <v>963</v>
      </c>
      <c r="D472" s="118">
        <v>2.82</v>
      </c>
    </row>
    <row r="473" spans="2:4" x14ac:dyDescent="0.2">
      <c r="B473" s="116" t="s">
        <v>965</v>
      </c>
      <c r="C473" s="117" t="s">
        <v>966</v>
      </c>
      <c r="D473" s="118">
        <v>1.79</v>
      </c>
    </row>
    <row r="474" spans="2:4" x14ac:dyDescent="0.2">
      <c r="B474" s="116" t="s">
        <v>967</v>
      </c>
      <c r="C474" s="117" t="s">
        <v>968</v>
      </c>
      <c r="D474" s="118">
        <v>0</v>
      </c>
    </row>
    <row r="475" spans="2:4" x14ac:dyDescent="0.2">
      <c r="B475" s="116" t="s">
        <v>3724</v>
      </c>
      <c r="C475" s="117" t="s">
        <v>3725</v>
      </c>
      <c r="D475" s="118">
        <v>2.99</v>
      </c>
    </row>
    <row r="476" spans="2:4" x14ac:dyDescent="0.2">
      <c r="B476" s="116" t="s">
        <v>969</v>
      </c>
      <c r="C476" s="117" t="s">
        <v>970</v>
      </c>
      <c r="D476" s="118">
        <v>1.38</v>
      </c>
    </row>
    <row r="477" spans="2:4" x14ac:dyDescent="0.2">
      <c r="B477" s="116" t="s">
        <v>971</v>
      </c>
      <c r="C477" s="117" t="s">
        <v>972</v>
      </c>
      <c r="D477" s="118">
        <v>1.1299999999999999</v>
      </c>
    </row>
    <row r="478" spans="2:4" x14ac:dyDescent="0.2">
      <c r="B478" s="116" t="s">
        <v>973</v>
      </c>
      <c r="C478" s="117" t="s">
        <v>974</v>
      </c>
      <c r="D478" s="118">
        <v>0</v>
      </c>
    </row>
    <row r="479" spans="2:4" x14ac:dyDescent="0.2">
      <c r="B479" s="116" t="s">
        <v>3726</v>
      </c>
      <c r="C479" s="117" t="s">
        <v>3727</v>
      </c>
      <c r="D479" s="118">
        <v>5.14</v>
      </c>
    </row>
    <row r="480" spans="2:4" x14ac:dyDescent="0.2">
      <c r="B480" s="116" t="s">
        <v>975</v>
      </c>
      <c r="C480" s="117" t="s">
        <v>976</v>
      </c>
      <c r="D480" s="118">
        <v>1.4</v>
      </c>
    </row>
    <row r="481" spans="2:4" x14ac:dyDescent="0.2">
      <c r="B481" s="116" t="s">
        <v>977</v>
      </c>
      <c r="C481" s="117" t="s">
        <v>978</v>
      </c>
      <c r="D481" s="118">
        <v>0.81</v>
      </c>
    </row>
    <row r="482" spans="2:4" x14ac:dyDescent="0.2">
      <c r="B482" s="116" t="s">
        <v>980</v>
      </c>
      <c r="C482" s="117" t="s">
        <v>981</v>
      </c>
      <c r="D482" s="118">
        <v>7.99</v>
      </c>
    </row>
    <row r="483" spans="2:4" x14ac:dyDescent="0.2">
      <c r="B483" s="116" t="s">
        <v>983</v>
      </c>
      <c r="C483" s="117" t="s">
        <v>984</v>
      </c>
      <c r="D483" s="118">
        <v>0</v>
      </c>
    </row>
    <row r="484" spans="2:4" x14ac:dyDescent="0.2">
      <c r="B484" s="116" t="s">
        <v>3728</v>
      </c>
      <c r="C484" s="117" t="s">
        <v>3729</v>
      </c>
      <c r="D484" s="118">
        <v>3.16</v>
      </c>
    </row>
    <row r="485" spans="2:4" x14ac:dyDescent="0.2">
      <c r="B485" s="116" t="s">
        <v>986</v>
      </c>
      <c r="C485" s="117" t="s">
        <v>987</v>
      </c>
      <c r="D485" s="118">
        <v>0</v>
      </c>
    </row>
    <row r="486" spans="2:4" x14ac:dyDescent="0.2">
      <c r="B486" s="116" t="s">
        <v>3730</v>
      </c>
      <c r="C486" s="117" t="s">
        <v>3731</v>
      </c>
      <c r="D486" s="118">
        <v>5.0999999999999996</v>
      </c>
    </row>
    <row r="487" spans="2:4" x14ac:dyDescent="0.2">
      <c r="B487" s="116" t="s">
        <v>988</v>
      </c>
      <c r="C487" s="117" t="s">
        <v>989</v>
      </c>
      <c r="D487" s="118">
        <v>1.29</v>
      </c>
    </row>
    <row r="488" spans="2:4" x14ac:dyDescent="0.2">
      <c r="B488" s="116" t="s">
        <v>991</v>
      </c>
      <c r="C488" s="117" t="s">
        <v>992</v>
      </c>
      <c r="D488" s="118">
        <v>2.85</v>
      </c>
    </row>
    <row r="489" spans="2:4" x14ac:dyDescent="0.2">
      <c r="B489" s="116" t="s">
        <v>3732</v>
      </c>
      <c r="C489" s="117" t="s">
        <v>3733</v>
      </c>
      <c r="D489" s="118">
        <v>1.8</v>
      </c>
    </row>
    <row r="490" spans="2:4" x14ac:dyDescent="0.2">
      <c r="B490" s="116" t="s">
        <v>993</v>
      </c>
      <c r="C490" s="117" t="s">
        <v>994</v>
      </c>
      <c r="D490" s="118">
        <v>1.44</v>
      </c>
    </row>
    <row r="491" spans="2:4" x14ac:dyDescent="0.2">
      <c r="B491" s="116" t="s">
        <v>995</v>
      </c>
      <c r="C491" s="117" t="s">
        <v>996</v>
      </c>
      <c r="D491" s="118">
        <v>3.59</v>
      </c>
    </row>
    <row r="492" spans="2:4" x14ac:dyDescent="0.2">
      <c r="B492" s="116" t="s">
        <v>745</v>
      </c>
      <c r="C492" s="117" t="s">
        <v>3734</v>
      </c>
      <c r="D492" s="118">
        <v>4.3</v>
      </c>
    </row>
    <row r="493" spans="2:4" x14ac:dyDescent="0.2">
      <c r="B493" s="116" t="s">
        <v>997</v>
      </c>
      <c r="C493" s="117" t="s">
        <v>998</v>
      </c>
      <c r="D493" s="118">
        <v>1.62</v>
      </c>
    </row>
    <row r="494" spans="2:4" x14ac:dyDescent="0.2">
      <c r="B494" s="116" t="s">
        <v>999</v>
      </c>
      <c r="C494" s="117" t="s">
        <v>1000</v>
      </c>
      <c r="D494" s="118">
        <v>3.1</v>
      </c>
    </row>
    <row r="495" spans="2:4" x14ac:dyDescent="0.2">
      <c r="B495" s="116" t="s">
        <v>1001</v>
      </c>
      <c r="C495" s="117" t="s">
        <v>1002</v>
      </c>
      <c r="D495" s="118">
        <v>3.32</v>
      </c>
    </row>
    <row r="496" spans="2:4" x14ac:dyDescent="0.2">
      <c r="B496" s="116" t="s">
        <v>1003</v>
      </c>
      <c r="C496" s="117" t="s">
        <v>1004</v>
      </c>
      <c r="D496" s="118">
        <v>1.51</v>
      </c>
    </row>
    <row r="497" spans="2:4" x14ac:dyDescent="0.2">
      <c r="B497" s="116" t="s">
        <v>3735</v>
      </c>
      <c r="C497" s="117" t="s">
        <v>3736</v>
      </c>
      <c r="D497" s="118">
        <v>6.65</v>
      </c>
    </row>
    <row r="498" spans="2:4" x14ac:dyDescent="0.2">
      <c r="B498" s="116" t="s">
        <v>1006</v>
      </c>
      <c r="C498" s="117" t="s">
        <v>1007</v>
      </c>
      <c r="D498" s="118">
        <v>0</v>
      </c>
    </row>
    <row r="499" spans="2:4" x14ac:dyDescent="0.2">
      <c r="B499" s="116" t="s">
        <v>1008</v>
      </c>
      <c r="C499" s="117" t="s">
        <v>1009</v>
      </c>
      <c r="D499" s="118">
        <v>3.11</v>
      </c>
    </row>
    <row r="500" spans="2:4" x14ac:dyDescent="0.2">
      <c r="B500" s="116" t="s">
        <v>1011</v>
      </c>
      <c r="C500" s="117" t="s">
        <v>1012</v>
      </c>
      <c r="D500" s="118">
        <v>3.83</v>
      </c>
    </row>
    <row r="501" spans="2:4" x14ac:dyDescent="0.2">
      <c r="B501" s="116" t="s">
        <v>1013</v>
      </c>
      <c r="C501" s="117" t="s">
        <v>1014</v>
      </c>
      <c r="D501" s="118">
        <v>0.53</v>
      </c>
    </row>
    <row r="502" spans="2:4" x14ac:dyDescent="0.2">
      <c r="B502" s="116" t="s">
        <v>1015</v>
      </c>
      <c r="C502" s="117" t="s">
        <v>1016</v>
      </c>
      <c r="D502" s="118">
        <v>4.43</v>
      </c>
    </row>
    <row r="503" spans="2:4" x14ac:dyDescent="0.2">
      <c r="B503" s="116" t="s">
        <v>1018</v>
      </c>
      <c r="C503" s="117" t="s">
        <v>1019</v>
      </c>
      <c r="D503" s="118">
        <v>0</v>
      </c>
    </row>
    <row r="504" spans="2:4" x14ac:dyDescent="0.2">
      <c r="B504" s="116" t="s">
        <v>3737</v>
      </c>
      <c r="C504" s="117" t="s">
        <v>3738</v>
      </c>
      <c r="D504" s="118">
        <v>1.96</v>
      </c>
    </row>
    <row r="505" spans="2:4" x14ac:dyDescent="0.2">
      <c r="B505" s="116" t="s">
        <v>3739</v>
      </c>
      <c r="C505" s="117" t="s">
        <v>3740</v>
      </c>
      <c r="D505" s="118">
        <v>5.56</v>
      </c>
    </row>
    <row r="506" spans="2:4" x14ac:dyDescent="0.2">
      <c r="B506" s="116" t="s">
        <v>1020</v>
      </c>
      <c r="C506" s="117" t="s">
        <v>1021</v>
      </c>
      <c r="D506" s="118">
        <v>1.21</v>
      </c>
    </row>
    <row r="507" spans="2:4" x14ac:dyDescent="0.2">
      <c r="B507" s="116" t="s">
        <v>1022</v>
      </c>
      <c r="C507" s="117" t="s">
        <v>1023</v>
      </c>
      <c r="D507" s="118">
        <v>0.68</v>
      </c>
    </row>
    <row r="508" spans="2:4" x14ac:dyDescent="0.2">
      <c r="B508" s="116" t="s">
        <v>1024</v>
      </c>
      <c r="C508" s="117" t="s">
        <v>1025</v>
      </c>
      <c r="D508" s="118">
        <v>1.89</v>
      </c>
    </row>
    <row r="509" spans="2:4" x14ac:dyDescent="0.2">
      <c r="B509" s="116" t="s">
        <v>3741</v>
      </c>
      <c r="C509" s="117" t="s">
        <v>3742</v>
      </c>
      <c r="D509" s="118">
        <v>0</v>
      </c>
    </row>
    <row r="510" spans="2:4" x14ac:dyDescent="0.2">
      <c r="B510" s="116" t="s">
        <v>1027</v>
      </c>
      <c r="C510" s="117" t="s">
        <v>1028</v>
      </c>
      <c r="D510" s="118">
        <v>0</v>
      </c>
    </row>
    <row r="511" spans="2:4" x14ac:dyDescent="0.2">
      <c r="B511" s="116" t="s">
        <v>1029</v>
      </c>
      <c r="C511" s="117" t="s">
        <v>1030</v>
      </c>
      <c r="D511" s="118">
        <v>0.63</v>
      </c>
    </row>
    <row r="512" spans="2:4" x14ac:dyDescent="0.2">
      <c r="B512" s="116" t="s">
        <v>1031</v>
      </c>
      <c r="C512" s="117" t="s">
        <v>1032</v>
      </c>
      <c r="D512" s="118">
        <v>0</v>
      </c>
    </row>
    <row r="513" spans="2:4" x14ac:dyDescent="0.2">
      <c r="B513" s="116" t="s">
        <v>1033</v>
      </c>
      <c r="C513" s="117" t="s">
        <v>1034</v>
      </c>
      <c r="D513" s="118">
        <v>0</v>
      </c>
    </row>
    <row r="514" spans="2:4" x14ac:dyDescent="0.2">
      <c r="B514" s="116" t="s">
        <v>1035</v>
      </c>
      <c r="C514" s="117" t="s">
        <v>1036</v>
      </c>
      <c r="D514" s="118">
        <v>4.54</v>
      </c>
    </row>
    <row r="515" spans="2:4" x14ac:dyDescent="0.2">
      <c r="B515" s="116" t="s">
        <v>1037</v>
      </c>
      <c r="C515" s="117" t="s">
        <v>1038</v>
      </c>
      <c r="D515" s="118">
        <v>2.75</v>
      </c>
    </row>
    <row r="516" spans="2:4" x14ac:dyDescent="0.2">
      <c r="B516" s="116" t="s">
        <v>1039</v>
      </c>
      <c r="C516" s="117" t="s">
        <v>1040</v>
      </c>
      <c r="D516" s="118">
        <v>1.93</v>
      </c>
    </row>
    <row r="517" spans="2:4" x14ac:dyDescent="0.2">
      <c r="B517" s="116" t="s">
        <v>1041</v>
      </c>
      <c r="C517" s="117" t="s">
        <v>1042</v>
      </c>
      <c r="D517" s="118">
        <v>0</v>
      </c>
    </row>
    <row r="518" spans="2:4" x14ac:dyDescent="0.2">
      <c r="B518" s="116" t="s">
        <v>1043</v>
      </c>
      <c r="C518" s="117" t="s">
        <v>1044</v>
      </c>
      <c r="D518" s="118">
        <v>0.43</v>
      </c>
    </row>
    <row r="519" spans="2:4" x14ac:dyDescent="0.2">
      <c r="B519" s="116" t="s">
        <v>1045</v>
      </c>
      <c r="C519" s="117" t="s">
        <v>1046</v>
      </c>
      <c r="D519" s="118">
        <v>0</v>
      </c>
    </row>
    <row r="520" spans="2:4" x14ac:dyDescent="0.2">
      <c r="B520" s="116" t="s">
        <v>3743</v>
      </c>
      <c r="C520" s="117" t="s">
        <v>3744</v>
      </c>
      <c r="D520" s="118">
        <v>1.29</v>
      </c>
    </row>
    <row r="521" spans="2:4" x14ac:dyDescent="0.2">
      <c r="B521" s="116" t="s">
        <v>1047</v>
      </c>
      <c r="C521" s="117" t="s">
        <v>1048</v>
      </c>
      <c r="D521" s="118">
        <v>4.4800000000000004</v>
      </c>
    </row>
    <row r="522" spans="2:4" x14ac:dyDescent="0.2">
      <c r="B522" s="116" t="s">
        <v>1049</v>
      </c>
      <c r="C522" s="117" t="s">
        <v>1050</v>
      </c>
      <c r="D522" s="118">
        <v>0</v>
      </c>
    </row>
    <row r="523" spans="2:4" x14ac:dyDescent="0.2">
      <c r="B523" s="116" t="s">
        <v>1051</v>
      </c>
      <c r="C523" s="117" t="s">
        <v>1052</v>
      </c>
      <c r="D523" s="118">
        <v>0</v>
      </c>
    </row>
    <row r="524" spans="2:4" x14ac:dyDescent="0.2">
      <c r="B524" s="116" t="s">
        <v>1054</v>
      </c>
      <c r="C524" s="117" t="s">
        <v>1055</v>
      </c>
      <c r="D524" s="118">
        <v>1.62</v>
      </c>
    </row>
    <row r="525" spans="2:4" x14ac:dyDescent="0.2">
      <c r="B525" s="116" t="s">
        <v>3745</v>
      </c>
      <c r="C525" s="117" t="s">
        <v>3746</v>
      </c>
      <c r="D525" s="118">
        <v>2.93</v>
      </c>
    </row>
    <row r="526" spans="2:4" x14ac:dyDescent="0.2">
      <c r="B526" s="116" t="s">
        <v>1057</v>
      </c>
      <c r="C526" s="117" t="s">
        <v>1058</v>
      </c>
      <c r="D526" s="118">
        <v>11.42</v>
      </c>
    </row>
    <row r="527" spans="2:4" x14ac:dyDescent="0.2">
      <c r="B527" s="116" t="s">
        <v>1059</v>
      </c>
      <c r="C527" s="117" t="s">
        <v>1060</v>
      </c>
      <c r="D527" s="118">
        <v>1.68</v>
      </c>
    </row>
    <row r="528" spans="2:4" x14ac:dyDescent="0.2">
      <c r="B528" s="116" t="s">
        <v>1061</v>
      </c>
      <c r="C528" s="117" t="s">
        <v>1062</v>
      </c>
      <c r="D528" s="118">
        <v>0</v>
      </c>
    </row>
    <row r="529" spans="2:4" x14ac:dyDescent="0.2">
      <c r="B529" s="116" t="s">
        <v>1063</v>
      </c>
      <c r="C529" s="117" t="s">
        <v>1064</v>
      </c>
      <c r="D529" s="118">
        <v>1.85</v>
      </c>
    </row>
    <row r="530" spans="2:4" x14ac:dyDescent="0.2">
      <c r="B530" s="116" t="s">
        <v>1065</v>
      </c>
      <c r="C530" s="117" t="s">
        <v>1066</v>
      </c>
      <c r="D530" s="118">
        <v>0</v>
      </c>
    </row>
    <row r="531" spans="2:4" x14ac:dyDescent="0.2">
      <c r="B531" s="116" t="s">
        <v>1067</v>
      </c>
      <c r="C531" s="117" t="s">
        <v>1068</v>
      </c>
      <c r="D531" s="118">
        <v>2.46</v>
      </c>
    </row>
    <row r="532" spans="2:4" x14ac:dyDescent="0.2">
      <c r="B532" s="116" t="s">
        <v>1069</v>
      </c>
      <c r="C532" s="117" t="s">
        <v>1070</v>
      </c>
      <c r="D532" s="118">
        <v>0</v>
      </c>
    </row>
    <row r="533" spans="2:4" x14ac:dyDescent="0.2">
      <c r="B533" s="116" t="s">
        <v>1071</v>
      </c>
      <c r="C533" s="117" t="s">
        <v>1072</v>
      </c>
      <c r="D533" s="118">
        <v>2.62</v>
      </c>
    </row>
    <row r="534" spans="2:4" x14ac:dyDescent="0.2">
      <c r="B534" s="116" t="s">
        <v>3747</v>
      </c>
      <c r="C534" s="117" t="s">
        <v>3748</v>
      </c>
      <c r="D534" s="118">
        <v>1.74</v>
      </c>
    </row>
    <row r="535" spans="2:4" x14ac:dyDescent="0.2">
      <c r="B535" s="116" t="s">
        <v>1073</v>
      </c>
      <c r="C535" s="117" t="s">
        <v>1074</v>
      </c>
      <c r="D535" s="118">
        <v>2.12</v>
      </c>
    </row>
    <row r="536" spans="2:4" x14ac:dyDescent="0.2">
      <c r="B536" s="116" t="s">
        <v>1075</v>
      </c>
      <c r="C536" s="117" t="s">
        <v>1076</v>
      </c>
      <c r="D536" s="118">
        <v>0.82</v>
      </c>
    </row>
    <row r="537" spans="2:4" x14ac:dyDescent="0.2">
      <c r="B537" s="116" t="s">
        <v>1077</v>
      </c>
      <c r="C537" s="117" t="s">
        <v>1078</v>
      </c>
      <c r="D537" s="118">
        <v>1.97</v>
      </c>
    </row>
    <row r="538" spans="2:4" x14ac:dyDescent="0.2">
      <c r="B538" s="116" t="s">
        <v>1079</v>
      </c>
      <c r="C538" s="117" t="s">
        <v>1080</v>
      </c>
      <c r="D538" s="118">
        <v>1.1599999999999999</v>
      </c>
    </row>
    <row r="539" spans="2:4" x14ac:dyDescent="0.2">
      <c r="B539" s="116" t="s">
        <v>1082</v>
      </c>
      <c r="C539" s="117" t="s">
        <v>1083</v>
      </c>
      <c r="D539" s="118">
        <v>0.46</v>
      </c>
    </row>
    <row r="540" spans="2:4" x14ac:dyDescent="0.2">
      <c r="B540" s="116" t="s">
        <v>3749</v>
      </c>
      <c r="C540" s="117" t="s">
        <v>3750</v>
      </c>
      <c r="D540" s="118">
        <v>2.11</v>
      </c>
    </row>
    <row r="541" spans="2:4" x14ac:dyDescent="0.2">
      <c r="B541" s="116" t="s">
        <v>3751</v>
      </c>
      <c r="C541" s="117" t="s">
        <v>3752</v>
      </c>
      <c r="D541" s="118">
        <v>3.5</v>
      </c>
    </row>
    <row r="542" spans="2:4" x14ac:dyDescent="0.2">
      <c r="B542" s="116" t="s">
        <v>3753</v>
      </c>
      <c r="C542" s="117" t="s">
        <v>3754</v>
      </c>
      <c r="D542" s="118">
        <v>5.66</v>
      </c>
    </row>
    <row r="543" spans="2:4" x14ac:dyDescent="0.2">
      <c r="B543" s="116" t="s">
        <v>1084</v>
      </c>
      <c r="C543" s="117" t="s">
        <v>1085</v>
      </c>
      <c r="D543" s="118">
        <v>1.33</v>
      </c>
    </row>
    <row r="544" spans="2:4" x14ac:dyDescent="0.2">
      <c r="B544" s="116" t="s">
        <v>1087</v>
      </c>
      <c r="C544" s="117" t="s">
        <v>1088</v>
      </c>
      <c r="D544" s="118">
        <v>0</v>
      </c>
    </row>
    <row r="545" spans="2:4" x14ac:dyDescent="0.2">
      <c r="B545" s="116" t="s">
        <v>3755</v>
      </c>
      <c r="C545" s="117" t="s">
        <v>3756</v>
      </c>
      <c r="D545" s="118">
        <v>0</v>
      </c>
    </row>
    <row r="546" spans="2:4" x14ac:dyDescent="0.2">
      <c r="B546" s="116" t="s">
        <v>3755</v>
      </c>
      <c r="C546" s="117" t="s">
        <v>3757</v>
      </c>
      <c r="D546" s="118">
        <v>0</v>
      </c>
    </row>
    <row r="547" spans="2:4" x14ac:dyDescent="0.2">
      <c r="B547" s="116" t="s">
        <v>1089</v>
      </c>
      <c r="C547" s="117" t="s">
        <v>1090</v>
      </c>
      <c r="D547" s="118">
        <v>0</v>
      </c>
    </row>
    <row r="548" spans="2:4" x14ac:dyDescent="0.2">
      <c r="B548" s="116" t="s">
        <v>1091</v>
      </c>
      <c r="C548" s="117" t="s">
        <v>1092</v>
      </c>
      <c r="D548" s="118">
        <v>0</v>
      </c>
    </row>
    <row r="549" spans="2:4" x14ac:dyDescent="0.2">
      <c r="B549" s="116" t="s">
        <v>1094</v>
      </c>
      <c r="C549" s="117" t="s">
        <v>1095</v>
      </c>
      <c r="D549" s="118">
        <v>0.97</v>
      </c>
    </row>
    <row r="550" spans="2:4" x14ac:dyDescent="0.2">
      <c r="B550" s="116" t="s">
        <v>1097</v>
      </c>
      <c r="C550" s="117" t="s">
        <v>1098</v>
      </c>
      <c r="D550" s="118">
        <v>2.91</v>
      </c>
    </row>
    <row r="551" spans="2:4" x14ac:dyDescent="0.2">
      <c r="B551" s="116" t="s">
        <v>3758</v>
      </c>
      <c r="C551" s="117" t="s">
        <v>3759</v>
      </c>
      <c r="D551" s="118">
        <v>4.12</v>
      </c>
    </row>
    <row r="552" spans="2:4" x14ac:dyDescent="0.2">
      <c r="B552" s="116" t="s">
        <v>1100</v>
      </c>
      <c r="C552" s="117" t="s">
        <v>1101</v>
      </c>
      <c r="D552" s="118">
        <v>1.23</v>
      </c>
    </row>
    <row r="553" spans="2:4" x14ac:dyDescent="0.2">
      <c r="B553" s="116" t="s">
        <v>3760</v>
      </c>
      <c r="C553" s="117" t="s">
        <v>3761</v>
      </c>
      <c r="D553" s="118">
        <v>0</v>
      </c>
    </row>
    <row r="554" spans="2:4" x14ac:dyDescent="0.2">
      <c r="B554" s="116" t="s">
        <v>1103</v>
      </c>
      <c r="C554" s="117" t="s">
        <v>1104</v>
      </c>
      <c r="D554" s="118">
        <v>3.46</v>
      </c>
    </row>
    <row r="555" spans="2:4" x14ac:dyDescent="0.2">
      <c r="B555" s="116" t="s">
        <v>1105</v>
      </c>
      <c r="C555" s="117" t="s">
        <v>1106</v>
      </c>
      <c r="D555" s="118">
        <v>0</v>
      </c>
    </row>
    <row r="556" spans="2:4" x14ac:dyDescent="0.2">
      <c r="B556" s="116" t="s">
        <v>1107</v>
      </c>
      <c r="C556" s="117" t="s">
        <v>1108</v>
      </c>
      <c r="D556" s="118">
        <v>2.35</v>
      </c>
    </row>
    <row r="557" spans="2:4" x14ac:dyDescent="0.2">
      <c r="B557" s="116" t="s">
        <v>3762</v>
      </c>
      <c r="C557" s="117" t="s">
        <v>3763</v>
      </c>
      <c r="D557" s="118">
        <v>4.3099999999999996</v>
      </c>
    </row>
    <row r="558" spans="2:4" x14ac:dyDescent="0.2">
      <c r="B558" s="116" t="s">
        <v>3764</v>
      </c>
      <c r="C558" s="117" t="s">
        <v>3765</v>
      </c>
      <c r="D558" s="118">
        <v>5.98</v>
      </c>
    </row>
    <row r="559" spans="2:4" x14ac:dyDescent="0.2">
      <c r="B559" s="116" t="s">
        <v>1109</v>
      </c>
      <c r="C559" s="117" t="s">
        <v>1110</v>
      </c>
      <c r="D559" s="118">
        <v>1.85</v>
      </c>
    </row>
    <row r="560" spans="2:4" x14ac:dyDescent="0.2">
      <c r="B560" s="116" t="s">
        <v>3766</v>
      </c>
      <c r="C560" s="117" t="s">
        <v>3767</v>
      </c>
      <c r="D560" s="118">
        <v>6.05</v>
      </c>
    </row>
    <row r="561" spans="2:4" x14ac:dyDescent="0.2">
      <c r="B561" s="116" t="s">
        <v>3768</v>
      </c>
      <c r="C561" s="117" t="s">
        <v>3769</v>
      </c>
      <c r="D561" s="118">
        <v>1.68</v>
      </c>
    </row>
    <row r="562" spans="2:4" x14ac:dyDescent="0.2">
      <c r="B562" s="116" t="s">
        <v>1111</v>
      </c>
      <c r="C562" s="117" t="s">
        <v>1112</v>
      </c>
      <c r="D562" s="118">
        <v>2.1</v>
      </c>
    </row>
    <row r="563" spans="2:4" x14ac:dyDescent="0.2">
      <c r="B563" s="116" t="s">
        <v>1113</v>
      </c>
      <c r="C563" s="117" t="s">
        <v>1114</v>
      </c>
      <c r="D563" s="118">
        <v>5.27</v>
      </c>
    </row>
    <row r="564" spans="2:4" x14ac:dyDescent="0.2">
      <c r="B564" s="116" t="s">
        <v>1115</v>
      </c>
      <c r="C564" s="117" t="s">
        <v>1116</v>
      </c>
      <c r="D564" s="118">
        <v>0</v>
      </c>
    </row>
    <row r="565" spans="2:4" x14ac:dyDescent="0.2">
      <c r="B565" s="116" t="s">
        <v>1117</v>
      </c>
      <c r="C565" s="117" t="s">
        <v>1118</v>
      </c>
      <c r="D565" s="118">
        <v>0.78</v>
      </c>
    </row>
    <row r="566" spans="2:4" x14ac:dyDescent="0.2">
      <c r="B566" s="116" t="s">
        <v>1119</v>
      </c>
      <c r="C566" s="117" t="s">
        <v>1120</v>
      </c>
      <c r="D566" s="118">
        <v>1.98</v>
      </c>
    </row>
    <row r="567" spans="2:4" x14ac:dyDescent="0.2">
      <c r="B567" s="116" t="s">
        <v>3770</v>
      </c>
      <c r="C567" s="117" t="s">
        <v>3771</v>
      </c>
      <c r="D567" s="118">
        <v>5.81</v>
      </c>
    </row>
    <row r="568" spans="2:4" x14ac:dyDescent="0.2">
      <c r="B568" s="116" t="s">
        <v>1121</v>
      </c>
      <c r="C568" s="117" t="s">
        <v>1122</v>
      </c>
      <c r="D568" s="118">
        <v>1.73</v>
      </c>
    </row>
    <row r="569" spans="2:4" x14ac:dyDescent="0.2">
      <c r="B569" s="116" t="s">
        <v>3772</v>
      </c>
      <c r="C569" s="117" t="s">
        <v>3773</v>
      </c>
      <c r="D569" s="118">
        <v>0</v>
      </c>
    </row>
    <row r="570" spans="2:4" x14ac:dyDescent="0.2">
      <c r="B570" s="116" t="s">
        <v>1123</v>
      </c>
      <c r="C570" s="117" t="s">
        <v>1124</v>
      </c>
      <c r="D570" s="118">
        <v>3.75</v>
      </c>
    </row>
    <row r="571" spans="2:4" x14ac:dyDescent="0.2">
      <c r="B571" s="116" t="s">
        <v>1125</v>
      </c>
      <c r="C571" s="117" t="s">
        <v>1126</v>
      </c>
      <c r="D571" s="118">
        <v>1.05</v>
      </c>
    </row>
    <row r="572" spans="2:4" x14ac:dyDescent="0.2">
      <c r="B572" s="116" t="s">
        <v>1127</v>
      </c>
      <c r="C572" s="117" t="s">
        <v>1128</v>
      </c>
      <c r="D572" s="118">
        <v>2.58</v>
      </c>
    </row>
    <row r="573" spans="2:4" x14ac:dyDescent="0.2">
      <c r="B573" s="116" t="s">
        <v>1129</v>
      </c>
      <c r="C573" s="117" t="s">
        <v>1130</v>
      </c>
      <c r="D573" s="118">
        <v>2.94</v>
      </c>
    </row>
    <row r="574" spans="2:4" x14ac:dyDescent="0.2">
      <c r="B574" s="116" t="s">
        <v>1131</v>
      </c>
      <c r="C574" s="117" t="s">
        <v>1132</v>
      </c>
      <c r="D574" s="118">
        <v>1.38</v>
      </c>
    </row>
    <row r="575" spans="2:4" x14ac:dyDescent="0.2">
      <c r="B575" s="116" t="s">
        <v>1134</v>
      </c>
      <c r="C575" s="117" t="s">
        <v>1135</v>
      </c>
      <c r="D575" s="118">
        <v>0.23</v>
      </c>
    </row>
    <row r="576" spans="2:4" x14ac:dyDescent="0.2">
      <c r="B576" s="116" t="s">
        <v>3774</v>
      </c>
      <c r="C576" s="117" t="s">
        <v>3775</v>
      </c>
      <c r="D576" s="118">
        <v>2.4</v>
      </c>
    </row>
    <row r="577" spans="2:4" x14ac:dyDescent="0.2">
      <c r="B577" s="116" t="s">
        <v>1136</v>
      </c>
      <c r="C577" s="117" t="s">
        <v>1137</v>
      </c>
      <c r="D577" s="118">
        <v>0</v>
      </c>
    </row>
    <row r="578" spans="2:4" x14ac:dyDescent="0.2">
      <c r="B578" s="116" t="s">
        <v>3776</v>
      </c>
      <c r="C578" s="117" t="s">
        <v>3777</v>
      </c>
      <c r="D578" s="118">
        <v>0</v>
      </c>
    </row>
    <row r="579" spans="2:4" x14ac:dyDescent="0.2">
      <c r="B579" s="116" t="s">
        <v>3778</v>
      </c>
      <c r="C579" s="117" t="s">
        <v>3779</v>
      </c>
      <c r="D579" s="118">
        <v>0</v>
      </c>
    </row>
    <row r="580" spans="2:4" x14ac:dyDescent="0.2">
      <c r="B580" s="116" t="s">
        <v>1138</v>
      </c>
      <c r="C580" s="117" t="s">
        <v>1139</v>
      </c>
      <c r="D580" s="118">
        <v>2.86</v>
      </c>
    </row>
    <row r="581" spans="2:4" x14ac:dyDescent="0.2">
      <c r="B581" s="116" t="s">
        <v>1140</v>
      </c>
      <c r="C581" s="117" t="s">
        <v>1141</v>
      </c>
      <c r="D581" s="118">
        <v>4.4800000000000004</v>
      </c>
    </row>
    <row r="582" spans="2:4" x14ac:dyDescent="0.2">
      <c r="B582" s="116" t="s">
        <v>3780</v>
      </c>
      <c r="C582" s="117" t="s">
        <v>3781</v>
      </c>
      <c r="D582" s="118">
        <v>4.17</v>
      </c>
    </row>
    <row r="583" spans="2:4" x14ac:dyDescent="0.2">
      <c r="B583" s="116" t="s">
        <v>1142</v>
      </c>
      <c r="C583" s="117" t="s">
        <v>1143</v>
      </c>
      <c r="D583" s="118">
        <v>3.97</v>
      </c>
    </row>
    <row r="584" spans="2:4" x14ac:dyDescent="0.2">
      <c r="B584" s="116" t="s">
        <v>1144</v>
      </c>
      <c r="C584" s="117" t="s">
        <v>1145</v>
      </c>
      <c r="D584" s="118">
        <v>0</v>
      </c>
    </row>
    <row r="585" spans="2:4" x14ac:dyDescent="0.2">
      <c r="B585" s="116" t="s">
        <v>1146</v>
      </c>
      <c r="C585" s="117" t="s">
        <v>1147</v>
      </c>
      <c r="D585" s="118">
        <v>0.4</v>
      </c>
    </row>
    <row r="586" spans="2:4" x14ac:dyDescent="0.2">
      <c r="B586" s="116" t="s">
        <v>1148</v>
      </c>
      <c r="C586" s="117" t="s">
        <v>1149</v>
      </c>
      <c r="D586" s="118">
        <v>1.38</v>
      </c>
    </row>
    <row r="587" spans="2:4" x14ac:dyDescent="0.2">
      <c r="B587" s="116" t="s">
        <v>3782</v>
      </c>
      <c r="C587" s="117" t="s">
        <v>3783</v>
      </c>
      <c r="D587" s="118">
        <v>3.3</v>
      </c>
    </row>
    <row r="588" spans="2:4" x14ac:dyDescent="0.2">
      <c r="B588" s="116" t="s">
        <v>3784</v>
      </c>
      <c r="C588" s="117" t="s">
        <v>3785</v>
      </c>
      <c r="D588" s="118">
        <v>0</v>
      </c>
    </row>
    <row r="589" spans="2:4" x14ac:dyDescent="0.2">
      <c r="B589" s="116" t="s">
        <v>1150</v>
      </c>
      <c r="C589" s="117" t="s">
        <v>1151</v>
      </c>
      <c r="D589" s="118">
        <v>0</v>
      </c>
    </row>
    <row r="590" spans="2:4" x14ac:dyDescent="0.2">
      <c r="B590" s="116" t="s">
        <v>1152</v>
      </c>
      <c r="C590" s="117" t="s">
        <v>1153</v>
      </c>
      <c r="D590" s="118">
        <v>2.64</v>
      </c>
    </row>
    <row r="591" spans="2:4" x14ac:dyDescent="0.2">
      <c r="B591" s="116" t="s">
        <v>1154</v>
      </c>
      <c r="C591" s="117" t="s">
        <v>1155</v>
      </c>
      <c r="D591" s="118">
        <v>0</v>
      </c>
    </row>
    <row r="592" spans="2:4" x14ac:dyDescent="0.2">
      <c r="B592" s="116" t="s">
        <v>1156</v>
      </c>
      <c r="C592" s="117" t="s">
        <v>1157</v>
      </c>
      <c r="D592" s="118">
        <v>4.1399999999999997</v>
      </c>
    </row>
    <row r="593" spans="2:4" x14ac:dyDescent="0.2">
      <c r="B593" s="116" t="s">
        <v>1158</v>
      </c>
      <c r="C593" s="117" t="s">
        <v>1159</v>
      </c>
      <c r="D593" s="118">
        <v>0</v>
      </c>
    </row>
    <row r="594" spans="2:4" x14ac:dyDescent="0.2">
      <c r="B594" s="116" t="s">
        <v>3786</v>
      </c>
      <c r="C594" s="117" t="s">
        <v>3787</v>
      </c>
      <c r="D594" s="118">
        <v>1.06</v>
      </c>
    </row>
    <row r="595" spans="2:4" x14ac:dyDescent="0.2">
      <c r="B595" s="116" t="s">
        <v>1160</v>
      </c>
      <c r="C595" s="117" t="s">
        <v>1161</v>
      </c>
      <c r="D595" s="118">
        <v>2.56</v>
      </c>
    </row>
    <row r="596" spans="2:4" x14ac:dyDescent="0.2">
      <c r="B596" s="116" t="s">
        <v>1163</v>
      </c>
      <c r="C596" s="117" t="s">
        <v>1164</v>
      </c>
      <c r="D596" s="118">
        <v>1.39</v>
      </c>
    </row>
    <row r="597" spans="2:4" x14ac:dyDescent="0.2">
      <c r="B597" s="116" t="s">
        <v>1165</v>
      </c>
      <c r="C597" s="117" t="s">
        <v>1166</v>
      </c>
      <c r="D597" s="118">
        <v>4.3</v>
      </c>
    </row>
    <row r="598" spans="2:4" x14ac:dyDescent="0.2">
      <c r="B598" s="116" t="s">
        <v>3788</v>
      </c>
      <c r="C598" s="117" t="s">
        <v>3789</v>
      </c>
      <c r="D598" s="118">
        <v>1.94</v>
      </c>
    </row>
    <row r="599" spans="2:4" x14ac:dyDescent="0.2">
      <c r="B599" s="116" t="s">
        <v>3790</v>
      </c>
      <c r="C599" s="117" t="s">
        <v>3791</v>
      </c>
      <c r="D599" s="118">
        <v>3.26</v>
      </c>
    </row>
    <row r="600" spans="2:4" x14ac:dyDescent="0.2">
      <c r="B600" s="116" t="s">
        <v>1167</v>
      </c>
      <c r="C600" s="117" t="s">
        <v>1168</v>
      </c>
      <c r="D600" s="118">
        <v>5.49</v>
      </c>
    </row>
    <row r="601" spans="2:4" x14ac:dyDescent="0.2">
      <c r="B601" s="116" t="s">
        <v>1169</v>
      </c>
      <c r="C601" s="117" t="s">
        <v>1170</v>
      </c>
      <c r="D601" s="118">
        <v>1.53</v>
      </c>
    </row>
    <row r="602" spans="2:4" x14ac:dyDescent="0.2">
      <c r="B602" s="116" t="s">
        <v>1171</v>
      </c>
      <c r="C602" s="117" t="s">
        <v>1172</v>
      </c>
      <c r="D602" s="118">
        <v>2.06</v>
      </c>
    </row>
    <row r="603" spans="2:4" x14ac:dyDescent="0.2">
      <c r="B603" s="116" t="s">
        <v>1173</v>
      </c>
      <c r="C603" s="117" t="s">
        <v>1174</v>
      </c>
      <c r="D603" s="118">
        <v>0.94</v>
      </c>
    </row>
    <row r="604" spans="2:4" x14ac:dyDescent="0.2">
      <c r="B604" s="116" t="s">
        <v>1175</v>
      </c>
      <c r="C604" s="117" t="s">
        <v>1176</v>
      </c>
      <c r="D604" s="118">
        <v>3.2</v>
      </c>
    </row>
    <row r="605" spans="2:4" x14ac:dyDescent="0.2">
      <c r="B605" s="116" t="s">
        <v>3792</v>
      </c>
      <c r="C605" s="117" t="s">
        <v>3793</v>
      </c>
      <c r="D605" s="118">
        <v>1.19</v>
      </c>
    </row>
    <row r="606" spans="2:4" x14ac:dyDescent="0.2">
      <c r="B606" s="116" t="s">
        <v>3794</v>
      </c>
      <c r="C606" s="117" t="s">
        <v>3795</v>
      </c>
      <c r="D606" s="118">
        <v>3.54</v>
      </c>
    </row>
    <row r="607" spans="2:4" x14ac:dyDescent="0.2">
      <c r="B607" s="116" t="s">
        <v>1177</v>
      </c>
      <c r="C607" s="117" t="s">
        <v>1178</v>
      </c>
      <c r="D607" s="118">
        <v>0</v>
      </c>
    </row>
    <row r="608" spans="2:4" x14ac:dyDescent="0.2">
      <c r="B608" s="116" t="s">
        <v>1179</v>
      </c>
      <c r="C608" s="117" t="s">
        <v>1180</v>
      </c>
      <c r="D608" s="118">
        <v>0</v>
      </c>
    </row>
    <row r="609" spans="2:4" x14ac:dyDescent="0.2">
      <c r="B609" s="116" t="s">
        <v>3796</v>
      </c>
      <c r="C609" s="117" t="s">
        <v>3797</v>
      </c>
      <c r="D609" s="118">
        <v>2.15</v>
      </c>
    </row>
    <row r="610" spans="2:4" x14ac:dyDescent="0.2">
      <c r="B610" s="116" t="s">
        <v>3798</v>
      </c>
      <c r="C610" s="117" t="s">
        <v>3799</v>
      </c>
      <c r="D610" s="118">
        <v>3.07</v>
      </c>
    </row>
    <row r="611" spans="2:4" x14ac:dyDescent="0.2">
      <c r="B611" s="116" t="s">
        <v>1181</v>
      </c>
      <c r="C611" s="117" t="s">
        <v>1182</v>
      </c>
      <c r="D611" s="118">
        <v>1.1100000000000001</v>
      </c>
    </row>
    <row r="612" spans="2:4" x14ac:dyDescent="0.2">
      <c r="B612" s="116" t="s">
        <v>3800</v>
      </c>
      <c r="C612" s="117" t="s">
        <v>3801</v>
      </c>
      <c r="D612" s="118">
        <v>2.79</v>
      </c>
    </row>
    <row r="613" spans="2:4" x14ac:dyDescent="0.2">
      <c r="B613" s="116" t="s">
        <v>1183</v>
      </c>
      <c r="C613" s="117" t="s">
        <v>1184</v>
      </c>
      <c r="D613" s="118">
        <v>2.27</v>
      </c>
    </row>
    <row r="614" spans="2:4" x14ac:dyDescent="0.2">
      <c r="B614" s="116" t="s">
        <v>1185</v>
      </c>
      <c r="C614" s="117" t="s">
        <v>1186</v>
      </c>
      <c r="D614" s="118">
        <v>1.68</v>
      </c>
    </row>
    <row r="615" spans="2:4" x14ac:dyDescent="0.2">
      <c r="B615" s="116" t="s">
        <v>1187</v>
      </c>
      <c r="C615" s="117" t="s">
        <v>1188</v>
      </c>
      <c r="D615" s="118">
        <v>3.37</v>
      </c>
    </row>
    <row r="616" spans="2:4" x14ac:dyDescent="0.2">
      <c r="B616" s="116" t="s">
        <v>1189</v>
      </c>
      <c r="C616" s="117" t="s">
        <v>1190</v>
      </c>
      <c r="D616" s="118">
        <v>0</v>
      </c>
    </row>
    <row r="617" spans="2:4" x14ac:dyDescent="0.2">
      <c r="B617" s="116" t="s">
        <v>1191</v>
      </c>
      <c r="C617" s="117" t="s">
        <v>1192</v>
      </c>
      <c r="D617" s="118">
        <v>0.94</v>
      </c>
    </row>
    <row r="618" spans="2:4" x14ac:dyDescent="0.2">
      <c r="B618" s="116" t="s">
        <v>1193</v>
      </c>
      <c r="C618" s="117" t="s">
        <v>1194</v>
      </c>
      <c r="D618" s="118">
        <v>0.9</v>
      </c>
    </row>
    <row r="619" spans="2:4" x14ac:dyDescent="0.2">
      <c r="B619" s="116" t="s">
        <v>1195</v>
      </c>
      <c r="C619" s="117" t="s">
        <v>1196</v>
      </c>
      <c r="D619" s="118">
        <v>0</v>
      </c>
    </row>
    <row r="620" spans="2:4" x14ac:dyDescent="0.2">
      <c r="B620" s="116" t="s">
        <v>3802</v>
      </c>
      <c r="C620" s="117" t="s">
        <v>3803</v>
      </c>
      <c r="D620" s="118">
        <v>0.8</v>
      </c>
    </row>
    <row r="621" spans="2:4" x14ac:dyDescent="0.2">
      <c r="B621" s="116" t="s">
        <v>3804</v>
      </c>
      <c r="C621" s="117" t="s">
        <v>3805</v>
      </c>
      <c r="D621" s="118">
        <v>0.67</v>
      </c>
    </row>
    <row r="622" spans="2:4" x14ac:dyDescent="0.2">
      <c r="B622" s="116" t="s">
        <v>1197</v>
      </c>
      <c r="C622" s="117" t="s">
        <v>1198</v>
      </c>
      <c r="D622" s="118">
        <v>1.83</v>
      </c>
    </row>
    <row r="623" spans="2:4" x14ac:dyDescent="0.2">
      <c r="B623" s="116" t="s">
        <v>1199</v>
      </c>
      <c r="C623" s="117" t="s">
        <v>1200</v>
      </c>
      <c r="D623" s="118">
        <v>1.52</v>
      </c>
    </row>
    <row r="624" spans="2:4" x14ac:dyDescent="0.2">
      <c r="B624" s="116" t="s">
        <v>3806</v>
      </c>
      <c r="C624" s="117" t="s">
        <v>3807</v>
      </c>
      <c r="D624" s="118">
        <v>5.39</v>
      </c>
    </row>
    <row r="625" spans="2:4" x14ac:dyDescent="0.2">
      <c r="B625" s="116" t="s">
        <v>1202</v>
      </c>
      <c r="C625" s="117" t="s">
        <v>1203</v>
      </c>
      <c r="D625" s="118">
        <v>0.37</v>
      </c>
    </row>
    <row r="626" spans="2:4" x14ac:dyDescent="0.2">
      <c r="B626" s="116" t="s">
        <v>1204</v>
      </c>
      <c r="C626" s="117" t="s">
        <v>1205</v>
      </c>
      <c r="D626" s="118">
        <v>3.43</v>
      </c>
    </row>
    <row r="627" spans="2:4" x14ac:dyDescent="0.2">
      <c r="B627" s="116" t="s">
        <v>1206</v>
      </c>
      <c r="C627" s="117" t="s">
        <v>1207</v>
      </c>
      <c r="D627" s="118">
        <v>3.02</v>
      </c>
    </row>
    <row r="628" spans="2:4" x14ac:dyDescent="0.2">
      <c r="B628" s="116" t="s">
        <v>1208</v>
      </c>
      <c r="C628" s="117" t="s">
        <v>1209</v>
      </c>
      <c r="D628" s="118">
        <v>6.27</v>
      </c>
    </row>
    <row r="629" spans="2:4" x14ac:dyDescent="0.2">
      <c r="B629" s="116" t="s">
        <v>1210</v>
      </c>
      <c r="C629" s="117" t="s">
        <v>1211</v>
      </c>
      <c r="D629" s="118">
        <v>10.37</v>
      </c>
    </row>
    <row r="630" spans="2:4" x14ac:dyDescent="0.2">
      <c r="B630" s="116" t="s">
        <v>3808</v>
      </c>
      <c r="C630" s="117" t="s">
        <v>3809</v>
      </c>
      <c r="D630" s="118">
        <v>6.46</v>
      </c>
    </row>
    <row r="631" spans="2:4" x14ac:dyDescent="0.2">
      <c r="B631" s="116" t="s">
        <v>3810</v>
      </c>
      <c r="C631" s="117" t="s">
        <v>3811</v>
      </c>
      <c r="D631" s="118">
        <v>8.25</v>
      </c>
    </row>
    <row r="632" spans="2:4" x14ac:dyDescent="0.2">
      <c r="B632" s="116" t="s">
        <v>1212</v>
      </c>
      <c r="C632" s="117" t="s">
        <v>1213</v>
      </c>
      <c r="D632" s="118">
        <v>6.77</v>
      </c>
    </row>
    <row r="633" spans="2:4" x14ac:dyDescent="0.2">
      <c r="B633" s="116" t="s">
        <v>3812</v>
      </c>
      <c r="C633" s="117" t="s">
        <v>3813</v>
      </c>
      <c r="D633" s="118">
        <v>6.6</v>
      </c>
    </row>
    <row r="634" spans="2:4" x14ac:dyDescent="0.2">
      <c r="B634" s="116" t="s">
        <v>3814</v>
      </c>
      <c r="C634" s="117" t="s">
        <v>3815</v>
      </c>
      <c r="D634" s="118">
        <v>2.41</v>
      </c>
    </row>
    <row r="635" spans="2:4" x14ac:dyDescent="0.2">
      <c r="B635" s="116" t="s">
        <v>1214</v>
      </c>
      <c r="C635" s="117" t="s">
        <v>1215</v>
      </c>
      <c r="D635" s="118">
        <v>13.43</v>
      </c>
    </row>
    <row r="636" spans="2:4" x14ac:dyDescent="0.2">
      <c r="B636" s="116" t="s">
        <v>1217</v>
      </c>
      <c r="C636" s="117" t="s">
        <v>1218</v>
      </c>
      <c r="D636" s="118">
        <v>0</v>
      </c>
    </row>
    <row r="637" spans="2:4" x14ac:dyDescent="0.2">
      <c r="B637" s="116" t="s">
        <v>1220</v>
      </c>
      <c r="C637" s="117" t="s">
        <v>1221</v>
      </c>
      <c r="D637" s="118">
        <v>0.67</v>
      </c>
    </row>
    <row r="638" spans="2:4" x14ac:dyDescent="0.2">
      <c r="B638" s="116" t="s">
        <v>3816</v>
      </c>
      <c r="C638" s="117" t="s">
        <v>3817</v>
      </c>
      <c r="D638" s="118">
        <v>0</v>
      </c>
    </row>
    <row r="639" spans="2:4" x14ac:dyDescent="0.2">
      <c r="B639" s="116" t="s">
        <v>1223</v>
      </c>
      <c r="C639" s="117" t="s">
        <v>1224</v>
      </c>
      <c r="D639" s="118">
        <v>0</v>
      </c>
    </row>
    <row r="640" spans="2:4" x14ac:dyDescent="0.2">
      <c r="B640" s="116" t="s">
        <v>3818</v>
      </c>
      <c r="C640" s="117" t="s">
        <v>3819</v>
      </c>
      <c r="D640" s="118">
        <v>4.9000000000000004</v>
      </c>
    </row>
    <row r="641" spans="2:4" x14ac:dyDescent="0.2">
      <c r="B641" s="116" t="s">
        <v>1225</v>
      </c>
      <c r="C641" s="117" t="s">
        <v>1226</v>
      </c>
      <c r="D641" s="118">
        <v>1.42</v>
      </c>
    </row>
    <row r="642" spans="2:4" x14ac:dyDescent="0.2">
      <c r="B642" s="116" t="s">
        <v>1227</v>
      </c>
      <c r="C642" s="117" t="s">
        <v>1228</v>
      </c>
      <c r="D642" s="118">
        <v>3.57</v>
      </c>
    </row>
    <row r="643" spans="2:4" x14ac:dyDescent="0.2">
      <c r="B643" s="116" t="s">
        <v>1229</v>
      </c>
      <c r="C643" s="117" t="s">
        <v>1230</v>
      </c>
      <c r="D643" s="118">
        <v>0</v>
      </c>
    </row>
    <row r="644" spans="2:4" x14ac:dyDescent="0.2">
      <c r="B644" s="116" t="s">
        <v>1231</v>
      </c>
      <c r="C644" s="117" t="s">
        <v>1232</v>
      </c>
      <c r="D644" s="118">
        <v>6.04</v>
      </c>
    </row>
    <row r="645" spans="2:4" x14ac:dyDescent="0.2">
      <c r="B645" s="116" t="s">
        <v>1233</v>
      </c>
      <c r="C645" s="117" t="s">
        <v>1234</v>
      </c>
      <c r="D645" s="118">
        <v>5.86</v>
      </c>
    </row>
    <row r="646" spans="2:4" x14ac:dyDescent="0.2">
      <c r="B646" s="116" t="s">
        <v>1235</v>
      </c>
      <c r="C646" s="117" t="s">
        <v>1236</v>
      </c>
      <c r="D646" s="118">
        <v>0</v>
      </c>
    </row>
    <row r="647" spans="2:4" x14ac:dyDescent="0.2">
      <c r="B647" s="116" t="s">
        <v>1237</v>
      </c>
      <c r="C647" s="117" t="s">
        <v>1238</v>
      </c>
      <c r="D647" s="118">
        <v>2.65</v>
      </c>
    </row>
    <row r="648" spans="2:4" x14ac:dyDescent="0.2">
      <c r="B648" s="116" t="s">
        <v>1239</v>
      </c>
      <c r="C648" s="117" t="s">
        <v>1240</v>
      </c>
      <c r="D648" s="118">
        <v>1.74</v>
      </c>
    </row>
    <row r="649" spans="2:4" x14ac:dyDescent="0.2">
      <c r="B649" s="116" t="s">
        <v>1241</v>
      </c>
      <c r="C649" s="117" t="s">
        <v>1242</v>
      </c>
      <c r="D649" s="118">
        <v>14.28</v>
      </c>
    </row>
    <row r="650" spans="2:4" x14ac:dyDescent="0.2">
      <c r="B650" s="116" t="s">
        <v>1243</v>
      </c>
      <c r="C650" s="117" t="s">
        <v>1244</v>
      </c>
      <c r="D650" s="118">
        <v>3.83</v>
      </c>
    </row>
    <row r="651" spans="2:4" x14ac:dyDescent="0.2">
      <c r="B651" s="116" t="s">
        <v>1245</v>
      </c>
      <c r="C651" s="117" t="s">
        <v>1246</v>
      </c>
      <c r="D651" s="118">
        <v>2.67</v>
      </c>
    </row>
    <row r="652" spans="2:4" x14ac:dyDescent="0.2">
      <c r="B652" s="116" t="s">
        <v>3820</v>
      </c>
      <c r="C652" s="117" t="s">
        <v>3821</v>
      </c>
      <c r="D652" s="118">
        <v>0</v>
      </c>
    </row>
    <row r="653" spans="2:4" x14ac:dyDescent="0.2">
      <c r="B653" s="116" t="s">
        <v>1249</v>
      </c>
      <c r="C653" s="117" t="s">
        <v>1250</v>
      </c>
      <c r="D653" s="118">
        <v>0</v>
      </c>
    </row>
    <row r="654" spans="2:4" x14ac:dyDescent="0.2">
      <c r="B654" s="116" t="s">
        <v>1251</v>
      </c>
      <c r="C654" s="117" t="s">
        <v>1252</v>
      </c>
      <c r="D654" s="118">
        <v>0.79</v>
      </c>
    </row>
    <row r="655" spans="2:4" x14ac:dyDescent="0.2">
      <c r="B655" s="116" t="s">
        <v>3822</v>
      </c>
      <c r="C655" s="117" t="s">
        <v>3823</v>
      </c>
      <c r="D655" s="118">
        <v>1.89</v>
      </c>
    </row>
    <row r="656" spans="2:4" x14ac:dyDescent="0.2">
      <c r="B656" s="116" t="s">
        <v>1254</v>
      </c>
      <c r="C656" s="117" t="s">
        <v>1255</v>
      </c>
      <c r="D656" s="118">
        <v>0.11</v>
      </c>
    </row>
    <row r="657" spans="2:4" x14ac:dyDescent="0.2">
      <c r="B657" s="116" t="s">
        <v>1256</v>
      </c>
      <c r="C657" s="117" t="s">
        <v>1257</v>
      </c>
      <c r="D657" s="118">
        <v>2.57</v>
      </c>
    </row>
    <row r="658" spans="2:4" x14ac:dyDescent="0.2">
      <c r="B658" s="116" t="s">
        <v>1258</v>
      </c>
      <c r="C658" s="117" t="s">
        <v>1259</v>
      </c>
      <c r="D658" s="118">
        <v>2.42</v>
      </c>
    </row>
    <row r="659" spans="2:4" x14ac:dyDescent="0.2">
      <c r="B659" s="116" t="s">
        <v>3824</v>
      </c>
      <c r="C659" s="117" t="s">
        <v>3825</v>
      </c>
      <c r="D659" s="118">
        <v>0</v>
      </c>
    </row>
    <row r="660" spans="2:4" x14ac:dyDescent="0.2">
      <c r="B660" s="116" t="s">
        <v>3826</v>
      </c>
      <c r="C660" s="117" t="s">
        <v>3827</v>
      </c>
      <c r="D660" s="118">
        <v>1.25</v>
      </c>
    </row>
    <row r="661" spans="2:4" x14ac:dyDescent="0.2">
      <c r="B661" s="116" t="s">
        <v>3828</v>
      </c>
      <c r="C661" s="117" t="s">
        <v>3829</v>
      </c>
      <c r="D661" s="118">
        <v>0</v>
      </c>
    </row>
    <row r="662" spans="2:4" x14ac:dyDescent="0.2">
      <c r="B662" s="116" t="s">
        <v>1260</v>
      </c>
      <c r="C662" s="117" t="s">
        <v>1261</v>
      </c>
      <c r="D662" s="118">
        <v>1.17</v>
      </c>
    </row>
    <row r="663" spans="2:4" x14ac:dyDescent="0.2">
      <c r="B663" s="116" t="s">
        <v>1263</v>
      </c>
      <c r="C663" s="117" t="s">
        <v>1264</v>
      </c>
      <c r="D663" s="118">
        <v>2.42</v>
      </c>
    </row>
    <row r="664" spans="2:4" x14ac:dyDescent="0.2">
      <c r="B664" s="116" t="s">
        <v>1265</v>
      </c>
      <c r="C664" s="117" t="s">
        <v>1266</v>
      </c>
      <c r="D664" s="118">
        <v>0</v>
      </c>
    </row>
    <row r="665" spans="2:4" x14ac:dyDescent="0.2">
      <c r="B665" s="116" t="s">
        <v>1267</v>
      </c>
      <c r="C665" s="117" t="s">
        <v>1268</v>
      </c>
      <c r="D665" s="118">
        <v>8.89</v>
      </c>
    </row>
    <row r="666" spans="2:4" x14ac:dyDescent="0.2">
      <c r="B666" s="116" t="s">
        <v>1269</v>
      </c>
      <c r="C666" s="117" t="s">
        <v>1270</v>
      </c>
      <c r="D666" s="118">
        <v>1.25</v>
      </c>
    </row>
    <row r="667" spans="2:4" x14ac:dyDescent="0.2">
      <c r="B667" s="116" t="s">
        <v>1271</v>
      </c>
      <c r="C667" s="117" t="s">
        <v>1272</v>
      </c>
      <c r="D667" s="118">
        <v>3.4</v>
      </c>
    </row>
    <row r="668" spans="2:4" x14ac:dyDescent="0.2">
      <c r="B668" s="116" t="s">
        <v>1273</v>
      </c>
      <c r="C668" s="117" t="s">
        <v>1274</v>
      </c>
      <c r="D668" s="118">
        <v>3.16</v>
      </c>
    </row>
    <row r="669" spans="2:4" x14ac:dyDescent="0.2">
      <c r="B669" s="116" t="s">
        <v>1275</v>
      </c>
      <c r="C669" s="117" t="s">
        <v>1276</v>
      </c>
      <c r="D669" s="118">
        <v>13.2</v>
      </c>
    </row>
    <row r="670" spans="2:4" x14ac:dyDescent="0.2">
      <c r="B670" s="116" t="s">
        <v>1277</v>
      </c>
      <c r="C670" s="117" t="s">
        <v>1278</v>
      </c>
      <c r="D670" s="118">
        <v>0</v>
      </c>
    </row>
    <row r="671" spans="2:4" x14ac:dyDescent="0.2">
      <c r="B671" s="116" t="s">
        <v>1279</v>
      </c>
      <c r="C671" s="117" t="s">
        <v>1280</v>
      </c>
      <c r="D671" s="118">
        <v>0</v>
      </c>
    </row>
    <row r="672" spans="2:4" x14ac:dyDescent="0.2">
      <c r="B672" s="116" t="s">
        <v>1282</v>
      </c>
      <c r="C672" s="117" t="s">
        <v>1283</v>
      </c>
      <c r="D672" s="118">
        <v>3.11</v>
      </c>
    </row>
    <row r="673" spans="2:4" x14ac:dyDescent="0.2">
      <c r="B673" s="116" t="s">
        <v>1284</v>
      </c>
      <c r="C673" s="117" t="s">
        <v>1285</v>
      </c>
      <c r="D673" s="118">
        <v>2.74</v>
      </c>
    </row>
    <row r="674" spans="2:4" x14ac:dyDescent="0.2">
      <c r="B674" s="116" t="s">
        <v>1286</v>
      </c>
      <c r="C674" s="117" t="s">
        <v>1287</v>
      </c>
      <c r="D674" s="118">
        <v>2.88</v>
      </c>
    </row>
    <row r="675" spans="2:4" x14ac:dyDescent="0.2">
      <c r="B675" s="116" t="s">
        <v>3830</v>
      </c>
      <c r="C675" s="117" t="s">
        <v>3831</v>
      </c>
      <c r="D675" s="118">
        <v>0</v>
      </c>
    </row>
    <row r="676" spans="2:4" x14ac:dyDescent="0.2">
      <c r="B676" s="116" t="s">
        <v>1288</v>
      </c>
      <c r="C676" s="117" t="s">
        <v>1289</v>
      </c>
      <c r="D676" s="118">
        <v>0</v>
      </c>
    </row>
    <row r="677" spans="2:4" x14ac:dyDescent="0.2">
      <c r="B677" s="116" t="s">
        <v>1290</v>
      </c>
      <c r="C677" s="117" t="s">
        <v>1291</v>
      </c>
      <c r="D677" s="118">
        <v>0</v>
      </c>
    </row>
    <row r="678" spans="2:4" x14ac:dyDescent="0.2">
      <c r="B678" s="116" t="s">
        <v>1292</v>
      </c>
      <c r="C678" s="117" t="s">
        <v>1293</v>
      </c>
      <c r="D678" s="118">
        <v>2.4300000000000002</v>
      </c>
    </row>
    <row r="679" spans="2:4" x14ac:dyDescent="0.2">
      <c r="B679" s="116" t="s">
        <v>3832</v>
      </c>
      <c r="C679" s="117" t="s">
        <v>3833</v>
      </c>
      <c r="D679" s="118">
        <v>1.57</v>
      </c>
    </row>
    <row r="680" spans="2:4" x14ac:dyDescent="0.2">
      <c r="B680" s="116" t="s">
        <v>3834</v>
      </c>
      <c r="C680" s="117" t="s">
        <v>3835</v>
      </c>
      <c r="D680" s="118">
        <v>1.38</v>
      </c>
    </row>
    <row r="681" spans="2:4" x14ac:dyDescent="0.2">
      <c r="B681" s="116" t="s">
        <v>3836</v>
      </c>
      <c r="C681" s="117" t="s">
        <v>3837</v>
      </c>
      <c r="D681" s="118">
        <v>2.62</v>
      </c>
    </row>
    <row r="682" spans="2:4" x14ac:dyDescent="0.2">
      <c r="B682" s="116" t="s">
        <v>1294</v>
      </c>
      <c r="C682" s="117" t="s">
        <v>1295</v>
      </c>
      <c r="D682" s="118">
        <v>0</v>
      </c>
    </row>
    <row r="683" spans="2:4" x14ac:dyDescent="0.2">
      <c r="B683" s="116" t="s">
        <v>1296</v>
      </c>
      <c r="C683" s="117" t="s">
        <v>1297</v>
      </c>
      <c r="D683" s="118">
        <v>2.99</v>
      </c>
    </row>
    <row r="684" spans="2:4" x14ac:dyDescent="0.2">
      <c r="B684" s="116" t="s">
        <v>1298</v>
      </c>
      <c r="C684" s="117" t="s">
        <v>1299</v>
      </c>
      <c r="D684" s="118">
        <v>0</v>
      </c>
    </row>
    <row r="685" spans="2:4" x14ac:dyDescent="0.2">
      <c r="B685" s="116" t="s">
        <v>1300</v>
      </c>
      <c r="C685" s="117" t="s">
        <v>1301</v>
      </c>
      <c r="D685" s="118">
        <v>0.44</v>
      </c>
    </row>
    <row r="686" spans="2:4" x14ac:dyDescent="0.2">
      <c r="B686" s="116" t="s">
        <v>1302</v>
      </c>
      <c r="C686" s="117" t="s">
        <v>1303</v>
      </c>
      <c r="D686" s="118">
        <v>1.35</v>
      </c>
    </row>
    <row r="687" spans="2:4" x14ac:dyDescent="0.2">
      <c r="B687" s="116" t="s">
        <v>1304</v>
      </c>
      <c r="C687" s="117" t="s">
        <v>1305</v>
      </c>
      <c r="D687" s="118">
        <v>1.01</v>
      </c>
    </row>
    <row r="688" spans="2:4" x14ac:dyDescent="0.2">
      <c r="B688" s="116" t="s">
        <v>1306</v>
      </c>
      <c r="C688" s="117" t="s">
        <v>1307</v>
      </c>
      <c r="D688" s="118">
        <v>1.92</v>
      </c>
    </row>
    <row r="689" spans="2:4" x14ac:dyDescent="0.2">
      <c r="B689" s="116" t="s">
        <v>1308</v>
      </c>
      <c r="C689" s="117" t="s">
        <v>1309</v>
      </c>
      <c r="D689" s="118">
        <v>0.9</v>
      </c>
    </row>
    <row r="690" spans="2:4" x14ac:dyDescent="0.2">
      <c r="B690" s="116" t="s">
        <v>1310</v>
      </c>
      <c r="C690" s="117" t="s">
        <v>1311</v>
      </c>
      <c r="D690" s="118">
        <v>3.1</v>
      </c>
    </row>
    <row r="691" spans="2:4" x14ac:dyDescent="0.2">
      <c r="B691" s="116" t="s">
        <v>3838</v>
      </c>
      <c r="C691" s="117" t="s">
        <v>3839</v>
      </c>
      <c r="D691" s="118">
        <v>6.37</v>
      </c>
    </row>
    <row r="692" spans="2:4" x14ac:dyDescent="0.2">
      <c r="B692" s="116" t="s">
        <v>3840</v>
      </c>
      <c r="C692" s="117" t="s">
        <v>3841</v>
      </c>
      <c r="D692" s="118">
        <v>3.1</v>
      </c>
    </row>
    <row r="693" spans="2:4" x14ac:dyDescent="0.2">
      <c r="B693" s="116" t="s">
        <v>1312</v>
      </c>
      <c r="C693" s="117" t="s">
        <v>1313</v>
      </c>
      <c r="D693" s="118">
        <v>6.54</v>
      </c>
    </row>
    <row r="694" spans="2:4" x14ac:dyDescent="0.2">
      <c r="B694" s="116" t="s">
        <v>1315</v>
      </c>
      <c r="C694" s="117" t="s">
        <v>1316</v>
      </c>
      <c r="D694" s="118">
        <v>2.86</v>
      </c>
    </row>
    <row r="695" spans="2:4" x14ac:dyDescent="0.2">
      <c r="B695" s="116" t="s">
        <v>1317</v>
      </c>
      <c r="C695" s="117" t="s">
        <v>1318</v>
      </c>
      <c r="D695" s="118">
        <v>0.77</v>
      </c>
    </row>
    <row r="696" spans="2:4" x14ac:dyDescent="0.2">
      <c r="B696" s="116" t="s">
        <v>1319</v>
      </c>
      <c r="C696" s="117" t="s">
        <v>1320</v>
      </c>
      <c r="D696" s="118">
        <v>3.22</v>
      </c>
    </row>
    <row r="697" spans="2:4" x14ac:dyDescent="0.2">
      <c r="B697" s="116" t="s">
        <v>1322</v>
      </c>
      <c r="C697" s="117" t="s">
        <v>1323</v>
      </c>
      <c r="D697" s="118">
        <v>2.76</v>
      </c>
    </row>
    <row r="698" spans="2:4" x14ac:dyDescent="0.2">
      <c r="B698" s="116" t="s">
        <v>1325</v>
      </c>
      <c r="C698" s="117" t="s">
        <v>1326</v>
      </c>
      <c r="D698" s="118">
        <v>0</v>
      </c>
    </row>
    <row r="699" spans="2:4" x14ac:dyDescent="0.2">
      <c r="B699" s="116" t="s">
        <v>1327</v>
      </c>
      <c r="C699" s="117" t="s">
        <v>1328</v>
      </c>
      <c r="D699" s="118">
        <v>1.67</v>
      </c>
    </row>
    <row r="700" spans="2:4" x14ac:dyDescent="0.2">
      <c r="B700" s="116" t="s">
        <v>1329</v>
      </c>
      <c r="C700" s="117" t="s">
        <v>1330</v>
      </c>
      <c r="D700" s="118">
        <v>0</v>
      </c>
    </row>
    <row r="701" spans="2:4" x14ac:dyDescent="0.2">
      <c r="B701" s="116" t="s">
        <v>1331</v>
      </c>
      <c r="C701" s="117" t="s">
        <v>1332</v>
      </c>
      <c r="D701" s="118">
        <v>1.06</v>
      </c>
    </row>
    <row r="702" spans="2:4" x14ac:dyDescent="0.2">
      <c r="B702" s="116" t="s">
        <v>1333</v>
      </c>
      <c r="C702" s="117" t="s">
        <v>1334</v>
      </c>
      <c r="D702" s="118">
        <v>0</v>
      </c>
    </row>
    <row r="703" spans="2:4" x14ac:dyDescent="0.2">
      <c r="B703" s="116" t="s">
        <v>3842</v>
      </c>
      <c r="C703" s="117" t="s">
        <v>3843</v>
      </c>
      <c r="D703" s="118">
        <v>0.34</v>
      </c>
    </row>
    <row r="704" spans="2:4" x14ac:dyDescent="0.2">
      <c r="B704" s="116" t="s">
        <v>1335</v>
      </c>
      <c r="C704" s="117" t="s">
        <v>1336</v>
      </c>
      <c r="D704" s="118">
        <v>1.91</v>
      </c>
    </row>
    <row r="705" spans="2:4" x14ac:dyDescent="0.2">
      <c r="B705" s="116" t="s">
        <v>3844</v>
      </c>
      <c r="C705" s="117" t="s">
        <v>3845</v>
      </c>
      <c r="D705" s="118">
        <v>0</v>
      </c>
    </row>
    <row r="706" spans="2:4" x14ac:dyDescent="0.2">
      <c r="B706" s="116" t="s">
        <v>1337</v>
      </c>
      <c r="C706" s="117" t="s">
        <v>1338</v>
      </c>
      <c r="D706" s="118">
        <v>1.02</v>
      </c>
    </row>
    <row r="707" spans="2:4" x14ac:dyDescent="0.2">
      <c r="B707" s="116" t="s">
        <v>1339</v>
      </c>
      <c r="C707" s="117" t="s">
        <v>1340</v>
      </c>
      <c r="D707" s="118">
        <v>1.75</v>
      </c>
    </row>
    <row r="708" spans="2:4" x14ac:dyDescent="0.2">
      <c r="B708" s="116" t="s">
        <v>1342</v>
      </c>
      <c r="C708" s="117" t="s">
        <v>1343</v>
      </c>
      <c r="D708" s="118">
        <v>3.21</v>
      </c>
    </row>
    <row r="709" spans="2:4" x14ac:dyDescent="0.2">
      <c r="B709" s="116" t="s">
        <v>1344</v>
      </c>
      <c r="C709" s="117" t="s">
        <v>1345</v>
      </c>
      <c r="D709" s="118">
        <v>1.39</v>
      </c>
    </row>
    <row r="710" spans="2:4" x14ac:dyDescent="0.2">
      <c r="B710" s="116" t="s">
        <v>1346</v>
      </c>
      <c r="C710" s="117" t="s">
        <v>1347</v>
      </c>
      <c r="D710" s="118">
        <v>0</v>
      </c>
    </row>
    <row r="711" spans="2:4" x14ac:dyDescent="0.2">
      <c r="B711" s="116" t="s">
        <v>1348</v>
      </c>
      <c r="C711" s="117" t="s">
        <v>1349</v>
      </c>
      <c r="D711" s="118">
        <v>1.44</v>
      </c>
    </row>
    <row r="712" spans="2:4" x14ac:dyDescent="0.2">
      <c r="B712" s="116" t="s">
        <v>1350</v>
      </c>
      <c r="C712" s="117" t="s">
        <v>1351</v>
      </c>
      <c r="D712" s="118">
        <v>0</v>
      </c>
    </row>
    <row r="713" spans="2:4" x14ac:dyDescent="0.2">
      <c r="B713" s="116" t="s">
        <v>1352</v>
      </c>
      <c r="C713" s="117" t="s">
        <v>1353</v>
      </c>
      <c r="D713" s="118">
        <v>0</v>
      </c>
    </row>
    <row r="714" spans="2:4" x14ac:dyDescent="0.2">
      <c r="B714" s="116" t="s">
        <v>1354</v>
      </c>
      <c r="C714" s="117" t="s">
        <v>1355</v>
      </c>
      <c r="D714" s="118">
        <v>3.77</v>
      </c>
    </row>
    <row r="715" spans="2:4" x14ac:dyDescent="0.2">
      <c r="B715" s="116" t="s">
        <v>1356</v>
      </c>
      <c r="C715" s="117" t="s">
        <v>1357</v>
      </c>
      <c r="D715" s="118">
        <v>3.43</v>
      </c>
    </row>
    <row r="716" spans="2:4" x14ac:dyDescent="0.2">
      <c r="B716" s="116" t="s">
        <v>1358</v>
      </c>
      <c r="C716" s="117" t="s">
        <v>1359</v>
      </c>
      <c r="D716" s="118">
        <v>0</v>
      </c>
    </row>
    <row r="717" spans="2:4" x14ac:dyDescent="0.2">
      <c r="B717" s="116" t="s">
        <v>1360</v>
      </c>
      <c r="C717" s="117" t="s">
        <v>1361</v>
      </c>
      <c r="D717" s="118">
        <v>3.38</v>
      </c>
    </row>
    <row r="718" spans="2:4" x14ac:dyDescent="0.2">
      <c r="B718" s="116" t="s">
        <v>3846</v>
      </c>
      <c r="C718" s="117" t="s">
        <v>3847</v>
      </c>
      <c r="D718" s="118">
        <v>0.85</v>
      </c>
    </row>
    <row r="719" spans="2:4" x14ac:dyDescent="0.2">
      <c r="B719" s="116" t="s">
        <v>1362</v>
      </c>
      <c r="C719" s="117" t="s">
        <v>1363</v>
      </c>
      <c r="D719" s="118">
        <v>1.06</v>
      </c>
    </row>
    <row r="720" spans="2:4" x14ac:dyDescent="0.2">
      <c r="B720" s="116" t="s">
        <v>1364</v>
      </c>
      <c r="C720" s="117" t="s">
        <v>1365</v>
      </c>
      <c r="D720" s="118">
        <v>0</v>
      </c>
    </row>
    <row r="721" spans="2:4" x14ac:dyDescent="0.2">
      <c r="B721" s="116" t="s">
        <v>1366</v>
      </c>
      <c r="C721" s="117" t="s">
        <v>1367</v>
      </c>
      <c r="D721" s="118">
        <v>3.45</v>
      </c>
    </row>
    <row r="722" spans="2:4" x14ac:dyDescent="0.2">
      <c r="B722" s="116" t="s">
        <v>1368</v>
      </c>
      <c r="C722" s="117" t="s">
        <v>1369</v>
      </c>
      <c r="D722" s="118">
        <v>0</v>
      </c>
    </row>
    <row r="723" spans="2:4" x14ac:dyDescent="0.2">
      <c r="B723" s="116" t="s">
        <v>1370</v>
      </c>
      <c r="C723" s="117" t="s">
        <v>1371</v>
      </c>
      <c r="D723" s="118">
        <v>0</v>
      </c>
    </row>
    <row r="724" spans="2:4" x14ac:dyDescent="0.2">
      <c r="B724" s="116" t="s">
        <v>1372</v>
      </c>
      <c r="C724" s="117" t="s">
        <v>1373</v>
      </c>
      <c r="D724" s="118">
        <v>1.27</v>
      </c>
    </row>
    <row r="725" spans="2:4" x14ac:dyDescent="0.2">
      <c r="B725" s="116" t="s">
        <v>1374</v>
      </c>
      <c r="C725" s="117" t="s">
        <v>1375</v>
      </c>
      <c r="D725" s="118">
        <v>3.82</v>
      </c>
    </row>
    <row r="726" spans="2:4" x14ac:dyDescent="0.2">
      <c r="B726" s="116" t="s">
        <v>1376</v>
      </c>
      <c r="C726" s="117" t="s">
        <v>1377</v>
      </c>
      <c r="D726" s="118">
        <v>0</v>
      </c>
    </row>
    <row r="727" spans="2:4" x14ac:dyDescent="0.2">
      <c r="B727" s="116" t="s">
        <v>1378</v>
      </c>
      <c r="C727" s="117" t="s">
        <v>1379</v>
      </c>
      <c r="D727" s="118">
        <v>1.28</v>
      </c>
    </row>
    <row r="728" spans="2:4" x14ac:dyDescent="0.2">
      <c r="B728" s="116" t="s">
        <v>1381</v>
      </c>
      <c r="C728" s="117" t="s">
        <v>1382</v>
      </c>
      <c r="D728" s="118">
        <v>3.32</v>
      </c>
    </row>
    <row r="729" spans="2:4" x14ac:dyDescent="0.2">
      <c r="B729" s="116" t="s">
        <v>1383</v>
      </c>
      <c r="C729" s="117" t="s">
        <v>1384</v>
      </c>
      <c r="D729" s="118">
        <v>1.6</v>
      </c>
    </row>
    <row r="730" spans="2:4" x14ac:dyDescent="0.2">
      <c r="B730" s="116" t="s">
        <v>1385</v>
      </c>
      <c r="C730" s="117" t="s">
        <v>1386</v>
      </c>
      <c r="D730" s="118">
        <v>0</v>
      </c>
    </row>
    <row r="731" spans="2:4" x14ac:dyDescent="0.2">
      <c r="B731" s="116" t="s">
        <v>1387</v>
      </c>
      <c r="C731" s="117" t="s">
        <v>1388</v>
      </c>
      <c r="D731" s="118">
        <v>1.78</v>
      </c>
    </row>
    <row r="732" spans="2:4" x14ac:dyDescent="0.2">
      <c r="B732" s="116" t="s">
        <v>1389</v>
      </c>
      <c r="C732" s="117" t="s">
        <v>1390</v>
      </c>
      <c r="D732" s="118">
        <v>1.3</v>
      </c>
    </row>
    <row r="733" spans="2:4" x14ac:dyDescent="0.2">
      <c r="B733" s="116" t="s">
        <v>1391</v>
      </c>
      <c r="C733" s="117" t="s">
        <v>1392</v>
      </c>
      <c r="D733" s="118">
        <v>1.57</v>
      </c>
    </row>
    <row r="734" spans="2:4" x14ac:dyDescent="0.2">
      <c r="B734" s="116" t="s">
        <v>1393</v>
      </c>
      <c r="C734" s="117" t="s">
        <v>1394</v>
      </c>
      <c r="D734" s="118">
        <v>4.22</v>
      </c>
    </row>
    <row r="735" spans="2:4" x14ac:dyDescent="0.2">
      <c r="B735" s="116" t="s">
        <v>1395</v>
      </c>
      <c r="C735" s="117" t="s">
        <v>1396</v>
      </c>
      <c r="D735" s="118">
        <v>0</v>
      </c>
    </row>
    <row r="736" spans="2:4" x14ac:dyDescent="0.2">
      <c r="B736" s="116" t="s">
        <v>1398</v>
      </c>
      <c r="C736" s="117" t="s">
        <v>1399</v>
      </c>
      <c r="D736" s="118">
        <v>2.86</v>
      </c>
    </row>
    <row r="737" spans="2:4" x14ac:dyDescent="0.2">
      <c r="B737" s="116" t="s">
        <v>1400</v>
      </c>
      <c r="C737" s="117" t="s">
        <v>1401</v>
      </c>
      <c r="D737" s="118">
        <v>0</v>
      </c>
    </row>
    <row r="738" spans="2:4" x14ac:dyDescent="0.2">
      <c r="B738" s="116" t="s">
        <v>3848</v>
      </c>
      <c r="C738" s="117" t="s">
        <v>3849</v>
      </c>
      <c r="D738" s="118">
        <v>0</v>
      </c>
    </row>
    <row r="739" spans="2:4" x14ac:dyDescent="0.2">
      <c r="B739" s="116" t="s">
        <v>1402</v>
      </c>
      <c r="C739" s="117" t="s">
        <v>1403</v>
      </c>
      <c r="D739" s="118">
        <v>1.05</v>
      </c>
    </row>
    <row r="740" spans="2:4" x14ac:dyDescent="0.2">
      <c r="B740" s="116" t="s">
        <v>1404</v>
      </c>
      <c r="C740" s="117" t="s">
        <v>3850</v>
      </c>
      <c r="D740" s="118">
        <v>1.43</v>
      </c>
    </row>
    <row r="741" spans="2:4" x14ac:dyDescent="0.2">
      <c r="B741" s="116" t="s">
        <v>1404</v>
      </c>
      <c r="C741" s="117" t="s">
        <v>1405</v>
      </c>
      <c r="D741" s="118">
        <v>1.43</v>
      </c>
    </row>
    <row r="742" spans="2:4" x14ac:dyDescent="0.2">
      <c r="B742" s="116" t="s">
        <v>3851</v>
      </c>
      <c r="C742" s="117" t="s">
        <v>3852</v>
      </c>
      <c r="D742" s="118">
        <v>0.08</v>
      </c>
    </row>
    <row r="743" spans="2:4" x14ac:dyDescent="0.2">
      <c r="B743" s="116" t="s">
        <v>1406</v>
      </c>
      <c r="C743" s="117" t="s">
        <v>1407</v>
      </c>
      <c r="D743" s="118">
        <v>2.3199999999999998</v>
      </c>
    </row>
    <row r="744" spans="2:4" x14ac:dyDescent="0.2">
      <c r="B744" s="116" t="s">
        <v>1408</v>
      </c>
      <c r="C744" s="117" t="s">
        <v>1409</v>
      </c>
      <c r="D744" s="118">
        <v>0.8</v>
      </c>
    </row>
    <row r="745" spans="2:4" x14ac:dyDescent="0.2">
      <c r="B745" s="116" t="s">
        <v>3853</v>
      </c>
      <c r="C745" s="117" t="s">
        <v>3854</v>
      </c>
      <c r="D745" s="118">
        <v>2.2599999999999998</v>
      </c>
    </row>
    <row r="746" spans="2:4" x14ac:dyDescent="0.2">
      <c r="B746" s="116" t="s">
        <v>3855</v>
      </c>
      <c r="C746" s="117" t="s">
        <v>3856</v>
      </c>
      <c r="D746" s="118">
        <v>0</v>
      </c>
    </row>
    <row r="747" spans="2:4" x14ac:dyDescent="0.2">
      <c r="B747" s="116" t="s">
        <v>1410</v>
      </c>
      <c r="C747" s="117" t="s">
        <v>1411</v>
      </c>
      <c r="D747" s="118">
        <v>3.04</v>
      </c>
    </row>
    <row r="748" spans="2:4" x14ac:dyDescent="0.2">
      <c r="B748" s="116" t="s">
        <v>3857</v>
      </c>
      <c r="C748" s="117" t="s">
        <v>3858</v>
      </c>
      <c r="D748" s="118">
        <v>12.9</v>
      </c>
    </row>
    <row r="749" spans="2:4" x14ac:dyDescent="0.2">
      <c r="B749" s="116" t="s">
        <v>1412</v>
      </c>
      <c r="C749" s="117" t="s">
        <v>1413</v>
      </c>
      <c r="D749" s="118">
        <v>0</v>
      </c>
    </row>
    <row r="750" spans="2:4" x14ac:dyDescent="0.2">
      <c r="B750" s="116" t="s">
        <v>3859</v>
      </c>
      <c r="C750" s="117" t="s">
        <v>3860</v>
      </c>
      <c r="D750" s="118">
        <v>1.23</v>
      </c>
    </row>
    <row r="751" spans="2:4" x14ac:dyDescent="0.2">
      <c r="B751" s="116" t="s">
        <v>1414</v>
      </c>
      <c r="C751" s="117" t="s">
        <v>1415</v>
      </c>
      <c r="D751" s="118">
        <v>5.0999999999999996</v>
      </c>
    </row>
    <row r="752" spans="2:4" x14ac:dyDescent="0.2">
      <c r="B752" s="116" t="s">
        <v>1417</v>
      </c>
      <c r="C752" s="117" t="s">
        <v>1418</v>
      </c>
      <c r="D752" s="118">
        <v>0.57999999999999996</v>
      </c>
    </row>
    <row r="753" spans="2:4" x14ac:dyDescent="0.2">
      <c r="B753" s="116" t="s">
        <v>1419</v>
      </c>
      <c r="C753" s="117" t="s">
        <v>1420</v>
      </c>
      <c r="D753" s="118">
        <v>0</v>
      </c>
    </row>
    <row r="754" spans="2:4" x14ac:dyDescent="0.2">
      <c r="B754" s="116" t="s">
        <v>1421</v>
      </c>
      <c r="C754" s="117" t="s">
        <v>1422</v>
      </c>
      <c r="D754" s="118">
        <v>0</v>
      </c>
    </row>
    <row r="755" spans="2:4" x14ac:dyDescent="0.2">
      <c r="B755" s="116" t="s">
        <v>1423</v>
      </c>
      <c r="C755" s="117" t="s">
        <v>1424</v>
      </c>
      <c r="D755" s="118">
        <v>0</v>
      </c>
    </row>
    <row r="756" spans="2:4" x14ac:dyDescent="0.2">
      <c r="B756" s="116" t="s">
        <v>1425</v>
      </c>
      <c r="C756" s="117" t="s">
        <v>1426</v>
      </c>
      <c r="D756" s="118">
        <v>3.21</v>
      </c>
    </row>
    <row r="757" spans="2:4" x14ac:dyDescent="0.2">
      <c r="B757" s="116" t="s">
        <v>1427</v>
      </c>
      <c r="C757" s="117" t="s">
        <v>1428</v>
      </c>
      <c r="D757" s="118">
        <v>0.41</v>
      </c>
    </row>
    <row r="758" spans="2:4" x14ac:dyDescent="0.2">
      <c r="B758" s="116" t="s">
        <v>1429</v>
      </c>
      <c r="C758" s="117" t="s">
        <v>1430</v>
      </c>
      <c r="D758" s="118">
        <v>3.51</v>
      </c>
    </row>
    <row r="759" spans="2:4" x14ac:dyDescent="0.2">
      <c r="B759" s="116" t="s">
        <v>1431</v>
      </c>
      <c r="C759" s="117" t="s">
        <v>1432</v>
      </c>
      <c r="D759" s="118">
        <v>1.39</v>
      </c>
    </row>
    <row r="760" spans="2:4" x14ac:dyDescent="0.2">
      <c r="B760" s="116" t="s">
        <v>1434</v>
      </c>
      <c r="C760" s="117" t="s">
        <v>1435</v>
      </c>
      <c r="D760" s="118">
        <v>6.72</v>
      </c>
    </row>
    <row r="761" spans="2:4" x14ac:dyDescent="0.2">
      <c r="B761" s="116" t="s">
        <v>3861</v>
      </c>
      <c r="C761" s="117" t="s">
        <v>3862</v>
      </c>
      <c r="D761" s="118">
        <v>1.84</v>
      </c>
    </row>
    <row r="762" spans="2:4" x14ac:dyDescent="0.2">
      <c r="B762" s="116" t="s">
        <v>1436</v>
      </c>
      <c r="C762" s="117" t="s">
        <v>3863</v>
      </c>
      <c r="D762" s="118">
        <v>0</v>
      </c>
    </row>
    <row r="763" spans="2:4" x14ac:dyDescent="0.2">
      <c r="B763" s="116" t="s">
        <v>3864</v>
      </c>
      <c r="C763" s="117" t="s">
        <v>3865</v>
      </c>
      <c r="D763" s="118">
        <v>0</v>
      </c>
    </row>
    <row r="764" spans="2:4" x14ac:dyDescent="0.2">
      <c r="B764" s="116" t="s">
        <v>1436</v>
      </c>
      <c r="C764" s="117" t="s">
        <v>1437</v>
      </c>
      <c r="D764" s="118">
        <v>0</v>
      </c>
    </row>
    <row r="765" spans="2:4" x14ac:dyDescent="0.2">
      <c r="B765" s="116" t="s">
        <v>3866</v>
      </c>
      <c r="C765" s="117" t="s">
        <v>3867</v>
      </c>
      <c r="D765" s="118">
        <v>2.1</v>
      </c>
    </row>
    <row r="766" spans="2:4" x14ac:dyDescent="0.2">
      <c r="B766" s="116" t="s">
        <v>1438</v>
      </c>
      <c r="C766" s="117" t="s">
        <v>1439</v>
      </c>
      <c r="D766" s="118">
        <v>0.87</v>
      </c>
    </row>
    <row r="767" spans="2:4" x14ac:dyDescent="0.2">
      <c r="B767" s="116" t="s">
        <v>1440</v>
      </c>
      <c r="C767" s="117" t="s">
        <v>1441</v>
      </c>
      <c r="D767" s="118">
        <v>2.65</v>
      </c>
    </row>
    <row r="768" spans="2:4" x14ac:dyDescent="0.2">
      <c r="B768" s="116" t="s">
        <v>3868</v>
      </c>
      <c r="C768" s="117" t="s">
        <v>3869</v>
      </c>
      <c r="D768" s="118">
        <v>5.03</v>
      </c>
    </row>
    <row r="769" spans="2:4" x14ac:dyDescent="0.2">
      <c r="B769" s="116" t="s">
        <v>1442</v>
      </c>
      <c r="C769" s="117" t="s">
        <v>1443</v>
      </c>
      <c r="D769" s="118">
        <v>0</v>
      </c>
    </row>
    <row r="770" spans="2:4" x14ac:dyDescent="0.2">
      <c r="B770" s="116" t="s">
        <v>3870</v>
      </c>
      <c r="C770" s="117" t="s">
        <v>3871</v>
      </c>
      <c r="D770" s="118">
        <v>0.14000000000000001</v>
      </c>
    </row>
    <row r="771" spans="2:4" x14ac:dyDescent="0.2">
      <c r="B771" s="116" t="s">
        <v>1444</v>
      </c>
      <c r="C771" s="117" t="s">
        <v>1445</v>
      </c>
      <c r="D771" s="118">
        <v>2.1800000000000002</v>
      </c>
    </row>
    <row r="772" spans="2:4" x14ac:dyDescent="0.2">
      <c r="B772" s="116" t="s">
        <v>1446</v>
      </c>
      <c r="C772" s="117" t="s">
        <v>1447</v>
      </c>
      <c r="D772" s="118">
        <v>0</v>
      </c>
    </row>
    <row r="773" spans="2:4" x14ac:dyDescent="0.2">
      <c r="B773" s="116" t="s">
        <v>1449</v>
      </c>
      <c r="C773" s="117" t="s">
        <v>1450</v>
      </c>
      <c r="D773" s="118">
        <v>0</v>
      </c>
    </row>
    <row r="774" spans="2:4" x14ac:dyDescent="0.2">
      <c r="B774" s="116" t="s">
        <v>1451</v>
      </c>
      <c r="C774" s="117" t="s">
        <v>1452</v>
      </c>
      <c r="D774" s="118">
        <v>0</v>
      </c>
    </row>
    <row r="775" spans="2:4" x14ac:dyDescent="0.2">
      <c r="B775" s="116" t="s">
        <v>1453</v>
      </c>
      <c r="C775" s="117" t="s">
        <v>1454</v>
      </c>
      <c r="D775" s="118">
        <v>0.43</v>
      </c>
    </row>
    <row r="776" spans="2:4" x14ac:dyDescent="0.2">
      <c r="B776" s="116" t="s">
        <v>1455</v>
      </c>
      <c r="C776" s="117" t="s">
        <v>1456</v>
      </c>
      <c r="D776" s="118">
        <v>3.23</v>
      </c>
    </row>
    <row r="777" spans="2:4" x14ac:dyDescent="0.2">
      <c r="B777" s="116" t="s">
        <v>1457</v>
      </c>
      <c r="C777" s="117" t="s">
        <v>1458</v>
      </c>
      <c r="D777" s="118">
        <v>0</v>
      </c>
    </row>
    <row r="778" spans="2:4" x14ac:dyDescent="0.2">
      <c r="B778" s="116" t="s">
        <v>1459</v>
      </c>
      <c r="C778" s="117" t="s">
        <v>1460</v>
      </c>
      <c r="D778" s="118">
        <v>2.58</v>
      </c>
    </row>
    <row r="779" spans="2:4" x14ac:dyDescent="0.2">
      <c r="B779" s="116" t="s">
        <v>3872</v>
      </c>
      <c r="C779" s="117" t="s">
        <v>3873</v>
      </c>
      <c r="D779" s="118">
        <v>1.78</v>
      </c>
    </row>
    <row r="780" spans="2:4" x14ac:dyDescent="0.2">
      <c r="B780" s="116" t="s">
        <v>1461</v>
      </c>
      <c r="C780" s="117" t="s">
        <v>1462</v>
      </c>
      <c r="D780" s="118">
        <v>1.26</v>
      </c>
    </row>
    <row r="781" spans="2:4" x14ac:dyDescent="0.2">
      <c r="B781" s="116" t="s">
        <v>1463</v>
      </c>
      <c r="C781" s="117" t="s">
        <v>1464</v>
      </c>
      <c r="D781" s="118">
        <v>3.11</v>
      </c>
    </row>
    <row r="782" spans="2:4" x14ac:dyDescent="0.2">
      <c r="B782" s="116" t="s">
        <v>1465</v>
      </c>
      <c r="C782" s="117" t="s">
        <v>1466</v>
      </c>
      <c r="D782" s="118">
        <v>2.12</v>
      </c>
    </row>
    <row r="783" spans="2:4" x14ac:dyDescent="0.2">
      <c r="B783" s="116" t="s">
        <v>1468</v>
      </c>
      <c r="C783" s="117" t="s">
        <v>1469</v>
      </c>
      <c r="D783" s="118">
        <v>1.4</v>
      </c>
    </row>
    <row r="784" spans="2:4" x14ac:dyDescent="0.2">
      <c r="B784" s="116" t="s">
        <v>1470</v>
      </c>
      <c r="C784" s="117" t="s">
        <v>1471</v>
      </c>
      <c r="D784" s="118">
        <v>0</v>
      </c>
    </row>
    <row r="785" spans="2:4" x14ac:dyDescent="0.2">
      <c r="B785" s="116" t="s">
        <v>3874</v>
      </c>
      <c r="C785" s="117" t="s">
        <v>3875</v>
      </c>
      <c r="D785" s="118">
        <v>0.82</v>
      </c>
    </row>
    <row r="786" spans="2:4" x14ac:dyDescent="0.2">
      <c r="B786" s="116" t="s">
        <v>1472</v>
      </c>
      <c r="C786" s="117" t="s">
        <v>1473</v>
      </c>
      <c r="D786" s="118">
        <v>0</v>
      </c>
    </row>
    <row r="787" spans="2:4" x14ac:dyDescent="0.2">
      <c r="B787" s="116" t="s">
        <v>1474</v>
      </c>
      <c r="C787" s="117" t="s">
        <v>1475</v>
      </c>
      <c r="D787" s="118">
        <v>1.51</v>
      </c>
    </row>
    <row r="788" spans="2:4" x14ac:dyDescent="0.2">
      <c r="B788" s="116" t="s">
        <v>1476</v>
      </c>
      <c r="C788" s="117" t="s">
        <v>1477</v>
      </c>
      <c r="D788" s="118">
        <v>3.79</v>
      </c>
    </row>
    <row r="789" spans="2:4" x14ac:dyDescent="0.2">
      <c r="B789" s="116" t="s">
        <v>1478</v>
      </c>
      <c r="C789" s="117" t="s">
        <v>1479</v>
      </c>
      <c r="D789" s="118">
        <v>3.61</v>
      </c>
    </row>
    <row r="790" spans="2:4" x14ac:dyDescent="0.2">
      <c r="B790" s="116" t="s">
        <v>1480</v>
      </c>
      <c r="C790" s="117" t="s">
        <v>1481</v>
      </c>
      <c r="D790" s="118">
        <v>5.82</v>
      </c>
    </row>
    <row r="791" spans="2:4" x14ac:dyDescent="0.2">
      <c r="B791" s="116" t="s">
        <v>1482</v>
      </c>
      <c r="C791" s="117" t="s">
        <v>1483</v>
      </c>
      <c r="D791" s="118">
        <v>0.73</v>
      </c>
    </row>
    <row r="792" spans="2:4" x14ac:dyDescent="0.2">
      <c r="B792" s="116" t="s">
        <v>1484</v>
      </c>
      <c r="C792" s="117" t="s">
        <v>1485</v>
      </c>
      <c r="D792" s="118">
        <v>1.49</v>
      </c>
    </row>
    <row r="793" spans="2:4" x14ac:dyDescent="0.2">
      <c r="B793" s="116" t="s">
        <v>3876</v>
      </c>
      <c r="C793" s="117" t="s">
        <v>3877</v>
      </c>
      <c r="D793" s="118">
        <v>0</v>
      </c>
    </row>
    <row r="794" spans="2:4" x14ac:dyDescent="0.2">
      <c r="B794" s="116" t="s">
        <v>1487</v>
      </c>
      <c r="C794" s="117" t="s">
        <v>1488</v>
      </c>
      <c r="D794" s="118">
        <v>0</v>
      </c>
    </row>
    <row r="795" spans="2:4" x14ac:dyDescent="0.2">
      <c r="B795" s="116" t="s">
        <v>1489</v>
      </c>
      <c r="C795" s="117" t="s">
        <v>1490</v>
      </c>
      <c r="D795" s="118">
        <v>5.39</v>
      </c>
    </row>
    <row r="796" spans="2:4" x14ac:dyDescent="0.2">
      <c r="B796" s="116" t="s">
        <v>1491</v>
      </c>
      <c r="C796" s="117" t="s">
        <v>1492</v>
      </c>
      <c r="D796" s="118">
        <v>0</v>
      </c>
    </row>
    <row r="797" spans="2:4" x14ac:dyDescent="0.2">
      <c r="B797" s="116" t="s">
        <v>1494</v>
      </c>
      <c r="C797" s="117" t="s">
        <v>1495</v>
      </c>
      <c r="D797" s="118">
        <v>2.95</v>
      </c>
    </row>
    <row r="798" spans="2:4" x14ac:dyDescent="0.2">
      <c r="B798" s="116" t="s">
        <v>1496</v>
      </c>
      <c r="C798" s="117" t="s">
        <v>1497</v>
      </c>
      <c r="D798" s="118">
        <v>0</v>
      </c>
    </row>
    <row r="799" spans="2:4" x14ac:dyDescent="0.2">
      <c r="B799" s="116" t="s">
        <v>1498</v>
      </c>
      <c r="C799" s="117" t="s">
        <v>1499</v>
      </c>
      <c r="D799" s="118">
        <v>7.01</v>
      </c>
    </row>
    <row r="800" spans="2:4" x14ac:dyDescent="0.2">
      <c r="B800" s="116" t="s">
        <v>1500</v>
      </c>
      <c r="C800" s="117" t="s">
        <v>1501</v>
      </c>
      <c r="D800" s="118">
        <v>2.88</v>
      </c>
    </row>
    <row r="801" spans="2:4" x14ac:dyDescent="0.2">
      <c r="B801" s="116" t="s">
        <v>1502</v>
      </c>
      <c r="C801" s="117" t="s">
        <v>1503</v>
      </c>
      <c r="D801" s="118">
        <v>4.07</v>
      </c>
    </row>
    <row r="802" spans="2:4" x14ac:dyDescent="0.2">
      <c r="B802" s="116" t="s">
        <v>1504</v>
      </c>
      <c r="C802" s="117" t="s">
        <v>1505</v>
      </c>
      <c r="D802" s="118">
        <v>0</v>
      </c>
    </row>
    <row r="803" spans="2:4" x14ac:dyDescent="0.2">
      <c r="B803" s="116" t="s">
        <v>3878</v>
      </c>
      <c r="C803" s="117" t="s">
        <v>3879</v>
      </c>
      <c r="D803" s="118">
        <v>0.47</v>
      </c>
    </row>
    <row r="804" spans="2:4" x14ac:dyDescent="0.2">
      <c r="B804" s="116" t="s">
        <v>3880</v>
      </c>
      <c r="C804" s="117" t="s">
        <v>3881</v>
      </c>
      <c r="D804" s="118">
        <v>0</v>
      </c>
    </row>
    <row r="805" spans="2:4" x14ac:dyDescent="0.2">
      <c r="B805" s="116" t="s">
        <v>1506</v>
      </c>
      <c r="C805" s="117" t="s">
        <v>1507</v>
      </c>
      <c r="D805" s="118">
        <v>0.31</v>
      </c>
    </row>
    <row r="806" spans="2:4" x14ac:dyDescent="0.2">
      <c r="B806" s="116" t="s">
        <v>1508</v>
      </c>
      <c r="C806" s="117" t="s">
        <v>1509</v>
      </c>
      <c r="D806" s="118">
        <v>0</v>
      </c>
    </row>
    <row r="807" spans="2:4" x14ac:dyDescent="0.2">
      <c r="B807" s="116" t="s">
        <v>1511</v>
      </c>
      <c r="C807" s="117" t="s">
        <v>1512</v>
      </c>
      <c r="D807" s="118">
        <v>1.66</v>
      </c>
    </row>
    <row r="808" spans="2:4" x14ac:dyDescent="0.2">
      <c r="B808" s="116" t="s">
        <v>3882</v>
      </c>
      <c r="C808" s="117" t="s">
        <v>3883</v>
      </c>
      <c r="D808" s="118">
        <v>0</v>
      </c>
    </row>
    <row r="809" spans="2:4" x14ac:dyDescent="0.2">
      <c r="B809" s="116" t="s">
        <v>1513</v>
      </c>
      <c r="C809" s="117" t="s">
        <v>1514</v>
      </c>
      <c r="D809" s="118">
        <v>0.87</v>
      </c>
    </row>
    <row r="810" spans="2:4" x14ac:dyDescent="0.2">
      <c r="B810" s="116" t="s">
        <v>1515</v>
      </c>
      <c r="C810" s="117" t="s">
        <v>3884</v>
      </c>
      <c r="D810" s="118">
        <v>0</v>
      </c>
    </row>
    <row r="811" spans="2:4" x14ac:dyDescent="0.2">
      <c r="B811" s="116" t="s">
        <v>1515</v>
      </c>
      <c r="C811" s="117" t="s">
        <v>1516</v>
      </c>
      <c r="D811" s="118">
        <v>0</v>
      </c>
    </row>
    <row r="812" spans="2:4" x14ac:dyDescent="0.2">
      <c r="B812" s="116" t="s">
        <v>1517</v>
      </c>
      <c r="C812" s="117" t="s">
        <v>1518</v>
      </c>
      <c r="D812" s="118">
        <v>0</v>
      </c>
    </row>
    <row r="813" spans="2:4" x14ac:dyDescent="0.2">
      <c r="B813" s="116" t="s">
        <v>1519</v>
      </c>
      <c r="C813" s="117" t="s">
        <v>1520</v>
      </c>
      <c r="D813" s="118">
        <v>3.13</v>
      </c>
    </row>
    <row r="814" spans="2:4" x14ac:dyDescent="0.2">
      <c r="B814" s="116" t="s">
        <v>3885</v>
      </c>
      <c r="C814" s="117" t="s">
        <v>3886</v>
      </c>
      <c r="D814" s="118">
        <v>1.55</v>
      </c>
    </row>
    <row r="815" spans="2:4" x14ac:dyDescent="0.2">
      <c r="B815" s="116" t="s">
        <v>1521</v>
      </c>
      <c r="C815" s="117" t="s">
        <v>1522</v>
      </c>
      <c r="D815" s="118">
        <v>2.1</v>
      </c>
    </row>
    <row r="816" spans="2:4" x14ac:dyDescent="0.2">
      <c r="B816" s="116" t="s">
        <v>1523</v>
      </c>
      <c r="C816" s="117" t="s">
        <v>1524</v>
      </c>
      <c r="D816" s="118">
        <v>0.02</v>
      </c>
    </row>
    <row r="817" spans="2:4" x14ac:dyDescent="0.2">
      <c r="B817" s="116" t="s">
        <v>3887</v>
      </c>
      <c r="C817" s="117" t="s">
        <v>3888</v>
      </c>
      <c r="D817" s="118">
        <v>0.72</v>
      </c>
    </row>
    <row r="818" spans="2:4" x14ac:dyDescent="0.2">
      <c r="B818" s="116" t="s">
        <v>1525</v>
      </c>
      <c r="C818" s="117" t="s">
        <v>1526</v>
      </c>
      <c r="D818" s="118">
        <v>5.64</v>
      </c>
    </row>
    <row r="819" spans="2:4" x14ac:dyDescent="0.2">
      <c r="B819" s="116" t="s">
        <v>1527</v>
      </c>
      <c r="C819" s="117" t="s">
        <v>1528</v>
      </c>
      <c r="D819" s="118">
        <v>1.6</v>
      </c>
    </row>
    <row r="820" spans="2:4" x14ac:dyDescent="0.2">
      <c r="B820" s="116" t="s">
        <v>1529</v>
      </c>
      <c r="C820" s="117" t="s">
        <v>1530</v>
      </c>
      <c r="D820" s="118">
        <v>1.28</v>
      </c>
    </row>
    <row r="821" spans="2:4" x14ac:dyDescent="0.2">
      <c r="B821" s="116" t="s">
        <v>1531</v>
      </c>
      <c r="C821" s="117" t="s">
        <v>1532</v>
      </c>
      <c r="D821" s="118">
        <v>2.68</v>
      </c>
    </row>
    <row r="822" spans="2:4" x14ac:dyDescent="0.2">
      <c r="B822" s="116" t="s">
        <v>1533</v>
      </c>
      <c r="C822" s="117" t="s">
        <v>1534</v>
      </c>
      <c r="D822" s="118">
        <v>0</v>
      </c>
    </row>
    <row r="823" spans="2:4" x14ac:dyDescent="0.2">
      <c r="B823" s="116" t="s">
        <v>1535</v>
      </c>
      <c r="C823" s="117" t="s">
        <v>1536</v>
      </c>
      <c r="D823" s="118">
        <v>2.34</v>
      </c>
    </row>
    <row r="824" spans="2:4" x14ac:dyDescent="0.2">
      <c r="B824" s="116" t="s">
        <v>1537</v>
      </c>
      <c r="C824" s="117" t="s">
        <v>1538</v>
      </c>
      <c r="D824" s="118">
        <v>4.3899999999999997</v>
      </c>
    </row>
    <row r="825" spans="2:4" x14ac:dyDescent="0.2">
      <c r="B825" s="116" t="s">
        <v>3889</v>
      </c>
      <c r="C825" s="117" t="s">
        <v>3890</v>
      </c>
      <c r="D825" s="118">
        <v>0</v>
      </c>
    </row>
    <row r="826" spans="2:4" x14ac:dyDescent="0.2">
      <c r="B826" s="116" t="s">
        <v>1539</v>
      </c>
      <c r="C826" s="117" t="s">
        <v>1540</v>
      </c>
      <c r="D826" s="118">
        <v>4.63</v>
      </c>
    </row>
    <row r="827" spans="2:4" x14ac:dyDescent="0.2">
      <c r="B827" s="116" t="s">
        <v>3891</v>
      </c>
      <c r="C827" s="117" t="s">
        <v>3892</v>
      </c>
      <c r="D827" s="118">
        <v>0</v>
      </c>
    </row>
    <row r="828" spans="2:4" x14ac:dyDescent="0.2">
      <c r="B828" s="116" t="s">
        <v>1541</v>
      </c>
      <c r="C828" s="117" t="s">
        <v>1542</v>
      </c>
      <c r="D828" s="118">
        <v>0</v>
      </c>
    </row>
    <row r="829" spans="2:4" x14ac:dyDescent="0.2">
      <c r="B829" s="116" t="s">
        <v>1543</v>
      </c>
      <c r="C829" s="117" t="s">
        <v>1544</v>
      </c>
      <c r="D829" s="118">
        <v>0</v>
      </c>
    </row>
    <row r="830" spans="2:4" x14ac:dyDescent="0.2">
      <c r="B830" s="116" t="s">
        <v>1545</v>
      </c>
      <c r="C830" s="117" t="s">
        <v>1546</v>
      </c>
      <c r="D830" s="118">
        <v>0</v>
      </c>
    </row>
    <row r="831" spans="2:4" x14ac:dyDescent="0.2">
      <c r="B831" s="116" t="s">
        <v>1547</v>
      </c>
      <c r="C831" s="117" t="s">
        <v>1548</v>
      </c>
      <c r="D831" s="118">
        <v>1.97</v>
      </c>
    </row>
    <row r="832" spans="2:4" x14ac:dyDescent="0.2">
      <c r="B832" s="116" t="s">
        <v>3893</v>
      </c>
      <c r="C832" s="117" t="s">
        <v>3894</v>
      </c>
      <c r="D832" s="118">
        <v>3.18</v>
      </c>
    </row>
    <row r="833" spans="2:4" x14ac:dyDescent="0.2">
      <c r="B833" s="116" t="s">
        <v>1549</v>
      </c>
      <c r="C833" s="117" t="s">
        <v>1550</v>
      </c>
      <c r="D833" s="118">
        <v>1.01</v>
      </c>
    </row>
    <row r="834" spans="2:4" x14ac:dyDescent="0.2">
      <c r="B834" s="116" t="s">
        <v>1551</v>
      </c>
      <c r="C834" s="117" t="s">
        <v>1552</v>
      </c>
      <c r="D834" s="118">
        <v>0</v>
      </c>
    </row>
    <row r="835" spans="2:4" x14ac:dyDescent="0.2">
      <c r="B835" s="116" t="s">
        <v>1553</v>
      </c>
      <c r="C835" s="117" t="s">
        <v>1554</v>
      </c>
      <c r="D835" s="118">
        <v>3.52</v>
      </c>
    </row>
    <row r="836" spans="2:4" x14ac:dyDescent="0.2">
      <c r="B836" s="116" t="s">
        <v>1555</v>
      </c>
      <c r="C836" s="117" t="s">
        <v>1556</v>
      </c>
      <c r="D836" s="118">
        <v>2.31</v>
      </c>
    </row>
    <row r="837" spans="2:4" x14ac:dyDescent="0.2">
      <c r="B837" s="116" t="s">
        <v>3895</v>
      </c>
      <c r="C837" s="117" t="s">
        <v>3896</v>
      </c>
      <c r="D837" s="118">
        <v>0</v>
      </c>
    </row>
    <row r="838" spans="2:4" x14ac:dyDescent="0.2">
      <c r="B838" s="116" t="s">
        <v>1557</v>
      </c>
      <c r="C838" s="117" t="s">
        <v>1558</v>
      </c>
      <c r="D838" s="118">
        <v>4.17</v>
      </c>
    </row>
    <row r="839" spans="2:4" x14ac:dyDescent="0.2">
      <c r="B839" s="116" t="s">
        <v>1559</v>
      </c>
      <c r="C839" s="117" t="s">
        <v>1560</v>
      </c>
      <c r="D839" s="118">
        <v>4.1900000000000004</v>
      </c>
    </row>
    <row r="840" spans="2:4" x14ac:dyDescent="0.2">
      <c r="B840" s="116" t="s">
        <v>1561</v>
      </c>
      <c r="C840" s="117" t="s">
        <v>1562</v>
      </c>
      <c r="D840" s="118">
        <v>1.29</v>
      </c>
    </row>
    <row r="841" spans="2:4" x14ac:dyDescent="0.2">
      <c r="B841" s="116" t="s">
        <v>1564</v>
      </c>
      <c r="C841" s="117" t="s">
        <v>1565</v>
      </c>
      <c r="D841" s="118">
        <v>1.33</v>
      </c>
    </row>
    <row r="842" spans="2:4" x14ac:dyDescent="0.2">
      <c r="B842" s="116" t="s">
        <v>3897</v>
      </c>
      <c r="C842" s="117" t="s">
        <v>3898</v>
      </c>
      <c r="D842" s="118">
        <v>7.09</v>
      </c>
    </row>
    <row r="843" spans="2:4" x14ac:dyDescent="0.2">
      <c r="B843" s="116" t="s">
        <v>1566</v>
      </c>
      <c r="C843" s="117" t="s">
        <v>1567</v>
      </c>
      <c r="D843" s="118">
        <v>4.2300000000000004</v>
      </c>
    </row>
    <row r="844" spans="2:4" x14ac:dyDescent="0.2">
      <c r="B844" s="116" t="s">
        <v>1568</v>
      </c>
      <c r="C844" s="117" t="s">
        <v>1569</v>
      </c>
      <c r="D844" s="118">
        <v>2.42</v>
      </c>
    </row>
    <row r="845" spans="2:4" x14ac:dyDescent="0.2">
      <c r="B845" s="116" t="s">
        <v>1570</v>
      </c>
      <c r="C845" s="117" t="s">
        <v>1571</v>
      </c>
      <c r="D845" s="118">
        <v>0.73</v>
      </c>
    </row>
    <row r="846" spans="2:4" x14ac:dyDescent="0.2">
      <c r="B846" s="116" t="s">
        <v>3899</v>
      </c>
      <c r="C846" s="117" t="s">
        <v>3900</v>
      </c>
      <c r="D846" s="118">
        <v>2.09</v>
      </c>
    </row>
    <row r="847" spans="2:4" x14ac:dyDescent="0.2">
      <c r="B847" s="116" t="s">
        <v>1572</v>
      </c>
      <c r="C847" s="117" t="s">
        <v>1573</v>
      </c>
      <c r="D847" s="118">
        <v>0</v>
      </c>
    </row>
    <row r="848" spans="2:4" x14ac:dyDescent="0.2">
      <c r="B848" s="116" t="s">
        <v>1574</v>
      </c>
      <c r="C848" s="117" t="s">
        <v>1575</v>
      </c>
      <c r="D848" s="118">
        <v>2.86</v>
      </c>
    </row>
    <row r="849" spans="2:4" x14ac:dyDescent="0.2">
      <c r="B849" s="116" t="s">
        <v>1576</v>
      </c>
      <c r="C849" s="117" t="s">
        <v>1577</v>
      </c>
      <c r="D849" s="118">
        <v>4.04</v>
      </c>
    </row>
    <row r="850" spans="2:4" x14ac:dyDescent="0.2">
      <c r="B850" s="116" t="s">
        <v>1578</v>
      </c>
      <c r="C850" s="117" t="s">
        <v>1579</v>
      </c>
      <c r="D850" s="118">
        <v>0.11</v>
      </c>
    </row>
    <row r="851" spans="2:4" x14ac:dyDescent="0.2">
      <c r="B851" s="116" t="s">
        <v>1578</v>
      </c>
      <c r="C851" s="117" t="s">
        <v>3901</v>
      </c>
      <c r="D851" s="118">
        <v>7.0000000000000007E-2</v>
      </c>
    </row>
    <row r="852" spans="2:4" x14ac:dyDescent="0.2">
      <c r="B852" s="116" t="s">
        <v>1580</v>
      </c>
      <c r="C852" s="117" t="s">
        <v>1581</v>
      </c>
      <c r="D852" s="118">
        <v>1.07</v>
      </c>
    </row>
    <row r="853" spans="2:4" x14ac:dyDescent="0.2">
      <c r="B853" s="116" t="s">
        <v>1582</v>
      </c>
      <c r="C853" s="117" t="s">
        <v>1583</v>
      </c>
      <c r="D853" s="118">
        <v>0</v>
      </c>
    </row>
    <row r="854" spans="2:4" x14ac:dyDescent="0.2">
      <c r="B854" s="116" t="s">
        <v>1584</v>
      </c>
      <c r="C854" s="117" t="s">
        <v>1585</v>
      </c>
      <c r="D854" s="118">
        <v>1.54</v>
      </c>
    </row>
    <row r="855" spans="2:4" x14ac:dyDescent="0.2">
      <c r="B855" s="116" t="s">
        <v>1586</v>
      </c>
      <c r="C855" s="117" t="s">
        <v>1587</v>
      </c>
      <c r="D855" s="118">
        <v>1.52</v>
      </c>
    </row>
    <row r="856" spans="2:4" x14ac:dyDescent="0.2">
      <c r="B856" s="116" t="s">
        <v>1588</v>
      </c>
      <c r="C856" s="117" t="s">
        <v>1589</v>
      </c>
      <c r="D856" s="118">
        <v>2.5099999999999998</v>
      </c>
    </row>
    <row r="857" spans="2:4" x14ac:dyDescent="0.2">
      <c r="B857" s="116" t="s">
        <v>3902</v>
      </c>
      <c r="C857" s="117" t="s">
        <v>3903</v>
      </c>
      <c r="D857" s="118">
        <v>2.34</v>
      </c>
    </row>
    <row r="858" spans="2:4" x14ac:dyDescent="0.2">
      <c r="B858" s="116" t="s">
        <v>1590</v>
      </c>
      <c r="C858" s="117" t="s">
        <v>1591</v>
      </c>
      <c r="D858" s="118">
        <v>0</v>
      </c>
    </row>
    <row r="859" spans="2:4" x14ac:dyDescent="0.2">
      <c r="B859" s="116" t="s">
        <v>1592</v>
      </c>
      <c r="C859" s="117" t="s">
        <v>1593</v>
      </c>
      <c r="D859" s="118">
        <v>1.99</v>
      </c>
    </row>
    <row r="860" spans="2:4" x14ac:dyDescent="0.2">
      <c r="B860" s="116" t="s">
        <v>1594</v>
      </c>
      <c r="C860" s="117" t="s">
        <v>1595</v>
      </c>
      <c r="D860" s="118">
        <v>1.6</v>
      </c>
    </row>
    <row r="861" spans="2:4" x14ac:dyDescent="0.2">
      <c r="B861" s="116" t="s">
        <v>1596</v>
      </c>
      <c r="C861" s="117" t="s">
        <v>1597</v>
      </c>
      <c r="D861" s="118">
        <v>2.61</v>
      </c>
    </row>
    <row r="862" spans="2:4" x14ac:dyDescent="0.2">
      <c r="B862" s="116" t="s">
        <v>1598</v>
      </c>
      <c r="C862" s="117" t="s">
        <v>1599</v>
      </c>
      <c r="D862" s="118">
        <v>4.21</v>
      </c>
    </row>
    <row r="863" spans="2:4" x14ac:dyDescent="0.2">
      <c r="B863" s="116" t="s">
        <v>1600</v>
      </c>
      <c r="C863" s="117" t="s">
        <v>1601</v>
      </c>
      <c r="D863" s="118">
        <v>0</v>
      </c>
    </row>
    <row r="864" spans="2:4" x14ac:dyDescent="0.2">
      <c r="B864" s="116" t="s">
        <v>1602</v>
      </c>
      <c r="C864" s="117" t="s">
        <v>1603</v>
      </c>
      <c r="D864" s="118">
        <v>2.16</v>
      </c>
    </row>
    <row r="865" spans="2:4" x14ac:dyDescent="0.2">
      <c r="B865" s="116" t="s">
        <v>1604</v>
      </c>
      <c r="C865" s="117" t="s">
        <v>1605</v>
      </c>
      <c r="D865" s="118">
        <v>0</v>
      </c>
    </row>
    <row r="866" spans="2:4" x14ac:dyDescent="0.2">
      <c r="B866" s="116" t="s">
        <v>1606</v>
      </c>
      <c r="C866" s="117" t="s">
        <v>1607</v>
      </c>
      <c r="D866" s="118">
        <v>2.71</v>
      </c>
    </row>
    <row r="867" spans="2:4" x14ac:dyDescent="0.2">
      <c r="B867" s="116" t="s">
        <v>1608</v>
      </c>
      <c r="C867" s="117" t="s">
        <v>1609</v>
      </c>
      <c r="D867" s="118">
        <v>0</v>
      </c>
    </row>
    <row r="868" spans="2:4" x14ac:dyDescent="0.2">
      <c r="B868" s="116" t="s">
        <v>1610</v>
      </c>
      <c r="C868" s="117" t="s">
        <v>1611</v>
      </c>
      <c r="D868" s="118">
        <v>1.8</v>
      </c>
    </row>
    <row r="869" spans="2:4" x14ac:dyDescent="0.2">
      <c r="B869" s="116" t="s">
        <v>3904</v>
      </c>
      <c r="C869" s="117" t="s">
        <v>3905</v>
      </c>
      <c r="D869" s="118">
        <v>1.71</v>
      </c>
    </row>
    <row r="870" spans="2:4" x14ac:dyDescent="0.2">
      <c r="B870" s="116" t="s">
        <v>1612</v>
      </c>
      <c r="C870" s="117" t="s">
        <v>1613</v>
      </c>
      <c r="D870" s="118">
        <v>0.63</v>
      </c>
    </row>
    <row r="871" spans="2:4" x14ac:dyDescent="0.2">
      <c r="B871" s="116" t="s">
        <v>3906</v>
      </c>
      <c r="C871" s="117" t="s">
        <v>3907</v>
      </c>
      <c r="D871" s="118">
        <v>2.96</v>
      </c>
    </row>
    <row r="872" spans="2:4" x14ac:dyDescent="0.2">
      <c r="B872" s="116" t="s">
        <v>1614</v>
      </c>
      <c r="C872" s="117" t="s">
        <v>1615</v>
      </c>
      <c r="D872" s="118">
        <v>3.62</v>
      </c>
    </row>
    <row r="873" spans="2:4" x14ac:dyDescent="0.2">
      <c r="B873" s="116" t="s">
        <v>1616</v>
      </c>
      <c r="C873" s="117" t="s">
        <v>1617</v>
      </c>
      <c r="D873" s="118">
        <v>3.14</v>
      </c>
    </row>
    <row r="874" spans="2:4" x14ac:dyDescent="0.2">
      <c r="B874" s="116" t="s">
        <v>1618</v>
      </c>
      <c r="C874" s="117" t="s">
        <v>1619</v>
      </c>
      <c r="D874" s="118">
        <v>0</v>
      </c>
    </row>
    <row r="875" spans="2:4" x14ac:dyDescent="0.2">
      <c r="B875" s="116" t="s">
        <v>3908</v>
      </c>
      <c r="C875" s="117" t="s">
        <v>3909</v>
      </c>
      <c r="D875" s="118">
        <v>1.87</v>
      </c>
    </row>
    <row r="876" spans="2:4" x14ac:dyDescent="0.2">
      <c r="B876" s="116" t="s">
        <v>3910</v>
      </c>
      <c r="C876" s="117" t="s">
        <v>3911</v>
      </c>
      <c r="D876" s="118">
        <v>1.7</v>
      </c>
    </row>
    <row r="877" spans="2:4" x14ac:dyDescent="0.2">
      <c r="B877" s="116" t="s">
        <v>3912</v>
      </c>
      <c r="C877" s="117" t="s">
        <v>3913</v>
      </c>
      <c r="D877" s="118">
        <v>1.74</v>
      </c>
    </row>
    <row r="878" spans="2:4" x14ac:dyDescent="0.2">
      <c r="B878" s="116" t="s">
        <v>1620</v>
      </c>
      <c r="C878" s="117" t="s">
        <v>1621</v>
      </c>
      <c r="D878" s="118">
        <v>2.37</v>
      </c>
    </row>
    <row r="879" spans="2:4" x14ac:dyDescent="0.2">
      <c r="B879" s="116" t="s">
        <v>1622</v>
      </c>
      <c r="C879" s="117" t="s">
        <v>1623</v>
      </c>
      <c r="D879" s="118">
        <v>0.8</v>
      </c>
    </row>
    <row r="880" spans="2:4" x14ac:dyDescent="0.2">
      <c r="B880" s="116" t="s">
        <v>1624</v>
      </c>
      <c r="C880" s="117" t="s">
        <v>1625</v>
      </c>
      <c r="D880" s="118">
        <v>4.25</v>
      </c>
    </row>
    <row r="881" spans="2:4" x14ac:dyDescent="0.2">
      <c r="B881" s="116" t="s">
        <v>3914</v>
      </c>
      <c r="C881" s="117" t="s">
        <v>3915</v>
      </c>
      <c r="D881" s="118">
        <v>1.25</v>
      </c>
    </row>
    <row r="882" spans="2:4" x14ac:dyDescent="0.2">
      <c r="B882" s="116" t="s">
        <v>1626</v>
      </c>
      <c r="C882" s="117" t="s">
        <v>1627</v>
      </c>
      <c r="D882" s="118">
        <v>0</v>
      </c>
    </row>
    <row r="883" spans="2:4" x14ac:dyDescent="0.2">
      <c r="B883" s="116" t="s">
        <v>1628</v>
      </c>
      <c r="C883" s="117" t="s">
        <v>1629</v>
      </c>
      <c r="D883" s="118">
        <v>2.74</v>
      </c>
    </row>
    <row r="884" spans="2:4" x14ac:dyDescent="0.2">
      <c r="B884" s="116" t="s">
        <v>1630</v>
      </c>
      <c r="C884" s="117" t="s">
        <v>1631</v>
      </c>
      <c r="D884" s="118">
        <v>1.95</v>
      </c>
    </row>
    <row r="885" spans="2:4" x14ac:dyDescent="0.2">
      <c r="B885" s="116" t="s">
        <v>1632</v>
      </c>
      <c r="C885" s="117" t="s">
        <v>1633</v>
      </c>
      <c r="D885" s="118">
        <v>6.57</v>
      </c>
    </row>
    <row r="886" spans="2:4" x14ac:dyDescent="0.2">
      <c r="B886" s="116" t="s">
        <v>1635</v>
      </c>
      <c r="C886" s="117" t="s">
        <v>1636</v>
      </c>
      <c r="D886" s="118">
        <v>3.12</v>
      </c>
    </row>
    <row r="887" spans="2:4" x14ac:dyDescent="0.2">
      <c r="B887" s="116" t="s">
        <v>1638</v>
      </c>
      <c r="C887" s="117" t="s">
        <v>1639</v>
      </c>
      <c r="D887" s="118">
        <v>2.95</v>
      </c>
    </row>
    <row r="888" spans="2:4" x14ac:dyDescent="0.2">
      <c r="B888" s="116" t="s">
        <v>1640</v>
      </c>
      <c r="C888" s="117" t="s">
        <v>1641</v>
      </c>
      <c r="D888" s="118">
        <v>3.47</v>
      </c>
    </row>
    <row r="889" spans="2:4" x14ac:dyDescent="0.2">
      <c r="B889" s="116" t="s">
        <v>1642</v>
      </c>
      <c r="C889" s="117" t="s">
        <v>1643</v>
      </c>
      <c r="D889" s="118">
        <v>8.6300000000000008</v>
      </c>
    </row>
    <row r="890" spans="2:4" x14ac:dyDescent="0.2">
      <c r="B890" s="116" t="s">
        <v>1644</v>
      </c>
      <c r="C890" s="117" t="s">
        <v>1645</v>
      </c>
      <c r="D890" s="118">
        <v>0</v>
      </c>
    </row>
    <row r="891" spans="2:4" x14ac:dyDescent="0.2">
      <c r="B891" s="116" t="s">
        <v>3916</v>
      </c>
      <c r="C891" s="117" t="s">
        <v>3917</v>
      </c>
      <c r="D891" s="118">
        <v>3.62</v>
      </c>
    </row>
    <row r="892" spans="2:4" x14ac:dyDescent="0.2">
      <c r="B892" s="116" t="s">
        <v>1646</v>
      </c>
      <c r="C892" s="117" t="s">
        <v>1647</v>
      </c>
      <c r="D892" s="118">
        <v>4.4400000000000004</v>
      </c>
    </row>
    <row r="893" spans="2:4" x14ac:dyDescent="0.2">
      <c r="B893" s="116" t="s">
        <v>1648</v>
      </c>
      <c r="C893" s="117" t="s">
        <v>1649</v>
      </c>
      <c r="D893" s="118">
        <v>0.8</v>
      </c>
    </row>
    <row r="894" spans="2:4" x14ac:dyDescent="0.2">
      <c r="B894" s="116" t="s">
        <v>3918</v>
      </c>
      <c r="C894" s="117" t="s">
        <v>3919</v>
      </c>
      <c r="D894" s="118">
        <v>1.68</v>
      </c>
    </row>
    <row r="895" spans="2:4" x14ac:dyDescent="0.2">
      <c r="B895" s="116" t="s">
        <v>1650</v>
      </c>
      <c r="C895" s="117" t="s">
        <v>1651</v>
      </c>
      <c r="D895" s="118">
        <v>0.96</v>
      </c>
    </row>
    <row r="896" spans="2:4" x14ac:dyDescent="0.2">
      <c r="B896" s="116" t="s">
        <v>1652</v>
      </c>
      <c r="C896" s="117" t="s">
        <v>1653</v>
      </c>
      <c r="D896" s="118">
        <v>1.96</v>
      </c>
    </row>
    <row r="897" spans="2:4" x14ac:dyDescent="0.2">
      <c r="B897" s="116" t="s">
        <v>1655</v>
      </c>
      <c r="C897" s="117" t="s">
        <v>1656</v>
      </c>
      <c r="D897" s="118">
        <v>5.24</v>
      </c>
    </row>
    <row r="898" spans="2:4" x14ac:dyDescent="0.2">
      <c r="B898" s="116" t="s">
        <v>1657</v>
      </c>
      <c r="C898" s="117" t="s">
        <v>1658</v>
      </c>
      <c r="D898" s="118">
        <v>0</v>
      </c>
    </row>
    <row r="899" spans="2:4" x14ac:dyDescent="0.2">
      <c r="B899" s="116" t="s">
        <v>1659</v>
      </c>
      <c r="C899" s="117" t="s">
        <v>1660</v>
      </c>
      <c r="D899" s="118">
        <v>2.88</v>
      </c>
    </row>
    <row r="900" spans="2:4" x14ac:dyDescent="0.2">
      <c r="B900" s="116" t="s">
        <v>1661</v>
      </c>
      <c r="C900" s="117" t="s">
        <v>1662</v>
      </c>
      <c r="D900" s="118">
        <v>4.6399999999999997</v>
      </c>
    </row>
    <row r="901" spans="2:4" x14ac:dyDescent="0.2">
      <c r="B901" s="116" t="s">
        <v>1663</v>
      </c>
      <c r="C901" s="117" t="s">
        <v>1664</v>
      </c>
      <c r="D901" s="118">
        <v>2.0099999999999998</v>
      </c>
    </row>
    <row r="902" spans="2:4" x14ac:dyDescent="0.2">
      <c r="B902" s="116" t="s">
        <v>1666</v>
      </c>
      <c r="C902" s="117" t="s">
        <v>1667</v>
      </c>
      <c r="D902" s="118">
        <v>4.34</v>
      </c>
    </row>
    <row r="903" spans="2:4" x14ac:dyDescent="0.2">
      <c r="B903" s="116" t="s">
        <v>3920</v>
      </c>
      <c r="C903" s="117" t="s">
        <v>3921</v>
      </c>
      <c r="D903" s="118">
        <v>3.82</v>
      </c>
    </row>
    <row r="904" spans="2:4" x14ac:dyDescent="0.2">
      <c r="B904" s="116" t="s">
        <v>1668</v>
      </c>
      <c r="C904" s="117" t="s">
        <v>1669</v>
      </c>
      <c r="D904" s="118">
        <v>2.06</v>
      </c>
    </row>
    <row r="905" spans="2:4" x14ac:dyDescent="0.2">
      <c r="B905" s="116" t="s">
        <v>1670</v>
      </c>
      <c r="C905" s="117" t="s">
        <v>1671</v>
      </c>
      <c r="D905" s="118">
        <v>0.92</v>
      </c>
    </row>
    <row r="906" spans="2:4" x14ac:dyDescent="0.2">
      <c r="B906" s="116" t="s">
        <v>1672</v>
      </c>
      <c r="C906" s="117" t="s">
        <v>1673</v>
      </c>
      <c r="D906" s="118">
        <v>2.56</v>
      </c>
    </row>
    <row r="907" spans="2:4" x14ac:dyDescent="0.2">
      <c r="B907" s="116" t="s">
        <v>1675</v>
      </c>
      <c r="C907" s="117" t="s">
        <v>1676</v>
      </c>
      <c r="D907" s="118">
        <v>0</v>
      </c>
    </row>
    <row r="908" spans="2:4" x14ac:dyDescent="0.2">
      <c r="B908" s="116" t="s">
        <v>1677</v>
      </c>
      <c r="C908" s="117" t="s">
        <v>1678</v>
      </c>
      <c r="D908" s="118">
        <v>0.79</v>
      </c>
    </row>
    <row r="909" spans="2:4" x14ac:dyDescent="0.2">
      <c r="B909" s="116" t="s">
        <v>1679</v>
      </c>
      <c r="C909" s="117" t="s">
        <v>1680</v>
      </c>
      <c r="D909" s="118">
        <v>2.89</v>
      </c>
    </row>
    <row r="910" spans="2:4" x14ac:dyDescent="0.2">
      <c r="B910" s="116" t="s">
        <v>3922</v>
      </c>
      <c r="C910" s="117" t="s">
        <v>3923</v>
      </c>
      <c r="D910" s="118">
        <v>0</v>
      </c>
    </row>
    <row r="911" spans="2:4" x14ac:dyDescent="0.2">
      <c r="B911" s="116" t="s">
        <v>1681</v>
      </c>
      <c r="C911" s="117" t="s">
        <v>1682</v>
      </c>
      <c r="D911" s="118">
        <v>2.58</v>
      </c>
    </row>
    <row r="912" spans="2:4" x14ac:dyDescent="0.2">
      <c r="B912" s="116" t="s">
        <v>3924</v>
      </c>
      <c r="C912" s="117" t="s">
        <v>3925</v>
      </c>
      <c r="D912" s="118">
        <v>2.81</v>
      </c>
    </row>
    <row r="913" spans="2:4" x14ac:dyDescent="0.2">
      <c r="B913" s="116" t="s">
        <v>1683</v>
      </c>
      <c r="C913" s="117" t="s">
        <v>1684</v>
      </c>
      <c r="D913" s="118">
        <v>2.63</v>
      </c>
    </row>
    <row r="914" spans="2:4" x14ac:dyDescent="0.2">
      <c r="B914" s="116" t="s">
        <v>1685</v>
      </c>
      <c r="C914" s="117" t="s">
        <v>1686</v>
      </c>
      <c r="D914" s="118">
        <v>0.82</v>
      </c>
    </row>
    <row r="915" spans="2:4" x14ac:dyDescent="0.2">
      <c r="B915" s="116" t="s">
        <v>3926</v>
      </c>
      <c r="C915" s="117" t="s">
        <v>3927</v>
      </c>
      <c r="D915" s="118">
        <v>5.25</v>
      </c>
    </row>
    <row r="916" spans="2:4" x14ac:dyDescent="0.2">
      <c r="B916" s="116" t="s">
        <v>3928</v>
      </c>
      <c r="C916" s="117" t="s">
        <v>3929</v>
      </c>
      <c r="D916" s="118">
        <v>0</v>
      </c>
    </row>
    <row r="917" spans="2:4" x14ac:dyDescent="0.2">
      <c r="B917" s="116" t="s">
        <v>3930</v>
      </c>
      <c r="C917" s="117" t="s">
        <v>3931</v>
      </c>
      <c r="D917" s="118">
        <v>2.14</v>
      </c>
    </row>
    <row r="918" spans="2:4" x14ac:dyDescent="0.2">
      <c r="B918" s="116" t="s">
        <v>1687</v>
      </c>
      <c r="C918" s="117" t="s">
        <v>1688</v>
      </c>
      <c r="D918" s="118">
        <v>0</v>
      </c>
    </row>
    <row r="919" spans="2:4" x14ac:dyDescent="0.2">
      <c r="B919" s="116" t="s">
        <v>1689</v>
      </c>
      <c r="C919" s="117" t="s">
        <v>1690</v>
      </c>
      <c r="D919" s="118">
        <v>0</v>
      </c>
    </row>
    <row r="920" spans="2:4" x14ac:dyDescent="0.2">
      <c r="B920" s="116" t="s">
        <v>3932</v>
      </c>
      <c r="C920" s="117" t="s">
        <v>3933</v>
      </c>
      <c r="D920" s="118">
        <v>0</v>
      </c>
    </row>
    <row r="921" spans="2:4" x14ac:dyDescent="0.2">
      <c r="B921" s="116" t="s">
        <v>1691</v>
      </c>
      <c r="C921" s="117" t="s">
        <v>1692</v>
      </c>
      <c r="D921" s="118">
        <v>0</v>
      </c>
    </row>
    <row r="922" spans="2:4" x14ac:dyDescent="0.2">
      <c r="B922" s="116" t="s">
        <v>1693</v>
      </c>
      <c r="C922" s="117" t="s">
        <v>1694</v>
      </c>
      <c r="D922" s="118">
        <v>0</v>
      </c>
    </row>
    <row r="923" spans="2:4" x14ac:dyDescent="0.2">
      <c r="B923" s="116" t="s">
        <v>3934</v>
      </c>
      <c r="C923" s="117" t="s">
        <v>3935</v>
      </c>
      <c r="D923" s="118">
        <v>0</v>
      </c>
    </row>
    <row r="924" spans="2:4" x14ac:dyDescent="0.2">
      <c r="B924" s="116" t="s">
        <v>3936</v>
      </c>
      <c r="C924" s="117" t="s">
        <v>3937</v>
      </c>
      <c r="D924" s="118">
        <v>0.11</v>
      </c>
    </row>
    <row r="925" spans="2:4" x14ac:dyDescent="0.2">
      <c r="B925" s="116" t="s">
        <v>3938</v>
      </c>
      <c r="C925" s="117" t="s">
        <v>3939</v>
      </c>
      <c r="D925" s="118">
        <v>3.38</v>
      </c>
    </row>
    <row r="926" spans="2:4" x14ac:dyDescent="0.2">
      <c r="B926" s="116" t="s">
        <v>1695</v>
      </c>
      <c r="C926" s="117" t="s">
        <v>1696</v>
      </c>
      <c r="D926" s="118">
        <v>2.2599999999999998</v>
      </c>
    </row>
    <row r="927" spans="2:4" x14ac:dyDescent="0.2">
      <c r="B927" s="116" t="s">
        <v>1697</v>
      </c>
      <c r="C927" s="117" t="s">
        <v>1698</v>
      </c>
      <c r="D927" s="118">
        <v>0.77</v>
      </c>
    </row>
    <row r="928" spans="2:4" x14ac:dyDescent="0.2">
      <c r="B928" s="116" t="s">
        <v>1699</v>
      </c>
      <c r="C928" s="117" t="s">
        <v>1700</v>
      </c>
      <c r="D928" s="118">
        <v>4.57</v>
      </c>
    </row>
    <row r="929" spans="2:4" x14ac:dyDescent="0.2">
      <c r="B929" s="116" t="s">
        <v>1701</v>
      </c>
      <c r="C929" s="117" t="s">
        <v>1702</v>
      </c>
      <c r="D929" s="118">
        <v>0.24</v>
      </c>
    </row>
    <row r="930" spans="2:4" x14ac:dyDescent="0.2">
      <c r="B930" s="116" t="s">
        <v>3940</v>
      </c>
      <c r="C930" s="117" t="s">
        <v>3941</v>
      </c>
      <c r="D930" s="118">
        <v>15</v>
      </c>
    </row>
    <row r="931" spans="2:4" x14ac:dyDescent="0.2">
      <c r="B931" s="116" t="s">
        <v>1703</v>
      </c>
      <c r="C931" s="117" t="s">
        <v>1704</v>
      </c>
      <c r="D931" s="118">
        <v>1.19</v>
      </c>
    </row>
    <row r="932" spans="2:4" x14ac:dyDescent="0.2">
      <c r="B932" s="116" t="s">
        <v>1705</v>
      </c>
      <c r="C932" s="117" t="s">
        <v>1706</v>
      </c>
      <c r="D932" s="118">
        <v>0</v>
      </c>
    </row>
    <row r="933" spans="2:4" x14ac:dyDescent="0.2">
      <c r="B933" s="116" t="s">
        <v>1707</v>
      </c>
      <c r="C933" s="117" t="s">
        <v>1708</v>
      </c>
      <c r="D933" s="118">
        <v>0</v>
      </c>
    </row>
    <row r="934" spans="2:4" x14ac:dyDescent="0.2">
      <c r="B934" s="116" t="s">
        <v>1709</v>
      </c>
      <c r="C934" s="117" t="s">
        <v>1710</v>
      </c>
      <c r="D934" s="118">
        <v>0</v>
      </c>
    </row>
    <row r="935" spans="2:4" x14ac:dyDescent="0.2">
      <c r="B935" s="116" t="s">
        <v>1711</v>
      </c>
      <c r="C935" s="117" t="s">
        <v>1712</v>
      </c>
      <c r="D935" s="118">
        <v>2.27</v>
      </c>
    </row>
    <row r="936" spans="2:4" x14ac:dyDescent="0.2">
      <c r="B936" s="116" t="s">
        <v>3942</v>
      </c>
      <c r="C936" s="117" t="s">
        <v>3943</v>
      </c>
      <c r="D936" s="118">
        <v>4.55</v>
      </c>
    </row>
    <row r="937" spans="2:4" x14ac:dyDescent="0.2">
      <c r="B937" s="116" t="s">
        <v>1713</v>
      </c>
      <c r="C937" s="117" t="s">
        <v>1714</v>
      </c>
      <c r="D937" s="118">
        <v>2.35</v>
      </c>
    </row>
    <row r="938" spans="2:4" x14ac:dyDescent="0.2">
      <c r="B938" s="116" t="s">
        <v>3944</v>
      </c>
      <c r="C938" s="117" t="s">
        <v>3945</v>
      </c>
      <c r="D938" s="118">
        <v>5.98</v>
      </c>
    </row>
    <row r="939" spans="2:4" x14ac:dyDescent="0.2">
      <c r="B939" s="116" t="s">
        <v>1715</v>
      </c>
      <c r="C939" s="117" t="s">
        <v>1716</v>
      </c>
      <c r="D939" s="118">
        <v>0</v>
      </c>
    </row>
    <row r="940" spans="2:4" x14ac:dyDescent="0.2">
      <c r="B940" s="116" t="s">
        <v>3946</v>
      </c>
      <c r="C940" s="117" t="s">
        <v>3947</v>
      </c>
      <c r="D940" s="118">
        <v>2.2200000000000002</v>
      </c>
    </row>
    <row r="941" spans="2:4" x14ac:dyDescent="0.2">
      <c r="B941" s="116" t="s">
        <v>3948</v>
      </c>
      <c r="C941" s="117" t="s">
        <v>3949</v>
      </c>
      <c r="D941" s="118">
        <v>11.97</v>
      </c>
    </row>
    <row r="942" spans="2:4" x14ac:dyDescent="0.2">
      <c r="B942" s="116" t="s">
        <v>1717</v>
      </c>
      <c r="C942" s="117" t="s">
        <v>1718</v>
      </c>
      <c r="D942" s="118">
        <v>1.22</v>
      </c>
    </row>
    <row r="943" spans="2:4" x14ac:dyDescent="0.2">
      <c r="B943" s="116" t="s">
        <v>1719</v>
      </c>
      <c r="C943" s="117" t="s">
        <v>1720</v>
      </c>
      <c r="D943" s="118">
        <v>2.4300000000000002</v>
      </c>
    </row>
    <row r="944" spans="2:4" x14ac:dyDescent="0.2">
      <c r="B944" s="116" t="s">
        <v>1721</v>
      </c>
      <c r="C944" s="117" t="s">
        <v>1722</v>
      </c>
      <c r="D944" s="118">
        <v>1.1100000000000001</v>
      </c>
    </row>
    <row r="945" spans="2:4" x14ac:dyDescent="0.2">
      <c r="B945" s="116" t="s">
        <v>3950</v>
      </c>
      <c r="C945" s="117" t="s">
        <v>3951</v>
      </c>
      <c r="D945" s="118">
        <v>3.65</v>
      </c>
    </row>
    <row r="946" spans="2:4" x14ac:dyDescent="0.2">
      <c r="B946" s="116" t="s">
        <v>3952</v>
      </c>
      <c r="C946" s="117" t="s">
        <v>3953</v>
      </c>
      <c r="D946" s="118">
        <v>3.06</v>
      </c>
    </row>
    <row r="947" spans="2:4" x14ac:dyDescent="0.2">
      <c r="B947" s="116" t="s">
        <v>1723</v>
      </c>
      <c r="C947" s="117" t="s">
        <v>1724</v>
      </c>
      <c r="D947" s="118">
        <v>1.26</v>
      </c>
    </row>
    <row r="948" spans="2:4" x14ac:dyDescent="0.2">
      <c r="B948" s="116" t="s">
        <v>1725</v>
      </c>
      <c r="C948" s="117" t="s">
        <v>1726</v>
      </c>
      <c r="D948" s="118">
        <v>2.57</v>
      </c>
    </row>
    <row r="949" spans="2:4" x14ac:dyDescent="0.2">
      <c r="B949" s="116" t="s">
        <v>3954</v>
      </c>
      <c r="C949" s="117" t="s">
        <v>3955</v>
      </c>
      <c r="D949" s="118">
        <v>1.48</v>
      </c>
    </row>
    <row r="950" spans="2:4" x14ac:dyDescent="0.2">
      <c r="B950" s="116" t="s">
        <v>3956</v>
      </c>
      <c r="C950" s="117" t="s">
        <v>3957</v>
      </c>
      <c r="D950" s="118">
        <v>1.67</v>
      </c>
    </row>
    <row r="951" spans="2:4" x14ac:dyDescent="0.2">
      <c r="B951" s="116" t="s">
        <v>3958</v>
      </c>
      <c r="C951" s="117" t="s">
        <v>3959</v>
      </c>
      <c r="D951" s="118">
        <v>1.06</v>
      </c>
    </row>
    <row r="952" spans="2:4" x14ac:dyDescent="0.2">
      <c r="B952" s="116" t="s">
        <v>3960</v>
      </c>
      <c r="C952" s="117" t="s">
        <v>3961</v>
      </c>
      <c r="D952" s="118">
        <v>1.41</v>
      </c>
    </row>
    <row r="953" spans="2:4" x14ac:dyDescent="0.2">
      <c r="B953" s="116" t="s">
        <v>3962</v>
      </c>
      <c r="C953" s="117" t="s">
        <v>3963</v>
      </c>
      <c r="D953" s="118">
        <v>1.53</v>
      </c>
    </row>
    <row r="954" spans="2:4" x14ac:dyDescent="0.2">
      <c r="B954" s="116" t="s">
        <v>3964</v>
      </c>
      <c r="C954" s="117" t="s">
        <v>3965</v>
      </c>
      <c r="D954" s="118">
        <v>0.87</v>
      </c>
    </row>
    <row r="955" spans="2:4" x14ac:dyDescent="0.2">
      <c r="B955" s="116" t="s">
        <v>1727</v>
      </c>
      <c r="C955" s="117" t="s">
        <v>1728</v>
      </c>
      <c r="D955" s="118">
        <v>2.34</v>
      </c>
    </row>
    <row r="956" spans="2:4" x14ac:dyDescent="0.2">
      <c r="B956" s="116" t="s">
        <v>1729</v>
      </c>
      <c r="C956" s="117" t="s">
        <v>1730</v>
      </c>
      <c r="D956" s="118">
        <v>0</v>
      </c>
    </row>
    <row r="957" spans="2:4" x14ac:dyDescent="0.2">
      <c r="B957" s="116" t="s">
        <v>3966</v>
      </c>
      <c r="C957" s="117" t="s">
        <v>3967</v>
      </c>
      <c r="D957" s="118">
        <v>2.97</v>
      </c>
    </row>
    <row r="958" spans="2:4" x14ac:dyDescent="0.2">
      <c r="B958" s="116" t="s">
        <v>1731</v>
      </c>
      <c r="C958" s="117" t="s">
        <v>1732</v>
      </c>
      <c r="D958" s="118">
        <v>6.03</v>
      </c>
    </row>
    <row r="959" spans="2:4" x14ac:dyDescent="0.2">
      <c r="B959" s="116" t="s">
        <v>1733</v>
      </c>
      <c r="C959" s="117" t="s">
        <v>1734</v>
      </c>
      <c r="D959" s="118">
        <v>2.86</v>
      </c>
    </row>
    <row r="960" spans="2:4" x14ac:dyDescent="0.2">
      <c r="B960" s="116" t="s">
        <v>1735</v>
      </c>
      <c r="C960" s="117" t="s">
        <v>1736</v>
      </c>
      <c r="D960" s="118">
        <v>0</v>
      </c>
    </row>
    <row r="961" spans="2:4" x14ac:dyDescent="0.2">
      <c r="B961" s="116" t="s">
        <v>1737</v>
      </c>
      <c r="C961" s="117" t="s">
        <v>1738</v>
      </c>
      <c r="D961" s="118">
        <v>2.4300000000000002</v>
      </c>
    </row>
    <row r="962" spans="2:4" x14ac:dyDescent="0.2">
      <c r="B962" s="116" t="s">
        <v>1739</v>
      </c>
      <c r="C962" s="117" t="s">
        <v>1740</v>
      </c>
      <c r="D962" s="118">
        <v>0</v>
      </c>
    </row>
    <row r="963" spans="2:4" x14ac:dyDescent="0.2">
      <c r="B963" s="116" t="s">
        <v>1741</v>
      </c>
      <c r="C963" s="117" t="s">
        <v>1742</v>
      </c>
      <c r="D963" s="118">
        <v>0</v>
      </c>
    </row>
    <row r="964" spans="2:4" x14ac:dyDescent="0.2">
      <c r="B964" s="116" t="s">
        <v>1743</v>
      </c>
      <c r="C964" s="117" t="s">
        <v>1744</v>
      </c>
      <c r="D964" s="118">
        <v>0</v>
      </c>
    </row>
    <row r="965" spans="2:4" x14ac:dyDescent="0.2">
      <c r="B965" s="116" t="s">
        <v>1745</v>
      </c>
      <c r="C965" s="117" t="s">
        <v>1746</v>
      </c>
      <c r="D965" s="118">
        <v>2.4700000000000002</v>
      </c>
    </row>
    <row r="966" spans="2:4" x14ac:dyDescent="0.2">
      <c r="B966" s="116" t="s">
        <v>1747</v>
      </c>
      <c r="C966" s="117" t="s">
        <v>1748</v>
      </c>
      <c r="D966" s="118">
        <v>4.09</v>
      </c>
    </row>
    <row r="967" spans="2:4" x14ac:dyDescent="0.2">
      <c r="B967" s="116" t="s">
        <v>3968</v>
      </c>
      <c r="C967" s="117" t="s">
        <v>3969</v>
      </c>
      <c r="D967" s="118">
        <v>0.88</v>
      </c>
    </row>
    <row r="968" spans="2:4" x14ac:dyDescent="0.2">
      <c r="B968" s="116" t="s">
        <v>1749</v>
      </c>
      <c r="C968" s="117" t="s">
        <v>1750</v>
      </c>
      <c r="D968" s="118">
        <v>3.05</v>
      </c>
    </row>
    <row r="969" spans="2:4" x14ac:dyDescent="0.2">
      <c r="B969" s="116" t="s">
        <v>1751</v>
      </c>
      <c r="C969" s="117" t="s">
        <v>1752</v>
      </c>
      <c r="D969" s="118">
        <v>2.48</v>
      </c>
    </row>
    <row r="970" spans="2:4" x14ac:dyDescent="0.2">
      <c r="B970" s="116" t="s">
        <v>1754</v>
      </c>
      <c r="C970" s="117" t="s">
        <v>1755</v>
      </c>
      <c r="D970" s="118">
        <v>0.7</v>
      </c>
    </row>
    <row r="971" spans="2:4" x14ac:dyDescent="0.2">
      <c r="B971" s="116" t="s">
        <v>1756</v>
      </c>
      <c r="C971" s="117" t="s">
        <v>1757</v>
      </c>
      <c r="D971" s="118">
        <v>1.78</v>
      </c>
    </row>
    <row r="972" spans="2:4" x14ac:dyDescent="0.2">
      <c r="B972" s="116" t="s">
        <v>3970</v>
      </c>
      <c r="C972" s="117" t="s">
        <v>3971</v>
      </c>
      <c r="D972" s="118">
        <v>0</v>
      </c>
    </row>
    <row r="973" spans="2:4" x14ac:dyDescent="0.2">
      <c r="B973" s="116" t="s">
        <v>1758</v>
      </c>
      <c r="C973" s="117" t="s">
        <v>1759</v>
      </c>
      <c r="D973" s="118">
        <v>0</v>
      </c>
    </row>
    <row r="974" spans="2:4" x14ac:dyDescent="0.2">
      <c r="B974" s="116" t="s">
        <v>1760</v>
      </c>
      <c r="C974" s="117" t="s">
        <v>1761</v>
      </c>
      <c r="D974" s="118">
        <v>4.91</v>
      </c>
    </row>
    <row r="975" spans="2:4" x14ac:dyDescent="0.2">
      <c r="B975" s="116" t="s">
        <v>1762</v>
      </c>
      <c r="C975" s="117" t="s">
        <v>1763</v>
      </c>
      <c r="D975" s="118">
        <v>4.4400000000000004</v>
      </c>
    </row>
    <row r="976" spans="2:4" x14ac:dyDescent="0.2">
      <c r="B976" s="116" t="s">
        <v>1765</v>
      </c>
      <c r="C976" s="117" t="s">
        <v>1766</v>
      </c>
      <c r="D976" s="118">
        <v>0</v>
      </c>
    </row>
    <row r="977" spans="2:4" x14ac:dyDescent="0.2">
      <c r="B977" s="116" t="s">
        <v>1768</v>
      </c>
      <c r="C977" s="117" t="s">
        <v>1769</v>
      </c>
      <c r="D977" s="118">
        <v>0.81</v>
      </c>
    </row>
    <row r="978" spans="2:4" x14ac:dyDescent="0.2">
      <c r="B978" s="116" t="s">
        <v>3972</v>
      </c>
      <c r="C978" s="117" t="s">
        <v>3973</v>
      </c>
      <c r="D978" s="118">
        <v>2</v>
      </c>
    </row>
    <row r="979" spans="2:4" x14ac:dyDescent="0.2">
      <c r="B979" s="116" t="s">
        <v>1770</v>
      </c>
      <c r="C979" s="117" t="s">
        <v>1771</v>
      </c>
      <c r="D979" s="118">
        <v>0</v>
      </c>
    </row>
    <row r="980" spans="2:4" x14ac:dyDescent="0.2">
      <c r="B980" s="116" t="s">
        <v>1773</v>
      </c>
      <c r="C980" s="117" t="s">
        <v>1774</v>
      </c>
      <c r="D980" s="118">
        <v>0</v>
      </c>
    </row>
    <row r="981" spans="2:4" x14ac:dyDescent="0.2">
      <c r="B981" s="116" t="s">
        <v>1775</v>
      </c>
      <c r="C981" s="117" t="s">
        <v>1776</v>
      </c>
      <c r="D981" s="118">
        <v>1.72</v>
      </c>
    </row>
    <row r="982" spans="2:4" x14ac:dyDescent="0.2">
      <c r="B982" s="116" t="s">
        <v>1779</v>
      </c>
      <c r="C982" s="117" t="s">
        <v>1780</v>
      </c>
      <c r="D982" s="118">
        <v>7.64</v>
      </c>
    </row>
    <row r="983" spans="2:4" x14ac:dyDescent="0.2">
      <c r="B983" s="116" t="s">
        <v>1781</v>
      </c>
      <c r="C983" s="117" t="s">
        <v>1782</v>
      </c>
      <c r="D983" s="118">
        <v>3.85</v>
      </c>
    </row>
    <row r="984" spans="2:4" x14ac:dyDescent="0.2">
      <c r="B984" s="116" t="s">
        <v>1783</v>
      </c>
      <c r="C984" s="117" t="s">
        <v>1784</v>
      </c>
      <c r="D984" s="118">
        <v>6.74</v>
      </c>
    </row>
    <row r="985" spans="2:4" x14ac:dyDescent="0.2">
      <c r="B985" s="116" t="s">
        <v>1785</v>
      </c>
      <c r="C985" s="117" t="s">
        <v>1786</v>
      </c>
      <c r="D985" s="118">
        <v>0</v>
      </c>
    </row>
    <row r="986" spans="2:4" x14ac:dyDescent="0.2">
      <c r="B986" s="116" t="s">
        <v>3974</v>
      </c>
      <c r="C986" s="117" t="s">
        <v>3975</v>
      </c>
      <c r="D986" s="118">
        <v>2.2200000000000002</v>
      </c>
    </row>
    <row r="987" spans="2:4" x14ac:dyDescent="0.2">
      <c r="B987" s="116" t="s">
        <v>1787</v>
      </c>
      <c r="C987" s="117" t="s">
        <v>1788</v>
      </c>
      <c r="D987" s="118">
        <v>0</v>
      </c>
    </row>
    <row r="988" spans="2:4" x14ac:dyDescent="0.2">
      <c r="B988" s="116" t="s">
        <v>3976</v>
      </c>
      <c r="C988" s="117" t="s">
        <v>3977</v>
      </c>
      <c r="D988" s="118">
        <v>1.07</v>
      </c>
    </row>
    <row r="989" spans="2:4" x14ac:dyDescent="0.2">
      <c r="B989" s="116" t="s">
        <v>3978</v>
      </c>
      <c r="C989" s="117" t="s">
        <v>3979</v>
      </c>
      <c r="D989" s="118">
        <v>3.1</v>
      </c>
    </row>
    <row r="990" spans="2:4" x14ac:dyDescent="0.2">
      <c r="B990" s="116" t="s">
        <v>1789</v>
      </c>
      <c r="C990" s="117" t="s">
        <v>1790</v>
      </c>
      <c r="D990" s="118">
        <v>0</v>
      </c>
    </row>
    <row r="991" spans="2:4" x14ac:dyDescent="0.2">
      <c r="B991" s="116" t="s">
        <v>1791</v>
      </c>
      <c r="C991" s="117" t="s">
        <v>1792</v>
      </c>
      <c r="D991" s="118">
        <v>0.99</v>
      </c>
    </row>
    <row r="992" spans="2:4" x14ac:dyDescent="0.2">
      <c r="B992" s="116" t="s">
        <v>1793</v>
      </c>
      <c r="C992" s="117" t="s">
        <v>1794</v>
      </c>
      <c r="D992" s="118">
        <v>0.55000000000000004</v>
      </c>
    </row>
    <row r="993" spans="2:4" x14ac:dyDescent="0.2">
      <c r="B993" s="116" t="s">
        <v>3980</v>
      </c>
      <c r="C993" s="117" t="s">
        <v>3981</v>
      </c>
      <c r="D993" s="118">
        <v>7.91</v>
      </c>
    </row>
    <row r="994" spans="2:4" x14ac:dyDescent="0.2">
      <c r="B994" s="116" t="s">
        <v>1795</v>
      </c>
      <c r="C994" s="117" t="s">
        <v>1796</v>
      </c>
      <c r="D994" s="118">
        <v>2.58</v>
      </c>
    </row>
    <row r="995" spans="2:4" x14ac:dyDescent="0.2">
      <c r="B995" s="116" t="s">
        <v>3982</v>
      </c>
      <c r="C995" s="117" t="s">
        <v>3983</v>
      </c>
      <c r="D995" s="118">
        <v>1.98</v>
      </c>
    </row>
    <row r="996" spans="2:4" x14ac:dyDescent="0.2">
      <c r="B996" s="116" t="s">
        <v>1797</v>
      </c>
      <c r="C996" s="117" t="s">
        <v>1798</v>
      </c>
      <c r="D996" s="118">
        <v>7.35</v>
      </c>
    </row>
    <row r="997" spans="2:4" x14ac:dyDescent="0.2">
      <c r="B997" s="116" t="s">
        <v>3984</v>
      </c>
      <c r="C997" s="117" t="s">
        <v>3985</v>
      </c>
      <c r="D997" s="118">
        <v>2.31</v>
      </c>
    </row>
    <row r="998" spans="2:4" x14ac:dyDescent="0.2">
      <c r="B998" s="116" t="s">
        <v>3986</v>
      </c>
      <c r="C998" s="117" t="s">
        <v>3987</v>
      </c>
      <c r="D998" s="118">
        <v>1.05</v>
      </c>
    </row>
    <row r="999" spans="2:4" x14ac:dyDescent="0.2">
      <c r="B999" s="116" t="s">
        <v>3988</v>
      </c>
      <c r="C999" s="117" t="s">
        <v>3989</v>
      </c>
      <c r="D999" s="118">
        <v>1.2</v>
      </c>
    </row>
    <row r="1000" spans="2:4" x14ac:dyDescent="0.2">
      <c r="B1000" s="116" t="s">
        <v>3990</v>
      </c>
      <c r="C1000" s="117" t="s">
        <v>3991</v>
      </c>
      <c r="D1000" s="118">
        <v>1.81</v>
      </c>
    </row>
    <row r="1001" spans="2:4" x14ac:dyDescent="0.2">
      <c r="B1001" s="116" t="s">
        <v>3992</v>
      </c>
      <c r="C1001" s="117" t="s">
        <v>3993</v>
      </c>
      <c r="D1001" s="118">
        <v>0.64</v>
      </c>
    </row>
    <row r="1002" spans="2:4" x14ac:dyDescent="0.2">
      <c r="B1002" s="116" t="s">
        <v>3994</v>
      </c>
      <c r="C1002" s="117" t="s">
        <v>3995</v>
      </c>
      <c r="D1002" s="118">
        <v>0.76</v>
      </c>
    </row>
    <row r="1003" spans="2:4" x14ac:dyDescent="0.2">
      <c r="B1003" s="116" t="s">
        <v>3996</v>
      </c>
      <c r="C1003" s="117" t="s">
        <v>3997</v>
      </c>
      <c r="D1003" s="118">
        <v>3.22</v>
      </c>
    </row>
    <row r="1004" spans="2:4" x14ac:dyDescent="0.2">
      <c r="B1004" s="116" t="s">
        <v>3998</v>
      </c>
      <c r="C1004" s="117" t="s">
        <v>3999</v>
      </c>
      <c r="D1004" s="118">
        <v>2.1</v>
      </c>
    </row>
    <row r="1005" spans="2:4" x14ac:dyDescent="0.2">
      <c r="B1005" s="116" t="s">
        <v>1799</v>
      </c>
      <c r="C1005" s="117" t="s">
        <v>1800</v>
      </c>
      <c r="D1005" s="118">
        <v>4.17</v>
      </c>
    </row>
    <row r="1006" spans="2:4" x14ac:dyDescent="0.2">
      <c r="B1006" s="116" t="s">
        <v>4000</v>
      </c>
      <c r="C1006" s="117" t="s">
        <v>4001</v>
      </c>
      <c r="D1006" s="118">
        <v>2.72</v>
      </c>
    </row>
    <row r="1007" spans="2:4" x14ac:dyDescent="0.2">
      <c r="B1007" s="116" t="s">
        <v>4002</v>
      </c>
      <c r="C1007" s="117" t="s">
        <v>4003</v>
      </c>
      <c r="D1007" s="118">
        <v>0.77</v>
      </c>
    </row>
    <row r="1008" spans="2:4" x14ac:dyDescent="0.2">
      <c r="B1008" s="116" t="s">
        <v>1801</v>
      </c>
      <c r="C1008" s="117" t="s">
        <v>1802</v>
      </c>
      <c r="D1008" s="118">
        <v>4.93</v>
      </c>
    </row>
    <row r="1009" spans="2:4" x14ac:dyDescent="0.2">
      <c r="B1009" s="116" t="s">
        <v>4004</v>
      </c>
      <c r="C1009" s="117" t="s">
        <v>4005</v>
      </c>
      <c r="D1009" s="118">
        <v>2.75</v>
      </c>
    </row>
    <row r="1010" spans="2:4" x14ac:dyDescent="0.2">
      <c r="B1010" s="116" t="s">
        <v>1803</v>
      </c>
      <c r="C1010" s="117" t="s">
        <v>1804</v>
      </c>
      <c r="D1010" s="118">
        <v>0</v>
      </c>
    </row>
    <row r="1011" spans="2:4" x14ac:dyDescent="0.2">
      <c r="B1011" s="116" t="s">
        <v>1805</v>
      </c>
      <c r="C1011" s="117" t="s">
        <v>1806</v>
      </c>
      <c r="D1011" s="118">
        <v>2.2799999999999998</v>
      </c>
    </row>
    <row r="1012" spans="2:4" x14ac:dyDescent="0.2">
      <c r="B1012" s="116" t="s">
        <v>1807</v>
      </c>
      <c r="C1012" s="117" t="s">
        <v>1808</v>
      </c>
      <c r="D1012" s="118">
        <v>0.91</v>
      </c>
    </row>
    <row r="1013" spans="2:4" x14ac:dyDescent="0.2">
      <c r="B1013" s="116" t="s">
        <v>1810</v>
      </c>
      <c r="C1013" s="117" t="s">
        <v>1811</v>
      </c>
      <c r="D1013" s="118">
        <v>1.04</v>
      </c>
    </row>
    <row r="1014" spans="2:4" x14ac:dyDescent="0.2">
      <c r="B1014" s="116" t="s">
        <v>1813</v>
      </c>
      <c r="C1014" s="117" t="s">
        <v>1814</v>
      </c>
      <c r="D1014" s="118">
        <v>0</v>
      </c>
    </row>
    <row r="1015" spans="2:4" x14ac:dyDescent="0.2">
      <c r="B1015" s="116" t="s">
        <v>4006</v>
      </c>
      <c r="C1015" s="117" t="s">
        <v>4007</v>
      </c>
      <c r="D1015" s="118">
        <v>0.01</v>
      </c>
    </row>
    <row r="1016" spans="2:4" x14ac:dyDescent="0.2">
      <c r="B1016" s="116" t="s">
        <v>1815</v>
      </c>
      <c r="C1016" s="117" t="s">
        <v>1816</v>
      </c>
      <c r="D1016" s="118">
        <v>0.39</v>
      </c>
    </row>
    <row r="1017" spans="2:4" x14ac:dyDescent="0.2">
      <c r="B1017" s="116" t="s">
        <v>4008</v>
      </c>
      <c r="C1017" s="117" t="s">
        <v>4009</v>
      </c>
      <c r="D1017" s="118">
        <v>0</v>
      </c>
    </row>
    <row r="1018" spans="2:4" x14ac:dyDescent="0.2">
      <c r="B1018" s="116" t="s">
        <v>1818</v>
      </c>
      <c r="C1018" s="117" t="s">
        <v>1819</v>
      </c>
      <c r="D1018" s="118">
        <v>2.37</v>
      </c>
    </row>
    <row r="1019" spans="2:4" x14ac:dyDescent="0.2">
      <c r="B1019" s="116" t="s">
        <v>1820</v>
      </c>
      <c r="C1019" s="117" t="s">
        <v>1821</v>
      </c>
      <c r="D1019" s="118">
        <v>2.0099999999999998</v>
      </c>
    </row>
    <row r="1020" spans="2:4" x14ac:dyDescent="0.2">
      <c r="B1020" s="116" t="s">
        <v>1822</v>
      </c>
      <c r="C1020" s="117" t="s">
        <v>1823</v>
      </c>
      <c r="D1020" s="118">
        <v>0</v>
      </c>
    </row>
    <row r="1021" spans="2:4" x14ac:dyDescent="0.2">
      <c r="B1021" s="116" t="s">
        <v>1824</v>
      </c>
      <c r="C1021" s="117" t="s">
        <v>1825</v>
      </c>
      <c r="D1021" s="118">
        <v>0.74</v>
      </c>
    </row>
    <row r="1022" spans="2:4" x14ac:dyDescent="0.2">
      <c r="B1022" s="116" t="s">
        <v>4010</v>
      </c>
      <c r="C1022" s="117" t="s">
        <v>4011</v>
      </c>
      <c r="D1022" s="118">
        <v>2.57</v>
      </c>
    </row>
    <row r="1023" spans="2:4" x14ac:dyDescent="0.2">
      <c r="B1023" s="116" t="s">
        <v>4012</v>
      </c>
      <c r="C1023" s="117" t="s">
        <v>4013</v>
      </c>
      <c r="D1023" s="118">
        <v>4.28</v>
      </c>
    </row>
    <row r="1024" spans="2:4" x14ac:dyDescent="0.2">
      <c r="B1024" s="116" t="s">
        <v>1826</v>
      </c>
      <c r="C1024" s="117" t="s">
        <v>1827</v>
      </c>
      <c r="D1024" s="118">
        <v>0</v>
      </c>
    </row>
    <row r="1025" spans="2:4" x14ac:dyDescent="0.2">
      <c r="B1025" s="116" t="s">
        <v>1828</v>
      </c>
      <c r="C1025" s="117" t="s">
        <v>1829</v>
      </c>
      <c r="D1025" s="118">
        <v>6.66</v>
      </c>
    </row>
    <row r="1026" spans="2:4" x14ac:dyDescent="0.2">
      <c r="B1026" s="116" t="s">
        <v>4014</v>
      </c>
      <c r="C1026" s="117" t="s">
        <v>4015</v>
      </c>
      <c r="D1026" s="118">
        <v>2.36</v>
      </c>
    </row>
    <row r="1027" spans="2:4" x14ac:dyDescent="0.2">
      <c r="B1027" s="116" t="s">
        <v>1830</v>
      </c>
      <c r="C1027" s="117" t="s">
        <v>1831</v>
      </c>
      <c r="D1027" s="118">
        <v>1.04</v>
      </c>
    </row>
    <row r="1028" spans="2:4" x14ac:dyDescent="0.2">
      <c r="B1028" s="116" t="s">
        <v>1832</v>
      </c>
      <c r="C1028" s="117" t="s">
        <v>1833</v>
      </c>
      <c r="D1028" s="118">
        <v>1.08</v>
      </c>
    </row>
    <row r="1029" spans="2:4" x14ac:dyDescent="0.2">
      <c r="B1029" s="116" t="s">
        <v>1835</v>
      </c>
      <c r="C1029" s="117" t="s">
        <v>1836</v>
      </c>
      <c r="D1029" s="118">
        <v>0.63</v>
      </c>
    </row>
    <row r="1030" spans="2:4" x14ac:dyDescent="0.2">
      <c r="B1030" s="116" t="s">
        <v>4016</v>
      </c>
      <c r="C1030" s="117" t="s">
        <v>4017</v>
      </c>
      <c r="D1030" s="118">
        <v>1.41</v>
      </c>
    </row>
    <row r="1031" spans="2:4" x14ac:dyDescent="0.2">
      <c r="B1031" s="116" t="s">
        <v>1837</v>
      </c>
      <c r="C1031" s="117" t="s">
        <v>1838</v>
      </c>
      <c r="D1031" s="118">
        <v>3.8</v>
      </c>
    </row>
    <row r="1032" spans="2:4" x14ac:dyDescent="0.2">
      <c r="B1032" s="116" t="s">
        <v>1839</v>
      </c>
      <c r="C1032" s="117" t="s">
        <v>1840</v>
      </c>
      <c r="D1032" s="118">
        <v>2.89</v>
      </c>
    </row>
    <row r="1033" spans="2:4" x14ac:dyDescent="0.2">
      <c r="B1033" s="116" t="s">
        <v>4018</v>
      </c>
      <c r="C1033" s="117" t="s">
        <v>4019</v>
      </c>
      <c r="D1033" s="118">
        <v>5.56</v>
      </c>
    </row>
    <row r="1034" spans="2:4" x14ac:dyDescent="0.2">
      <c r="B1034" s="116" t="s">
        <v>1841</v>
      </c>
      <c r="C1034" s="117" t="s">
        <v>1842</v>
      </c>
      <c r="D1034" s="118">
        <v>3.19</v>
      </c>
    </row>
    <row r="1035" spans="2:4" x14ac:dyDescent="0.2">
      <c r="B1035" s="116" t="s">
        <v>4020</v>
      </c>
      <c r="C1035" s="117" t="s">
        <v>4021</v>
      </c>
      <c r="D1035" s="118">
        <v>0</v>
      </c>
    </row>
    <row r="1036" spans="2:4" x14ac:dyDescent="0.2">
      <c r="B1036" s="116" t="s">
        <v>1843</v>
      </c>
      <c r="C1036" s="117" t="s">
        <v>1844</v>
      </c>
      <c r="D1036" s="118">
        <v>2.69</v>
      </c>
    </row>
    <row r="1037" spans="2:4" x14ac:dyDescent="0.2">
      <c r="B1037" s="116" t="s">
        <v>1845</v>
      </c>
      <c r="C1037" s="117" t="s">
        <v>1846</v>
      </c>
      <c r="D1037" s="118">
        <v>1.36</v>
      </c>
    </row>
    <row r="1038" spans="2:4" x14ac:dyDescent="0.2">
      <c r="B1038" s="116" t="s">
        <v>1847</v>
      </c>
      <c r="C1038" s="117" t="s">
        <v>1848</v>
      </c>
      <c r="D1038" s="118">
        <v>6.93</v>
      </c>
    </row>
    <row r="1039" spans="2:4" x14ac:dyDescent="0.2">
      <c r="B1039" s="116" t="s">
        <v>1849</v>
      </c>
      <c r="C1039" s="117" t="s">
        <v>1850</v>
      </c>
      <c r="D1039" s="118">
        <v>2.58</v>
      </c>
    </row>
    <row r="1040" spans="2:4" x14ac:dyDescent="0.2">
      <c r="B1040" s="116" t="s">
        <v>4022</v>
      </c>
      <c r="C1040" s="117" t="s">
        <v>4023</v>
      </c>
      <c r="D1040" s="118">
        <v>0.57999999999999996</v>
      </c>
    </row>
    <row r="1041" spans="2:4" x14ac:dyDescent="0.2">
      <c r="B1041" s="116" t="s">
        <v>1851</v>
      </c>
      <c r="C1041" s="117" t="s">
        <v>1852</v>
      </c>
      <c r="D1041" s="118">
        <v>4.5999999999999996</v>
      </c>
    </row>
    <row r="1042" spans="2:4" x14ac:dyDescent="0.2">
      <c r="B1042" s="116" t="s">
        <v>1853</v>
      </c>
      <c r="C1042" s="117" t="s">
        <v>1854</v>
      </c>
      <c r="D1042" s="118">
        <v>3.58</v>
      </c>
    </row>
    <row r="1043" spans="2:4" x14ac:dyDescent="0.2">
      <c r="B1043" s="116" t="s">
        <v>1855</v>
      </c>
      <c r="C1043" s="117" t="s">
        <v>1856</v>
      </c>
      <c r="D1043" s="118">
        <v>2.99</v>
      </c>
    </row>
    <row r="1044" spans="2:4" x14ac:dyDescent="0.2">
      <c r="B1044" s="116" t="s">
        <v>1857</v>
      </c>
      <c r="C1044" s="117" t="s">
        <v>1858</v>
      </c>
      <c r="D1044" s="118">
        <v>3.75</v>
      </c>
    </row>
    <row r="1045" spans="2:4" x14ac:dyDescent="0.2">
      <c r="B1045" s="116" t="s">
        <v>1859</v>
      </c>
      <c r="C1045" s="117" t="s">
        <v>1860</v>
      </c>
      <c r="D1045" s="118">
        <v>5.56</v>
      </c>
    </row>
    <row r="1046" spans="2:4" x14ac:dyDescent="0.2">
      <c r="B1046" s="116" t="s">
        <v>1861</v>
      </c>
      <c r="C1046" s="117" t="s">
        <v>1862</v>
      </c>
      <c r="D1046" s="118">
        <v>1.26</v>
      </c>
    </row>
    <row r="1047" spans="2:4" x14ac:dyDescent="0.2">
      <c r="B1047" s="116" t="s">
        <v>4024</v>
      </c>
      <c r="C1047" s="117" t="s">
        <v>4025</v>
      </c>
      <c r="D1047" s="118">
        <v>3.99</v>
      </c>
    </row>
    <row r="1048" spans="2:4" x14ac:dyDescent="0.2">
      <c r="B1048" s="116" t="s">
        <v>4026</v>
      </c>
      <c r="C1048" s="117" t="s">
        <v>4027</v>
      </c>
      <c r="D1048" s="118">
        <v>2.74</v>
      </c>
    </row>
    <row r="1049" spans="2:4" x14ac:dyDescent="0.2">
      <c r="B1049" s="116" t="s">
        <v>1863</v>
      </c>
      <c r="C1049" s="117" t="s">
        <v>1864</v>
      </c>
      <c r="D1049" s="118">
        <v>2.2000000000000002</v>
      </c>
    </row>
    <row r="1050" spans="2:4" x14ac:dyDescent="0.2">
      <c r="B1050" s="116" t="s">
        <v>1865</v>
      </c>
      <c r="C1050" s="117" t="s">
        <v>1866</v>
      </c>
      <c r="D1050" s="118">
        <v>0</v>
      </c>
    </row>
    <row r="1051" spans="2:4" x14ac:dyDescent="0.2">
      <c r="B1051" s="116" t="s">
        <v>1867</v>
      </c>
      <c r="C1051" s="117" t="s">
        <v>1868</v>
      </c>
      <c r="D1051" s="118">
        <v>0</v>
      </c>
    </row>
    <row r="1052" spans="2:4" x14ac:dyDescent="0.2">
      <c r="B1052" s="116" t="s">
        <v>1869</v>
      </c>
      <c r="C1052" s="117" t="s">
        <v>1870</v>
      </c>
      <c r="D1052" s="118">
        <v>4.16</v>
      </c>
    </row>
    <row r="1053" spans="2:4" x14ac:dyDescent="0.2">
      <c r="B1053" s="116" t="s">
        <v>1871</v>
      </c>
      <c r="C1053" s="117" t="s">
        <v>1872</v>
      </c>
      <c r="D1053" s="118">
        <v>0</v>
      </c>
    </row>
    <row r="1054" spans="2:4" x14ac:dyDescent="0.2">
      <c r="B1054" s="116" t="s">
        <v>1873</v>
      </c>
      <c r="C1054" s="117" t="s">
        <v>1874</v>
      </c>
      <c r="D1054" s="118">
        <v>0</v>
      </c>
    </row>
    <row r="1055" spans="2:4" x14ac:dyDescent="0.2">
      <c r="B1055" s="116" t="s">
        <v>1875</v>
      </c>
      <c r="C1055" s="117" t="s">
        <v>1876</v>
      </c>
      <c r="D1055" s="118">
        <v>0.1</v>
      </c>
    </row>
    <row r="1056" spans="2:4" x14ac:dyDescent="0.2">
      <c r="B1056" s="116" t="s">
        <v>1877</v>
      </c>
      <c r="C1056" s="117" t="s">
        <v>1878</v>
      </c>
      <c r="D1056" s="118">
        <v>6.75</v>
      </c>
    </row>
    <row r="1057" spans="2:4" x14ac:dyDescent="0.2">
      <c r="B1057" s="116" t="s">
        <v>1879</v>
      </c>
      <c r="C1057" s="117" t="s">
        <v>1880</v>
      </c>
      <c r="D1057" s="118">
        <v>5.69</v>
      </c>
    </row>
    <row r="1058" spans="2:4" x14ac:dyDescent="0.2">
      <c r="B1058" s="116" t="s">
        <v>1881</v>
      </c>
      <c r="C1058" s="117" t="s">
        <v>1882</v>
      </c>
      <c r="D1058" s="118">
        <v>2.4</v>
      </c>
    </row>
    <row r="1059" spans="2:4" x14ac:dyDescent="0.2">
      <c r="B1059" s="116" t="s">
        <v>1883</v>
      </c>
      <c r="C1059" s="117" t="s">
        <v>1884</v>
      </c>
      <c r="D1059" s="118">
        <v>1.56</v>
      </c>
    </row>
    <row r="1060" spans="2:4" x14ac:dyDescent="0.2">
      <c r="B1060" s="116" t="s">
        <v>4028</v>
      </c>
      <c r="C1060" s="117" t="s">
        <v>4029</v>
      </c>
      <c r="D1060" s="118">
        <v>5.53</v>
      </c>
    </row>
    <row r="1061" spans="2:4" x14ac:dyDescent="0.2">
      <c r="B1061" s="116" t="s">
        <v>4030</v>
      </c>
      <c r="C1061" s="117" t="s">
        <v>4031</v>
      </c>
      <c r="D1061" s="118">
        <v>11.24</v>
      </c>
    </row>
    <row r="1062" spans="2:4" x14ac:dyDescent="0.2">
      <c r="B1062" s="116" t="s">
        <v>1885</v>
      </c>
      <c r="C1062" s="117" t="s">
        <v>1886</v>
      </c>
      <c r="D1062" s="118">
        <v>0</v>
      </c>
    </row>
    <row r="1063" spans="2:4" x14ac:dyDescent="0.2">
      <c r="B1063" s="116" t="s">
        <v>1885</v>
      </c>
      <c r="C1063" s="117" t="s">
        <v>4032</v>
      </c>
      <c r="D1063" s="118">
        <v>2.39</v>
      </c>
    </row>
    <row r="1064" spans="2:4" x14ac:dyDescent="0.2">
      <c r="B1064" s="116" t="s">
        <v>1887</v>
      </c>
      <c r="C1064" s="117" t="s">
        <v>1888</v>
      </c>
      <c r="D1064" s="118">
        <v>1.72</v>
      </c>
    </row>
    <row r="1065" spans="2:4" x14ac:dyDescent="0.2">
      <c r="B1065" s="116" t="s">
        <v>1889</v>
      </c>
      <c r="C1065" s="117" t="s">
        <v>1890</v>
      </c>
      <c r="D1065" s="118">
        <v>0.34</v>
      </c>
    </row>
    <row r="1066" spans="2:4" x14ac:dyDescent="0.2">
      <c r="B1066" s="116" t="s">
        <v>1891</v>
      </c>
      <c r="C1066" s="117" t="s">
        <v>1892</v>
      </c>
      <c r="D1066" s="118">
        <v>1.93</v>
      </c>
    </row>
    <row r="1067" spans="2:4" x14ac:dyDescent="0.2">
      <c r="B1067" s="116" t="s">
        <v>4033</v>
      </c>
      <c r="C1067" s="117" t="s">
        <v>4034</v>
      </c>
      <c r="D1067" s="118">
        <v>4.8899999999999997</v>
      </c>
    </row>
    <row r="1068" spans="2:4" x14ac:dyDescent="0.2">
      <c r="B1068" s="116" t="s">
        <v>1893</v>
      </c>
      <c r="C1068" s="117" t="s">
        <v>1894</v>
      </c>
      <c r="D1068" s="118">
        <v>0</v>
      </c>
    </row>
    <row r="1069" spans="2:4" x14ac:dyDescent="0.2">
      <c r="B1069" s="116" t="s">
        <v>1895</v>
      </c>
      <c r="C1069" s="117" t="s">
        <v>1896</v>
      </c>
      <c r="D1069" s="118">
        <v>3.28</v>
      </c>
    </row>
    <row r="1070" spans="2:4" x14ac:dyDescent="0.2">
      <c r="B1070" s="116" t="s">
        <v>1898</v>
      </c>
      <c r="C1070" s="117" t="s">
        <v>1899</v>
      </c>
      <c r="D1070" s="118">
        <v>3.05</v>
      </c>
    </row>
    <row r="1071" spans="2:4" x14ac:dyDescent="0.2">
      <c r="B1071" s="116" t="s">
        <v>1900</v>
      </c>
      <c r="C1071" s="117" t="s">
        <v>1901</v>
      </c>
      <c r="D1071" s="118">
        <v>4.78</v>
      </c>
    </row>
    <row r="1072" spans="2:4" x14ac:dyDescent="0.2">
      <c r="B1072" s="116" t="s">
        <v>1902</v>
      </c>
      <c r="C1072" s="117" t="s">
        <v>1903</v>
      </c>
      <c r="D1072" s="118">
        <v>1.29</v>
      </c>
    </row>
    <row r="1073" spans="2:4" x14ac:dyDescent="0.2">
      <c r="B1073" s="116" t="s">
        <v>1904</v>
      </c>
      <c r="C1073" s="117" t="s">
        <v>1905</v>
      </c>
      <c r="D1073" s="118">
        <v>4.4400000000000004</v>
      </c>
    </row>
    <row r="1074" spans="2:4" x14ac:dyDescent="0.2">
      <c r="B1074" s="116" t="s">
        <v>1906</v>
      </c>
      <c r="C1074" s="117" t="s">
        <v>1907</v>
      </c>
      <c r="D1074" s="118">
        <v>0</v>
      </c>
    </row>
    <row r="1075" spans="2:4" x14ac:dyDescent="0.2">
      <c r="B1075" s="116" t="s">
        <v>4035</v>
      </c>
      <c r="C1075" s="117" t="s">
        <v>4036</v>
      </c>
      <c r="D1075" s="118">
        <v>2.5299999999999998</v>
      </c>
    </row>
    <row r="1076" spans="2:4" x14ac:dyDescent="0.2">
      <c r="B1076" s="116" t="s">
        <v>1908</v>
      </c>
      <c r="C1076" s="117" t="s">
        <v>1909</v>
      </c>
      <c r="D1076" s="118">
        <v>2.64</v>
      </c>
    </row>
    <row r="1077" spans="2:4" x14ac:dyDescent="0.2">
      <c r="B1077" s="116" t="s">
        <v>1910</v>
      </c>
      <c r="C1077" s="117" t="s">
        <v>1911</v>
      </c>
      <c r="D1077" s="118">
        <v>2.0499999999999998</v>
      </c>
    </row>
    <row r="1078" spans="2:4" x14ac:dyDescent="0.2">
      <c r="B1078" s="116" t="s">
        <v>4037</v>
      </c>
      <c r="C1078" s="117" t="s">
        <v>4038</v>
      </c>
      <c r="D1078" s="118">
        <v>0</v>
      </c>
    </row>
    <row r="1079" spans="2:4" x14ac:dyDescent="0.2">
      <c r="B1079" s="116" t="s">
        <v>1912</v>
      </c>
      <c r="C1079" s="117" t="s">
        <v>1913</v>
      </c>
      <c r="D1079" s="118">
        <v>0.69</v>
      </c>
    </row>
    <row r="1080" spans="2:4" x14ac:dyDescent="0.2">
      <c r="B1080" s="116" t="s">
        <v>1914</v>
      </c>
      <c r="C1080" s="117" t="s">
        <v>1915</v>
      </c>
      <c r="D1080" s="118">
        <v>2.97</v>
      </c>
    </row>
    <row r="1081" spans="2:4" x14ac:dyDescent="0.2">
      <c r="B1081" s="116" t="s">
        <v>1916</v>
      </c>
      <c r="C1081" s="117" t="s">
        <v>1917</v>
      </c>
      <c r="D1081" s="118">
        <v>2.96</v>
      </c>
    </row>
    <row r="1082" spans="2:4" x14ac:dyDescent="0.2">
      <c r="B1082" s="116" t="s">
        <v>4039</v>
      </c>
      <c r="C1082" s="117" t="s">
        <v>4040</v>
      </c>
      <c r="D1082" s="118">
        <v>2.65</v>
      </c>
    </row>
    <row r="1083" spans="2:4" x14ac:dyDescent="0.2">
      <c r="B1083" s="116" t="s">
        <v>1918</v>
      </c>
      <c r="C1083" s="117" t="s">
        <v>1919</v>
      </c>
      <c r="D1083" s="118">
        <v>2.4900000000000002</v>
      </c>
    </row>
    <row r="1084" spans="2:4" x14ac:dyDescent="0.2">
      <c r="B1084" s="116" t="s">
        <v>1920</v>
      </c>
      <c r="C1084" s="117" t="s">
        <v>1921</v>
      </c>
      <c r="D1084" s="118">
        <v>2.4700000000000002</v>
      </c>
    </row>
    <row r="1085" spans="2:4" x14ac:dyDescent="0.2">
      <c r="B1085" s="116" t="s">
        <v>4041</v>
      </c>
      <c r="C1085" s="117" t="s">
        <v>4042</v>
      </c>
      <c r="D1085" s="118">
        <v>0</v>
      </c>
    </row>
    <row r="1086" spans="2:4" x14ac:dyDescent="0.2">
      <c r="B1086" s="116" t="s">
        <v>4043</v>
      </c>
      <c r="C1086" s="117" t="s">
        <v>4044</v>
      </c>
      <c r="D1086" s="118">
        <v>0.92</v>
      </c>
    </row>
    <row r="1087" spans="2:4" x14ac:dyDescent="0.2">
      <c r="B1087" s="116" t="s">
        <v>1922</v>
      </c>
      <c r="C1087" s="117" t="s">
        <v>1923</v>
      </c>
      <c r="D1087" s="118">
        <v>5.47</v>
      </c>
    </row>
    <row r="1088" spans="2:4" x14ac:dyDescent="0.2">
      <c r="B1088" s="116" t="s">
        <v>1925</v>
      </c>
      <c r="C1088" s="117" t="s">
        <v>1926</v>
      </c>
      <c r="D1088" s="118">
        <v>1.0900000000000001</v>
      </c>
    </row>
    <row r="1089" spans="2:4" x14ac:dyDescent="0.2">
      <c r="B1089" s="116" t="s">
        <v>1927</v>
      </c>
      <c r="C1089" s="117" t="s">
        <v>1928</v>
      </c>
      <c r="D1089" s="118">
        <v>3.46</v>
      </c>
    </row>
    <row r="1090" spans="2:4" x14ac:dyDescent="0.2">
      <c r="B1090" s="116" t="s">
        <v>1929</v>
      </c>
      <c r="C1090" s="117" t="s">
        <v>1930</v>
      </c>
      <c r="D1090" s="118">
        <v>1.67</v>
      </c>
    </row>
    <row r="1091" spans="2:4" x14ac:dyDescent="0.2">
      <c r="B1091" s="116" t="s">
        <v>1931</v>
      </c>
      <c r="C1091" s="117" t="s">
        <v>1932</v>
      </c>
      <c r="D1091" s="118">
        <v>2.2799999999999998</v>
      </c>
    </row>
    <row r="1092" spans="2:4" x14ac:dyDescent="0.2">
      <c r="B1092" s="116" t="s">
        <v>4045</v>
      </c>
      <c r="C1092" s="117" t="s">
        <v>4046</v>
      </c>
      <c r="D1092" s="118">
        <v>3.79</v>
      </c>
    </row>
    <row r="1093" spans="2:4" x14ac:dyDescent="0.2">
      <c r="B1093" s="116" t="s">
        <v>1933</v>
      </c>
      <c r="C1093" s="117" t="s">
        <v>1934</v>
      </c>
      <c r="D1093" s="118">
        <v>2.2599999999999998</v>
      </c>
    </row>
    <row r="1094" spans="2:4" x14ac:dyDescent="0.2">
      <c r="B1094" s="116" t="s">
        <v>1935</v>
      </c>
      <c r="C1094" s="117" t="s">
        <v>1936</v>
      </c>
      <c r="D1094" s="118">
        <v>1.99</v>
      </c>
    </row>
    <row r="1095" spans="2:4" x14ac:dyDescent="0.2">
      <c r="B1095" s="116" t="s">
        <v>1937</v>
      </c>
      <c r="C1095" s="117" t="s">
        <v>1938</v>
      </c>
      <c r="D1095" s="118">
        <v>0.49</v>
      </c>
    </row>
    <row r="1096" spans="2:4" x14ac:dyDescent="0.2">
      <c r="B1096" s="116" t="s">
        <v>1939</v>
      </c>
      <c r="C1096" s="117" t="s">
        <v>1940</v>
      </c>
      <c r="D1096" s="118">
        <v>0.92</v>
      </c>
    </row>
    <row r="1097" spans="2:4" x14ac:dyDescent="0.2">
      <c r="B1097" s="116" t="s">
        <v>1941</v>
      </c>
      <c r="C1097" s="117" t="s">
        <v>1942</v>
      </c>
      <c r="D1097" s="118">
        <v>4.8</v>
      </c>
    </row>
    <row r="1098" spans="2:4" x14ac:dyDescent="0.2">
      <c r="B1098" s="116" t="s">
        <v>4047</v>
      </c>
      <c r="C1098" s="117" t="s">
        <v>4048</v>
      </c>
      <c r="D1098" s="118">
        <v>1.81</v>
      </c>
    </row>
    <row r="1099" spans="2:4" x14ac:dyDescent="0.2">
      <c r="B1099" s="116" t="s">
        <v>1943</v>
      </c>
      <c r="C1099" s="117" t="s">
        <v>1944</v>
      </c>
      <c r="D1099" s="118">
        <v>0</v>
      </c>
    </row>
    <row r="1100" spans="2:4" x14ac:dyDescent="0.2">
      <c r="B1100" s="116" t="s">
        <v>1945</v>
      </c>
      <c r="C1100" s="117" t="s">
        <v>1946</v>
      </c>
      <c r="D1100" s="118">
        <v>5.32</v>
      </c>
    </row>
    <row r="1101" spans="2:4" x14ac:dyDescent="0.2">
      <c r="B1101" s="116" t="s">
        <v>1947</v>
      </c>
      <c r="C1101" s="117" t="s">
        <v>1948</v>
      </c>
      <c r="D1101" s="118">
        <v>6.36</v>
      </c>
    </row>
    <row r="1102" spans="2:4" x14ac:dyDescent="0.2">
      <c r="B1102" s="116" t="s">
        <v>1949</v>
      </c>
      <c r="C1102" s="117" t="s">
        <v>4049</v>
      </c>
      <c r="D1102" s="118">
        <v>0</v>
      </c>
    </row>
    <row r="1103" spans="2:4" x14ac:dyDescent="0.2">
      <c r="B1103" s="116" t="s">
        <v>1949</v>
      </c>
      <c r="C1103" s="117" t="s">
        <v>1950</v>
      </c>
      <c r="D1103" s="118">
        <v>0</v>
      </c>
    </row>
    <row r="1104" spans="2:4" x14ac:dyDescent="0.2">
      <c r="B1104" s="116" t="s">
        <v>1951</v>
      </c>
      <c r="C1104" s="117" t="s">
        <v>1952</v>
      </c>
      <c r="D1104" s="118">
        <v>0</v>
      </c>
    </row>
    <row r="1105" spans="2:4" x14ac:dyDescent="0.2">
      <c r="B1105" s="116" t="s">
        <v>1951</v>
      </c>
      <c r="C1105" s="117" t="s">
        <v>4050</v>
      </c>
      <c r="D1105" s="118">
        <v>0</v>
      </c>
    </row>
    <row r="1106" spans="2:4" x14ac:dyDescent="0.2">
      <c r="B1106" s="116" t="s">
        <v>1951</v>
      </c>
      <c r="C1106" s="117" t="s">
        <v>4051</v>
      </c>
      <c r="D1106" s="118">
        <v>0</v>
      </c>
    </row>
    <row r="1107" spans="2:4" x14ac:dyDescent="0.2">
      <c r="B1107" s="116" t="s">
        <v>1953</v>
      </c>
      <c r="C1107" s="117" t="s">
        <v>1954</v>
      </c>
      <c r="D1107" s="118">
        <v>1.58</v>
      </c>
    </row>
    <row r="1108" spans="2:4" x14ac:dyDescent="0.2">
      <c r="B1108" s="116" t="s">
        <v>1955</v>
      </c>
      <c r="C1108" s="117" t="s">
        <v>1956</v>
      </c>
      <c r="D1108" s="118">
        <v>2.52</v>
      </c>
    </row>
    <row r="1109" spans="2:4" x14ac:dyDescent="0.2">
      <c r="B1109" s="116" t="s">
        <v>1957</v>
      </c>
      <c r="C1109" s="117" t="s">
        <v>1958</v>
      </c>
      <c r="D1109" s="118">
        <v>2.1800000000000002</v>
      </c>
    </row>
    <row r="1110" spans="2:4" x14ac:dyDescent="0.2">
      <c r="B1110" s="116" t="s">
        <v>1960</v>
      </c>
      <c r="C1110" s="117" t="s">
        <v>1961</v>
      </c>
      <c r="D1110" s="118">
        <v>3.92</v>
      </c>
    </row>
    <row r="1111" spans="2:4" x14ac:dyDescent="0.2">
      <c r="B1111" s="116" t="s">
        <v>4052</v>
      </c>
      <c r="C1111" s="117" t="s">
        <v>4053</v>
      </c>
      <c r="D1111" s="118">
        <v>0</v>
      </c>
    </row>
    <row r="1112" spans="2:4" x14ac:dyDescent="0.2">
      <c r="B1112" s="116" t="s">
        <v>1963</v>
      </c>
      <c r="C1112" s="117" t="s">
        <v>1964</v>
      </c>
      <c r="D1112" s="118">
        <v>0.3</v>
      </c>
    </row>
    <row r="1113" spans="2:4" x14ac:dyDescent="0.2">
      <c r="B1113" s="116" t="s">
        <v>1963</v>
      </c>
      <c r="C1113" s="117" t="s">
        <v>4054</v>
      </c>
      <c r="D1113" s="118">
        <v>0.37</v>
      </c>
    </row>
    <row r="1114" spans="2:4" x14ac:dyDescent="0.2">
      <c r="B1114" s="116" t="s">
        <v>4055</v>
      </c>
      <c r="C1114" s="117" t="s">
        <v>4056</v>
      </c>
      <c r="D1114" s="118">
        <v>0</v>
      </c>
    </row>
    <row r="1115" spans="2:4" x14ac:dyDescent="0.2">
      <c r="B1115" s="116" t="s">
        <v>1965</v>
      </c>
      <c r="C1115" s="117" t="s">
        <v>1966</v>
      </c>
      <c r="D1115" s="118">
        <v>0.71</v>
      </c>
    </row>
    <row r="1116" spans="2:4" x14ac:dyDescent="0.2">
      <c r="B1116" s="116" t="s">
        <v>1967</v>
      </c>
      <c r="C1116" s="117" t="s">
        <v>1968</v>
      </c>
      <c r="D1116" s="118">
        <v>1.1100000000000001</v>
      </c>
    </row>
    <row r="1117" spans="2:4" x14ac:dyDescent="0.2">
      <c r="B1117" s="116" t="s">
        <v>4057</v>
      </c>
      <c r="C1117" s="117" t="s">
        <v>4058</v>
      </c>
      <c r="D1117" s="118">
        <v>3.44</v>
      </c>
    </row>
    <row r="1118" spans="2:4" x14ac:dyDescent="0.2">
      <c r="B1118" s="116" t="s">
        <v>4059</v>
      </c>
      <c r="C1118" s="117" t="s">
        <v>4060</v>
      </c>
      <c r="D1118" s="118">
        <v>0</v>
      </c>
    </row>
    <row r="1119" spans="2:4" x14ac:dyDescent="0.2">
      <c r="B1119" s="116" t="s">
        <v>1969</v>
      </c>
      <c r="C1119" s="117" t="s">
        <v>1970</v>
      </c>
      <c r="D1119" s="118">
        <v>0</v>
      </c>
    </row>
    <row r="1120" spans="2:4" x14ac:dyDescent="0.2">
      <c r="B1120" s="116" t="s">
        <v>1971</v>
      </c>
      <c r="C1120" s="117" t="s">
        <v>1972</v>
      </c>
      <c r="D1120" s="118">
        <v>0</v>
      </c>
    </row>
    <row r="1121" spans="2:4" x14ac:dyDescent="0.2">
      <c r="B1121" s="116" t="s">
        <v>1973</v>
      </c>
      <c r="C1121" s="117" t="s">
        <v>1974</v>
      </c>
      <c r="D1121" s="118">
        <v>1.42</v>
      </c>
    </row>
    <row r="1122" spans="2:4" x14ac:dyDescent="0.2">
      <c r="B1122" s="116" t="s">
        <v>1975</v>
      </c>
      <c r="C1122" s="117" t="s">
        <v>1976</v>
      </c>
      <c r="D1122" s="118">
        <v>1.29</v>
      </c>
    </row>
    <row r="1123" spans="2:4" x14ac:dyDescent="0.2">
      <c r="B1123" s="116" t="s">
        <v>1951</v>
      </c>
      <c r="C1123" s="117" t="s">
        <v>1978</v>
      </c>
      <c r="D1123" s="118">
        <v>0</v>
      </c>
    </row>
    <row r="1124" spans="2:4" x14ac:dyDescent="0.2">
      <c r="B1124" s="116" t="s">
        <v>1951</v>
      </c>
      <c r="C1124" s="117" t="s">
        <v>4061</v>
      </c>
      <c r="D1124" s="118">
        <v>0</v>
      </c>
    </row>
    <row r="1125" spans="2:4" x14ac:dyDescent="0.2">
      <c r="B1125" s="116" t="s">
        <v>1979</v>
      </c>
      <c r="C1125" s="117" t="s">
        <v>1980</v>
      </c>
      <c r="D1125" s="118">
        <v>0</v>
      </c>
    </row>
    <row r="1126" spans="2:4" x14ac:dyDescent="0.2">
      <c r="B1126" s="116" t="s">
        <v>1981</v>
      </c>
      <c r="C1126" s="117" t="s">
        <v>1982</v>
      </c>
      <c r="D1126" s="118">
        <v>0</v>
      </c>
    </row>
    <row r="1127" spans="2:4" x14ac:dyDescent="0.2">
      <c r="B1127" s="116" t="s">
        <v>1983</v>
      </c>
      <c r="C1127" s="117" t="s">
        <v>1984</v>
      </c>
      <c r="D1127" s="118">
        <v>0</v>
      </c>
    </row>
    <row r="1128" spans="2:4" x14ac:dyDescent="0.2">
      <c r="B1128" s="116" t="s">
        <v>1985</v>
      </c>
      <c r="C1128" s="117" t="s">
        <v>1986</v>
      </c>
      <c r="D1128" s="118">
        <v>0</v>
      </c>
    </row>
    <row r="1129" spans="2:4" x14ac:dyDescent="0.2">
      <c r="B1129" s="116" t="s">
        <v>4062</v>
      </c>
      <c r="C1129" s="117" t="s">
        <v>4063</v>
      </c>
      <c r="D1129" s="118">
        <v>0</v>
      </c>
    </row>
    <row r="1130" spans="2:4" x14ac:dyDescent="0.2">
      <c r="B1130" s="116" t="s">
        <v>1987</v>
      </c>
      <c r="C1130" s="117" t="s">
        <v>1988</v>
      </c>
      <c r="D1130" s="118">
        <v>0</v>
      </c>
    </row>
    <row r="1131" spans="2:4" x14ac:dyDescent="0.2">
      <c r="B1131" s="116" t="s">
        <v>1989</v>
      </c>
      <c r="C1131" s="117" t="s">
        <v>1990</v>
      </c>
      <c r="D1131" s="118">
        <v>2.2200000000000002</v>
      </c>
    </row>
    <row r="1132" spans="2:4" x14ac:dyDescent="0.2">
      <c r="B1132" s="116" t="s">
        <v>1991</v>
      </c>
      <c r="C1132" s="117" t="s">
        <v>1992</v>
      </c>
      <c r="D1132" s="118">
        <v>4.17</v>
      </c>
    </row>
    <row r="1133" spans="2:4" x14ac:dyDescent="0.2">
      <c r="B1133" s="116" t="s">
        <v>1993</v>
      </c>
      <c r="C1133" s="117" t="s">
        <v>1994</v>
      </c>
      <c r="D1133" s="118">
        <v>2.27</v>
      </c>
    </row>
    <row r="1134" spans="2:4" x14ac:dyDescent="0.2">
      <c r="B1134" s="116" t="s">
        <v>1995</v>
      </c>
      <c r="C1134" s="117" t="s">
        <v>1996</v>
      </c>
      <c r="D1134" s="118">
        <v>0</v>
      </c>
    </row>
    <row r="1135" spans="2:4" x14ac:dyDescent="0.2">
      <c r="B1135" s="116" t="s">
        <v>1997</v>
      </c>
      <c r="C1135" s="117" t="s">
        <v>1998</v>
      </c>
      <c r="D1135" s="118">
        <v>2.44</v>
      </c>
    </row>
    <row r="1136" spans="2:4" x14ac:dyDescent="0.2">
      <c r="B1136" s="116" t="s">
        <v>1999</v>
      </c>
      <c r="C1136" s="117" t="s">
        <v>2000</v>
      </c>
      <c r="D1136" s="118">
        <v>0</v>
      </c>
    </row>
    <row r="1137" spans="2:4" x14ac:dyDescent="0.2">
      <c r="B1137" s="116" t="s">
        <v>4064</v>
      </c>
      <c r="C1137" s="117" t="s">
        <v>4065</v>
      </c>
      <c r="D1137" s="118">
        <v>0.4</v>
      </c>
    </row>
    <row r="1138" spans="2:4" x14ac:dyDescent="0.2">
      <c r="B1138" s="116" t="s">
        <v>2001</v>
      </c>
      <c r="C1138" s="117" t="s">
        <v>2002</v>
      </c>
      <c r="D1138" s="118">
        <v>2.67</v>
      </c>
    </row>
    <row r="1139" spans="2:4" x14ac:dyDescent="0.2">
      <c r="B1139" s="116" t="s">
        <v>2003</v>
      </c>
      <c r="C1139" s="117" t="s">
        <v>2004</v>
      </c>
      <c r="D1139" s="118">
        <v>7.86</v>
      </c>
    </row>
    <row r="1140" spans="2:4" x14ac:dyDescent="0.2">
      <c r="B1140" s="116" t="s">
        <v>2005</v>
      </c>
      <c r="C1140" s="117" t="s">
        <v>2006</v>
      </c>
      <c r="D1140" s="118">
        <v>0</v>
      </c>
    </row>
    <row r="1141" spans="2:4" x14ac:dyDescent="0.2">
      <c r="B1141" s="116" t="s">
        <v>2007</v>
      </c>
      <c r="C1141" s="117" t="s">
        <v>2008</v>
      </c>
      <c r="D1141" s="118">
        <v>1.79</v>
      </c>
    </row>
    <row r="1142" spans="2:4" x14ac:dyDescent="0.2">
      <c r="B1142" s="116" t="s">
        <v>2009</v>
      </c>
      <c r="C1142" s="117" t="s">
        <v>2010</v>
      </c>
      <c r="D1142" s="118">
        <v>0</v>
      </c>
    </row>
    <row r="1143" spans="2:4" x14ac:dyDescent="0.2">
      <c r="B1143" s="116" t="s">
        <v>2011</v>
      </c>
      <c r="C1143" s="117" t="s">
        <v>2012</v>
      </c>
      <c r="D1143" s="118">
        <v>1.98</v>
      </c>
    </row>
    <row r="1144" spans="2:4" x14ac:dyDescent="0.2">
      <c r="B1144" s="116" t="s">
        <v>2013</v>
      </c>
      <c r="C1144" s="117" t="s">
        <v>2014</v>
      </c>
      <c r="D1144" s="118">
        <v>0</v>
      </c>
    </row>
    <row r="1145" spans="2:4" x14ac:dyDescent="0.2">
      <c r="B1145" s="116" t="s">
        <v>2015</v>
      </c>
      <c r="C1145" s="117" t="s">
        <v>2016</v>
      </c>
      <c r="D1145" s="118">
        <v>1.19</v>
      </c>
    </row>
    <row r="1146" spans="2:4" x14ac:dyDescent="0.2">
      <c r="B1146" s="116" t="s">
        <v>2017</v>
      </c>
      <c r="C1146" s="117" t="s">
        <v>2018</v>
      </c>
      <c r="D1146" s="118">
        <v>3.23</v>
      </c>
    </row>
    <row r="1147" spans="2:4" x14ac:dyDescent="0.2">
      <c r="B1147" s="116" t="s">
        <v>2019</v>
      </c>
      <c r="C1147" s="117" t="s">
        <v>2020</v>
      </c>
      <c r="D1147" s="118">
        <v>2.15</v>
      </c>
    </row>
    <row r="1148" spans="2:4" x14ac:dyDescent="0.2">
      <c r="B1148" s="116" t="s">
        <v>4066</v>
      </c>
      <c r="C1148" s="117" t="s">
        <v>4067</v>
      </c>
      <c r="D1148" s="118">
        <v>3.36</v>
      </c>
    </row>
    <row r="1149" spans="2:4" x14ac:dyDescent="0.2">
      <c r="B1149" s="116" t="s">
        <v>2021</v>
      </c>
      <c r="C1149" s="117" t="s">
        <v>2022</v>
      </c>
      <c r="D1149" s="118">
        <v>1.87</v>
      </c>
    </row>
    <row r="1150" spans="2:4" x14ac:dyDescent="0.2">
      <c r="B1150" s="116" t="s">
        <v>2023</v>
      </c>
      <c r="C1150" s="117" t="s">
        <v>2024</v>
      </c>
      <c r="D1150" s="118">
        <v>1.24</v>
      </c>
    </row>
    <row r="1151" spans="2:4" x14ac:dyDescent="0.2">
      <c r="B1151" s="116" t="s">
        <v>2025</v>
      </c>
      <c r="C1151" s="117" t="s">
        <v>2026</v>
      </c>
      <c r="D1151" s="118">
        <v>3.82</v>
      </c>
    </row>
    <row r="1152" spans="2:4" x14ac:dyDescent="0.2">
      <c r="B1152" s="116" t="s">
        <v>2027</v>
      </c>
      <c r="C1152" s="117" t="s">
        <v>2028</v>
      </c>
      <c r="D1152" s="118">
        <v>0.65</v>
      </c>
    </row>
    <row r="1153" spans="2:4" x14ac:dyDescent="0.2">
      <c r="B1153" s="116" t="s">
        <v>1436</v>
      </c>
      <c r="C1153" s="117" t="s">
        <v>4068</v>
      </c>
      <c r="D1153" s="118">
        <v>0</v>
      </c>
    </row>
    <row r="1154" spans="2:4" x14ac:dyDescent="0.2">
      <c r="B1154" s="116" t="s">
        <v>1436</v>
      </c>
      <c r="C1154" s="117" t="s">
        <v>4069</v>
      </c>
      <c r="D1154" s="118">
        <v>0</v>
      </c>
    </row>
    <row r="1155" spans="2:4" x14ac:dyDescent="0.2">
      <c r="B1155" s="116" t="s">
        <v>1436</v>
      </c>
      <c r="C1155" s="117" t="s">
        <v>2029</v>
      </c>
      <c r="D1155" s="118">
        <v>0</v>
      </c>
    </row>
    <row r="1156" spans="2:4" x14ac:dyDescent="0.2">
      <c r="B1156" s="116" t="s">
        <v>2030</v>
      </c>
      <c r="C1156" s="117" t="s">
        <v>2031</v>
      </c>
      <c r="D1156" s="118">
        <v>0.45</v>
      </c>
    </row>
    <row r="1157" spans="2:4" x14ac:dyDescent="0.2">
      <c r="B1157" s="116" t="s">
        <v>4070</v>
      </c>
      <c r="C1157" s="117" t="s">
        <v>4071</v>
      </c>
      <c r="D1157" s="118">
        <v>3.85</v>
      </c>
    </row>
    <row r="1158" spans="2:4" x14ac:dyDescent="0.2">
      <c r="B1158" s="116" t="s">
        <v>2032</v>
      </c>
      <c r="C1158" s="117" t="s">
        <v>2033</v>
      </c>
      <c r="D1158" s="118">
        <v>0</v>
      </c>
    </row>
    <row r="1159" spans="2:4" x14ac:dyDescent="0.2">
      <c r="B1159" s="116" t="s">
        <v>4072</v>
      </c>
      <c r="C1159" s="117" t="s">
        <v>4073</v>
      </c>
      <c r="D1159" s="118">
        <v>1.8</v>
      </c>
    </row>
    <row r="1160" spans="2:4" x14ac:dyDescent="0.2">
      <c r="B1160" s="116" t="s">
        <v>2034</v>
      </c>
      <c r="C1160" s="117" t="s">
        <v>2035</v>
      </c>
      <c r="D1160" s="118">
        <v>1.32</v>
      </c>
    </row>
    <row r="1161" spans="2:4" x14ac:dyDescent="0.2">
      <c r="B1161" s="116" t="s">
        <v>2036</v>
      </c>
      <c r="C1161" s="117" t="s">
        <v>2037</v>
      </c>
      <c r="D1161" s="118">
        <v>1.72</v>
      </c>
    </row>
    <row r="1162" spans="2:4" x14ac:dyDescent="0.2">
      <c r="B1162" s="116" t="s">
        <v>2038</v>
      </c>
      <c r="C1162" s="117" t="s">
        <v>2039</v>
      </c>
      <c r="D1162" s="118">
        <v>5.47</v>
      </c>
    </row>
    <row r="1163" spans="2:4" x14ac:dyDescent="0.2">
      <c r="B1163" s="116" t="s">
        <v>2040</v>
      </c>
      <c r="C1163" s="117" t="s">
        <v>2041</v>
      </c>
      <c r="D1163" s="118">
        <v>1.0900000000000001</v>
      </c>
    </row>
    <row r="1164" spans="2:4" x14ac:dyDescent="0.2">
      <c r="B1164" s="116" t="s">
        <v>2042</v>
      </c>
      <c r="C1164" s="117" t="s">
        <v>2043</v>
      </c>
      <c r="D1164" s="118">
        <v>4.76</v>
      </c>
    </row>
    <row r="1165" spans="2:4" x14ac:dyDescent="0.2">
      <c r="B1165" s="116" t="s">
        <v>4074</v>
      </c>
      <c r="C1165" s="117" t="s">
        <v>4075</v>
      </c>
      <c r="D1165" s="118">
        <v>0</v>
      </c>
    </row>
    <row r="1166" spans="2:4" x14ac:dyDescent="0.2">
      <c r="B1166" s="116" t="s">
        <v>2044</v>
      </c>
      <c r="C1166" s="117" t="s">
        <v>2045</v>
      </c>
      <c r="D1166" s="118">
        <v>4.12</v>
      </c>
    </row>
    <row r="1167" spans="2:4" x14ac:dyDescent="0.2">
      <c r="B1167" s="116" t="s">
        <v>4076</v>
      </c>
      <c r="C1167" s="117" t="s">
        <v>4077</v>
      </c>
      <c r="D1167" s="118">
        <v>0</v>
      </c>
    </row>
    <row r="1168" spans="2:4" x14ac:dyDescent="0.2">
      <c r="B1168" s="116" t="s">
        <v>2046</v>
      </c>
      <c r="C1168" s="117" t="s">
        <v>2047</v>
      </c>
      <c r="D1168" s="118">
        <v>0</v>
      </c>
    </row>
    <row r="1169" spans="2:4" x14ac:dyDescent="0.2">
      <c r="B1169" s="116" t="s">
        <v>2048</v>
      </c>
      <c r="C1169" s="117" t="s">
        <v>2049</v>
      </c>
      <c r="D1169" s="118">
        <v>9.8000000000000007</v>
      </c>
    </row>
    <row r="1170" spans="2:4" x14ac:dyDescent="0.2">
      <c r="B1170" s="116" t="s">
        <v>2050</v>
      </c>
      <c r="C1170" s="117" t="s">
        <v>2051</v>
      </c>
      <c r="D1170" s="118">
        <v>0.49</v>
      </c>
    </row>
    <row r="1171" spans="2:4" x14ac:dyDescent="0.2">
      <c r="B1171" s="116" t="s">
        <v>2052</v>
      </c>
      <c r="C1171" s="117" t="s">
        <v>2053</v>
      </c>
      <c r="D1171" s="118">
        <v>2.98</v>
      </c>
    </row>
    <row r="1172" spans="2:4" x14ac:dyDescent="0.2">
      <c r="B1172" s="116" t="s">
        <v>2054</v>
      </c>
      <c r="C1172" s="117" t="s">
        <v>2055</v>
      </c>
      <c r="D1172" s="118">
        <v>9.25</v>
      </c>
    </row>
    <row r="1173" spans="2:4" x14ac:dyDescent="0.2">
      <c r="B1173" s="116" t="s">
        <v>4078</v>
      </c>
      <c r="C1173" s="117" t="s">
        <v>4079</v>
      </c>
      <c r="D1173" s="118">
        <v>6.49</v>
      </c>
    </row>
    <row r="1174" spans="2:4" x14ac:dyDescent="0.2">
      <c r="B1174" s="116" t="s">
        <v>2056</v>
      </c>
      <c r="C1174" s="117" t="s">
        <v>2057</v>
      </c>
      <c r="D1174" s="118">
        <v>2.54</v>
      </c>
    </row>
    <row r="1175" spans="2:4" x14ac:dyDescent="0.2">
      <c r="B1175" s="116" t="s">
        <v>2059</v>
      </c>
      <c r="C1175" s="117" t="s">
        <v>2060</v>
      </c>
      <c r="D1175" s="118">
        <v>0</v>
      </c>
    </row>
    <row r="1176" spans="2:4" x14ac:dyDescent="0.2">
      <c r="B1176" s="116" t="s">
        <v>2061</v>
      </c>
      <c r="C1176" s="117" t="s">
        <v>2062</v>
      </c>
      <c r="D1176" s="118">
        <v>1.51</v>
      </c>
    </row>
    <row r="1177" spans="2:4" x14ac:dyDescent="0.2">
      <c r="B1177" s="116" t="s">
        <v>4080</v>
      </c>
      <c r="C1177" s="117" t="s">
        <v>4081</v>
      </c>
      <c r="D1177" s="118">
        <v>3.65</v>
      </c>
    </row>
    <row r="1178" spans="2:4" x14ac:dyDescent="0.2">
      <c r="B1178" s="116" t="s">
        <v>2063</v>
      </c>
      <c r="C1178" s="117" t="s">
        <v>2064</v>
      </c>
      <c r="D1178" s="118">
        <v>1.18</v>
      </c>
    </row>
    <row r="1179" spans="2:4" x14ac:dyDescent="0.2">
      <c r="B1179" s="116" t="s">
        <v>2065</v>
      </c>
      <c r="C1179" s="117" t="s">
        <v>2066</v>
      </c>
      <c r="D1179" s="118">
        <v>0</v>
      </c>
    </row>
    <row r="1180" spans="2:4" x14ac:dyDescent="0.2">
      <c r="B1180" s="116" t="s">
        <v>2067</v>
      </c>
      <c r="C1180" s="117" t="s">
        <v>2068</v>
      </c>
      <c r="D1180" s="118">
        <v>0</v>
      </c>
    </row>
    <row r="1181" spans="2:4" x14ac:dyDescent="0.2">
      <c r="B1181" s="116" t="s">
        <v>4082</v>
      </c>
      <c r="C1181" s="117" t="s">
        <v>4083</v>
      </c>
      <c r="D1181" s="118">
        <v>1.64</v>
      </c>
    </row>
    <row r="1182" spans="2:4" x14ac:dyDescent="0.2">
      <c r="B1182" s="116" t="s">
        <v>4084</v>
      </c>
      <c r="C1182" s="117" t="s">
        <v>4085</v>
      </c>
      <c r="D1182" s="118">
        <v>2.77</v>
      </c>
    </row>
    <row r="1183" spans="2:4" x14ac:dyDescent="0.2">
      <c r="B1183" s="116" t="s">
        <v>2069</v>
      </c>
      <c r="C1183" s="117" t="s">
        <v>2070</v>
      </c>
      <c r="D1183" s="118">
        <v>12.12</v>
      </c>
    </row>
    <row r="1184" spans="2:4" x14ac:dyDescent="0.2">
      <c r="B1184" s="116" t="s">
        <v>2071</v>
      </c>
      <c r="C1184" s="117" t="s">
        <v>2072</v>
      </c>
      <c r="D1184" s="118">
        <v>2.2200000000000002</v>
      </c>
    </row>
    <row r="1185" spans="2:4" x14ac:dyDescent="0.2">
      <c r="B1185" s="116" t="s">
        <v>2073</v>
      </c>
      <c r="C1185" s="117" t="s">
        <v>2074</v>
      </c>
      <c r="D1185" s="118">
        <v>1.62</v>
      </c>
    </row>
    <row r="1186" spans="2:4" x14ac:dyDescent="0.2">
      <c r="B1186" s="116" t="s">
        <v>2075</v>
      </c>
      <c r="C1186" s="117" t="s">
        <v>2076</v>
      </c>
      <c r="D1186" s="118">
        <v>1.1200000000000001</v>
      </c>
    </row>
    <row r="1187" spans="2:4" x14ac:dyDescent="0.2">
      <c r="B1187" s="116" t="s">
        <v>2077</v>
      </c>
      <c r="C1187" s="117" t="s">
        <v>2078</v>
      </c>
      <c r="D1187" s="118">
        <v>0.93</v>
      </c>
    </row>
    <row r="1188" spans="2:4" x14ac:dyDescent="0.2">
      <c r="B1188" s="116" t="s">
        <v>2079</v>
      </c>
      <c r="C1188" s="117" t="s">
        <v>2080</v>
      </c>
      <c r="D1188" s="118">
        <v>4.53</v>
      </c>
    </row>
    <row r="1189" spans="2:4" x14ac:dyDescent="0.2">
      <c r="B1189" s="116" t="s">
        <v>2081</v>
      </c>
      <c r="C1189" s="117" t="s">
        <v>2082</v>
      </c>
      <c r="D1189" s="118">
        <v>0</v>
      </c>
    </row>
    <row r="1190" spans="2:4" x14ac:dyDescent="0.2">
      <c r="B1190" s="116" t="s">
        <v>2083</v>
      </c>
      <c r="C1190" s="117" t="s">
        <v>2084</v>
      </c>
      <c r="D1190" s="118">
        <v>0</v>
      </c>
    </row>
    <row r="1191" spans="2:4" x14ac:dyDescent="0.2">
      <c r="B1191" s="116" t="s">
        <v>4086</v>
      </c>
      <c r="C1191" s="117" t="s">
        <v>4087</v>
      </c>
      <c r="D1191" s="118">
        <v>0</v>
      </c>
    </row>
    <row r="1192" spans="2:4" x14ac:dyDescent="0.2">
      <c r="B1192" s="116" t="s">
        <v>4088</v>
      </c>
      <c r="C1192" s="117" t="s">
        <v>4089</v>
      </c>
      <c r="D1192" s="118">
        <v>0</v>
      </c>
    </row>
    <row r="1193" spans="2:4" x14ac:dyDescent="0.2">
      <c r="B1193" s="116" t="s">
        <v>4090</v>
      </c>
      <c r="C1193" s="117" t="s">
        <v>4091</v>
      </c>
      <c r="D1193" s="118">
        <v>0</v>
      </c>
    </row>
    <row r="1194" spans="2:4" x14ac:dyDescent="0.2">
      <c r="B1194" s="116" t="s">
        <v>2085</v>
      </c>
      <c r="C1194" s="117" t="s">
        <v>2086</v>
      </c>
      <c r="D1194" s="118">
        <v>1.9</v>
      </c>
    </row>
    <row r="1195" spans="2:4" x14ac:dyDescent="0.2">
      <c r="B1195" s="116" t="s">
        <v>2087</v>
      </c>
      <c r="C1195" s="117" t="s">
        <v>2088</v>
      </c>
      <c r="D1195" s="118">
        <v>0</v>
      </c>
    </row>
    <row r="1196" spans="2:4" x14ac:dyDescent="0.2">
      <c r="B1196" s="116" t="s">
        <v>2089</v>
      </c>
      <c r="C1196" s="117" t="s">
        <v>2090</v>
      </c>
      <c r="D1196" s="118">
        <v>1.94</v>
      </c>
    </row>
    <row r="1197" spans="2:4" x14ac:dyDescent="0.2">
      <c r="B1197" s="116" t="s">
        <v>2091</v>
      </c>
      <c r="C1197" s="117" t="s">
        <v>2092</v>
      </c>
      <c r="D1197" s="118">
        <v>2.89</v>
      </c>
    </row>
    <row r="1198" spans="2:4" x14ac:dyDescent="0.2">
      <c r="B1198" s="116" t="s">
        <v>2093</v>
      </c>
      <c r="C1198" s="117" t="s">
        <v>2094</v>
      </c>
      <c r="D1198" s="118">
        <v>0</v>
      </c>
    </row>
    <row r="1199" spans="2:4" x14ac:dyDescent="0.2">
      <c r="B1199" s="116" t="s">
        <v>4092</v>
      </c>
      <c r="C1199" s="117" t="s">
        <v>4093</v>
      </c>
      <c r="D1199" s="118">
        <v>1.56</v>
      </c>
    </row>
    <row r="1200" spans="2:4" x14ac:dyDescent="0.2">
      <c r="B1200" s="116" t="s">
        <v>2095</v>
      </c>
      <c r="C1200" s="117" t="s">
        <v>2096</v>
      </c>
      <c r="D1200" s="118">
        <v>0</v>
      </c>
    </row>
    <row r="1201" spans="2:4" x14ac:dyDescent="0.2">
      <c r="B1201" s="116" t="s">
        <v>4094</v>
      </c>
      <c r="C1201" s="117" t="s">
        <v>4095</v>
      </c>
      <c r="D1201" s="118">
        <v>2.15</v>
      </c>
    </row>
    <row r="1202" spans="2:4" x14ac:dyDescent="0.2">
      <c r="B1202" s="116" t="s">
        <v>2097</v>
      </c>
      <c r="C1202" s="117" t="s">
        <v>2098</v>
      </c>
      <c r="D1202" s="118">
        <v>3.71</v>
      </c>
    </row>
    <row r="1203" spans="2:4" x14ac:dyDescent="0.2">
      <c r="B1203" s="116" t="s">
        <v>2099</v>
      </c>
      <c r="C1203" s="117" t="s">
        <v>2100</v>
      </c>
      <c r="D1203" s="118">
        <v>10.72</v>
      </c>
    </row>
    <row r="1204" spans="2:4" x14ac:dyDescent="0.2">
      <c r="B1204" s="116" t="s">
        <v>2101</v>
      </c>
      <c r="C1204" s="117" t="s">
        <v>2102</v>
      </c>
      <c r="D1204" s="118">
        <v>4.1100000000000003</v>
      </c>
    </row>
    <row r="1205" spans="2:4" x14ac:dyDescent="0.2">
      <c r="B1205" s="116" t="s">
        <v>2103</v>
      </c>
      <c r="C1205" s="117" t="s">
        <v>2104</v>
      </c>
      <c r="D1205" s="118">
        <v>3.32</v>
      </c>
    </row>
    <row r="1206" spans="2:4" x14ac:dyDescent="0.2">
      <c r="B1206" s="116" t="s">
        <v>4096</v>
      </c>
      <c r="C1206" s="117" t="s">
        <v>4097</v>
      </c>
      <c r="D1206" s="118">
        <v>7.78</v>
      </c>
    </row>
    <row r="1207" spans="2:4" x14ac:dyDescent="0.2">
      <c r="B1207" s="116" t="s">
        <v>2105</v>
      </c>
      <c r="C1207" s="117" t="s">
        <v>2106</v>
      </c>
      <c r="D1207" s="118">
        <v>2.77</v>
      </c>
    </row>
    <row r="1208" spans="2:4" x14ac:dyDescent="0.2">
      <c r="B1208" s="116" t="s">
        <v>2107</v>
      </c>
      <c r="C1208" s="117" t="s">
        <v>2108</v>
      </c>
      <c r="D1208" s="118">
        <v>2.88</v>
      </c>
    </row>
    <row r="1209" spans="2:4" x14ac:dyDescent="0.2">
      <c r="B1209" s="116" t="s">
        <v>2109</v>
      </c>
      <c r="C1209" s="117" t="s">
        <v>2110</v>
      </c>
      <c r="D1209" s="118">
        <v>1.8</v>
      </c>
    </row>
    <row r="1210" spans="2:4" x14ac:dyDescent="0.2">
      <c r="B1210" s="116" t="s">
        <v>2111</v>
      </c>
      <c r="C1210" s="117" t="s">
        <v>2112</v>
      </c>
      <c r="D1210" s="118">
        <v>0</v>
      </c>
    </row>
    <row r="1211" spans="2:4" x14ac:dyDescent="0.2">
      <c r="B1211" s="116" t="s">
        <v>4098</v>
      </c>
      <c r="C1211" s="117" t="s">
        <v>4099</v>
      </c>
      <c r="D1211" s="118">
        <v>4.13</v>
      </c>
    </row>
    <row r="1212" spans="2:4" x14ac:dyDescent="0.2">
      <c r="B1212" s="116" t="s">
        <v>2113</v>
      </c>
      <c r="C1212" s="117" t="s">
        <v>2114</v>
      </c>
      <c r="D1212" s="118">
        <v>0</v>
      </c>
    </row>
    <row r="1213" spans="2:4" x14ac:dyDescent="0.2">
      <c r="B1213" s="116" t="s">
        <v>2116</v>
      </c>
      <c r="C1213" s="117" t="s">
        <v>2117</v>
      </c>
      <c r="D1213" s="118">
        <v>0</v>
      </c>
    </row>
    <row r="1214" spans="2:4" x14ac:dyDescent="0.2">
      <c r="B1214" s="116" t="s">
        <v>2118</v>
      </c>
      <c r="C1214" s="117" t="s">
        <v>2119</v>
      </c>
      <c r="D1214" s="118">
        <v>10.15</v>
      </c>
    </row>
    <row r="1215" spans="2:4" x14ac:dyDescent="0.2">
      <c r="B1215" s="116" t="s">
        <v>2120</v>
      </c>
      <c r="C1215" s="117" t="s">
        <v>2121</v>
      </c>
      <c r="D1215" s="118">
        <v>0</v>
      </c>
    </row>
    <row r="1216" spans="2:4" x14ac:dyDescent="0.2">
      <c r="B1216" s="116" t="s">
        <v>4100</v>
      </c>
      <c r="C1216" s="117" t="s">
        <v>4101</v>
      </c>
      <c r="D1216" s="118">
        <v>1.35</v>
      </c>
    </row>
    <row r="1217" spans="2:4" x14ac:dyDescent="0.2">
      <c r="B1217" s="116" t="s">
        <v>4102</v>
      </c>
      <c r="C1217" s="117" t="s">
        <v>4103</v>
      </c>
      <c r="D1217" s="118">
        <v>1.1000000000000001</v>
      </c>
    </row>
    <row r="1218" spans="2:4" x14ac:dyDescent="0.2">
      <c r="B1218" s="116" t="s">
        <v>4104</v>
      </c>
      <c r="C1218" s="117" t="s">
        <v>4105</v>
      </c>
      <c r="D1218" s="118">
        <v>3.68</v>
      </c>
    </row>
    <row r="1219" spans="2:4" x14ac:dyDescent="0.2">
      <c r="B1219" s="116" t="s">
        <v>2122</v>
      </c>
      <c r="C1219" s="117" t="s">
        <v>2123</v>
      </c>
      <c r="D1219" s="118">
        <v>1.42</v>
      </c>
    </row>
    <row r="1220" spans="2:4" x14ac:dyDescent="0.2">
      <c r="B1220" s="116" t="s">
        <v>4106</v>
      </c>
      <c r="C1220" s="117" t="s">
        <v>4107</v>
      </c>
      <c r="D1220" s="118">
        <v>0</v>
      </c>
    </row>
    <row r="1221" spans="2:4" x14ac:dyDescent="0.2">
      <c r="B1221" s="116" t="s">
        <v>2124</v>
      </c>
      <c r="C1221" s="117" t="s">
        <v>2125</v>
      </c>
      <c r="D1221" s="118">
        <v>0</v>
      </c>
    </row>
    <row r="1222" spans="2:4" x14ac:dyDescent="0.2">
      <c r="B1222" s="116" t="s">
        <v>2126</v>
      </c>
      <c r="C1222" s="117" t="s">
        <v>2127</v>
      </c>
      <c r="D1222" s="118">
        <v>0.86</v>
      </c>
    </row>
    <row r="1223" spans="2:4" x14ac:dyDescent="0.2">
      <c r="B1223" s="116" t="s">
        <v>4108</v>
      </c>
      <c r="C1223" s="117" t="s">
        <v>4109</v>
      </c>
      <c r="D1223" s="118">
        <v>2.39</v>
      </c>
    </row>
    <row r="1224" spans="2:4" x14ac:dyDescent="0.2">
      <c r="B1224" s="116" t="s">
        <v>2128</v>
      </c>
      <c r="C1224" s="117" t="s">
        <v>2129</v>
      </c>
      <c r="D1224" s="118">
        <v>0.6</v>
      </c>
    </row>
    <row r="1225" spans="2:4" x14ac:dyDescent="0.2">
      <c r="B1225" s="116" t="s">
        <v>2130</v>
      </c>
      <c r="C1225" s="117" t="s">
        <v>2131</v>
      </c>
      <c r="D1225" s="118">
        <v>3.14</v>
      </c>
    </row>
    <row r="1226" spans="2:4" x14ac:dyDescent="0.2">
      <c r="B1226" s="116" t="s">
        <v>4110</v>
      </c>
      <c r="C1226" s="117" t="s">
        <v>4111</v>
      </c>
      <c r="D1226" s="118">
        <v>3.51</v>
      </c>
    </row>
    <row r="1227" spans="2:4" x14ac:dyDescent="0.2">
      <c r="B1227" s="116" t="s">
        <v>2132</v>
      </c>
      <c r="C1227" s="117" t="s">
        <v>2133</v>
      </c>
      <c r="D1227" s="118">
        <v>0.83</v>
      </c>
    </row>
    <row r="1228" spans="2:4" x14ac:dyDescent="0.2">
      <c r="B1228" s="116" t="s">
        <v>2134</v>
      </c>
      <c r="C1228" s="117" t="s">
        <v>2135</v>
      </c>
      <c r="D1228" s="118">
        <v>0</v>
      </c>
    </row>
    <row r="1229" spans="2:4" x14ac:dyDescent="0.2">
      <c r="B1229" s="116" t="s">
        <v>4112</v>
      </c>
      <c r="C1229" s="117" t="s">
        <v>4113</v>
      </c>
      <c r="D1229" s="118">
        <v>0</v>
      </c>
    </row>
    <row r="1230" spans="2:4" x14ac:dyDescent="0.2">
      <c r="B1230" s="116" t="s">
        <v>2136</v>
      </c>
      <c r="C1230" s="117" t="s">
        <v>2137</v>
      </c>
      <c r="D1230" s="118">
        <v>1.8</v>
      </c>
    </row>
    <row r="1231" spans="2:4" x14ac:dyDescent="0.2">
      <c r="B1231" s="116" t="s">
        <v>2138</v>
      </c>
      <c r="C1231" s="117" t="s">
        <v>2139</v>
      </c>
      <c r="D1231" s="118">
        <v>3.45</v>
      </c>
    </row>
    <row r="1232" spans="2:4" x14ac:dyDescent="0.2">
      <c r="B1232" s="116" t="s">
        <v>2140</v>
      </c>
      <c r="C1232" s="117" t="s">
        <v>2141</v>
      </c>
      <c r="D1232" s="118">
        <v>6.01</v>
      </c>
    </row>
    <row r="1233" spans="2:4" x14ac:dyDescent="0.2">
      <c r="B1233" s="116" t="s">
        <v>2142</v>
      </c>
      <c r="C1233" s="117" t="s">
        <v>2143</v>
      </c>
      <c r="D1233" s="118">
        <v>1.28</v>
      </c>
    </row>
    <row r="1234" spans="2:4" x14ac:dyDescent="0.2">
      <c r="B1234" s="116" t="s">
        <v>4114</v>
      </c>
      <c r="C1234" s="117" t="s">
        <v>4115</v>
      </c>
      <c r="D1234" s="118">
        <v>1.1499999999999999</v>
      </c>
    </row>
    <row r="1235" spans="2:4" x14ac:dyDescent="0.2">
      <c r="B1235" s="116" t="s">
        <v>2144</v>
      </c>
      <c r="C1235" s="117" t="s">
        <v>2145</v>
      </c>
      <c r="D1235" s="118">
        <v>0</v>
      </c>
    </row>
    <row r="1236" spans="2:4" x14ac:dyDescent="0.2">
      <c r="B1236" s="116" t="s">
        <v>2146</v>
      </c>
      <c r="C1236" s="117" t="s">
        <v>2147</v>
      </c>
      <c r="D1236" s="118">
        <v>8.23</v>
      </c>
    </row>
    <row r="1237" spans="2:4" x14ac:dyDescent="0.2">
      <c r="B1237" s="116" t="s">
        <v>2148</v>
      </c>
      <c r="C1237" s="117" t="s">
        <v>4116</v>
      </c>
      <c r="D1237" s="118">
        <v>1.1499999999999999</v>
      </c>
    </row>
    <row r="1238" spans="2:4" x14ac:dyDescent="0.2">
      <c r="B1238" s="116" t="s">
        <v>2150</v>
      </c>
      <c r="C1238" s="117" t="s">
        <v>2151</v>
      </c>
      <c r="D1238" s="118">
        <v>0</v>
      </c>
    </row>
    <row r="1239" spans="2:4" x14ac:dyDescent="0.2">
      <c r="B1239" s="116" t="s">
        <v>2152</v>
      </c>
      <c r="C1239" s="117" t="s">
        <v>2153</v>
      </c>
      <c r="D1239" s="118">
        <v>0</v>
      </c>
    </row>
    <row r="1240" spans="2:4" x14ac:dyDescent="0.2">
      <c r="B1240" s="116" t="s">
        <v>2154</v>
      </c>
      <c r="C1240" s="117" t="s">
        <v>2155</v>
      </c>
      <c r="D1240" s="118">
        <v>2.81</v>
      </c>
    </row>
    <row r="1241" spans="2:4" x14ac:dyDescent="0.2">
      <c r="B1241" s="116" t="s">
        <v>2156</v>
      </c>
      <c r="C1241" s="117" t="s">
        <v>2157</v>
      </c>
      <c r="D1241" s="118">
        <v>0.33</v>
      </c>
    </row>
    <row r="1242" spans="2:4" x14ac:dyDescent="0.2">
      <c r="B1242" s="116" t="s">
        <v>4117</v>
      </c>
      <c r="C1242" s="117" t="s">
        <v>4118</v>
      </c>
      <c r="D1242" s="118">
        <v>0</v>
      </c>
    </row>
    <row r="1243" spans="2:4" x14ac:dyDescent="0.2">
      <c r="B1243" s="116" t="s">
        <v>4119</v>
      </c>
      <c r="C1243" s="117" t="s">
        <v>4120</v>
      </c>
      <c r="D1243" s="118">
        <v>0.71</v>
      </c>
    </row>
    <row r="1244" spans="2:4" x14ac:dyDescent="0.2">
      <c r="B1244" s="116" t="s">
        <v>2158</v>
      </c>
      <c r="C1244" s="117" t="s">
        <v>2159</v>
      </c>
      <c r="D1244" s="118">
        <v>0.97</v>
      </c>
    </row>
    <row r="1245" spans="2:4" x14ac:dyDescent="0.2">
      <c r="B1245" s="116" t="s">
        <v>2160</v>
      </c>
      <c r="C1245" s="117" t="s">
        <v>2161</v>
      </c>
      <c r="D1245" s="118">
        <v>3.85</v>
      </c>
    </row>
    <row r="1246" spans="2:4" x14ac:dyDescent="0.2">
      <c r="B1246" s="116" t="s">
        <v>2162</v>
      </c>
      <c r="C1246" s="117" t="s">
        <v>2163</v>
      </c>
      <c r="D1246" s="118">
        <v>8.8800000000000008</v>
      </c>
    </row>
    <row r="1247" spans="2:4" x14ac:dyDescent="0.2">
      <c r="B1247" s="116" t="s">
        <v>2164</v>
      </c>
      <c r="C1247" s="117" t="s">
        <v>2165</v>
      </c>
      <c r="D1247" s="118">
        <v>5.46</v>
      </c>
    </row>
    <row r="1248" spans="2:4" x14ac:dyDescent="0.2">
      <c r="B1248" s="116" t="s">
        <v>2166</v>
      </c>
      <c r="C1248" s="117" t="s">
        <v>2167</v>
      </c>
      <c r="D1248" s="118">
        <v>1.04</v>
      </c>
    </row>
    <row r="1249" spans="2:4" x14ac:dyDescent="0.2">
      <c r="B1249" s="116" t="s">
        <v>4121</v>
      </c>
      <c r="C1249" s="117" t="s">
        <v>4122</v>
      </c>
      <c r="D1249" s="118">
        <v>4.0999999999999996</v>
      </c>
    </row>
    <row r="1250" spans="2:4" x14ac:dyDescent="0.2">
      <c r="B1250" s="116" t="s">
        <v>2168</v>
      </c>
      <c r="C1250" s="117" t="s">
        <v>2169</v>
      </c>
      <c r="D1250" s="118">
        <v>0</v>
      </c>
    </row>
    <row r="1251" spans="2:4" x14ac:dyDescent="0.2">
      <c r="B1251" s="116" t="s">
        <v>2170</v>
      </c>
      <c r="C1251" s="117" t="s">
        <v>2171</v>
      </c>
      <c r="D1251" s="118">
        <v>2.58</v>
      </c>
    </row>
    <row r="1252" spans="2:4" x14ac:dyDescent="0.2">
      <c r="B1252" s="116" t="s">
        <v>2172</v>
      </c>
      <c r="C1252" s="117" t="s">
        <v>2173</v>
      </c>
      <c r="D1252" s="118">
        <v>0</v>
      </c>
    </row>
    <row r="1253" spans="2:4" x14ac:dyDescent="0.2">
      <c r="B1253" s="116" t="s">
        <v>2174</v>
      </c>
      <c r="C1253" s="117" t="s">
        <v>2175</v>
      </c>
      <c r="D1253" s="118">
        <v>1.52</v>
      </c>
    </row>
    <row r="1254" spans="2:4" x14ac:dyDescent="0.2">
      <c r="B1254" s="116" t="s">
        <v>2176</v>
      </c>
      <c r="C1254" s="117" t="s">
        <v>2177</v>
      </c>
      <c r="D1254" s="118">
        <v>0</v>
      </c>
    </row>
    <row r="1255" spans="2:4" x14ac:dyDescent="0.2">
      <c r="B1255" s="116" t="s">
        <v>2178</v>
      </c>
      <c r="C1255" s="117" t="s">
        <v>2179</v>
      </c>
      <c r="D1255" s="118">
        <v>0.97</v>
      </c>
    </row>
    <row r="1256" spans="2:4" x14ac:dyDescent="0.2">
      <c r="B1256" s="116" t="s">
        <v>2180</v>
      </c>
      <c r="C1256" s="117" t="s">
        <v>2181</v>
      </c>
      <c r="D1256" s="118">
        <v>7.83</v>
      </c>
    </row>
    <row r="1257" spans="2:4" x14ac:dyDescent="0.2">
      <c r="B1257" s="116" t="s">
        <v>2183</v>
      </c>
      <c r="C1257" s="117" t="s">
        <v>2184</v>
      </c>
      <c r="D1257" s="118">
        <v>3.21</v>
      </c>
    </row>
    <row r="1258" spans="2:4" x14ac:dyDescent="0.2">
      <c r="B1258" s="116" t="s">
        <v>2185</v>
      </c>
      <c r="C1258" s="117" t="s">
        <v>2186</v>
      </c>
      <c r="D1258" s="118">
        <v>1.56</v>
      </c>
    </row>
    <row r="1259" spans="2:4" x14ac:dyDescent="0.2">
      <c r="B1259" s="116" t="s">
        <v>2187</v>
      </c>
      <c r="C1259" s="117" t="s">
        <v>2188</v>
      </c>
      <c r="D1259" s="118">
        <v>2.94</v>
      </c>
    </row>
    <row r="1260" spans="2:4" x14ac:dyDescent="0.2">
      <c r="B1260" s="116" t="s">
        <v>4123</v>
      </c>
      <c r="C1260" s="117" t="s">
        <v>4124</v>
      </c>
      <c r="D1260" s="118">
        <v>4.63</v>
      </c>
    </row>
    <row r="1261" spans="2:4" x14ac:dyDescent="0.2">
      <c r="B1261" s="116" t="s">
        <v>2189</v>
      </c>
      <c r="C1261" s="117" t="s">
        <v>2190</v>
      </c>
      <c r="D1261" s="118">
        <v>1.2</v>
      </c>
    </row>
    <row r="1262" spans="2:4" x14ac:dyDescent="0.2">
      <c r="B1262" s="116" t="s">
        <v>2191</v>
      </c>
      <c r="C1262" s="117" t="s">
        <v>2192</v>
      </c>
      <c r="D1262" s="118">
        <v>1.32</v>
      </c>
    </row>
    <row r="1263" spans="2:4" x14ac:dyDescent="0.2">
      <c r="B1263" s="116" t="s">
        <v>2193</v>
      </c>
      <c r="C1263" s="117" t="s">
        <v>2194</v>
      </c>
      <c r="D1263" s="118">
        <v>0</v>
      </c>
    </row>
    <row r="1264" spans="2:4" x14ac:dyDescent="0.2">
      <c r="B1264" s="116" t="s">
        <v>2195</v>
      </c>
      <c r="C1264" s="117" t="s">
        <v>2196</v>
      </c>
      <c r="D1264" s="118">
        <v>1.37</v>
      </c>
    </row>
    <row r="1265" spans="2:4" x14ac:dyDescent="0.2">
      <c r="B1265" s="116" t="s">
        <v>2197</v>
      </c>
      <c r="C1265" s="117" t="s">
        <v>2198</v>
      </c>
      <c r="D1265" s="118">
        <v>4.32</v>
      </c>
    </row>
    <row r="1266" spans="2:4" x14ac:dyDescent="0.2">
      <c r="B1266" s="116" t="s">
        <v>2199</v>
      </c>
      <c r="C1266" s="117" t="s">
        <v>2200</v>
      </c>
      <c r="D1266" s="118">
        <v>1.1299999999999999</v>
      </c>
    </row>
    <row r="1267" spans="2:4" x14ac:dyDescent="0.2">
      <c r="B1267" s="116" t="s">
        <v>2201</v>
      </c>
      <c r="C1267" s="117" t="s">
        <v>2202</v>
      </c>
      <c r="D1267" s="118">
        <v>2.56</v>
      </c>
    </row>
    <row r="1268" spans="2:4" x14ac:dyDescent="0.2">
      <c r="B1268" s="116" t="s">
        <v>2203</v>
      </c>
      <c r="C1268" s="117" t="s">
        <v>2204</v>
      </c>
      <c r="D1268" s="118">
        <v>0</v>
      </c>
    </row>
    <row r="1269" spans="2:4" x14ac:dyDescent="0.2">
      <c r="B1269" s="116" t="s">
        <v>2205</v>
      </c>
      <c r="C1269" s="117" t="s">
        <v>2206</v>
      </c>
      <c r="D1269" s="118">
        <v>0</v>
      </c>
    </row>
    <row r="1270" spans="2:4" x14ac:dyDescent="0.2">
      <c r="B1270" s="116" t="s">
        <v>2207</v>
      </c>
      <c r="C1270" s="117" t="s">
        <v>2208</v>
      </c>
      <c r="D1270" s="118">
        <v>1.84</v>
      </c>
    </row>
    <row r="1271" spans="2:4" x14ac:dyDescent="0.2">
      <c r="B1271" s="116" t="s">
        <v>2209</v>
      </c>
      <c r="C1271" s="117" t="s">
        <v>2210</v>
      </c>
      <c r="D1271" s="118">
        <v>3.88</v>
      </c>
    </row>
    <row r="1272" spans="2:4" x14ac:dyDescent="0.2">
      <c r="B1272" s="116" t="s">
        <v>2211</v>
      </c>
      <c r="C1272" s="117" t="s">
        <v>2212</v>
      </c>
      <c r="D1272" s="118">
        <v>2.99</v>
      </c>
    </row>
    <row r="1273" spans="2:4" x14ac:dyDescent="0.2">
      <c r="B1273" s="116" t="s">
        <v>4125</v>
      </c>
      <c r="C1273" s="117" t="s">
        <v>4126</v>
      </c>
      <c r="D1273" s="118">
        <v>2.66</v>
      </c>
    </row>
    <row r="1274" spans="2:4" x14ac:dyDescent="0.2">
      <c r="B1274" s="116" t="s">
        <v>4127</v>
      </c>
      <c r="C1274" s="117" t="s">
        <v>4128</v>
      </c>
      <c r="D1274" s="118">
        <v>0.86</v>
      </c>
    </row>
    <row r="1275" spans="2:4" x14ac:dyDescent="0.2">
      <c r="B1275" s="116" t="s">
        <v>2213</v>
      </c>
      <c r="C1275" s="117" t="s">
        <v>2214</v>
      </c>
      <c r="D1275" s="118">
        <v>0</v>
      </c>
    </row>
    <row r="1276" spans="2:4" x14ac:dyDescent="0.2">
      <c r="B1276" s="116" t="s">
        <v>2215</v>
      </c>
      <c r="C1276" s="117" t="s">
        <v>2216</v>
      </c>
      <c r="D1276" s="118">
        <v>0</v>
      </c>
    </row>
    <row r="1277" spans="2:4" x14ac:dyDescent="0.2">
      <c r="B1277" s="116" t="s">
        <v>4129</v>
      </c>
      <c r="C1277" s="117" t="s">
        <v>4130</v>
      </c>
      <c r="D1277" s="118">
        <v>2.46</v>
      </c>
    </row>
    <row r="1278" spans="2:4" x14ac:dyDescent="0.2">
      <c r="B1278" s="116" t="s">
        <v>2218</v>
      </c>
      <c r="C1278" s="117" t="s">
        <v>2219</v>
      </c>
      <c r="D1278" s="118">
        <v>3.19</v>
      </c>
    </row>
    <row r="1279" spans="2:4" x14ac:dyDescent="0.2">
      <c r="B1279" s="116" t="s">
        <v>2220</v>
      </c>
      <c r="C1279" s="117" t="s">
        <v>2221</v>
      </c>
      <c r="D1279" s="118">
        <v>4.33</v>
      </c>
    </row>
    <row r="1280" spans="2:4" x14ac:dyDescent="0.2">
      <c r="B1280" s="116" t="s">
        <v>4131</v>
      </c>
      <c r="C1280" s="117" t="s">
        <v>4132</v>
      </c>
      <c r="D1280" s="118">
        <v>2.79</v>
      </c>
    </row>
    <row r="1281" spans="2:4" x14ac:dyDescent="0.2">
      <c r="B1281" s="116" t="s">
        <v>4133</v>
      </c>
      <c r="C1281" s="117" t="s">
        <v>4134</v>
      </c>
      <c r="D1281" s="118">
        <v>4.49</v>
      </c>
    </row>
    <row r="1282" spans="2:4" x14ac:dyDescent="0.2">
      <c r="B1282" s="116" t="s">
        <v>2222</v>
      </c>
      <c r="C1282" s="117" t="s">
        <v>2223</v>
      </c>
      <c r="D1282" s="118">
        <v>1.1299999999999999</v>
      </c>
    </row>
    <row r="1283" spans="2:4" x14ac:dyDescent="0.2">
      <c r="B1283" s="116" t="s">
        <v>2224</v>
      </c>
      <c r="C1283" s="117" t="s">
        <v>2225</v>
      </c>
      <c r="D1283" s="118">
        <v>3.37</v>
      </c>
    </row>
    <row r="1284" spans="2:4" x14ac:dyDescent="0.2">
      <c r="B1284" s="116" t="s">
        <v>2226</v>
      </c>
      <c r="C1284" s="117" t="s">
        <v>2227</v>
      </c>
      <c r="D1284" s="118">
        <v>0</v>
      </c>
    </row>
    <row r="1285" spans="2:4" x14ac:dyDescent="0.2">
      <c r="B1285" s="116" t="s">
        <v>2228</v>
      </c>
      <c r="C1285" s="117" t="s">
        <v>2229</v>
      </c>
      <c r="D1285" s="118">
        <v>2.8</v>
      </c>
    </row>
    <row r="1286" spans="2:4" x14ac:dyDescent="0.2">
      <c r="B1286" s="116" t="s">
        <v>2230</v>
      </c>
      <c r="C1286" s="117" t="s">
        <v>2231</v>
      </c>
      <c r="D1286" s="118">
        <v>5.61</v>
      </c>
    </row>
    <row r="1287" spans="2:4" x14ac:dyDescent="0.2">
      <c r="B1287" s="116" t="s">
        <v>4135</v>
      </c>
      <c r="C1287" s="117" t="s">
        <v>4136</v>
      </c>
      <c r="D1287" s="118">
        <v>2.34</v>
      </c>
    </row>
    <row r="1288" spans="2:4" x14ac:dyDescent="0.2">
      <c r="B1288" s="116" t="s">
        <v>2232</v>
      </c>
      <c r="C1288" s="117" t="s">
        <v>2233</v>
      </c>
      <c r="D1288" s="118">
        <v>4.84</v>
      </c>
    </row>
    <row r="1289" spans="2:4" x14ac:dyDescent="0.2">
      <c r="B1289" s="116" t="s">
        <v>2234</v>
      </c>
      <c r="C1289" s="117" t="s">
        <v>2235</v>
      </c>
      <c r="D1289" s="118">
        <v>0</v>
      </c>
    </row>
    <row r="1290" spans="2:4" x14ac:dyDescent="0.2">
      <c r="B1290" s="116" t="s">
        <v>2236</v>
      </c>
      <c r="C1290" s="117" t="s">
        <v>2237</v>
      </c>
      <c r="D1290" s="118">
        <v>2.0699999999999998</v>
      </c>
    </row>
    <row r="1291" spans="2:4" x14ac:dyDescent="0.2">
      <c r="B1291" s="116" t="s">
        <v>2238</v>
      </c>
      <c r="C1291" s="117" t="s">
        <v>2239</v>
      </c>
      <c r="D1291" s="118">
        <v>0</v>
      </c>
    </row>
    <row r="1292" spans="2:4" x14ac:dyDescent="0.2">
      <c r="B1292" s="116" t="s">
        <v>4137</v>
      </c>
      <c r="C1292" s="117" t="s">
        <v>4138</v>
      </c>
      <c r="D1292" s="118">
        <v>1.03</v>
      </c>
    </row>
    <row r="1293" spans="2:4" x14ac:dyDescent="0.2">
      <c r="B1293" s="116" t="s">
        <v>2240</v>
      </c>
      <c r="C1293" s="117" t="s">
        <v>2241</v>
      </c>
      <c r="D1293" s="118">
        <v>0</v>
      </c>
    </row>
    <row r="1294" spans="2:4" x14ac:dyDescent="0.2">
      <c r="B1294" s="116" t="s">
        <v>2242</v>
      </c>
      <c r="C1294" s="117" t="s">
        <v>2243</v>
      </c>
      <c r="D1294" s="118">
        <v>0</v>
      </c>
    </row>
    <row r="1295" spans="2:4" x14ac:dyDescent="0.2">
      <c r="B1295" s="116" t="s">
        <v>2244</v>
      </c>
      <c r="C1295" s="117" t="s">
        <v>2245</v>
      </c>
      <c r="D1295" s="118">
        <v>1.87</v>
      </c>
    </row>
    <row r="1296" spans="2:4" x14ac:dyDescent="0.2">
      <c r="B1296" s="116" t="s">
        <v>4139</v>
      </c>
      <c r="C1296" s="117" t="s">
        <v>4140</v>
      </c>
      <c r="D1296" s="118">
        <v>2.4700000000000002</v>
      </c>
    </row>
    <row r="1297" spans="2:4" x14ac:dyDescent="0.2">
      <c r="B1297" s="116" t="s">
        <v>4141</v>
      </c>
      <c r="C1297" s="117" t="s">
        <v>4142</v>
      </c>
      <c r="D1297" s="118">
        <v>2.86</v>
      </c>
    </row>
    <row r="1298" spans="2:4" x14ac:dyDescent="0.2">
      <c r="B1298" s="116" t="s">
        <v>2246</v>
      </c>
      <c r="C1298" s="117" t="s">
        <v>2247</v>
      </c>
      <c r="D1298" s="118">
        <v>1.06</v>
      </c>
    </row>
    <row r="1299" spans="2:4" x14ac:dyDescent="0.2">
      <c r="B1299" s="116" t="s">
        <v>4143</v>
      </c>
      <c r="C1299" s="117" t="s">
        <v>4144</v>
      </c>
      <c r="D1299" s="118">
        <v>2.3199999999999998</v>
      </c>
    </row>
    <row r="1300" spans="2:4" x14ac:dyDescent="0.2">
      <c r="B1300" s="116" t="s">
        <v>2248</v>
      </c>
      <c r="C1300" s="117" t="s">
        <v>2249</v>
      </c>
      <c r="D1300" s="118">
        <v>2.2200000000000002</v>
      </c>
    </row>
    <row r="1301" spans="2:4" x14ac:dyDescent="0.2">
      <c r="B1301" s="116" t="s">
        <v>2250</v>
      </c>
      <c r="C1301" s="117" t="s">
        <v>2251</v>
      </c>
      <c r="D1301" s="118">
        <v>1.41</v>
      </c>
    </row>
    <row r="1302" spans="2:4" x14ac:dyDescent="0.2">
      <c r="B1302" s="116" t="s">
        <v>2252</v>
      </c>
      <c r="C1302" s="117" t="s">
        <v>2253</v>
      </c>
      <c r="D1302" s="118">
        <v>0</v>
      </c>
    </row>
    <row r="1303" spans="2:4" x14ac:dyDescent="0.2">
      <c r="B1303" s="116" t="s">
        <v>4145</v>
      </c>
      <c r="C1303" s="117" t="s">
        <v>4146</v>
      </c>
      <c r="D1303" s="118">
        <v>1.64</v>
      </c>
    </row>
    <row r="1304" spans="2:4" x14ac:dyDescent="0.2">
      <c r="B1304" s="116" t="s">
        <v>2256</v>
      </c>
      <c r="C1304" s="117" t="s">
        <v>2257</v>
      </c>
      <c r="D1304" s="118">
        <v>0</v>
      </c>
    </row>
    <row r="1305" spans="2:4" x14ac:dyDescent="0.2">
      <c r="B1305" s="116" t="s">
        <v>2258</v>
      </c>
      <c r="C1305" s="117" t="s">
        <v>2259</v>
      </c>
      <c r="D1305" s="118">
        <v>0</v>
      </c>
    </row>
    <row r="1306" spans="2:4" x14ac:dyDescent="0.2">
      <c r="B1306" s="116" t="s">
        <v>2260</v>
      </c>
      <c r="C1306" s="117" t="s">
        <v>2261</v>
      </c>
      <c r="D1306" s="118">
        <v>3.68</v>
      </c>
    </row>
    <row r="1307" spans="2:4" x14ac:dyDescent="0.2">
      <c r="B1307" s="116" t="s">
        <v>2262</v>
      </c>
      <c r="C1307" s="117" t="s">
        <v>2263</v>
      </c>
      <c r="D1307" s="118">
        <v>0</v>
      </c>
    </row>
    <row r="1308" spans="2:4" x14ac:dyDescent="0.2">
      <c r="B1308" s="116" t="s">
        <v>2264</v>
      </c>
      <c r="C1308" s="117" t="s">
        <v>2265</v>
      </c>
      <c r="D1308" s="118">
        <v>7.55</v>
      </c>
    </row>
    <row r="1309" spans="2:4" x14ac:dyDescent="0.2">
      <c r="B1309" s="116" t="s">
        <v>2266</v>
      </c>
      <c r="C1309" s="117" t="s">
        <v>2267</v>
      </c>
      <c r="D1309" s="118">
        <v>5.01</v>
      </c>
    </row>
    <row r="1310" spans="2:4" x14ac:dyDescent="0.2">
      <c r="B1310" s="116" t="s">
        <v>2268</v>
      </c>
      <c r="C1310" s="117" t="s">
        <v>2269</v>
      </c>
      <c r="D1310" s="118">
        <v>0</v>
      </c>
    </row>
    <row r="1311" spans="2:4" x14ac:dyDescent="0.2">
      <c r="B1311" s="116" t="s">
        <v>2270</v>
      </c>
      <c r="C1311" s="117" t="s">
        <v>2271</v>
      </c>
      <c r="D1311" s="118">
        <v>5.0599999999999996</v>
      </c>
    </row>
    <row r="1312" spans="2:4" x14ac:dyDescent="0.2">
      <c r="B1312" s="116" t="s">
        <v>2272</v>
      </c>
      <c r="C1312" s="117" t="s">
        <v>2273</v>
      </c>
      <c r="D1312" s="118">
        <v>3.02</v>
      </c>
    </row>
    <row r="1313" spans="2:4" x14ac:dyDescent="0.2">
      <c r="B1313" s="116" t="s">
        <v>2274</v>
      </c>
      <c r="C1313" s="117" t="s">
        <v>2275</v>
      </c>
      <c r="D1313" s="118">
        <v>2.71</v>
      </c>
    </row>
    <row r="1314" spans="2:4" x14ac:dyDescent="0.2">
      <c r="B1314" s="116" t="s">
        <v>2276</v>
      </c>
      <c r="C1314" s="117" t="s">
        <v>2277</v>
      </c>
      <c r="D1314" s="118">
        <v>0</v>
      </c>
    </row>
    <row r="1315" spans="2:4" x14ac:dyDescent="0.2">
      <c r="B1315" s="116" t="s">
        <v>4147</v>
      </c>
      <c r="C1315" s="117" t="s">
        <v>4148</v>
      </c>
      <c r="D1315" s="118">
        <v>8.24</v>
      </c>
    </row>
    <row r="1316" spans="2:4" x14ac:dyDescent="0.2">
      <c r="B1316" s="116" t="s">
        <v>2278</v>
      </c>
      <c r="C1316" s="117" t="s">
        <v>2279</v>
      </c>
      <c r="D1316" s="118">
        <v>2.96</v>
      </c>
    </row>
    <row r="1317" spans="2:4" x14ac:dyDescent="0.2">
      <c r="B1317" s="116" t="s">
        <v>2280</v>
      </c>
      <c r="C1317" s="117" t="s">
        <v>2281</v>
      </c>
      <c r="D1317" s="118">
        <v>0</v>
      </c>
    </row>
    <row r="1318" spans="2:4" x14ac:dyDescent="0.2">
      <c r="B1318" s="116" t="s">
        <v>2282</v>
      </c>
      <c r="C1318" s="117" t="s">
        <v>2283</v>
      </c>
      <c r="D1318" s="118">
        <v>0.6</v>
      </c>
    </row>
    <row r="1319" spans="2:4" x14ac:dyDescent="0.2">
      <c r="B1319" s="116" t="s">
        <v>2284</v>
      </c>
      <c r="C1319" s="117" t="s">
        <v>2285</v>
      </c>
      <c r="D1319" s="118">
        <v>2.82</v>
      </c>
    </row>
    <row r="1320" spans="2:4" x14ac:dyDescent="0.2">
      <c r="B1320" s="116" t="s">
        <v>2286</v>
      </c>
      <c r="C1320" s="117" t="s">
        <v>2287</v>
      </c>
      <c r="D1320" s="118">
        <v>1.02</v>
      </c>
    </row>
    <row r="1321" spans="2:4" x14ac:dyDescent="0.2">
      <c r="B1321" s="116" t="s">
        <v>2288</v>
      </c>
      <c r="C1321" s="117" t="s">
        <v>2289</v>
      </c>
      <c r="D1321" s="118">
        <v>0</v>
      </c>
    </row>
    <row r="1322" spans="2:4" x14ac:dyDescent="0.2">
      <c r="B1322" s="116" t="s">
        <v>2290</v>
      </c>
      <c r="C1322" s="117" t="s">
        <v>2291</v>
      </c>
      <c r="D1322" s="118">
        <v>6.26</v>
      </c>
    </row>
    <row r="1323" spans="2:4" x14ac:dyDescent="0.2">
      <c r="B1323" s="116" t="s">
        <v>2292</v>
      </c>
      <c r="C1323" s="117" t="s">
        <v>2293</v>
      </c>
      <c r="D1323" s="118">
        <v>13.41</v>
      </c>
    </row>
    <row r="1324" spans="2:4" x14ac:dyDescent="0.2">
      <c r="B1324" s="116" t="s">
        <v>2294</v>
      </c>
      <c r="C1324" s="117" t="s">
        <v>2295</v>
      </c>
      <c r="D1324" s="118">
        <v>0.52</v>
      </c>
    </row>
    <row r="1325" spans="2:4" x14ac:dyDescent="0.2">
      <c r="B1325" s="116" t="s">
        <v>2296</v>
      </c>
      <c r="C1325" s="117" t="s">
        <v>2297</v>
      </c>
      <c r="D1325" s="118">
        <v>1.06</v>
      </c>
    </row>
    <row r="1326" spans="2:4" x14ac:dyDescent="0.2">
      <c r="B1326" s="116" t="s">
        <v>2298</v>
      </c>
      <c r="C1326" s="117" t="s">
        <v>2299</v>
      </c>
      <c r="D1326" s="118">
        <v>1.25</v>
      </c>
    </row>
    <row r="1327" spans="2:4" x14ac:dyDescent="0.2">
      <c r="B1327" s="116" t="s">
        <v>4149</v>
      </c>
      <c r="C1327" s="117" t="s">
        <v>4150</v>
      </c>
      <c r="D1327" s="118">
        <v>3.47</v>
      </c>
    </row>
    <row r="1328" spans="2:4" x14ac:dyDescent="0.2">
      <c r="B1328" s="116" t="s">
        <v>2300</v>
      </c>
      <c r="C1328" s="117" t="s">
        <v>2301</v>
      </c>
      <c r="D1328" s="118">
        <v>3.7</v>
      </c>
    </row>
    <row r="1329" spans="2:4" x14ac:dyDescent="0.2">
      <c r="B1329" s="116" t="s">
        <v>2302</v>
      </c>
      <c r="C1329" s="117" t="s">
        <v>2303</v>
      </c>
      <c r="D1329" s="118">
        <v>1.43</v>
      </c>
    </row>
    <row r="1330" spans="2:4" x14ac:dyDescent="0.2">
      <c r="B1330" s="116" t="s">
        <v>2304</v>
      </c>
      <c r="C1330" s="117" t="s">
        <v>2305</v>
      </c>
      <c r="D1330" s="118">
        <v>0.86</v>
      </c>
    </row>
    <row r="1331" spans="2:4" x14ac:dyDescent="0.2">
      <c r="B1331" s="116" t="s">
        <v>2306</v>
      </c>
      <c r="C1331" s="117" t="s">
        <v>2307</v>
      </c>
      <c r="D1331" s="118">
        <v>0</v>
      </c>
    </row>
    <row r="1332" spans="2:4" x14ac:dyDescent="0.2">
      <c r="B1332" s="116" t="s">
        <v>2308</v>
      </c>
      <c r="C1332" s="117" t="s">
        <v>2309</v>
      </c>
      <c r="D1332" s="118">
        <v>0.89</v>
      </c>
    </row>
    <row r="1333" spans="2:4" x14ac:dyDescent="0.2">
      <c r="B1333" s="116" t="s">
        <v>2311</v>
      </c>
      <c r="C1333" s="117" t="s">
        <v>2312</v>
      </c>
      <c r="D1333" s="118">
        <v>0</v>
      </c>
    </row>
    <row r="1334" spans="2:4" x14ac:dyDescent="0.2">
      <c r="B1334" s="116" t="s">
        <v>2313</v>
      </c>
      <c r="C1334" s="117" t="s">
        <v>2314</v>
      </c>
      <c r="D1334" s="118">
        <v>0</v>
      </c>
    </row>
    <row r="1335" spans="2:4" x14ac:dyDescent="0.2">
      <c r="B1335" s="116" t="s">
        <v>4151</v>
      </c>
      <c r="C1335" s="117" t="s">
        <v>4152</v>
      </c>
      <c r="D1335" s="118">
        <v>3.99</v>
      </c>
    </row>
    <row r="1336" spans="2:4" x14ac:dyDescent="0.2">
      <c r="B1336" s="116" t="s">
        <v>4153</v>
      </c>
      <c r="C1336" s="117" t="s">
        <v>4154</v>
      </c>
      <c r="D1336" s="118">
        <v>3.11</v>
      </c>
    </row>
    <row r="1337" spans="2:4" x14ac:dyDescent="0.2">
      <c r="B1337" s="116" t="s">
        <v>4155</v>
      </c>
      <c r="C1337" s="117" t="s">
        <v>4156</v>
      </c>
      <c r="D1337" s="118">
        <v>0.21</v>
      </c>
    </row>
    <row r="1338" spans="2:4" x14ac:dyDescent="0.2">
      <c r="B1338" s="116" t="s">
        <v>4157</v>
      </c>
      <c r="C1338" s="117" t="s">
        <v>4158</v>
      </c>
      <c r="D1338" s="118">
        <v>7.3</v>
      </c>
    </row>
    <row r="1339" spans="2:4" x14ac:dyDescent="0.2">
      <c r="B1339" s="116" t="s">
        <v>2316</v>
      </c>
      <c r="C1339" s="117" t="s">
        <v>2317</v>
      </c>
      <c r="D1339" s="118">
        <v>0.31</v>
      </c>
    </row>
    <row r="1340" spans="2:4" x14ac:dyDescent="0.2">
      <c r="B1340" s="116" t="s">
        <v>2318</v>
      </c>
      <c r="C1340" s="117" t="s">
        <v>2319</v>
      </c>
      <c r="D1340" s="118">
        <v>0.69</v>
      </c>
    </row>
    <row r="1341" spans="2:4" x14ac:dyDescent="0.2">
      <c r="B1341" s="116" t="s">
        <v>2320</v>
      </c>
      <c r="C1341" s="117" t="s">
        <v>2321</v>
      </c>
      <c r="D1341" s="118">
        <v>13.15</v>
      </c>
    </row>
    <row r="1342" spans="2:4" x14ac:dyDescent="0.2">
      <c r="B1342" s="116" t="s">
        <v>2322</v>
      </c>
      <c r="C1342" s="117" t="s">
        <v>2323</v>
      </c>
      <c r="D1342" s="118">
        <v>8.4</v>
      </c>
    </row>
    <row r="1343" spans="2:4" x14ac:dyDescent="0.2">
      <c r="B1343" s="116" t="s">
        <v>2324</v>
      </c>
      <c r="C1343" s="117" t="s">
        <v>2325</v>
      </c>
      <c r="D1343" s="118">
        <v>6.3</v>
      </c>
    </row>
    <row r="1344" spans="2:4" x14ac:dyDescent="0.2">
      <c r="B1344" s="116" t="s">
        <v>2326</v>
      </c>
      <c r="C1344" s="117" t="s">
        <v>2327</v>
      </c>
      <c r="D1344" s="118">
        <v>2.08</v>
      </c>
    </row>
    <row r="1345" spans="2:4" x14ac:dyDescent="0.2">
      <c r="B1345" s="116" t="s">
        <v>2328</v>
      </c>
      <c r="C1345" s="117" t="s">
        <v>2329</v>
      </c>
      <c r="D1345" s="118">
        <v>1.21</v>
      </c>
    </row>
    <row r="1346" spans="2:4" x14ac:dyDescent="0.2">
      <c r="B1346" s="116" t="s">
        <v>2330</v>
      </c>
      <c r="C1346" s="117" t="s">
        <v>2331</v>
      </c>
      <c r="D1346" s="118">
        <v>1.89</v>
      </c>
    </row>
    <row r="1347" spans="2:4" x14ac:dyDescent="0.2">
      <c r="B1347" s="116" t="s">
        <v>2332</v>
      </c>
      <c r="C1347" s="117" t="s">
        <v>2333</v>
      </c>
      <c r="D1347" s="118">
        <v>3.55</v>
      </c>
    </row>
    <row r="1348" spans="2:4" x14ac:dyDescent="0.2">
      <c r="B1348" s="116" t="s">
        <v>2335</v>
      </c>
      <c r="C1348" s="117" t="s">
        <v>2336</v>
      </c>
      <c r="D1348" s="118">
        <v>2.35</v>
      </c>
    </row>
    <row r="1349" spans="2:4" x14ac:dyDescent="0.2">
      <c r="B1349" s="116" t="s">
        <v>2337</v>
      </c>
      <c r="C1349" s="117" t="s">
        <v>2338</v>
      </c>
      <c r="D1349" s="118">
        <v>0.82</v>
      </c>
    </row>
    <row r="1350" spans="2:4" x14ac:dyDescent="0.2">
      <c r="B1350" s="116" t="s">
        <v>2339</v>
      </c>
      <c r="C1350" s="117" t="s">
        <v>2340</v>
      </c>
      <c r="D1350" s="118">
        <v>1.54</v>
      </c>
    </row>
    <row r="1351" spans="2:4" x14ac:dyDescent="0.2">
      <c r="B1351" s="116" t="s">
        <v>2341</v>
      </c>
      <c r="C1351" s="117" t="s">
        <v>2342</v>
      </c>
      <c r="D1351" s="118">
        <v>4.08</v>
      </c>
    </row>
    <row r="1352" spans="2:4" x14ac:dyDescent="0.2">
      <c r="B1352" s="116" t="s">
        <v>2343</v>
      </c>
      <c r="C1352" s="117" t="s">
        <v>2344</v>
      </c>
      <c r="D1352" s="118">
        <v>0</v>
      </c>
    </row>
    <row r="1353" spans="2:4" x14ac:dyDescent="0.2">
      <c r="B1353" s="116" t="s">
        <v>2345</v>
      </c>
      <c r="C1353" s="117" t="s">
        <v>2346</v>
      </c>
      <c r="D1353" s="118">
        <v>3.34</v>
      </c>
    </row>
    <row r="1354" spans="2:4" x14ac:dyDescent="0.2">
      <c r="B1354" s="116" t="s">
        <v>2347</v>
      </c>
      <c r="C1354" s="117" t="s">
        <v>2348</v>
      </c>
      <c r="D1354" s="118">
        <v>2.97</v>
      </c>
    </row>
    <row r="1355" spans="2:4" x14ac:dyDescent="0.2">
      <c r="B1355" s="116" t="s">
        <v>2349</v>
      </c>
      <c r="C1355" s="117" t="s">
        <v>2350</v>
      </c>
      <c r="D1355" s="118">
        <v>3.45</v>
      </c>
    </row>
    <row r="1356" spans="2:4" x14ac:dyDescent="0.2">
      <c r="B1356" s="116" t="s">
        <v>2351</v>
      </c>
      <c r="C1356" s="117" t="s">
        <v>2352</v>
      </c>
      <c r="D1356" s="118">
        <v>0</v>
      </c>
    </row>
    <row r="1357" spans="2:4" x14ac:dyDescent="0.2">
      <c r="B1357" s="116" t="s">
        <v>2353</v>
      </c>
      <c r="C1357" s="117" t="s">
        <v>2354</v>
      </c>
      <c r="D1357" s="118">
        <v>3.04</v>
      </c>
    </row>
    <row r="1358" spans="2:4" x14ac:dyDescent="0.2">
      <c r="B1358" s="116" t="s">
        <v>2355</v>
      </c>
      <c r="C1358" s="117" t="s">
        <v>2356</v>
      </c>
      <c r="D1358" s="118">
        <v>0</v>
      </c>
    </row>
    <row r="1359" spans="2:4" x14ac:dyDescent="0.2">
      <c r="B1359" s="116" t="s">
        <v>2357</v>
      </c>
      <c r="C1359" s="117" t="s">
        <v>2358</v>
      </c>
      <c r="D1359" s="118">
        <v>0</v>
      </c>
    </row>
    <row r="1360" spans="2:4" x14ac:dyDescent="0.2">
      <c r="B1360" s="116" t="s">
        <v>2359</v>
      </c>
      <c r="C1360" s="117" t="s">
        <v>2360</v>
      </c>
      <c r="D1360" s="118">
        <v>0.37</v>
      </c>
    </row>
    <row r="1361" spans="2:4" x14ac:dyDescent="0.2">
      <c r="B1361" s="116" t="s">
        <v>2361</v>
      </c>
      <c r="C1361" s="117" t="s">
        <v>2362</v>
      </c>
      <c r="D1361" s="118">
        <v>1.2</v>
      </c>
    </row>
    <row r="1362" spans="2:4" x14ac:dyDescent="0.2">
      <c r="B1362" s="116" t="s">
        <v>2363</v>
      </c>
      <c r="C1362" s="117" t="s">
        <v>2364</v>
      </c>
      <c r="D1362" s="118">
        <v>0</v>
      </c>
    </row>
    <row r="1363" spans="2:4" x14ac:dyDescent="0.2">
      <c r="B1363" s="116" t="s">
        <v>2365</v>
      </c>
      <c r="C1363" s="117" t="s">
        <v>2366</v>
      </c>
      <c r="D1363" s="118">
        <v>2.12</v>
      </c>
    </row>
    <row r="1364" spans="2:4" x14ac:dyDescent="0.2">
      <c r="B1364" s="116" t="s">
        <v>2367</v>
      </c>
      <c r="C1364" s="117" t="s">
        <v>2368</v>
      </c>
      <c r="D1364" s="118">
        <v>3.2</v>
      </c>
    </row>
    <row r="1365" spans="2:4" x14ac:dyDescent="0.2">
      <c r="B1365" s="116" t="s">
        <v>2369</v>
      </c>
      <c r="C1365" s="117" t="s">
        <v>2370</v>
      </c>
      <c r="D1365" s="118">
        <v>1.18</v>
      </c>
    </row>
    <row r="1366" spans="2:4" x14ac:dyDescent="0.2">
      <c r="B1366" s="116" t="s">
        <v>2371</v>
      </c>
      <c r="C1366" s="117" t="s">
        <v>2372</v>
      </c>
      <c r="D1366" s="118">
        <v>3.08</v>
      </c>
    </row>
    <row r="1367" spans="2:4" x14ac:dyDescent="0.2">
      <c r="B1367" s="116" t="s">
        <v>2373</v>
      </c>
      <c r="C1367" s="117" t="s">
        <v>2374</v>
      </c>
      <c r="D1367" s="118">
        <v>5.2</v>
      </c>
    </row>
    <row r="1368" spans="2:4" x14ac:dyDescent="0.2">
      <c r="B1368" s="116" t="s">
        <v>2375</v>
      </c>
      <c r="C1368" s="117" t="s">
        <v>4159</v>
      </c>
      <c r="D1368" s="118">
        <v>1.4</v>
      </c>
    </row>
    <row r="1369" spans="2:4" x14ac:dyDescent="0.2">
      <c r="B1369" s="116" t="s">
        <v>2375</v>
      </c>
      <c r="C1369" s="117" t="s">
        <v>2376</v>
      </c>
      <c r="D1369" s="118">
        <v>1.43</v>
      </c>
    </row>
    <row r="1370" spans="2:4" x14ac:dyDescent="0.2">
      <c r="B1370" s="116" t="s">
        <v>2377</v>
      </c>
      <c r="C1370" s="117" t="s">
        <v>2378</v>
      </c>
      <c r="D1370" s="118">
        <v>3.27</v>
      </c>
    </row>
    <row r="1371" spans="2:4" x14ac:dyDescent="0.2">
      <c r="B1371" s="116" t="s">
        <v>2379</v>
      </c>
      <c r="C1371" s="117" t="s">
        <v>2380</v>
      </c>
      <c r="D1371" s="118">
        <v>1.43</v>
      </c>
    </row>
    <row r="1372" spans="2:4" x14ac:dyDescent="0.2">
      <c r="B1372" s="116" t="s">
        <v>2381</v>
      </c>
      <c r="C1372" s="117" t="s">
        <v>2382</v>
      </c>
      <c r="D1372" s="118">
        <v>1.74</v>
      </c>
    </row>
    <row r="1373" spans="2:4" x14ac:dyDescent="0.2">
      <c r="B1373" s="116" t="s">
        <v>2383</v>
      </c>
      <c r="C1373" s="117" t="s">
        <v>2384</v>
      </c>
      <c r="D1373" s="118">
        <v>5.45</v>
      </c>
    </row>
    <row r="1374" spans="2:4" x14ac:dyDescent="0.2">
      <c r="B1374" s="116" t="s">
        <v>2385</v>
      </c>
      <c r="C1374" s="117" t="s">
        <v>2386</v>
      </c>
      <c r="D1374" s="118">
        <v>0.69</v>
      </c>
    </row>
    <row r="1375" spans="2:4" x14ac:dyDescent="0.2">
      <c r="B1375" s="116" t="s">
        <v>2388</v>
      </c>
      <c r="C1375" s="117" t="s">
        <v>2389</v>
      </c>
      <c r="D1375" s="118">
        <v>3.58</v>
      </c>
    </row>
    <row r="1376" spans="2:4" x14ac:dyDescent="0.2">
      <c r="B1376" s="116" t="s">
        <v>2390</v>
      </c>
      <c r="C1376" s="117" t="s">
        <v>2391</v>
      </c>
      <c r="D1376" s="118">
        <v>7.84</v>
      </c>
    </row>
    <row r="1377" spans="2:4" x14ac:dyDescent="0.2">
      <c r="B1377" s="116" t="s">
        <v>2392</v>
      </c>
      <c r="C1377" s="117" t="s">
        <v>2393</v>
      </c>
      <c r="D1377" s="118">
        <v>0</v>
      </c>
    </row>
    <row r="1378" spans="2:4" x14ac:dyDescent="0.2">
      <c r="B1378" s="116" t="s">
        <v>4160</v>
      </c>
      <c r="C1378" s="117" t="s">
        <v>4161</v>
      </c>
      <c r="D1378" s="118">
        <v>0</v>
      </c>
    </row>
    <row r="1379" spans="2:4" x14ac:dyDescent="0.2">
      <c r="B1379" s="116" t="s">
        <v>2394</v>
      </c>
      <c r="C1379" s="117" t="s">
        <v>2395</v>
      </c>
      <c r="D1379" s="118">
        <v>1.44</v>
      </c>
    </row>
    <row r="1380" spans="2:4" x14ac:dyDescent="0.2">
      <c r="B1380" s="116" t="s">
        <v>4162</v>
      </c>
      <c r="C1380" s="117" t="s">
        <v>4163</v>
      </c>
      <c r="D1380" s="118">
        <v>0</v>
      </c>
    </row>
    <row r="1381" spans="2:4" x14ac:dyDescent="0.2">
      <c r="B1381" s="116" t="s">
        <v>2396</v>
      </c>
      <c r="C1381" s="117" t="s">
        <v>2397</v>
      </c>
      <c r="D1381" s="118">
        <v>3.78</v>
      </c>
    </row>
    <row r="1382" spans="2:4" x14ac:dyDescent="0.2">
      <c r="B1382" s="116" t="s">
        <v>2398</v>
      </c>
      <c r="C1382" s="117" t="s">
        <v>2399</v>
      </c>
      <c r="D1382" s="118">
        <v>0.4</v>
      </c>
    </row>
    <row r="1383" spans="2:4" x14ac:dyDescent="0.2">
      <c r="B1383" s="116" t="s">
        <v>2400</v>
      </c>
      <c r="C1383" s="117" t="s">
        <v>2401</v>
      </c>
      <c r="D1383" s="118">
        <v>0</v>
      </c>
    </row>
    <row r="1384" spans="2:4" x14ac:dyDescent="0.2">
      <c r="B1384" s="116" t="s">
        <v>2402</v>
      </c>
      <c r="C1384" s="117" t="s">
        <v>2403</v>
      </c>
      <c r="D1384" s="118">
        <v>3.79</v>
      </c>
    </row>
    <row r="1385" spans="2:4" x14ac:dyDescent="0.2">
      <c r="B1385" s="116" t="s">
        <v>2404</v>
      </c>
      <c r="C1385" s="117" t="s">
        <v>2405</v>
      </c>
      <c r="D1385" s="118">
        <v>3.25</v>
      </c>
    </row>
    <row r="1386" spans="2:4" x14ac:dyDescent="0.2">
      <c r="B1386" s="116" t="s">
        <v>2406</v>
      </c>
      <c r="C1386" s="117" t="s">
        <v>2407</v>
      </c>
      <c r="D1386" s="118">
        <v>2.12</v>
      </c>
    </row>
    <row r="1387" spans="2:4" x14ac:dyDescent="0.2">
      <c r="B1387" s="116" t="s">
        <v>4164</v>
      </c>
      <c r="C1387" s="117" t="s">
        <v>4165</v>
      </c>
      <c r="D1387" s="118">
        <v>5.74</v>
      </c>
    </row>
    <row r="1388" spans="2:4" x14ac:dyDescent="0.2">
      <c r="B1388" s="116" t="s">
        <v>2408</v>
      </c>
      <c r="C1388" s="117" t="s">
        <v>2409</v>
      </c>
      <c r="D1388" s="118">
        <v>6.45</v>
      </c>
    </row>
    <row r="1389" spans="2:4" x14ac:dyDescent="0.2">
      <c r="B1389" s="116" t="s">
        <v>4166</v>
      </c>
      <c r="C1389" s="117" t="s">
        <v>4167</v>
      </c>
      <c r="D1389" s="118">
        <v>0</v>
      </c>
    </row>
    <row r="1390" spans="2:4" x14ac:dyDescent="0.2">
      <c r="B1390" s="116" t="s">
        <v>2410</v>
      </c>
      <c r="C1390" s="117" t="s">
        <v>2411</v>
      </c>
      <c r="D1390" s="118">
        <v>4.7</v>
      </c>
    </row>
    <row r="1391" spans="2:4" x14ac:dyDescent="0.2">
      <c r="B1391" s="116" t="s">
        <v>2412</v>
      </c>
      <c r="C1391" s="117" t="s">
        <v>2413</v>
      </c>
      <c r="D1391" s="118">
        <v>0</v>
      </c>
    </row>
    <row r="1392" spans="2:4" x14ac:dyDescent="0.2">
      <c r="B1392" s="116" t="s">
        <v>2414</v>
      </c>
      <c r="C1392" s="117" t="s">
        <v>2415</v>
      </c>
      <c r="D1392" s="118">
        <v>0.21</v>
      </c>
    </row>
    <row r="1393" spans="2:4" x14ac:dyDescent="0.2">
      <c r="B1393" s="116" t="s">
        <v>2416</v>
      </c>
      <c r="C1393" s="117" t="s">
        <v>2417</v>
      </c>
      <c r="D1393" s="118">
        <v>0.22</v>
      </c>
    </row>
    <row r="1394" spans="2:4" x14ac:dyDescent="0.2">
      <c r="B1394" s="116" t="s">
        <v>2418</v>
      </c>
      <c r="C1394" s="117" t="s">
        <v>2419</v>
      </c>
      <c r="D1394" s="118">
        <v>0</v>
      </c>
    </row>
    <row r="1395" spans="2:4" x14ac:dyDescent="0.2">
      <c r="B1395" s="116" t="s">
        <v>2420</v>
      </c>
      <c r="C1395" s="117" t="s">
        <v>2421</v>
      </c>
      <c r="D1395" s="118">
        <v>4.29</v>
      </c>
    </row>
    <row r="1396" spans="2:4" x14ac:dyDescent="0.2">
      <c r="B1396" s="116" t="s">
        <v>2422</v>
      </c>
      <c r="C1396" s="117" t="s">
        <v>2423</v>
      </c>
      <c r="D1396" s="118">
        <v>3.34</v>
      </c>
    </row>
    <row r="1397" spans="2:4" x14ac:dyDescent="0.2">
      <c r="B1397" s="116" t="s">
        <v>2424</v>
      </c>
      <c r="C1397" s="117" t="s">
        <v>2425</v>
      </c>
      <c r="D1397" s="118">
        <v>0</v>
      </c>
    </row>
    <row r="1398" spans="2:4" x14ac:dyDescent="0.2">
      <c r="B1398" s="116" t="s">
        <v>2426</v>
      </c>
      <c r="C1398" s="117" t="s">
        <v>2427</v>
      </c>
      <c r="D1398" s="118">
        <v>2.67</v>
      </c>
    </row>
    <row r="1399" spans="2:4" x14ac:dyDescent="0.2">
      <c r="B1399" s="116" t="s">
        <v>2428</v>
      </c>
      <c r="C1399" s="117" t="s">
        <v>2429</v>
      </c>
      <c r="D1399" s="118">
        <v>0</v>
      </c>
    </row>
    <row r="1400" spans="2:4" x14ac:dyDescent="0.2">
      <c r="B1400" s="116" t="s">
        <v>2430</v>
      </c>
      <c r="C1400" s="117" t="s">
        <v>2431</v>
      </c>
      <c r="D1400" s="118">
        <v>0</v>
      </c>
    </row>
    <row r="1401" spans="2:4" x14ac:dyDescent="0.2">
      <c r="B1401" s="116" t="s">
        <v>2432</v>
      </c>
      <c r="C1401" s="117" t="s">
        <v>2433</v>
      </c>
      <c r="D1401" s="118">
        <v>2.95</v>
      </c>
    </row>
    <row r="1402" spans="2:4" x14ac:dyDescent="0.2">
      <c r="B1402" s="116" t="s">
        <v>2434</v>
      </c>
      <c r="C1402" s="117" t="s">
        <v>2435</v>
      </c>
      <c r="D1402" s="118">
        <v>0</v>
      </c>
    </row>
    <row r="1403" spans="2:4" x14ac:dyDescent="0.2">
      <c r="B1403" s="116" t="s">
        <v>4168</v>
      </c>
      <c r="C1403" s="117" t="s">
        <v>4169</v>
      </c>
      <c r="D1403" s="118">
        <v>0.49</v>
      </c>
    </row>
    <row r="1404" spans="2:4" x14ac:dyDescent="0.2">
      <c r="B1404" s="116" t="s">
        <v>4170</v>
      </c>
      <c r="C1404" s="117" t="s">
        <v>4171</v>
      </c>
      <c r="D1404" s="118">
        <v>0</v>
      </c>
    </row>
    <row r="1405" spans="2:4" x14ac:dyDescent="0.2">
      <c r="B1405" s="116" t="s">
        <v>2436</v>
      </c>
      <c r="C1405" s="117" t="s">
        <v>2437</v>
      </c>
      <c r="D1405" s="118">
        <v>0.6</v>
      </c>
    </row>
    <row r="1406" spans="2:4" x14ac:dyDescent="0.2">
      <c r="B1406" s="116" t="s">
        <v>2438</v>
      </c>
      <c r="C1406" s="117" t="s">
        <v>2439</v>
      </c>
      <c r="D1406" s="118">
        <v>4.59</v>
      </c>
    </row>
    <row r="1407" spans="2:4" x14ac:dyDescent="0.2">
      <c r="B1407" s="116" t="s">
        <v>4172</v>
      </c>
      <c r="C1407" s="117" t="s">
        <v>4173</v>
      </c>
      <c r="D1407" s="118">
        <v>10.42</v>
      </c>
    </row>
    <row r="1408" spans="2:4" x14ac:dyDescent="0.2">
      <c r="B1408" s="116" t="s">
        <v>2440</v>
      </c>
      <c r="C1408" s="117" t="s">
        <v>2441</v>
      </c>
      <c r="D1408" s="118">
        <v>1.8</v>
      </c>
    </row>
    <row r="1409" spans="2:4" x14ac:dyDescent="0.2">
      <c r="B1409" s="116" t="s">
        <v>4174</v>
      </c>
      <c r="C1409" s="117" t="s">
        <v>4175</v>
      </c>
      <c r="D1409" s="118">
        <v>3.48</v>
      </c>
    </row>
    <row r="1410" spans="2:4" x14ac:dyDescent="0.2">
      <c r="B1410" s="116" t="s">
        <v>2442</v>
      </c>
      <c r="C1410" s="117" t="s">
        <v>2443</v>
      </c>
      <c r="D1410" s="118">
        <v>3.52</v>
      </c>
    </row>
    <row r="1411" spans="2:4" x14ac:dyDescent="0.2">
      <c r="B1411" s="116" t="s">
        <v>4176</v>
      </c>
      <c r="C1411" s="117" t="s">
        <v>4177</v>
      </c>
      <c r="D1411" s="118">
        <v>2.5</v>
      </c>
    </row>
    <row r="1412" spans="2:4" x14ac:dyDescent="0.2">
      <c r="B1412" s="116" t="s">
        <v>2444</v>
      </c>
      <c r="C1412" s="117" t="s">
        <v>2445</v>
      </c>
      <c r="D1412" s="118">
        <v>0</v>
      </c>
    </row>
    <row r="1413" spans="2:4" x14ac:dyDescent="0.2">
      <c r="B1413" s="116" t="s">
        <v>4178</v>
      </c>
      <c r="C1413" s="117" t="s">
        <v>4179</v>
      </c>
      <c r="D1413" s="118">
        <v>0</v>
      </c>
    </row>
    <row r="1414" spans="2:4" x14ac:dyDescent="0.2">
      <c r="B1414" s="116" t="s">
        <v>2446</v>
      </c>
      <c r="C1414" s="117" t="s">
        <v>2447</v>
      </c>
      <c r="D1414" s="118">
        <v>1.44</v>
      </c>
    </row>
    <row r="1415" spans="2:4" x14ac:dyDescent="0.2">
      <c r="B1415" s="116" t="s">
        <v>2448</v>
      </c>
      <c r="C1415" s="117" t="s">
        <v>2449</v>
      </c>
      <c r="D1415" s="118">
        <v>1.69</v>
      </c>
    </row>
    <row r="1416" spans="2:4" x14ac:dyDescent="0.2">
      <c r="B1416" s="116" t="s">
        <v>2450</v>
      </c>
      <c r="C1416" s="117" t="s">
        <v>2451</v>
      </c>
      <c r="D1416" s="118">
        <v>5.14</v>
      </c>
    </row>
    <row r="1417" spans="2:4" x14ac:dyDescent="0.2">
      <c r="B1417" s="116" t="s">
        <v>2452</v>
      </c>
      <c r="C1417" s="117" t="s">
        <v>2453</v>
      </c>
      <c r="D1417" s="118">
        <v>4.05</v>
      </c>
    </row>
    <row r="1418" spans="2:4" x14ac:dyDescent="0.2">
      <c r="B1418" s="116" t="s">
        <v>2454</v>
      </c>
      <c r="C1418" s="117" t="s">
        <v>2455</v>
      </c>
      <c r="D1418" s="118">
        <v>6.91</v>
      </c>
    </row>
    <row r="1419" spans="2:4" x14ac:dyDescent="0.2">
      <c r="B1419" s="116" t="s">
        <v>2456</v>
      </c>
      <c r="C1419" s="117" t="s">
        <v>2457</v>
      </c>
      <c r="D1419" s="118">
        <v>3.53</v>
      </c>
    </row>
    <row r="1420" spans="2:4" x14ac:dyDescent="0.2">
      <c r="B1420" s="116" t="s">
        <v>2458</v>
      </c>
      <c r="C1420" s="117" t="s">
        <v>2459</v>
      </c>
      <c r="D1420" s="118">
        <v>6.7</v>
      </c>
    </row>
    <row r="1421" spans="2:4" x14ac:dyDescent="0.2">
      <c r="B1421" s="116" t="s">
        <v>2460</v>
      </c>
      <c r="C1421" s="117" t="s">
        <v>2461</v>
      </c>
      <c r="D1421" s="118">
        <v>0.83</v>
      </c>
    </row>
    <row r="1422" spans="2:4" x14ac:dyDescent="0.2">
      <c r="B1422" s="116" t="s">
        <v>2462</v>
      </c>
      <c r="C1422" s="117" t="s">
        <v>2463</v>
      </c>
      <c r="D1422" s="118">
        <v>3.68</v>
      </c>
    </row>
    <row r="1423" spans="2:4" x14ac:dyDescent="0.2">
      <c r="B1423" s="116" t="s">
        <v>2464</v>
      </c>
      <c r="C1423" s="117" t="s">
        <v>2465</v>
      </c>
      <c r="D1423" s="118">
        <v>6.53</v>
      </c>
    </row>
    <row r="1424" spans="2:4" x14ac:dyDescent="0.2">
      <c r="B1424" s="116" t="s">
        <v>2466</v>
      </c>
      <c r="C1424" s="117" t="s">
        <v>2467</v>
      </c>
      <c r="D1424" s="118">
        <v>3.49</v>
      </c>
    </row>
    <row r="1425" spans="2:4" x14ac:dyDescent="0.2">
      <c r="B1425" s="116" t="s">
        <v>2468</v>
      </c>
      <c r="C1425" s="117" t="s">
        <v>2469</v>
      </c>
      <c r="D1425" s="118">
        <v>6.44</v>
      </c>
    </row>
    <row r="1426" spans="2:4" x14ac:dyDescent="0.2">
      <c r="B1426" s="116" t="s">
        <v>2470</v>
      </c>
      <c r="C1426" s="117" t="s">
        <v>2471</v>
      </c>
      <c r="D1426" s="118">
        <v>0</v>
      </c>
    </row>
    <row r="1427" spans="2:4" x14ac:dyDescent="0.2">
      <c r="B1427" s="116" t="s">
        <v>2472</v>
      </c>
      <c r="C1427" s="117" t="s">
        <v>2473</v>
      </c>
      <c r="D1427" s="118">
        <v>0</v>
      </c>
    </row>
    <row r="1428" spans="2:4" x14ac:dyDescent="0.2">
      <c r="B1428" s="116" t="s">
        <v>2474</v>
      </c>
      <c r="C1428" s="117" t="s">
        <v>2475</v>
      </c>
      <c r="D1428" s="118">
        <v>0</v>
      </c>
    </row>
    <row r="1429" spans="2:4" x14ac:dyDescent="0.2">
      <c r="B1429" s="116" t="s">
        <v>2476</v>
      </c>
      <c r="C1429" s="117" t="s">
        <v>2477</v>
      </c>
      <c r="D1429" s="118">
        <v>3</v>
      </c>
    </row>
    <row r="1430" spans="2:4" x14ac:dyDescent="0.2">
      <c r="B1430" s="116" t="s">
        <v>2478</v>
      </c>
      <c r="C1430" s="117" t="s">
        <v>2479</v>
      </c>
      <c r="D1430" s="118">
        <v>2.3199999999999998</v>
      </c>
    </row>
    <row r="1431" spans="2:4" x14ac:dyDescent="0.2">
      <c r="B1431" s="116" t="s">
        <v>2480</v>
      </c>
      <c r="C1431" s="117" t="s">
        <v>2481</v>
      </c>
      <c r="D1431" s="118">
        <v>4.8499999999999996</v>
      </c>
    </row>
    <row r="1432" spans="2:4" x14ac:dyDescent="0.2">
      <c r="B1432" s="116" t="s">
        <v>2482</v>
      </c>
      <c r="C1432" s="117" t="s">
        <v>2483</v>
      </c>
      <c r="D1432" s="118">
        <v>4.46</v>
      </c>
    </row>
    <row r="1433" spans="2:4" x14ac:dyDescent="0.2">
      <c r="B1433" s="116" t="s">
        <v>2484</v>
      </c>
      <c r="C1433" s="117" t="s">
        <v>2485</v>
      </c>
      <c r="D1433" s="118">
        <v>2.12</v>
      </c>
    </row>
    <row r="1434" spans="2:4" x14ac:dyDescent="0.2">
      <c r="B1434" s="116" t="s">
        <v>2484</v>
      </c>
      <c r="C1434" s="117" t="s">
        <v>4180</v>
      </c>
      <c r="D1434" s="118">
        <v>2.7</v>
      </c>
    </row>
    <row r="1435" spans="2:4" x14ac:dyDescent="0.2">
      <c r="B1435" s="116" t="s">
        <v>4181</v>
      </c>
      <c r="C1435" s="117" t="s">
        <v>4182</v>
      </c>
      <c r="D1435" s="118">
        <v>5.92</v>
      </c>
    </row>
    <row r="1436" spans="2:4" x14ac:dyDescent="0.2">
      <c r="B1436" s="116" t="s">
        <v>2486</v>
      </c>
      <c r="C1436" s="117" t="s">
        <v>2487</v>
      </c>
      <c r="D1436" s="118">
        <v>1.82</v>
      </c>
    </row>
    <row r="1437" spans="2:4" x14ac:dyDescent="0.2">
      <c r="B1437" s="116" t="s">
        <v>4183</v>
      </c>
      <c r="C1437" s="117" t="s">
        <v>4184</v>
      </c>
      <c r="D1437" s="118">
        <v>3.44</v>
      </c>
    </row>
    <row r="1438" spans="2:4" x14ac:dyDescent="0.2">
      <c r="B1438" s="116" t="s">
        <v>2488</v>
      </c>
      <c r="C1438" s="117" t="s">
        <v>2489</v>
      </c>
      <c r="D1438" s="118">
        <v>0</v>
      </c>
    </row>
    <row r="1439" spans="2:4" x14ac:dyDescent="0.2">
      <c r="B1439" s="116" t="s">
        <v>2490</v>
      </c>
      <c r="C1439" s="117" t="s">
        <v>2491</v>
      </c>
      <c r="D1439" s="118">
        <v>2.76</v>
      </c>
    </row>
    <row r="1440" spans="2:4" x14ac:dyDescent="0.2">
      <c r="B1440" s="116" t="s">
        <v>2492</v>
      </c>
      <c r="C1440" s="117" t="s">
        <v>2493</v>
      </c>
      <c r="D1440" s="118">
        <v>0</v>
      </c>
    </row>
    <row r="1441" spans="2:4" x14ac:dyDescent="0.2">
      <c r="B1441" s="116" t="s">
        <v>4183</v>
      </c>
      <c r="C1441" s="117" t="s">
        <v>4185</v>
      </c>
      <c r="D1441" s="118">
        <v>0</v>
      </c>
    </row>
    <row r="1442" spans="2:4" x14ac:dyDescent="0.2">
      <c r="B1442" s="116" t="s">
        <v>4186</v>
      </c>
      <c r="C1442" s="117" t="s">
        <v>4187</v>
      </c>
      <c r="D1442" s="118">
        <v>4.7699999999999996</v>
      </c>
    </row>
    <row r="1443" spans="2:4" x14ac:dyDescent="0.2">
      <c r="B1443" s="116" t="s">
        <v>2494</v>
      </c>
      <c r="C1443" s="117" t="s">
        <v>2495</v>
      </c>
      <c r="D1443" s="118">
        <v>0</v>
      </c>
    </row>
    <row r="1444" spans="2:4" x14ac:dyDescent="0.2">
      <c r="B1444" s="116" t="s">
        <v>2496</v>
      </c>
      <c r="C1444" s="117" t="s">
        <v>2497</v>
      </c>
      <c r="D1444" s="118">
        <v>1.03</v>
      </c>
    </row>
    <row r="1445" spans="2:4" x14ac:dyDescent="0.2">
      <c r="B1445" s="116" t="s">
        <v>4188</v>
      </c>
      <c r="C1445" s="117" t="s">
        <v>4189</v>
      </c>
      <c r="D1445" s="118">
        <v>1.2</v>
      </c>
    </row>
    <row r="1446" spans="2:4" x14ac:dyDescent="0.2">
      <c r="B1446" s="116" t="s">
        <v>2498</v>
      </c>
      <c r="C1446" s="117" t="s">
        <v>2499</v>
      </c>
      <c r="D1446" s="118">
        <v>0.65</v>
      </c>
    </row>
    <row r="1447" spans="2:4" x14ac:dyDescent="0.2">
      <c r="B1447" s="116" t="s">
        <v>2500</v>
      </c>
      <c r="C1447" s="117" t="s">
        <v>2501</v>
      </c>
      <c r="D1447" s="118">
        <v>5.43</v>
      </c>
    </row>
    <row r="1448" spans="2:4" x14ac:dyDescent="0.2">
      <c r="B1448" s="116" t="s">
        <v>2502</v>
      </c>
      <c r="C1448" s="117" t="s">
        <v>2503</v>
      </c>
      <c r="D1448" s="118">
        <v>3.04</v>
      </c>
    </row>
    <row r="1449" spans="2:4" x14ac:dyDescent="0.2">
      <c r="B1449" s="116" t="s">
        <v>2504</v>
      </c>
      <c r="C1449" s="117" t="s">
        <v>2505</v>
      </c>
      <c r="D1449" s="118">
        <v>0.17</v>
      </c>
    </row>
    <row r="1450" spans="2:4" x14ac:dyDescent="0.2">
      <c r="B1450" s="116" t="s">
        <v>2506</v>
      </c>
      <c r="C1450" s="117" t="s">
        <v>2507</v>
      </c>
      <c r="D1450" s="118">
        <v>0</v>
      </c>
    </row>
    <row r="1451" spans="2:4" x14ac:dyDescent="0.2">
      <c r="B1451" s="116" t="s">
        <v>2508</v>
      </c>
      <c r="C1451" s="117" t="s">
        <v>2509</v>
      </c>
      <c r="D1451" s="118">
        <v>2.84</v>
      </c>
    </row>
    <row r="1452" spans="2:4" x14ac:dyDescent="0.2">
      <c r="B1452" s="116" t="s">
        <v>2510</v>
      </c>
      <c r="C1452" s="117" t="s">
        <v>2511</v>
      </c>
      <c r="D1452" s="118">
        <v>3.92</v>
      </c>
    </row>
    <row r="1453" spans="2:4" x14ac:dyDescent="0.2">
      <c r="B1453" s="116" t="s">
        <v>4190</v>
      </c>
      <c r="C1453" s="117" t="s">
        <v>4191</v>
      </c>
      <c r="D1453" s="118">
        <v>5.57</v>
      </c>
    </row>
    <row r="1454" spans="2:4" x14ac:dyDescent="0.2">
      <c r="B1454" s="116" t="s">
        <v>2512</v>
      </c>
      <c r="C1454" s="117" t="s">
        <v>2513</v>
      </c>
      <c r="D1454" s="118">
        <v>3.89</v>
      </c>
    </row>
    <row r="1455" spans="2:4" x14ac:dyDescent="0.2">
      <c r="B1455" s="116" t="s">
        <v>2514</v>
      </c>
      <c r="C1455" s="117" t="s">
        <v>2515</v>
      </c>
      <c r="D1455" s="118">
        <v>0</v>
      </c>
    </row>
    <row r="1456" spans="2:4" x14ac:dyDescent="0.2">
      <c r="B1456" s="116" t="s">
        <v>2516</v>
      </c>
      <c r="C1456" s="117" t="s">
        <v>2517</v>
      </c>
      <c r="D1456" s="118">
        <v>0</v>
      </c>
    </row>
    <row r="1457" spans="2:4" x14ac:dyDescent="0.2">
      <c r="B1457" s="116" t="s">
        <v>2518</v>
      </c>
      <c r="C1457" s="117" t="s">
        <v>2519</v>
      </c>
      <c r="D1457" s="118">
        <v>2.44</v>
      </c>
    </row>
    <row r="1458" spans="2:4" x14ac:dyDescent="0.2">
      <c r="B1458" s="116" t="s">
        <v>4192</v>
      </c>
      <c r="C1458" s="117" t="s">
        <v>4193</v>
      </c>
      <c r="D1458" s="118">
        <v>1.1399999999999999</v>
      </c>
    </row>
    <row r="1459" spans="2:4" x14ac:dyDescent="0.2">
      <c r="B1459" s="116" t="s">
        <v>2520</v>
      </c>
      <c r="C1459" s="117" t="s">
        <v>2521</v>
      </c>
      <c r="D1459" s="118">
        <v>0.53</v>
      </c>
    </row>
    <row r="1460" spans="2:4" x14ac:dyDescent="0.2">
      <c r="B1460" s="116" t="s">
        <v>2522</v>
      </c>
      <c r="C1460" s="117" t="s">
        <v>2523</v>
      </c>
      <c r="D1460" s="118">
        <v>3.06</v>
      </c>
    </row>
    <row r="1461" spans="2:4" x14ac:dyDescent="0.2">
      <c r="B1461" s="116" t="s">
        <v>4194</v>
      </c>
      <c r="C1461" s="117" t="s">
        <v>4195</v>
      </c>
      <c r="D1461" s="118">
        <v>5.41</v>
      </c>
    </row>
    <row r="1462" spans="2:4" x14ac:dyDescent="0.2">
      <c r="B1462" s="116" t="s">
        <v>2524</v>
      </c>
      <c r="C1462" s="117" t="s">
        <v>2525</v>
      </c>
      <c r="D1462" s="118">
        <v>1.99</v>
      </c>
    </row>
    <row r="1463" spans="2:4" x14ac:dyDescent="0.2">
      <c r="B1463" s="116" t="s">
        <v>2526</v>
      </c>
      <c r="C1463" s="117" t="s">
        <v>2527</v>
      </c>
      <c r="D1463" s="118">
        <v>1.7</v>
      </c>
    </row>
    <row r="1464" spans="2:4" x14ac:dyDescent="0.2">
      <c r="B1464" s="116" t="s">
        <v>2528</v>
      </c>
      <c r="C1464" s="117" t="s">
        <v>2529</v>
      </c>
      <c r="D1464" s="118">
        <v>4.24</v>
      </c>
    </row>
    <row r="1465" spans="2:4" x14ac:dyDescent="0.2">
      <c r="B1465" s="116" t="s">
        <v>2530</v>
      </c>
      <c r="C1465" s="117" t="s">
        <v>2531</v>
      </c>
      <c r="D1465" s="118">
        <v>1.23</v>
      </c>
    </row>
    <row r="1466" spans="2:4" x14ac:dyDescent="0.2">
      <c r="B1466" s="116" t="s">
        <v>2532</v>
      </c>
      <c r="C1466" s="117" t="s">
        <v>2533</v>
      </c>
      <c r="D1466" s="118">
        <v>2.77</v>
      </c>
    </row>
    <row r="1467" spans="2:4" x14ac:dyDescent="0.2">
      <c r="B1467" s="116" t="s">
        <v>2534</v>
      </c>
      <c r="C1467" s="117" t="s">
        <v>2535</v>
      </c>
      <c r="D1467" s="118">
        <v>0</v>
      </c>
    </row>
    <row r="1468" spans="2:4" x14ac:dyDescent="0.2">
      <c r="B1468" s="116" t="s">
        <v>4196</v>
      </c>
      <c r="C1468" s="117" t="s">
        <v>4197</v>
      </c>
      <c r="D1468" s="118">
        <v>0</v>
      </c>
    </row>
    <row r="1469" spans="2:4" x14ac:dyDescent="0.2">
      <c r="B1469" s="116" t="s">
        <v>4198</v>
      </c>
      <c r="C1469" s="117" t="s">
        <v>4199</v>
      </c>
      <c r="D1469" s="118">
        <v>6.92</v>
      </c>
    </row>
    <row r="1470" spans="2:4" x14ac:dyDescent="0.2">
      <c r="B1470" s="116" t="s">
        <v>2536</v>
      </c>
      <c r="C1470" s="117" t="s">
        <v>2537</v>
      </c>
      <c r="D1470" s="118">
        <v>3.07</v>
      </c>
    </row>
    <row r="1471" spans="2:4" x14ac:dyDescent="0.2">
      <c r="B1471" s="116" t="s">
        <v>2538</v>
      </c>
      <c r="C1471" s="117" t="s">
        <v>2539</v>
      </c>
      <c r="D1471" s="118">
        <v>0.32</v>
      </c>
    </row>
    <row r="1472" spans="2:4" x14ac:dyDescent="0.2">
      <c r="B1472" s="116" t="s">
        <v>4200</v>
      </c>
      <c r="C1472" s="117" t="s">
        <v>4201</v>
      </c>
      <c r="D1472" s="118">
        <v>2.74</v>
      </c>
    </row>
    <row r="1473" spans="2:4" x14ac:dyDescent="0.2">
      <c r="B1473" s="116" t="s">
        <v>2540</v>
      </c>
      <c r="C1473" s="117" t="s">
        <v>2541</v>
      </c>
      <c r="D1473" s="118">
        <v>0</v>
      </c>
    </row>
    <row r="1474" spans="2:4" x14ac:dyDescent="0.2">
      <c r="B1474" s="116" t="s">
        <v>2542</v>
      </c>
      <c r="C1474" s="117" t="s">
        <v>2543</v>
      </c>
      <c r="D1474" s="118">
        <v>2.5099999999999998</v>
      </c>
    </row>
    <row r="1475" spans="2:4" x14ac:dyDescent="0.2">
      <c r="B1475" s="116" t="s">
        <v>2544</v>
      </c>
      <c r="C1475" s="117" t="s">
        <v>2545</v>
      </c>
      <c r="D1475" s="118">
        <v>0</v>
      </c>
    </row>
    <row r="1476" spans="2:4" x14ac:dyDescent="0.2">
      <c r="B1476" s="116" t="s">
        <v>4202</v>
      </c>
      <c r="C1476" s="117" t="s">
        <v>4203</v>
      </c>
      <c r="D1476" s="118">
        <v>1.03</v>
      </c>
    </row>
    <row r="1477" spans="2:4" x14ac:dyDescent="0.2">
      <c r="B1477" s="116" t="s">
        <v>2546</v>
      </c>
      <c r="C1477" s="117" t="s">
        <v>2547</v>
      </c>
      <c r="D1477" s="118">
        <v>6.4</v>
      </c>
    </row>
    <row r="1478" spans="2:4" x14ac:dyDescent="0.2">
      <c r="B1478" s="116" t="s">
        <v>2548</v>
      </c>
      <c r="C1478" s="117" t="s">
        <v>2549</v>
      </c>
      <c r="D1478" s="118">
        <v>3.27</v>
      </c>
    </row>
    <row r="1479" spans="2:4" x14ac:dyDescent="0.2">
      <c r="B1479" s="116" t="s">
        <v>2550</v>
      </c>
      <c r="C1479" s="117" t="s">
        <v>2551</v>
      </c>
      <c r="D1479" s="118">
        <v>1.1499999999999999</v>
      </c>
    </row>
    <row r="1480" spans="2:4" x14ac:dyDescent="0.2">
      <c r="B1480" s="116" t="s">
        <v>4204</v>
      </c>
      <c r="C1480" s="117" t="s">
        <v>4205</v>
      </c>
      <c r="D1480" s="118">
        <v>1.48</v>
      </c>
    </row>
    <row r="1481" spans="2:4" x14ac:dyDescent="0.2">
      <c r="B1481" s="116" t="s">
        <v>2552</v>
      </c>
      <c r="C1481" s="117" t="s">
        <v>2553</v>
      </c>
      <c r="D1481" s="118">
        <v>2.25</v>
      </c>
    </row>
    <row r="1482" spans="2:4" x14ac:dyDescent="0.2">
      <c r="B1482" s="116" t="s">
        <v>2554</v>
      </c>
      <c r="C1482" s="117" t="s">
        <v>2555</v>
      </c>
      <c r="D1482" s="118">
        <v>1.97</v>
      </c>
    </row>
    <row r="1483" spans="2:4" x14ac:dyDescent="0.2">
      <c r="B1483" s="116" t="s">
        <v>2556</v>
      </c>
      <c r="C1483" s="117" t="s">
        <v>2557</v>
      </c>
      <c r="D1483" s="118">
        <v>3.04</v>
      </c>
    </row>
    <row r="1484" spans="2:4" x14ac:dyDescent="0.2">
      <c r="B1484" s="116" t="s">
        <v>2558</v>
      </c>
      <c r="C1484" s="117" t="s">
        <v>2559</v>
      </c>
      <c r="D1484" s="118">
        <v>0</v>
      </c>
    </row>
    <row r="1485" spans="2:4" x14ac:dyDescent="0.2">
      <c r="B1485" s="116" t="s">
        <v>2560</v>
      </c>
      <c r="C1485" s="117" t="s">
        <v>2561</v>
      </c>
      <c r="D1485" s="118">
        <v>1.1200000000000001</v>
      </c>
    </row>
    <row r="1486" spans="2:4" x14ac:dyDescent="0.2">
      <c r="B1486" s="116" t="s">
        <v>2562</v>
      </c>
      <c r="C1486" s="117" t="s">
        <v>2563</v>
      </c>
      <c r="D1486" s="118">
        <v>2.73</v>
      </c>
    </row>
    <row r="1487" spans="2:4" x14ac:dyDescent="0.2">
      <c r="B1487" s="116" t="s">
        <v>2564</v>
      </c>
      <c r="C1487" s="117" t="s">
        <v>2565</v>
      </c>
      <c r="D1487" s="118">
        <v>0</v>
      </c>
    </row>
    <row r="1488" spans="2:4" x14ac:dyDescent="0.2">
      <c r="B1488" s="116" t="s">
        <v>2566</v>
      </c>
      <c r="C1488" s="117" t="s">
        <v>2567</v>
      </c>
      <c r="D1488" s="118">
        <v>0</v>
      </c>
    </row>
    <row r="1489" spans="2:4" x14ac:dyDescent="0.2">
      <c r="B1489" s="116" t="s">
        <v>2568</v>
      </c>
      <c r="C1489" s="117" t="s">
        <v>2569</v>
      </c>
      <c r="D1489" s="118">
        <v>0</v>
      </c>
    </row>
    <row r="1490" spans="2:4" x14ac:dyDescent="0.2">
      <c r="B1490" s="116" t="s">
        <v>4206</v>
      </c>
      <c r="C1490" s="117" t="s">
        <v>4207</v>
      </c>
      <c r="D1490" s="118">
        <v>2.41</v>
      </c>
    </row>
    <row r="1491" spans="2:4" x14ac:dyDescent="0.2">
      <c r="B1491" s="116" t="s">
        <v>2570</v>
      </c>
      <c r="C1491" s="117" t="s">
        <v>2571</v>
      </c>
      <c r="D1491" s="118">
        <v>1.71</v>
      </c>
    </row>
    <row r="1492" spans="2:4" x14ac:dyDescent="0.2">
      <c r="B1492" s="116" t="s">
        <v>2572</v>
      </c>
      <c r="C1492" s="117" t="s">
        <v>2573</v>
      </c>
      <c r="D1492" s="118">
        <v>5.21</v>
      </c>
    </row>
    <row r="1493" spans="2:4" x14ac:dyDescent="0.2">
      <c r="B1493" s="116" t="s">
        <v>2574</v>
      </c>
      <c r="C1493" s="117" t="s">
        <v>2575</v>
      </c>
      <c r="D1493" s="118">
        <v>2.37</v>
      </c>
    </row>
    <row r="1494" spans="2:4" x14ac:dyDescent="0.2">
      <c r="B1494" s="116" t="s">
        <v>2576</v>
      </c>
      <c r="C1494" s="117" t="s">
        <v>2577</v>
      </c>
      <c r="D1494" s="118">
        <v>0</v>
      </c>
    </row>
    <row r="1495" spans="2:4" x14ac:dyDescent="0.2">
      <c r="B1495" s="116" t="s">
        <v>2578</v>
      </c>
      <c r="C1495" s="117" t="s">
        <v>2579</v>
      </c>
      <c r="D1495" s="118">
        <v>1.52</v>
      </c>
    </row>
    <row r="1496" spans="2:4" x14ac:dyDescent="0.2">
      <c r="B1496" s="116" t="s">
        <v>2580</v>
      </c>
      <c r="C1496" s="117" t="s">
        <v>2581</v>
      </c>
      <c r="D1496" s="118">
        <v>1.07</v>
      </c>
    </row>
    <row r="1497" spans="2:4" x14ac:dyDescent="0.2">
      <c r="B1497" s="116" t="s">
        <v>2582</v>
      </c>
      <c r="C1497" s="117" t="s">
        <v>2583</v>
      </c>
      <c r="D1497" s="118">
        <v>0.91</v>
      </c>
    </row>
    <row r="1498" spans="2:4" x14ac:dyDescent="0.2">
      <c r="B1498" s="116" t="s">
        <v>2584</v>
      </c>
      <c r="C1498" s="117" t="s">
        <v>2585</v>
      </c>
      <c r="D1498" s="118">
        <v>4.49</v>
      </c>
    </row>
    <row r="1499" spans="2:4" x14ac:dyDescent="0.2">
      <c r="B1499" s="116" t="s">
        <v>2586</v>
      </c>
      <c r="C1499" s="117" t="s">
        <v>2587</v>
      </c>
      <c r="D1499" s="118">
        <v>3.23</v>
      </c>
    </row>
    <row r="1500" spans="2:4" x14ac:dyDescent="0.2">
      <c r="B1500" s="116" t="s">
        <v>2588</v>
      </c>
      <c r="C1500" s="117" t="s">
        <v>2589</v>
      </c>
      <c r="D1500" s="118">
        <v>2.33</v>
      </c>
    </row>
    <row r="1501" spans="2:4" x14ac:dyDescent="0.2">
      <c r="B1501" s="116" t="s">
        <v>4208</v>
      </c>
      <c r="C1501" s="117" t="s">
        <v>4209</v>
      </c>
      <c r="D1501" s="118">
        <v>0</v>
      </c>
    </row>
    <row r="1502" spans="2:4" x14ac:dyDescent="0.2">
      <c r="B1502" s="116" t="s">
        <v>4210</v>
      </c>
      <c r="C1502" s="117" t="s">
        <v>4211</v>
      </c>
      <c r="D1502" s="118">
        <v>11.1</v>
      </c>
    </row>
    <row r="1503" spans="2:4" x14ac:dyDescent="0.2">
      <c r="B1503" s="116" t="s">
        <v>4212</v>
      </c>
      <c r="C1503" s="117" t="s">
        <v>4213</v>
      </c>
      <c r="D1503" s="118">
        <v>0</v>
      </c>
    </row>
    <row r="1504" spans="2:4" x14ac:dyDescent="0.2">
      <c r="B1504" s="116" t="s">
        <v>4214</v>
      </c>
      <c r="C1504" s="117" t="s">
        <v>4215</v>
      </c>
      <c r="D1504" s="118">
        <v>1.41</v>
      </c>
    </row>
    <row r="1505" spans="2:4" x14ac:dyDescent="0.2">
      <c r="B1505" s="116" t="s">
        <v>2590</v>
      </c>
      <c r="C1505" s="117" t="s">
        <v>2591</v>
      </c>
      <c r="D1505" s="118">
        <v>0</v>
      </c>
    </row>
    <row r="1506" spans="2:4" x14ac:dyDescent="0.2">
      <c r="B1506" s="116" t="s">
        <v>2592</v>
      </c>
      <c r="C1506" s="117" t="s">
        <v>2593</v>
      </c>
      <c r="D1506" s="118">
        <v>3.49</v>
      </c>
    </row>
    <row r="1507" spans="2:4" x14ac:dyDescent="0.2">
      <c r="B1507" s="116" t="s">
        <v>2594</v>
      </c>
      <c r="C1507" s="117" t="s">
        <v>2595</v>
      </c>
      <c r="D1507" s="118">
        <v>5.87</v>
      </c>
    </row>
    <row r="1508" spans="2:4" x14ac:dyDescent="0.2">
      <c r="B1508" s="116" t="s">
        <v>2597</v>
      </c>
      <c r="C1508" s="117" t="s">
        <v>2598</v>
      </c>
      <c r="D1508" s="118">
        <v>0</v>
      </c>
    </row>
    <row r="1509" spans="2:4" x14ac:dyDescent="0.2">
      <c r="B1509" s="116" t="s">
        <v>2599</v>
      </c>
      <c r="C1509" s="117" t="s">
        <v>2600</v>
      </c>
      <c r="D1509" s="118">
        <v>3.27</v>
      </c>
    </row>
    <row r="1510" spans="2:4" x14ac:dyDescent="0.2">
      <c r="B1510" s="116" t="s">
        <v>2601</v>
      </c>
      <c r="C1510" s="117" t="s">
        <v>2602</v>
      </c>
      <c r="D1510" s="118">
        <v>3.63</v>
      </c>
    </row>
    <row r="1511" spans="2:4" x14ac:dyDescent="0.2">
      <c r="B1511" s="116" t="s">
        <v>2603</v>
      </c>
      <c r="C1511" s="117" t="s">
        <v>2604</v>
      </c>
      <c r="D1511" s="118">
        <v>2.61</v>
      </c>
    </row>
    <row r="1512" spans="2:4" x14ac:dyDescent="0.2">
      <c r="B1512" s="116" t="s">
        <v>2605</v>
      </c>
      <c r="C1512" s="117" t="s">
        <v>2606</v>
      </c>
      <c r="D1512" s="118">
        <v>2.19</v>
      </c>
    </row>
    <row r="1513" spans="2:4" x14ac:dyDescent="0.2">
      <c r="B1513" s="116" t="s">
        <v>2607</v>
      </c>
      <c r="C1513" s="117" t="s">
        <v>2608</v>
      </c>
      <c r="D1513" s="118">
        <v>0.17</v>
      </c>
    </row>
    <row r="1514" spans="2:4" x14ac:dyDescent="0.2">
      <c r="B1514" s="116" t="s">
        <v>2609</v>
      </c>
      <c r="C1514" s="117" t="s">
        <v>2610</v>
      </c>
      <c r="D1514" s="118">
        <v>0</v>
      </c>
    </row>
    <row r="1515" spans="2:4" x14ac:dyDescent="0.2">
      <c r="B1515" s="116" t="s">
        <v>2611</v>
      </c>
      <c r="C1515" s="117" t="s">
        <v>2612</v>
      </c>
      <c r="D1515" s="118">
        <v>0.43</v>
      </c>
    </row>
    <row r="1516" spans="2:4" x14ac:dyDescent="0.2">
      <c r="B1516" s="116" t="s">
        <v>2613</v>
      </c>
      <c r="C1516" s="117" t="s">
        <v>2614</v>
      </c>
      <c r="D1516" s="118">
        <v>0.48</v>
      </c>
    </row>
    <row r="1517" spans="2:4" x14ac:dyDescent="0.2">
      <c r="B1517" s="116" t="s">
        <v>2615</v>
      </c>
      <c r="C1517" s="117" t="s">
        <v>2616</v>
      </c>
      <c r="D1517" s="118">
        <v>0</v>
      </c>
    </row>
    <row r="1518" spans="2:4" x14ac:dyDescent="0.2">
      <c r="B1518" s="116" t="s">
        <v>2617</v>
      </c>
      <c r="C1518" s="117" t="s">
        <v>2618</v>
      </c>
      <c r="D1518" s="118">
        <v>3.24</v>
      </c>
    </row>
    <row r="1519" spans="2:4" x14ac:dyDescent="0.2">
      <c r="B1519" s="116" t="s">
        <v>2619</v>
      </c>
      <c r="C1519" s="117" t="s">
        <v>2620</v>
      </c>
      <c r="D1519" s="118">
        <v>0</v>
      </c>
    </row>
    <row r="1520" spans="2:4" x14ac:dyDescent="0.2">
      <c r="B1520" s="116" t="s">
        <v>2621</v>
      </c>
      <c r="C1520" s="117" t="s">
        <v>2622</v>
      </c>
      <c r="D1520" s="118">
        <v>0</v>
      </c>
    </row>
    <row r="1521" spans="2:4" x14ac:dyDescent="0.2">
      <c r="B1521" s="116" t="s">
        <v>4216</v>
      </c>
      <c r="C1521" s="117" t="s">
        <v>4217</v>
      </c>
      <c r="D1521" s="118">
        <v>0.78</v>
      </c>
    </row>
    <row r="1522" spans="2:4" x14ac:dyDescent="0.2">
      <c r="B1522" s="116" t="s">
        <v>2623</v>
      </c>
      <c r="C1522" s="117" t="s">
        <v>2624</v>
      </c>
      <c r="D1522" s="118">
        <v>0</v>
      </c>
    </row>
    <row r="1523" spans="2:4" x14ac:dyDescent="0.2">
      <c r="B1523" s="116" t="s">
        <v>2623</v>
      </c>
      <c r="C1523" s="117" t="s">
        <v>4218</v>
      </c>
      <c r="D1523" s="118">
        <v>0</v>
      </c>
    </row>
    <row r="1524" spans="2:4" x14ac:dyDescent="0.2">
      <c r="B1524" s="116" t="s">
        <v>2625</v>
      </c>
      <c r="C1524" s="117" t="s">
        <v>2626</v>
      </c>
      <c r="D1524" s="118">
        <v>0</v>
      </c>
    </row>
    <row r="1525" spans="2:4" x14ac:dyDescent="0.2">
      <c r="B1525" s="116" t="s">
        <v>2628</v>
      </c>
      <c r="C1525" s="117" t="s">
        <v>2629</v>
      </c>
      <c r="D1525" s="118">
        <v>2.76</v>
      </c>
    </row>
    <row r="1526" spans="2:4" x14ac:dyDescent="0.2">
      <c r="B1526" s="116" t="s">
        <v>2630</v>
      </c>
      <c r="C1526" s="117" t="s">
        <v>2631</v>
      </c>
      <c r="D1526" s="118">
        <v>0</v>
      </c>
    </row>
    <row r="1527" spans="2:4" x14ac:dyDescent="0.2">
      <c r="B1527" s="116" t="s">
        <v>2632</v>
      </c>
      <c r="C1527" s="117" t="s">
        <v>2633</v>
      </c>
      <c r="D1527" s="118">
        <v>0</v>
      </c>
    </row>
    <row r="1528" spans="2:4" x14ac:dyDescent="0.2">
      <c r="B1528" s="116" t="s">
        <v>4219</v>
      </c>
      <c r="C1528" s="117" t="s">
        <v>4220</v>
      </c>
      <c r="D1528" s="118">
        <v>2.78</v>
      </c>
    </row>
    <row r="1529" spans="2:4" x14ac:dyDescent="0.2">
      <c r="B1529" s="116" t="s">
        <v>2634</v>
      </c>
      <c r="C1529" s="117" t="s">
        <v>2635</v>
      </c>
      <c r="D1529" s="118">
        <v>0</v>
      </c>
    </row>
    <row r="1530" spans="2:4" x14ac:dyDescent="0.2">
      <c r="B1530" s="116" t="s">
        <v>4221</v>
      </c>
      <c r="C1530" s="117" t="s">
        <v>4222</v>
      </c>
      <c r="D1530" s="118">
        <v>4.0199999999999996</v>
      </c>
    </row>
    <row r="1531" spans="2:4" x14ac:dyDescent="0.2">
      <c r="B1531" s="116" t="s">
        <v>2636</v>
      </c>
      <c r="C1531" s="117" t="s">
        <v>2637</v>
      </c>
      <c r="D1531" s="118">
        <v>2.09</v>
      </c>
    </row>
    <row r="1532" spans="2:4" x14ac:dyDescent="0.2">
      <c r="B1532" s="116" t="s">
        <v>2638</v>
      </c>
      <c r="C1532" s="117" t="s">
        <v>2639</v>
      </c>
      <c r="D1532" s="118">
        <v>1.65</v>
      </c>
    </row>
    <row r="1533" spans="2:4" x14ac:dyDescent="0.2">
      <c r="B1533" s="116" t="s">
        <v>2640</v>
      </c>
      <c r="C1533" s="117" t="s">
        <v>2641</v>
      </c>
      <c r="D1533" s="118">
        <v>2.11</v>
      </c>
    </row>
    <row r="1534" spans="2:4" x14ac:dyDescent="0.2">
      <c r="B1534" s="116" t="s">
        <v>2642</v>
      </c>
      <c r="C1534" s="117" t="s">
        <v>2643</v>
      </c>
      <c r="D1534" s="118">
        <v>1.52</v>
      </c>
    </row>
    <row r="1535" spans="2:4" x14ac:dyDescent="0.2">
      <c r="B1535" s="116" t="s">
        <v>4223</v>
      </c>
      <c r="C1535" s="117" t="s">
        <v>4224</v>
      </c>
      <c r="D1535" s="118">
        <v>0</v>
      </c>
    </row>
    <row r="1536" spans="2:4" x14ac:dyDescent="0.2">
      <c r="B1536" s="116" t="s">
        <v>4225</v>
      </c>
      <c r="C1536" s="117" t="s">
        <v>4226</v>
      </c>
      <c r="D1536" s="118">
        <v>0</v>
      </c>
    </row>
    <row r="1537" spans="2:4" x14ac:dyDescent="0.2">
      <c r="B1537" s="116" t="s">
        <v>2644</v>
      </c>
      <c r="C1537" s="117" t="s">
        <v>2645</v>
      </c>
      <c r="D1537" s="118">
        <v>2.98</v>
      </c>
    </row>
    <row r="1538" spans="2:4" x14ac:dyDescent="0.2">
      <c r="B1538" s="116" t="s">
        <v>2646</v>
      </c>
      <c r="C1538" s="117" t="s">
        <v>2647</v>
      </c>
      <c r="D1538" s="118">
        <v>2.79</v>
      </c>
    </row>
    <row r="1539" spans="2:4" x14ac:dyDescent="0.2">
      <c r="B1539" s="116" t="s">
        <v>2648</v>
      </c>
      <c r="C1539" s="117" t="s">
        <v>2649</v>
      </c>
      <c r="D1539" s="118">
        <v>0</v>
      </c>
    </row>
    <row r="1540" spans="2:4" x14ac:dyDescent="0.2">
      <c r="B1540" s="116" t="s">
        <v>2650</v>
      </c>
      <c r="C1540" s="117" t="s">
        <v>2651</v>
      </c>
      <c r="D1540" s="118">
        <v>0.04</v>
      </c>
    </row>
    <row r="1541" spans="2:4" x14ac:dyDescent="0.2">
      <c r="B1541" s="116" t="s">
        <v>2652</v>
      </c>
      <c r="C1541" s="117" t="s">
        <v>2653</v>
      </c>
      <c r="D1541" s="118">
        <v>5.47</v>
      </c>
    </row>
    <row r="1542" spans="2:4" x14ac:dyDescent="0.2">
      <c r="B1542" s="116" t="s">
        <v>2652</v>
      </c>
      <c r="C1542" s="117" t="s">
        <v>4227</v>
      </c>
      <c r="D1542" s="118">
        <v>6.41</v>
      </c>
    </row>
    <row r="1543" spans="2:4" x14ac:dyDescent="0.2">
      <c r="B1543" s="116" t="s">
        <v>2654</v>
      </c>
      <c r="C1543" s="117" t="s">
        <v>2655</v>
      </c>
      <c r="D1543" s="118">
        <v>1.17</v>
      </c>
    </row>
    <row r="1544" spans="2:4" x14ac:dyDescent="0.2">
      <c r="B1544" s="116" t="s">
        <v>2656</v>
      </c>
      <c r="C1544" s="117" t="s">
        <v>2657</v>
      </c>
      <c r="D1544" s="118">
        <v>0.67</v>
      </c>
    </row>
    <row r="1545" spans="2:4" x14ac:dyDescent="0.2">
      <c r="B1545" s="116" t="s">
        <v>2658</v>
      </c>
      <c r="C1545" s="117" t="s">
        <v>2659</v>
      </c>
      <c r="D1545" s="118">
        <v>2.12</v>
      </c>
    </row>
    <row r="1546" spans="2:4" x14ac:dyDescent="0.2">
      <c r="B1546" s="116" t="s">
        <v>2660</v>
      </c>
      <c r="C1546" s="117" t="s">
        <v>2661</v>
      </c>
      <c r="D1546" s="118">
        <v>3.45</v>
      </c>
    </row>
    <row r="1547" spans="2:4" x14ac:dyDescent="0.2">
      <c r="B1547" s="116" t="s">
        <v>2662</v>
      </c>
      <c r="C1547" s="117" t="s">
        <v>2663</v>
      </c>
      <c r="D1547" s="118">
        <v>0</v>
      </c>
    </row>
    <row r="1548" spans="2:4" x14ac:dyDescent="0.2">
      <c r="B1548" s="116" t="s">
        <v>4228</v>
      </c>
      <c r="C1548" s="117" t="s">
        <v>4229</v>
      </c>
      <c r="D1548" s="118">
        <v>1.41</v>
      </c>
    </row>
    <row r="1549" spans="2:4" x14ac:dyDescent="0.2">
      <c r="B1549" s="116" t="s">
        <v>4230</v>
      </c>
      <c r="C1549" s="117" t="s">
        <v>4231</v>
      </c>
      <c r="D1549" s="118">
        <v>1.47</v>
      </c>
    </row>
    <row r="1550" spans="2:4" x14ac:dyDescent="0.2">
      <c r="B1550" s="116" t="s">
        <v>2664</v>
      </c>
      <c r="C1550" s="117" t="s">
        <v>2665</v>
      </c>
      <c r="D1550" s="118">
        <v>5.77</v>
      </c>
    </row>
    <row r="1551" spans="2:4" x14ac:dyDescent="0.2">
      <c r="B1551" s="116" t="s">
        <v>2666</v>
      </c>
      <c r="C1551" s="117" t="s">
        <v>2667</v>
      </c>
      <c r="D1551" s="118">
        <v>1.68</v>
      </c>
    </row>
    <row r="1552" spans="2:4" x14ac:dyDescent="0.2">
      <c r="B1552" s="116" t="s">
        <v>2668</v>
      </c>
      <c r="C1552" s="117" t="s">
        <v>2669</v>
      </c>
      <c r="D1552" s="118">
        <v>3.88</v>
      </c>
    </row>
    <row r="1553" spans="2:4" x14ac:dyDescent="0.2">
      <c r="B1553" s="116" t="s">
        <v>2670</v>
      </c>
      <c r="C1553" s="117" t="s">
        <v>2671</v>
      </c>
      <c r="D1553" s="118">
        <v>1.76</v>
      </c>
    </row>
    <row r="1554" spans="2:4" x14ac:dyDescent="0.2">
      <c r="B1554" s="116" t="s">
        <v>2672</v>
      </c>
      <c r="C1554" s="117" t="s">
        <v>2673</v>
      </c>
      <c r="D1554" s="118">
        <v>0</v>
      </c>
    </row>
    <row r="1555" spans="2:4" x14ac:dyDescent="0.2">
      <c r="B1555" s="116" t="s">
        <v>2674</v>
      </c>
      <c r="C1555" s="117" t="s">
        <v>2675</v>
      </c>
      <c r="D1555" s="118">
        <v>0.83</v>
      </c>
    </row>
    <row r="1556" spans="2:4" x14ac:dyDescent="0.2">
      <c r="B1556" s="116" t="s">
        <v>2676</v>
      </c>
      <c r="C1556" s="117" t="s">
        <v>2677</v>
      </c>
      <c r="D1556" s="118">
        <v>0</v>
      </c>
    </row>
    <row r="1557" spans="2:4" x14ac:dyDescent="0.2">
      <c r="B1557" s="116" t="s">
        <v>2679</v>
      </c>
      <c r="C1557" s="117" t="s">
        <v>2680</v>
      </c>
      <c r="D1557" s="118">
        <v>1.9</v>
      </c>
    </row>
    <row r="1558" spans="2:4" x14ac:dyDescent="0.2">
      <c r="B1558" s="116" t="s">
        <v>2681</v>
      </c>
      <c r="C1558" s="117" t="s">
        <v>2682</v>
      </c>
      <c r="D1558" s="118">
        <v>2.25</v>
      </c>
    </row>
    <row r="1559" spans="2:4" x14ac:dyDescent="0.2">
      <c r="B1559" s="116" t="s">
        <v>2683</v>
      </c>
      <c r="C1559" s="117" t="s">
        <v>2684</v>
      </c>
      <c r="D1559" s="118">
        <v>4.38</v>
      </c>
    </row>
    <row r="1560" spans="2:4" x14ac:dyDescent="0.2">
      <c r="B1560" s="116" t="s">
        <v>2685</v>
      </c>
      <c r="C1560" s="117" t="s">
        <v>2686</v>
      </c>
      <c r="D1560" s="118">
        <v>1.88</v>
      </c>
    </row>
    <row r="1561" spans="2:4" x14ac:dyDescent="0.2">
      <c r="B1561" s="116" t="s">
        <v>2687</v>
      </c>
      <c r="C1561" s="117" t="s">
        <v>2688</v>
      </c>
      <c r="D1561" s="118">
        <v>0</v>
      </c>
    </row>
    <row r="1562" spans="2:4" x14ac:dyDescent="0.2">
      <c r="B1562" s="116" t="s">
        <v>2689</v>
      </c>
      <c r="C1562" s="117" t="s">
        <v>2690</v>
      </c>
      <c r="D1562" s="118">
        <v>5.72</v>
      </c>
    </row>
    <row r="1563" spans="2:4" x14ac:dyDescent="0.2">
      <c r="B1563" s="116" t="s">
        <v>2691</v>
      </c>
      <c r="C1563" s="117" t="s">
        <v>2692</v>
      </c>
      <c r="D1563" s="118">
        <v>1.62</v>
      </c>
    </row>
    <row r="1564" spans="2:4" x14ac:dyDescent="0.2">
      <c r="B1564" s="116" t="s">
        <v>4232</v>
      </c>
      <c r="C1564" s="117" t="s">
        <v>4233</v>
      </c>
      <c r="D1564" s="118">
        <v>0.42</v>
      </c>
    </row>
    <row r="1565" spans="2:4" x14ac:dyDescent="0.2">
      <c r="B1565" s="116" t="s">
        <v>2693</v>
      </c>
      <c r="C1565" s="117" t="s">
        <v>2694</v>
      </c>
      <c r="D1565" s="118">
        <v>2.96</v>
      </c>
    </row>
    <row r="1566" spans="2:4" x14ac:dyDescent="0.2">
      <c r="B1566" s="116" t="s">
        <v>2695</v>
      </c>
      <c r="C1566" s="117" t="s">
        <v>2696</v>
      </c>
      <c r="D1566" s="118">
        <v>1</v>
      </c>
    </row>
    <row r="1567" spans="2:4" x14ac:dyDescent="0.2">
      <c r="B1567" s="116" t="s">
        <v>2697</v>
      </c>
      <c r="C1567" s="117" t="s">
        <v>2698</v>
      </c>
      <c r="D1567" s="118">
        <v>1.1599999999999999</v>
      </c>
    </row>
    <row r="1568" spans="2:4" x14ac:dyDescent="0.2">
      <c r="B1568" s="116" t="s">
        <v>2699</v>
      </c>
      <c r="C1568" s="117" t="s">
        <v>2700</v>
      </c>
      <c r="D1568" s="118">
        <v>0</v>
      </c>
    </row>
    <row r="1569" spans="2:4" x14ac:dyDescent="0.2">
      <c r="B1569" s="116" t="s">
        <v>2701</v>
      </c>
      <c r="C1569" s="117" t="s">
        <v>2702</v>
      </c>
      <c r="D1569" s="118">
        <v>5.0599999999999996</v>
      </c>
    </row>
    <row r="1570" spans="2:4" x14ac:dyDescent="0.2">
      <c r="B1570" s="116" t="s">
        <v>2703</v>
      </c>
      <c r="C1570" s="117" t="s">
        <v>2704</v>
      </c>
      <c r="D1570" s="118">
        <v>0.71</v>
      </c>
    </row>
    <row r="1571" spans="2:4" x14ac:dyDescent="0.2">
      <c r="B1571" s="116" t="s">
        <v>2705</v>
      </c>
      <c r="C1571" s="117" t="s">
        <v>2706</v>
      </c>
      <c r="D1571" s="118">
        <v>0</v>
      </c>
    </row>
    <row r="1572" spans="2:4" x14ac:dyDescent="0.2">
      <c r="B1572" s="116" t="s">
        <v>4234</v>
      </c>
      <c r="C1572" s="117" t="s">
        <v>4235</v>
      </c>
      <c r="D1572" s="118">
        <v>1.28</v>
      </c>
    </row>
    <row r="1573" spans="2:4" x14ac:dyDescent="0.2">
      <c r="B1573" s="116" t="s">
        <v>2707</v>
      </c>
      <c r="C1573" s="117" t="s">
        <v>2708</v>
      </c>
      <c r="D1573" s="118">
        <v>2.39</v>
      </c>
    </row>
    <row r="1574" spans="2:4" x14ac:dyDescent="0.2">
      <c r="B1574" s="116" t="s">
        <v>2709</v>
      </c>
      <c r="C1574" s="117" t="s">
        <v>2710</v>
      </c>
      <c r="D1574" s="118">
        <v>0</v>
      </c>
    </row>
    <row r="1575" spans="2:4" x14ac:dyDescent="0.2">
      <c r="B1575" s="116" t="s">
        <v>2711</v>
      </c>
      <c r="C1575" s="117" t="s">
        <v>2712</v>
      </c>
      <c r="D1575" s="118">
        <v>1.22</v>
      </c>
    </row>
    <row r="1576" spans="2:4" x14ac:dyDescent="0.2">
      <c r="B1576" s="116" t="s">
        <v>2714</v>
      </c>
      <c r="C1576" s="117" t="s">
        <v>2715</v>
      </c>
      <c r="D1576" s="118">
        <v>0</v>
      </c>
    </row>
    <row r="1577" spans="2:4" x14ac:dyDescent="0.2">
      <c r="B1577" s="116" t="s">
        <v>2716</v>
      </c>
      <c r="C1577" s="117" t="s">
        <v>2717</v>
      </c>
      <c r="D1577" s="118">
        <v>0.51</v>
      </c>
    </row>
    <row r="1578" spans="2:4" x14ac:dyDescent="0.2">
      <c r="B1578" s="116" t="s">
        <v>2718</v>
      </c>
      <c r="C1578" s="117" t="s">
        <v>2719</v>
      </c>
      <c r="D1578" s="118">
        <v>0.97</v>
      </c>
    </row>
    <row r="1579" spans="2:4" x14ac:dyDescent="0.2">
      <c r="B1579" s="116" t="s">
        <v>4236</v>
      </c>
      <c r="C1579" s="117" t="s">
        <v>4237</v>
      </c>
      <c r="D1579" s="118">
        <v>5.31</v>
      </c>
    </row>
    <row r="1580" spans="2:4" x14ac:dyDescent="0.2">
      <c r="B1580" s="116" t="s">
        <v>2720</v>
      </c>
      <c r="C1580" s="117" t="s">
        <v>2721</v>
      </c>
      <c r="D1580" s="118">
        <v>0</v>
      </c>
    </row>
    <row r="1581" spans="2:4" x14ac:dyDescent="0.2">
      <c r="B1581" s="116" t="s">
        <v>2722</v>
      </c>
      <c r="C1581" s="117" t="s">
        <v>2723</v>
      </c>
      <c r="D1581" s="118">
        <v>2.0499999999999998</v>
      </c>
    </row>
    <row r="1582" spans="2:4" x14ac:dyDescent="0.2">
      <c r="B1582" s="116" t="s">
        <v>2724</v>
      </c>
      <c r="C1582" s="117" t="s">
        <v>2725</v>
      </c>
      <c r="D1582" s="118">
        <v>2.19</v>
      </c>
    </row>
    <row r="1583" spans="2:4" x14ac:dyDescent="0.2">
      <c r="B1583" s="116" t="s">
        <v>2726</v>
      </c>
      <c r="C1583" s="117" t="s">
        <v>2727</v>
      </c>
      <c r="D1583" s="118">
        <v>1.71</v>
      </c>
    </row>
    <row r="1584" spans="2:4" x14ac:dyDescent="0.2">
      <c r="B1584" s="116" t="s">
        <v>4238</v>
      </c>
      <c r="C1584" s="117" t="s">
        <v>4239</v>
      </c>
      <c r="D1584" s="118">
        <v>1.82</v>
      </c>
    </row>
    <row r="1585" spans="2:4" x14ac:dyDescent="0.2">
      <c r="B1585" s="116" t="s">
        <v>2728</v>
      </c>
      <c r="C1585" s="117" t="s">
        <v>2729</v>
      </c>
      <c r="D1585" s="118">
        <v>1.93</v>
      </c>
    </row>
    <row r="1586" spans="2:4" x14ac:dyDescent="0.2">
      <c r="B1586" s="116" t="s">
        <v>2730</v>
      </c>
      <c r="C1586" s="117" t="s">
        <v>2731</v>
      </c>
      <c r="D1586" s="118">
        <v>0.57999999999999996</v>
      </c>
    </row>
    <row r="1587" spans="2:4" x14ac:dyDescent="0.2">
      <c r="B1587" s="116" t="s">
        <v>2732</v>
      </c>
      <c r="C1587" s="117" t="s">
        <v>2733</v>
      </c>
      <c r="D1587" s="118">
        <v>1.35</v>
      </c>
    </row>
    <row r="1588" spans="2:4" x14ac:dyDescent="0.2">
      <c r="B1588" s="116" t="s">
        <v>2734</v>
      </c>
      <c r="C1588" s="117" t="s">
        <v>2735</v>
      </c>
      <c r="D1588" s="118">
        <v>1.8</v>
      </c>
    </row>
    <row r="1589" spans="2:4" x14ac:dyDescent="0.2">
      <c r="B1589" s="116" t="s">
        <v>2736</v>
      </c>
      <c r="C1589" s="117" t="s">
        <v>2737</v>
      </c>
      <c r="D1589" s="118">
        <v>3.83</v>
      </c>
    </row>
    <row r="1590" spans="2:4" x14ac:dyDescent="0.2">
      <c r="B1590" s="116" t="s">
        <v>2738</v>
      </c>
      <c r="C1590" s="117" t="s">
        <v>2739</v>
      </c>
      <c r="D1590" s="118">
        <v>0</v>
      </c>
    </row>
    <row r="1591" spans="2:4" x14ac:dyDescent="0.2">
      <c r="B1591" s="116" t="s">
        <v>2740</v>
      </c>
      <c r="C1591" s="117" t="s">
        <v>2741</v>
      </c>
      <c r="D1591" s="118">
        <v>1.6</v>
      </c>
    </row>
    <row r="1592" spans="2:4" x14ac:dyDescent="0.2">
      <c r="B1592" s="116" t="s">
        <v>2742</v>
      </c>
      <c r="C1592" s="117" t="s">
        <v>2743</v>
      </c>
      <c r="D1592" s="118">
        <v>3.84</v>
      </c>
    </row>
    <row r="1593" spans="2:4" x14ac:dyDescent="0.2">
      <c r="B1593" s="116" t="s">
        <v>2744</v>
      </c>
      <c r="C1593" s="117" t="s">
        <v>2745</v>
      </c>
      <c r="D1593" s="118">
        <v>0</v>
      </c>
    </row>
    <row r="1594" spans="2:4" x14ac:dyDescent="0.2">
      <c r="B1594" s="116" t="s">
        <v>2746</v>
      </c>
      <c r="C1594" s="117" t="s">
        <v>2747</v>
      </c>
      <c r="D1594" s="118">
        <v>2.42</v>
      </c>
    </row>
    <row r="1595" spans="2:4" x14ac:dyDescent="0.2">
      <c r="B1595" s="116" t="s">
        <v>2748</v>
      </c>
      <c r="C1595" s="117" t="s">
        <v>2749</v>
      </c>
      <c r="D1595" s="118">
        <v>0.83</v>
      </c>
    </row>
    <row r="1596" spans="2:4" x14ac:dyDescent="0.2">
      <c r="B1596" s="116" t="s">
        <v>2750</v>
      </c>
      <c r="C1596" s="117" t="s">
        <v>2751</v>
      </c>
      <c r="D1596" s="118">
        <v>0.96</v>
      </c>
    </row>
    <row r="1597" spans="2:4" x14ac:dyDescent="0.2">
      <c r="B1597" s="116" t="s">
        <v>2752</v>
      </c>
      <c r="C1597" s="117" t="s">
        <v>2753</v>
      </c>
      <c r="D1597" s="118">
        <v>0</v>
      </c>
    </row>
    <row r="1598" spans="2:4" x14ac:dyDescent="0.2">
      <c r="B1598" s="116" t="s">
        <v>2754</v>
      </c>
      <c r="C1598" s="117" t="s">
        <v>2755</v>
      </c>
      <c r="D1598" s="118">
        <v>1.75</v>
      </c>
    </row>
    <row r="1599" spans="2:4" x14ac:dyDescent="0.2">
      <c r="B1599" s="116" t="s">
        <v>2756</v>
      </c>
      <c r="C1599" s="117" t="s">
        <v>2757</v>
      </c>
      <c r="D1599" s="118">
        <v>0</v>
      </c>
    </row>
    <row r="1600" spans="2:4" x14ac:dyDescent="0.2">
      <c r="B1600" s="116" t="s">
        <v>2758</v>
      </c>
      <c r="C1600" s="117" t="s">
        <v>2759</v>
      </c>
      <c r="D1600" s="118">
        <v>5.12</v>
      </c>
    </row>
    <row r="1601" spans="2:4" x14ac:dyDescent="0.2">
      <c r="B1601" s="116" t="s">
        <v>2760</v>
      </c>
      <c r="C1601" s="117" t="s">
        <v>2761</v>
      </c>
      <c r="D1601" s="118">
        <v>1.01</v>
      </c>
    </row>
    <row r="1602" spans="2:4" x14ac:dyDescent="0.2">
      <c r="B1602" s="116" t="s">
        <v>2762</v>
      </c>
      <c r="C1602" s="117" t="s">
        <v>2763</v>
      </c>
      <c r="D1602" s="118">
        <v>0</v>
      </c>
    </row>
    <row r="1603" spans="2:4" x14ac:dyDescent="0.2">
      <c r="B1603" s="116" t="s">
        <v>2764</v>
      </c>
      <c r="C1603" s="117" t="s">
        <v>2765</v>
      </c>
      <c r="D1603" s="118">
        <v>0</v>
      </c>
    </row>
    <row r="1604" spans="2:4" x14ac:dyDescent="0.2">
      <c r="B1604" s="116" t="s">
        <v>2766</v>
      </c>
      <c r="C1604" s="117" t="s">
        <v>2767</v>
      </c>
      <c r="D1604" s="118">
        <v>0</v>
      </c>
    </row>
    <row r="1605" spans="2:4" x14ac:dyDescent="0.2">
      <c r="B1605" s="116" t="s">
        <v>2768</v>
      </c>
      <c r="C1605" s="117" t="s">
        <v>2769</v>
      </c>
      <c r="D1605" s="118">
        <v>0</v>
      </c>
    </row>
    <row r="1606" spans="2:4" x14ac:dyDescent="0.2">
      <c r="B1606" s="116" t="s">
        <v>4240</v>
      </c>
      <c r="C1606" s="117" t="s">
        <v>4241</v>
      </c>
      <c r="D1606" s="118">
        <v>7.21</v>
      </c>
    </row>
    <row r="1607" spans="2:4" x14ac:dyDescent="0.2">
      <c r="B1607" s="116" t="s">
        <v>2770</v>
      </c>
      <c r="C1607" s="117" t="s">
        <v>2771</v>
      </c>
      <c r="D1607" s="118">
        <v>0.57999999999999996</v>
      </c>
    </row>
    <row r="1608" spans="2:4" x14ac:dyDescent="0.2">
      <c r="B1608" s="116" t="s">
        <v>2772</v>
      </c>
      <c r="C1608" s="117" t="s">
        <v>2773</v>
      </c>
      <c r="D1608" s="118">
        <v>1.83</v>
      </c>
    </row>
    <row r="1609" spans="2:4" x14ac:dyDescent="0.2">
      <c r="B1609" s="116" t="s">
        <v>4242</v>
      </c>
      <c r="C1609" s="117" t="s">
        <v>4243</v>
      </c>
      <c r="D1609" s="118">
        <v>2.2000000000000002</v>
      </c>
    </row>
    <row r="1610" spans="2:4" x14ac:dyDescent="0.2">
      <c r="B1610" s="116" t="s">
        <v>4244</v>
      </c>
      <c r="C1610" s="117" t="s">
        <v>4245</v>
      </c>
      <c r="D1610" s="118">
        <v>0</v>
      </c>
    </row>
    <row r="1611" spans="2:4" x14ac:dyDescent="0.2">
      <c r="B1611" s="116" t="s">
        <v>4246</v>
      </c>
      <c r="C1611" s="117" t="s">
        <v>4247</v>
      </c>
      <c r="D1611" s="118">
        <v>0</v>
      </c>
    </row>
    <row r="1612" spans="2:4" x14ac:dyDescent="0.2">
      <c r="B1612" s="116" t="s">
        <v>2774</v>
      </c>
      <c r="C1612" s="117" t="s">
        <v>2775</v>
      </c>
      <c r="D1612" s="118">
        <v>1.87</v>
      </c>
    </row>
    <row r="1613" spans="2:4" x14ac:dyDescent="0.2">
      <c r="B1613" s="116" t="s">
        <v>2776</v>
      </c>
      <c r="C1613" s="117" t="s">
        <v>2777</v>
      </c>
      <c r="D1613" s="118">
        <v>7.93</v>
      </c>
    </row>
    <row r="1614" spans="2:4" x14ac:dyDescent="0.2">
      <c r="B1614" s="116" t="s">
        <v>4248</v>
      </c>
      <c r="C1614" s="117" t="s">
        <v>4249</v>
      </c>
      <c r="D1614" s="118">
        <v>5.7</v>
      </c>
    </row>
    <row r="1615" spans="2:4" x14ac:dyDescent="0.2">
      <c r="B1615" s="116" t="s">
        <v>2778</v>
      </c>
      <c r="C1615" s="117" t="s">
        <v>2779</v>
      </c>
      <c r="D1615" s="118">
        <v>2.06</v>
      </c>
    </row>
    <row r="1616" spans="2:4" x14ac:dyDescent="0.2">
      <c r="B1616" s="116" t="s">
        <v>2780</v>
      </c>
      <c r="C1616" s="117" t="s">
        <v>2781</v>
      </c>
      <c r="D1616" s="118">
        <v>1.6</v>
      </c>
    </row>
    <row r="1617" spans="2:4" x14ac:dyDescent="0.2">
      <c r="B1617" s="116" t="s">
        <v>2782</v>
      </c>
      <c r="C1617" s="117" t="s">
        <v>2783</v>
      </c>
      <c r="D1617" s="118">
        <v>3.4</v>
      </c>
    </row>
    <row r="1618" spans="2:4" x14ac:dyDescent="0.2">
      <c r="B1618" s="116" t="s">
        <v>2784</v>
      </c>
      <c r="C1618" s="117" t="s">
        <v>2785</v>
      </c>
      <c r="D1618" s="118">
        <v>0</v>
      </c>
    </row>
    <row r="1619" spans="2:4" x14ac:dyDescent="0.2">
      <c r="B1619" s="116" t="s">
        <v>2786</v>
      </c>
      <c r="C1619" s="117" t="s">
        <v>2787</v>
      </c>
      <c r="D1619" s="118">
        <v>4.6399999999999997</v>
      </c>
    </row>
    <row r="1620" spans="2:4" x14ac:dyDescent="0.2">
      <c r="B1620" s="116" t="s">
        <v>2788</v>
      </c>
      <c r="C1620" s="117" t="s">
        <v>2789</v>
      </c>
      <c r="D1620" s="118">
        <v>5.64</v>
      </c>
    </row>
    <row r="1621" spans="2:4" x14ac:dyDescent="0.2">
      <c r="B1621" s="116" t="s">
        <v>2790</v>
      </c>
      <c r="C1621" s="117" t="s">
        <v>2791</v>
      </c>
      <c r="D1621" s="118">
        <v>1.59</v>
      </c>
    </row>
    <row r="1622" spans="2:4" x14ac:dyDescent="0.2">
      <c r="B1622" s="116" t="s">
        <v>4250</v>
      </c>
      <c r="C1622" s="117" t="s">
        <v>4251</v>
      </c>
      <c r="D1622" s="118">
        <v>5.21</v>
      </c>
    </row>
    <row r="1623" spans="2:4" x14ac:dyDescent="0.2">
      <c r="B1623" s="116" t="s">
        <v>2792</v>
      </c>
      <c r="C1623" s="117" t="s">
        <v>2793</v>
      </c>
      <c r="D1623" s="118">
        <v>1.53</v>
      </c>
    </row>
    <row r="1624" spans="2:4" x14ac:dyDescent="0.2">
      <c r="B1624" s="116" t="s">
        <v>2795</v>
      </c>
      <c r="C1624" s="117" t="s">
        <v>2796</v>
      </c>
      <c r="D1624" s="118">
        <v>3.71</v>
      </c>
    </row>
    <row r="1625" spans="2:4" x14ac:dyDescent="0.2">
      <c r="B1625" s="116" t="s">
        <v>2797</v>
      </c>
      <c r="C1625" s="117" t="s">
        <v>2798</v>
      </c>
      <c r="D1625" s="118">
        <v>3.35</v>
      </c>
    </row>
    <row r="1626" spans="2:4" x14ac:dyDescent="0.2">
      <c r="B1626" s="116" t="s">
        <v>2799</v>
      </c>
      <c r="C1626" s="117" t="s">
        <v>2800</v>
      </c>
      <c r="D1626" s="118">
        <v>2.23</v>
      </c>
    </row>
    <row r="1627" spans="2:4" x14ac:dyDescent="0.2">
      <c r="B1627" s="116" t="s">
        <v>4252</v>
      </c>
      <c r="C1627" s="117" t="s">
        <v>4253</v>
      </c>
      <c r="D1627" s="118">
        <v>2.29</v>
      </c>
    </row>
    <row r="1628" spans="2:4" x14ac:dyDescent="0.2">
      <c r="B1628" s="116" t="s">
        <v>4254</v>
      </c>
      <c r="C1628" s="117" t="s">
        <v>4255</v>
      </c>
      <c r="D1628" s="118">
        <v>2.37</v>
      </c>
    </row>
    <row r="1629" spans="2:4" x14ac:dyDescent="0.2">
      <c r="B1629" s="116" t="s">
        <v>2801</v>
      </c>
      <c r="C1629" s="117" t="s">
        <v>2802</v>
      </c>
      <c r="D1629" s="118">
        <v>0</v>
      </c>
    </row>
    <row r="1630" spans="2:4" x14ac:dyDescent="0.2">
      <c r="B1630" s="116" t="s">
        <v>4256</v>
      </c>
      <c r="C1630" s="117" t="s">
        <v>4257</v>
      </c>
      <c r="D1630" s="118">
        <v>0.22</v>
      </c>
    </row>
    <row r="1631" spans="2:4" x14ac:dyDescent="0.2">
      <c r="B1631" s="116" t="s">
        <v>2804</v>
      </c>
      <c r="C1631" s="117" t="s">
        <v>2805</v>
      </c>
      <c r="D1631" s="118">
        <v>0</v>
      </c>
    </row>
    <row r="1632" spans="2:4" x14ac:dyDescent="0.2">
      <c r="B1632" s="116" t="s">
        <v>2806</v>
      </c>
      <c r="C1632" s="117" t="s">
        <v>2807</v>
      </c>
      <c r="D1632" s="118">
        <v>1.55</v>
      </c>
    </row>
    <row r="1633" spans="2:4" x14ac:dyDescent="0.2">
      <c r="B1633" s="116" t="s">
        <v>2808</v>
      </c>
      <c r="C1633" s="117" t="s">
        <v>2809</v>
      </c>
      <c r="D1633" s="118">
        <v>0</v>
      </c>
    </row>
    <row r="1634" spans="2:4" x14ac:dyDescent="0.2">
      <c r="B1634" s="116" t="s">
        <v>2810</v>
      </c>
      <c r="C1634" s="117" t="s">
        <v>2811</v>
      </c>
      <c r="D1634" s="118">
        <v>1.1200000000000001</v>
      </c>
    </row>
    <row r="1635" spans="2:4" x14ac:dyDescent="0.2">
      <c r="B1635" s="125" t="s">
        <v>2812</v>
      </c>
      <c r="C1635" s="118" t="s">
        <v>2813</v>
      </c>
      <c r="D1635" s="118">
        <v>2.9</v>
      </c>
    </row>
    <row r="1636" spans="2:4" x14ac:dyDescent="0.2">
      <c r="B1636" s="125" t="s">
        <v>4258</v>
      </c>
      <c r="C1636" s="118" t="s">
        <v>4259</v>
      </c>
      <c r="D1636" s="118">
        <v>3.78</v>
      </c>
    </row>
    <row r="1637" spans="2:4" x14ac:dyDescent="0.2">
      <c r="B1637" s="125" t="s">
        <v>2814</v>
      </c>
      <c r="C1637" s="118" t="s">
        <v>2815</v>
      </c>
      <c r="D1637" s="118">
        <v>2.77</v>
      </c>
    </row>
    <row r="1638" spans="2:4" x14ac:dyDescent="0.2">
      <c r="B1638" s="125" t="s">
        <v>2816</v>
      </c>
      <c r="C1638" s="118" t="s">
        <v>2817</v>
      </c>
      <c r="D1638" s="118">
        <v>0</v>
      </c>
    </row>
    <row r="1639" spans="2:4" x14ac:dyDescent="0.2">
      <c r="B1639" s="125" t="s">
        <v>2818</v>
      </c>
      <c r="C1639" s="118" t="s">
        <v>2819</v>
      </c>
      <c r="D1639" s="118">
        <v>1.05</v>
      </c>
    </row>
    <row r="1640" spans="2:4" x14ac:dyDescent="0.2">
      <c r="B1640" s="125" t="s">
        <v>4260</v>
      </c>
      <c r="C1640" s="118" t="s">
        <v>4261</v>
      </c>
      <c r="D1640" s="118">
        <v>0.32</v>
      </c>
    </row>
    <row r="1641" spans="2:4" x14ac:dyDescent="0.2">
      <c r="B1641" s="125" t="s">
        <v>4262</v>
      </c>
      <c r="C1641" s="118" t="s">
        <v>4263</v>
      </c>
      <c r="D1641" s="118">
        <v>6.54</v>
      </c>
    </row>
    <row r="1642" spans="2:4" x14ac:dyDescent="0.2">
      <c r="B1642" s="125" t="s">
        <v>4264</v>
      </c>
      <c r="C1642" s="118" t="s">
        <v>4265</v>
      </c>
      <c r="D1642" s="118">
        <v>0</v>
      </c>
    </row>
    <row r="1643" spans="2:4" x14ac:dyDescent="0.2">
      <c r="B1643" s="125" t="s">
        <v>2820</v>
      </c>
      <c r="C1643" s="118" t="s">
        <v>2821</v>
      </c>
      <c r="D1643" s="118">
        <v>0</v>
      </c>
    </row>
    <row r="1644" spans="2:4" x14ac:dyDescent="0.2">
      <c r="B1644" s="125" t="s">
        <v>2822</v>
      </c>
      <c r="C1644" s="118" t="s">
        <v>2823</v>
      </c>
      <c r="D1644" s="118">
        <v>1.43</v>
      </c>
    </row>
    <row r="1645" spans="2:4" x14ac:dyDescent="0.2">
      <c r="B1645" s="125" t="s">
        <v>2824</v>
      </c>
      <c r="C1645" s="118" t="s">
        <v>2825</v>
      </c>
      <c r="D1645" s="118">
        <v>1.86</v>
      </c>
    </row>
    <row r="1646" spans="2:4" x14ac:dyDescent="0.2">
      <c r="B1646" s="125" t="s">
        <v>4266</v>
      </c>
      <c r="C1646" s="118" t="s">
        <v>4267</v>
      </c>
      <c r="D1646" s="118">
        <v>0.95</v>
      </c>
    </row>
    <row r="1647" spans="2:4" x14ac:dyDescent="0.2">
      <c r="B1647" s="125" t="s">
        <v>2826</v>
      </c>
      <c r="C1647" s="118" t="s">
        <v>2827</v>
      </c>
      <c r="D1647" s="118">
        <v>0</v>
      </c>
    </row>
    <row r="1648" spans="2:4" x14ac:dyDescent="0.2">
      <c r="B1648" s="125" t="s">
        <v>4268</v>
      </c>
      <c r="C1648" s="118" t="s">
        <v>4269</v>
      </c>
      <c r="D1648" s="118">
        <v>3.42</v>
      </c>
    </row>
    <row r="1649" spans="2:4" x14ac:dyDescent="0.2">
      <c r="B1649" s="125" t="s">
        <v>2828</v>
      </c>
      <c r="C1649" s="118" t="s">
        <v>2829</v>
      </c>
      <c r="D1649" s="118">
        <v>2.0299999999999998</v>
      </c>
    </row>
    <row r="1650" spans="2:4" x14ac:dyDescent="0.2">
      <c r="B1650" s="125" t="s">
        <v>2830</v>
      </c>
      <c r="C1650" s="118" t="s">
        <v>2831</v>
      </c>
      <c r="D1650" s="118">
        <v>1.21</v>
      </c>
    </row>
    <row r="1651" spans="2:4" x14ac:dyDescent="0.2">
      <c r="B1651" s="125" t="s">
        <v>2832</v>
      </c>
      <c r="C1651" s="118" t="s">
        <v>2833</v>
      </c>
      <c r="D1651" s="118">
        <v>2.98</v>
      </c>
    </row>
    <row r="1652" spans="2:4" x14ac:dyDescent="0.2">
      <c r="B1652" s="125" t="s">
        <v>2834</v>
      </c>
      <c r="C1652" s="118" t="s">
        <v>2835</v>
      </c>
      <c r="D1652" s="118">
        <v>10.73</v>
      </c>
    </row>
    <row r="1653" spans="2:4" x14ac:dyDescent="0.2">
      <c r="B1653" s="125" t="s">
        <v>2836</v>
      </c>
      <c r="C1653" s="118" t="s">
        <v>2837</v>
      </c>
      <c r="D1653" s="118">
        <v>8.4</v>
      </c>
    </row>
    <row r="1654" spans="2:4" x14ac:dyDescent="0.2">
      <c r="B1654" s="125" t="s">
        <v>4270</v>
      </c>
      <c r="C1654" s="118" t="s">
        <v>4271</v>
      </c>
      <c r="D1654" s="118">
        <v>1.37</v>
      </c>
    </row>
    <row r="1655" spans="2:4" x14ac:dyDescent="0.2">
      <c r="B1655" s="125" t="s">
        <v>4272</v>
      </c>
      <c r="C1655" s="118" t="s">
        <v>4273</v>
      </c>
      <c r="D1655" s="118">
        <v>3.61</v>
      </c>
    </row>
    <row r="1656" spans="2:4" x14ac:dyDescent="0.2">
      <c r="B1656" s="125" t="s">
        <v>2838</v>
      </c>
      <c r="C1656" s="118" t="s">
        <v>2839</v>
      </c>
      <c r="D1656" s="118">
        <v>0</v>
      </c>
    </row>
    <row r="1657" spans="2:4" x14ac:dyDescent="0.2">
      <c r="B1657" s="125" t="s">
        <v>2840</v>
      </c>
      <c r="C1657" s="118" t="s">
        <v>2841</v>
      </c>
      <c r="D1657" s="118">
        <v>1.44</v>
      </c>
    </row>
    <row r="1658" spans="2:4" x14ac:dyDescent="0.2">
      <c r="B1658" s="125" t="s">
        <v>2842</v>
      </c>
      <c r="C1658" s="118" t="s">
        <v>2843</v>
      </c>
      <c r="D1658" s="118">
        <v>0</v>
      </c>
    </row>
    <row r="1659" spans="2:4" x14ac:dyDescent="0.2">
      <c r="B1659" s="125" t="s">
        <v>4274</v>
      </c>
      <c r="C1659" s="118" t="s">
        <v>4275</v>
      </c>
      <c r="D1659" s="118">
        <v>2.2200000000000002</v>
      </c>
    </row>
    <row r="1660" spans="2:4" x14ac:dyDescent="0.2">
      <c r="B1660" s="125" t="s">
        <v>2844</v>
      </c>
      <c r="C1660" s="118" t="s">
        <v>2845</v>
      </c>
      <c r="D1660" s="118">
        <v>0.82</v>
      </c>
    </row>
    <row r="1661" spans="2:4" x14ac:dyDescent="0.2">
      <c r="B1661" s="125" t="s">
        <v>2846</v>
      </c>
      <c r="C1661" s="118" t="s">
        <v>2847</v>
      </c>
      <c r="D1661" s="118">
        <v>2.81</v>
      </c>
    </row>
    <row r="1662" spans="2:4" x14ac:dyDescent="0.2">
      <c r="B1662" s="125" t="s">
        <v>4276</v>
      </c>
      <c r="C1662" s="118" t="s">
        <v>4277</v>
      </c>
      <c r="D1662" s="118">
        <v>0</v>
      </c>
    </row>
    <row r="1663" spans="2:4" x14ac:dyDescent="0.2">
      <c r="B1663" s="125" t="s">
        <v>4278</v>
      </c>
      <c r="C1663" s="118" t="s">
        <v>4279</v>
      </c>
      <c r="D1663" s="118">
        <v>2.12</v>
      </c>
    </row>
    <row r="1664" spans="2:4" x14ac:dyDescent="0.2">
      <c r="B1664" s="125" t="s">
        <v>4280</v>
      </c>
      <c r="C1664" s="118" t="s">
        <v>4281</v>
      </c>
      <c r="D1664" s="118">
        <v>2.15</v>
      </c>
    </row>
    <row r="1665" spans="2:4" x14ac:dyDescent="0.2">
      <c r="B1665" s="125" t="s">
        <v>2848</v>
      </c>
      <c r="C1665" s="118" t="s">
        <v>2849</v>
      </c>
      <c r="D1665" s="118">
        <v>4.82</v>
      </c>
    </row>
    <row r="1666" spans="2:4" x14ac:dyDescent="0.2">
      <c r="B1666" s="125" t="s">
        <v>2850</v>
      </c>
      <c r="C1666" s="118" t="s">
        <v>2851</v>
      </c>
      <c r="D1666" s="118">
        <v>2.98</v>
      </c>
    </row>
    <row r="1667" spans="2:4" x14ac:dyDescent="0.2">
      <c r="B1667" s="125" t="s">
        <v>2852</v>
      </c>
      <c r="C1667" s="118" t="s">
        <v>2853</v>
      </c>
      <c r="D1667" s="118">
        <v>1.08</v>
      </c>
    </row>
    <row r="1668" spans="2:4" x14ac:dyDescent="0.2">
      <c r="B1668" s="125" t="s">
        <v>2854</v>
      </c>
      <c r="C1668" s="118" t="s">
        <v>2855</v>
      </c>
      <c r="D1668" s="118">
        <v>0</v>
      </c>
    </row>
    <row r="1669" spans="2:4" x14ac:dyDescent="0.2">
      <c r="B1669" s="125" t="s">
        <v>2857</v>
      </c>
      <c r="C1669" s="118" t="s">
        <v>2858</v>
      </c>
      <c r="D1669" s="118">
        <v>0.77</v>
      </c>
    </row>
    <row r="1670" spans="2:4" x14ac:dyDescent="0.2">
      <c r="B1670" s="125" t="s">
        <v>2859</v>
      </c>
      <c r="C1670" s="118" t="s">
        <v>2860</v>
      </c>
      <c r="D1670" s="118">
        <v>0</v>
      </c>
    </row>
    <row r="1671" spans="2:4" x14ac:dyDescent="0.2">
      <c r="B1671" s="125" t="s">
        <v>2861</v>
      </c>
      <c r="C1671" s="118" t="s">
        <v>2862</v>
      </c>
      <c r="D1671" s="118">
        <v>0</v>
      </c>
    </row>
    <row r="1672" spans="2:4" x14ac:dyDescent="0.2">
      <c r="B1672" s="125" t="s">
        <v>2863</v>
      </c>
      <c r="C1672" s="118" t="s">
        <v>2864</v>
      </c>
      <c r="D1672" s="118">
        <v>6.28</v>
      </c>
    </row>
    <row r="1673" spans="2:4" x14ac:dyDescent="0.2">
      <c r="B1673" s="125" t="s">
        <v>2867</v>
      </c>
      <c r="C1673" s="118" t="s">
        <v>2868</v>
      </c>
      <c r="D1673" s="118">
        <v>3.27</v>
      </c>
    </row>
    <row r="1674" spans="2:4" x14ac:dyDescent="0.2">
      <c r="B1674" s="125" t="s">
        <v>4282</v>
      </c>
      <c r="C1674" s="118" t="s">
        <v>4283</v>
      </c>
      <c r="D1674" s="118">
        <v>0</v>
      </c>
    </row>
    <row r="1675" spans="2:4" x14ac:dyDescent="0.2">
      <c r="B1675" s="125" t="s">
        <v>4284</v>
      </c>
      <c r="C1675" s="118" t="s">
        <v>4285</v>
      </c>
      <c r="D1675" s="118">
        <v>4.43</v>
      </c>
    </row>
    <row r="1676" spans="2:4" x14ac:dyDescent="0.2">
      <c r="B1676" s="125" t="s">
        <v>2869</v>
      </c>
      <c r="C1676" s="118" t="s">
        <v>2870</v>
      </c>
      <c r="D1676" s="118">
        <v>3.18</v>
      </c>
    </row>
    <row r="1677" spans="2:4" x14ac:dyDescent="0.2">
      <c r="B1677" s="125" t="s">
        <v>4286</v>
      </c>
      <c r="C1677" s="118" t="s">
        <v>4287</v>
      </c>
      <c r="D1677" s="118">
        <v>3.03</v>
      </c>
    </row>
    <row r="1678" spans="2:4" x14ac:dyDescent="0.2">
      <c r="B1678" s="125" t="s">
        <v>2871</v>
      </c>
      <c r="C1678" s="118" t="s">
        <v>2872</v>
      </c>
      <c r="D1678" s="118">
        <v>0.51</v>
      </c>
    </row>
    <row r="1679" spans="2:4" x14ac:dyDescent="0.2">
      <c r="B1679" s="125" t="s">
        <v>2873</v>
      </c>
      <c r="C1679" s="118" t="s">
        <v>2874</v>
      </c>
      <c r="D1679" s="118">
        <v>0</v>
      </c>
    </row>
    <row r="1680" spans="2:4" x14ac:dyDescent="0.2">
      <c r="B1680" s="125" t="s">
        <v>2875</v>
      </c>
      <c r="C1680" s="118" t="s">
        <v>2876</v>
      </c>
      <c r="D1680" s="118">
        <v>0.82</v>
      </c>
    </row>
    <row r="1681" spans="2:4" x14ac:dyDescent="0.2">
      <c r="B1681" s="125" t="s">
        <v>2877</v>
      </c>
      <c r="C1681" s="118" t="s">
        <v>2878</v>
      </c>
      <c r="D1681" s="118">
        <v>0</v>
      </c>
    </row>
    <row r="1682" spans="2:4" x14ac:dyDescent="0.2">
      <c r="B1682" s="125" t="s">
        <v>2879</v>
      </c>
      <c r="C1682" s="118" t="s">
        <v>2880</v>
      </c>
      <c r="D1682" s="118">
        <v>5.36</v>
      </c>
    </row>
    <row r="1683" spans="2:4" x14ac:dyDescent="0.2">
      <c r="B1683" s="125" t="s">
        <v>2881</v>
      </c>
      <c r="C1683" s="118" t="s">
        <v>2882</v>
      </c>
      <c r="D1683" s="118">
        <v>3.56</v>
      </c>
    </row>
    <row r="1684" spans="2:4" x14ac:dyDescent="0.2">
      <c r="B1684" s="125" t="s">
        <v>2883</v>
      </c>
      <c r="C1684" s="118" t="s">
        <v>2884</v>
      </c>
      <c r="D1684" s="118">
        <v>4.55</v>
      </c>
    </row>
    <row r="1685" spans="2:4" x14ac:dyDescent="0.2">
      <c r="B1685" s="125" t="s">
        <v>2885</v>
      </c>
      <c r="C1685" s="118" t="s">
        <v>2886</v>
      </c>
      <c r="D1685" s="118">
        <v>4.18</v>
      </c>
    </row>
    <row r="1686" spans="2:4" x14ac:dyDescent="0.2">
      <c r="B1686" s="125" t="s">
        <v>2887</v>
      </c>
      <c r="C1686" s="118" t="s">
        <v>2888</v>
      </c>
      <c r="D1686" s="118">
        <v>1.49</v>
      </c>
    </row>
    <row r="1687" spans="2:4" x14ac:dyDescent="0.2">
      <c r="B1687" s="125" t="s">
        <v>2889</v>
      </c>
      <c r="C1687" s="118" t="s">
        <v>2890</v>
      </c>
      <c r="D1687" s="118">
        <v>1.24</v>
      </c>
    </row>
    <row r="1688" spans="2:4" x14ac:dyDescent="0.2">
      <c r="B1688" s="125" t="s">
        <v>4288</v>
      </c>
      <c r="C1688" s="118" t="s">
        <v>4289</v>
      </c>
      <c r="D1688" s="118">
        <v>0</v>
      </c>
    </row>
    <row r="1689" spans="2:4" x14ac:dyDescent="0.2">
      <c r="B1689" s="125" t="s">
        <v>2891</v>
      </c>
      <c r="C1689" s="118" t="s">
        <v>2892</v>
      </c>
      <c r="D1689" s="118">
        <v>0</v>
      </c>
    </row>
    <row r="1690" spans="2:4" x14ac:dyDescent="0.2">
      <c r="B1690" s="125" t="s">
        <v>2893</v>
      </c>
      <c r="C1690" s="118" t="s">
        <v>2894</v>
      </c>
      <c r="D1690" s="118">
        <v>0.74</v>
      </c>
    </row>
    <row r="1691" spans="2:4" x14ac:dyDescent="0.2">
      <c r="B1691" s="125" t="s">
        <v>2895</v>
      </c>
      <c r="C1691" s="118" t="s">
        <v>2896</v>
      </c>
      <c r="D1691" s="118">
        <v>4.01</v>
      </c>
    </row>
    <row r="1692" spans="2:4" x14ac:dyDescent="0.2">
      <c r="B1692" s="125" t="s">
        <v>2897</v>
      </c>
      <c r="C1692" s="118" t="s">
        <v>2898</v>
      </c>
      <c r="D1692" s="118">
        <v>3.91</v>
      </c>
    </row>
    <row r="1693" spans="2:4" x14ac:dyDescent="0.2">
      <c r="B1693" s="125" t="s">
        <v>2899</v>
      </c>
      <c r="C1693" s="118" t="s">
        <v>2900</v>
      </c>
      <c r="D1693" s="118">
        <v>2.3199999999999998</v>
      </c>
    </row>
    <row r="1694" spans="2:4" x14ac:dyDescent="0.2">
      <c r="B1694" s="125" t="s">
        <v>4290</v>
      </c>
      <c r="C1694" s="118" t="s">
        <v>4291</v>
      </c>
      <c r="D1694" s="118">
        <v>0.56999999999999995</v>
      </c>
    </row>
    <row r="1695" spans="2:4" x14ac:dyDescent="0.2">
      <c r="B1695" s="125" t="s">
        <v>2901</v>
      </c>
      <c r="C1695" s="118" t="s">
        <v>2902</v>
      </c>
      <c r="D1695" s="118">
        <v>1.63</v>
      </c>
    </row>
    <row r="1696" spans="2:4" x14ac:dyDescent="0.2">
      <c r="B1696" s="125" t="s">
        <v>2903</v>
      </c>
      <c r="C1696" s="118" t="s">
        <v>2904</v>
      </c>
      <c r="D1696" s="118">
        <v>0</v>
      </c>
    </row>
    <row r="1697" spans="2:4" x14ac:dyDescent="0.2">
      <c r="B1697" s="125" t="s">
        <v>4292</v>
      </c>
      <c r="C1697" s="118" t="s">
        <v>4293</v>
      </c>
      <c r="D1697" s="118">
        <v>0.81</v>
      </c>
    </row>
    <row r="1698" spans="2:4" x14ac:dyDescent="0.2">
      <c r="B1698" s="125" t="s">
        <v>4294</v>
      </c>
      <c r="C1698" s="118" t="s">
        <v>4295</v>
      </c>
      <c r="D1698" s="118">
        <v>2.48</v>
      </c>
    </row>
    <row r="1699" spans="2:4" x14ac:dyDescent="0.2">
      <c r="B1699" s="125" t="s">
        <v>2905</v>
      </c>
      <c r="C1699" s="118" t="s">
        <v>2906</v>
      </c>
      <c r="D1699" s="118">
        <v>0</v>
      </c>
    </row>
    <row r="1700" spans="2:4" x14ac:dyDescent="0.2">
      <c r="B1700" s="125" t="s">
        <v>2907</v>
      </c>
      <c r="C1700" s="118" t="s">
        <v>2908</v>
      </c>
      <c r="D1700" s="118">
        <v>2.44</v>
      </c>
    </row>
    <row r="1701" spans="2:4" x14ac:dyDescent="0.2">
      <c r="B1701" s="125" t="s">
        <v>2910</v>
      </c>
      <c r="C1701" s="118" t="s">
        <v>2911</v>
      </c>
      <c r="D1701" s="118">
        <v>0</v>
      </c>
    </row>
    <row r="1702" spans="2:4" x14ac:dyDescent="0.2">
      <c r="B1702" s="125" t="s">
        <v>2912</v>
      </c>
      <c r="C1702" s="118" t="s">
        <v>2913</v>
      </c>
      <c r="D1702" s="118">
        <v>1.1000000000000001</v>
      </c>
    </row>
    <row r="1703" spans="2:4" x14ac:dyDescent="0.2">
      <c r="B1703" s="125" t="s">
        <v>2914</v>
      </c>
      <c r="C1703" s="118" t="s">
        <v>2915</v>
      </c>
      <c r="D1703" s="118">
        <v>0.45</v>
      </c>
    </row>
    <row r="1704" spans="2:4" x14ac:dyDescent="0.2">
      <c r="B1704" s="125" t="s">
        <v>4296</v>
      </c>
      <c r="C1704" s="118" t="s">
        <v>4297</v>
      </c>
      <c r="D1704" s="118">
        <v>2.0499999999999998</v>
      </c>
    </row>
    <row r="1705" spans="2:4" x14ac:dyDescent="0.2">
      <c r="B1705" s="125" t="s">
        <v>2916</v>
      </c>
      <c r="C1705" s="118" t="s">
        <v>2917</v>
      </c>
      <c r="D1705" s="118">
        <v>1.8</v>
      </c>
    </row>
    <row r="1706" spans="2:4" x14ac:dyDescent="0.2">
      <c r="B1706" s="125" t="s">
        <v>2918</v>
      </c>
      <c r="C1706" s="118" t="s">
        <v>2919</v>
      </c>
      <c r="D1706" s="118">
        <v>4.51</v>
      </c>
    </row>
    <row r="1707" spans="2:4" x14ac:dyDescent="0.2">
      <c r="B1707" s="125" t="s">
        <v>2920</v>
      </c>
      <c r="C1707" s="118" t="s">
        <v>2921</v>
      </c>
      <c r="D1707" s="118">
        <v>0</v>
      </c>
    </row>
    <row r="1708" spans="2:4" x14ac:dyDescent="0.2">
      <c r="B1708" s="125" t="s">
        <v>2922</v>
      </c>
      <c r="C1708" s="118" t="s">
        <v>2923</v>
      </c>
      <c r="D1708" s="118">
        <v>0</v>
      </c>
    </row>
    <row r="1709" spans="2:4" x14ac:dyDescent="0.2">
      <c r="B1709" s="125" t="s">
        <v>2924</v>
      </c>
      <c r="C1709" s="118" t="s">
        <v>2925</v>
      </c>
      <c r="D1709" s="118">
        <v>3.32</v>
      </c>
    </row>
    <row r="1710" spans="2:4" x14ac:dyDescent="0.2">
      <c r="B1710" s="125" t="s">
        <v>2926</v>
      </c>
      <c r="C1710" s="118" t="s">
        <v>2927</v>
      </c>
      <c r="D1710" s="118">
        <v>1.53</v>
      </c>
    </row>
    <row r="1711" spans="2:4" x14ac:dyDescent="0.2">
      <c r="B1711" s="125" t="s">
        <v>2928</v>
      </c>
      <c r="C1711" s="118" t="s">
        <v>2929</v>
      </c>
      <c r="D1711" s="118">
        <v>2.4900000000000002</v>
      </c>
    </row>
    <row r="1712" spans="2:4" x14ac:dyDescent="0.2">
      <c r="B1712" s="125" t="s">
        <v>4298</v>
      </c>
      <c r="C1712" s="118" t="s">
        <v>4299</v>
      </c>
      <c r="D1712" s="118">
        <v>4.6900000000000004</v>
      </c>
    </row>
    <row r="1713" spans="2:4" x14ac:dyDescent="0.2">
      <c r="B1713" s="125" t="s">
        <v>2930</v>
      </c>
      <c r="C1713" s="118" t="s">
        <v>2931</v>
      </c>
      <c r="D1713" s="118">
        <v>4.0599999999999996</v>
      </c>
    </row>
    <row r="1714" spans="2:4" x14ac:dyDescent="0.2">
      <c r="B1714" s="125" t="s">
        <v>4300</v>
      </c>
      <c r="C1714" s="118" t="s">
        <v>4301</v>
      </c>
      <c r="D1714" s="118">
        <v>3.05</v>
      </c>
    </row>
    <row r="1715" spans="2:4" x14ac:dyDescent="0.2">
      <c r="B1715" s="125" t="s">
        <v>2932</v>
      </c>
      <c r="C1715" s="118" t="s">
        <v>2933</v>
      </c>
      <c r="D1715" s="118">
        <v>1.1499999999999999</v>
      </c>
    </row>
    <row r="1716" spans="2:4" x14ac:dyDescent="0.2">
      <c r="B1716" s="125" t="s">
        <v>2934</v>
      </c>
      <c r="C1716" s="118" t="s">
        <v>2935</v>
      </c>
      <c r="D1716" s="118">
        <v>3.87</v>
      </c>
    </row>
    <row r="1717" spans="2:4" x14ac:dyDescent="0.2">
      <c r="B1717" s="125" t="s">
        <v>2936</v>
      </c>
      <c r="C1717" s="118" t="s">
        <v>2937</v>
      </c>
      <c r="D1717" s="118">
        <v>2.97</v>
      </c>
    </row>
    <row r="1718" spans="2:4" x14ac:dyDescent="0.2">
      <c r="B1718" s="125" t="s">
        <v>2938</v>
      </c>
      <c r="C1718" s="118" t="s">
        <v>2939</v>
      </c>
      <c r="D1718" s="118">
        <v>0.74</v>
      </c>
    </row>
    <row r="1719" spans="2:4" x14ac:dyDescent="0.2">
      <c r="B1719" s="125" t="s">
        <v>2940</v>
      </c>
      <c r="C1719" s="118" t="s">
        <v>2941</v>
      </c>
      <c r="D1719" s="118">
        <v>2.77</v>
      </c>
    </row>
    <row r="1720" spans="2:4" x14ac:dyDescent="0.2">
      <c r="B1720" s="125" t="s">
        <v>2942</v>
      </c>
      <c r="C1720" s="118" t="s">
        <v>2943</v>
      </c>
      <c r="D1720" s="118">
        <v>5.42</v>
      </c>
    </row>
    <row r="1721" spans="2:4" x14ac:dyDescent="0.2">
      <c r="B1721" s="125" t="s">
        <v>2944</v>
      </c>
      <c r="C1721" s="118" t="s">
        <v>2945</v>
      </c>
      <c r="D1721" s="118">
        <v>0.9</v>
      </c>
    </row>
    <row r="1722" spans="2:4" x14ac:dyDescent="0.2">
      <c r="B1722" s="125" t="s">
        <v>4302</v>
      </c>
      <c r="C1722" s="118" t="s">
        <v>4303</v>
      </c>
      <c r="D1722" s="118">
        <v>4.0999999999999996</v>
      </c>
    </row>
    <row r="1723" spans="2:4" x14ac:dyDescent="0.2">
      <c r="B1723" s="125" t="s">
        <v>2946</v>
      </c>
      <c r="C1723" s="118" t="s">
        <v>2947</v>
      </c>
      <c r="D1723" s="118">
        <v>0</v>
      </c>
    </row>
    <row r="1724" spans="2:4" x14ac:dyDescent="0.2">
      <c r="B1724" s="125" t="s">
        <v>2948</v>
      </c>
      <c r="C1724" s="118" t="s">
        <v>2949</v>
      </c>
      <c r="D1724" s="118">
        <v>0</v>
      </c>
    </row>
    <row r="1725" spans="2:4" x14ac:dyDescent="0.2">
      <c r="B1725" s="125" t="s">
        <v>2950</v>
      </c>
      <c r="C1725" s="118" t="s">
        <v>2951</v>
      </c>
      <c r="D1725" s="118">
        <v>0.57999999999999996</v>
      </c>
    </row>
    <row r="1726" spans="2:4" x14ac:dyDescent="0.2">
      <c r="B1726" s="125" t="s">
        <v>2952</v>
      </c>
      <c r="C1726" s="118" t="s">
        <v>2953</v>
      </c>
      <c r="D1726" s="118">
        <v>0</v>
      </c>
    </row>
    <row r="1727" spans="2:4" x14ac:dyDescent="0.2">
      <c r="B1727" s="125" t="s">
        <v>4304</v>
      </c>
      <c r="C1727" s="118" t="s">
        <v>4305</v>
      </c>
      <c r="D1727" s="118">
        <v>1.82</v>
      </c>
    </row>
    <row r="1728" spans="2:4" x14ac:dyDescent="0.2">
      <c r="B1728" s="125" t="s">
        <v>2954</v>
      </c>
      <c r="C1728" s="118" t="s">
        <v>2955</v>
      </c>
      <c r="D1728" s="118">
        <v>0</v>
      </c>
    </row>
    <row r="1729" spans="2:4" x14ac:dyDescent="0.2">
      <c r="B1729" s="125" t="s">
        <v>2956</v>
      </c>
      <c r="C1729" s="118" t="s">
        <v>2957</v>
      </c>
      <c r="D1729" s="118">
        <v>3.33</v>
      </c>
    </row>
    <row r="1730" spans="2:4" x14ac:dyDescent="0.2">
      <c r="B1730" s="125" t="s">
        <v>2958</v>
      </c>
      <c r="C1730" s="118" t="s">
        <v>2959</v>
      </c>
      <c r="D1730" s="118">
        <v>0</v>
      </c>
    </row>
    <row r="1731" spans="2:4" x14ac:dyDescent="0.2">
      <c r="B1731" s="125" t="s">
        <v>2961</v>
      </c>
      <c r="C1731" s="118" t="s">
        <v>2962</v>
      </c>
      <c r="D1731" s="118">
        <v>2.75</v>
      </c>
    </row>
    <row r="1732" spans="2:4" x14ac:dyDescent="0.2">
      <c r="B1732" s="125" t="s">
        <v>2963</v>
      </c>
      <c r="C1732" s="118" t="s">
        <v>2964</v>
      </c>
      <c r="D1732" s="118">
        <v>5.2</v>
      </c>
    </row>
    <row r="1733" spans="2:4" x14ac:dyDescent="0.2">
      <c r="B1733" s="125" t="s">
        <v>2965</v>
      </c>
      <c r="C1733" s="118" t="s">
        <v>2966</v>
      </c>
      <c r="D1733" s="118">
        <v>0</v>
      </c>
    </row>
    <row r="1734" spans="2:4" x14ac:dyDescent="0.2">
      <c r="B1734" s="125" t="s">
        <v>2967</v>
      </c>
      <c r="C1734" s="118" t="s">
        <v>2968</v>
      </c>
      <c r="D1734" s="118">
        <v>2.72</v>
      </c>
    </row>
    <row r="1735" spans="2:4" x14ac:dyDescent="0.2">
      <c r="B1735" s="125" t="s">
        <v>2969</v>
      </c>
      <c r="C1735" s="118" t="s">
        <v>2970</v>
      </c>
      <c r="D1735" s="118">
        <v>0</v>
      </c>
    </row>
    <row r="1736" spans="2:4" x14ac:dyDescent="0.2">
      <c r="B1736" s="125" t="s">
        <v>2971</v>
      </c>
      <c r="C1736" s="118" t="s">
        <v>2972</v>
      </c>
      <c r="D1736" s="118">
        <v>1.34</v>
      </c>
    </row>
    <row r="1737" spans="2:4" x14ac:dyDescent="0.2">
      <c r="B1737" s="125" t="s">
        <v>2973</v>
      </c>
      <c r="C1737" s="118" t="s">
        <v>2974</v>
      </c>
      <c r="D1737" s="118">
        <v>0.56999999999999995</v>
      </c>
    </row>
    <row r="1738" spans="2:4" x14ac:dyDescent="0.2">
      <c r="B1738" s="125" t="s">
        <v>2975</v>
      </c>
      <c r="C1738" s="118" t="s">
        <v>2976</v>
      </c>
      <c r="D1738" s="118">
        <v>10.93</v>
      </c>
    </row>
    <row r="1739" spans="2:4" x14ac:dyDescent="0.2">
      <c r="B1739" s="125" t="s">
        <v>2977</v>
      </c>
      <c r="C1739" s="118" t="s">
        <v>2978</v>
      </c>
      <c r="D1739" s="118">
        <v>3.19</v>
      </c>
    </row>
    <row r="1740" spans="2:4" x14ac:dyDescent="0.2">
      <c r="B1740" s="125" t="s">
        <v>4306</v>
      </c>
      <c r="C1740" s="118" t="s">
        <v>4307</v>
      </c>
      <c r="D1740" s="118">
        <v>0.72</v>
      </c>
    </row>
    <row r="1741" spans="2:4" x14ac:dyDescent="0.2">
      <c r="B1741" s="125" t="s">
        <v>2979</v>
      </c>
      <c r="C1741" s="118" t="s">
        <v>2980</v>
      </c>
      <c r="D1741" s="118">
        <v>0.8</v>
      </c>
    </row>
    <row r="1742" spans="2:4" x14ac:dyDescent="0.2">
      <c r="B1742" s="125" t="s">
        <v>4308</v>
      </c>
      <c r="C1742" s="118" t="s">
        <v>4309</v>
      </c>
      <c r="D1742" s="118">
        <v>0</v>
      </c>
    </row>
    <row r="1743" spans="2:4" x14ac:dyDescent="0.2">
      <c r="B1743" s="125" t="s">
        <v>2981</v>
      </c>
      <c r="C1743" s="118" t="s">
        <v>2982</v>
      </c>
      <c r="D1743" s="118">
        <v>3.36</v>
      </c>
    </row>
    <row r="1744" spans="2:4" x14ac:dyDescent="0.2">
      <c r="B1744" s="125" t="s">
        <v>4310</v>
      </c>
      <c r="C1744" s="118" t="s">
        <v>4311</v>
      </c>
      <c r="D1744" s="118">
        <v>3.34</v>
      </c>
    </row>
    <row r="1745" spans="2:4" x14ac:dyDescent="0.2">
      <c r="B1745" s="125" t="s">
        <v>2983</v>
      </c>
      <c r="C1745" s="118" t="s">
        <v>2984</v>
      </c>
      <c r="D1745" s="118">
        <v>0</v>
      </c>
    </row>
    <row r="1746" spans="2:4" x14ac:dyDescent="0.2">
      <c r="B1746" s="125" t="s">
        <v>2986</v>
      </c>
      <c r="C1746" s="118" t="s">
        <v>2987</v>
      </c>
      <c r="D1746" s="118">
        <v>4.7699999999999996</v>
      </c>
    </row>
    <row r="1747" spans="2:4" x14ac:dyDescent="0.2">
      <c r="B1747" s="125" t="s">
        <v>4312</v>
      </c>
      <c r="C1747" s="118" t="s">
        <v>4313</v>
      </c>
      <c r="D1747" s="118">
        <v>0</v>
      </c>
    </row>
    <row r="1748" spans="2:4" x14ac:dyDescent="0.2">
      <c r="B1748" s="125" t="s">
        <v>2988</v>
      </c>
      <c r="C1748" s="118" t="s">
        <v>2989</v>
      </c>
      <c r="D1748" s="118">
        <v>1.01</v>
      </c>
    </row>
    <row r="1749" spans="2:4" x14ac:dyDescent="0.2">
      <c r="B1749" s="125" t="s">
        <v>2990</v>
      </c>
      <c r="C1749" s="118" t="s">
        <v>2991</v>
      </c>
      <c r="D1749" s="118">
        <v>3.32</v>
      </c>
    </row>
    <row r="1750" spans="2:4" x14ac:dyDescent="0.2">
      <c r="B1750" s="125" t="s">
        <v>2992</v>
      </c>
      <c r="C1750" s="118" t="s">
        <v>2993</v>
      </c>
      <c r="D1750" s="118">
        <v>1.38</v>
      </c>
    </row>
    <row r="1751" spans="2:4" x14ac:dyDescent="0.2">
      <c r="B1751" s="125" t="s">
        <v>2994</v>
      </c>
      <c r="C1751" s="118" t="s">
        <v>2995</v>
      </c>
      <c r="D1751" s="118">
        <v>3.16</v>
      </c>
    </row>
    <row r="1752" spans="2:4" x14ac:dyDescent="0.2">
      <c r="B1752" s="125" t="s">
        <v>2996</v>
      </c>
      <c r="C1752" s="118" t="s">
        <v>2997</v>
      </c>
      <c r="D1752" s="118">
        <v>1.06</v>
      </c>
    </row>
    <row r="1753" spans="2:4" x14ac:dyDescent="0.2">
      <c r="B1753" s="125" t="s">
        <v>2998</v>
      </c>
      <c r="C1753" s="118" t="s">
        <v>2999</v>
      </c>
      <c r="D1753" s="118">
        <v>0</v>
      </c>
    </row>
    <row r="1754" spans="2:4" x14ac:dyDescent="0.2">
      <c r="B1754" s="125" t="s">
        <v>3000</v>
      </c>
      <c r="C1754" s="118" t="s">
        <v>3001</v>
      </c>
      <c r="D1754" s="118">
        <v>3.51</v>
      </c>
    </row>
    <row r="1755" spans="2:4" x14ac:dyDescent="0.2">
      <c r="B1755" s="125" t="s">
        <v>3002</v>
      </c>
      <c r="C1755" s="118" t="s">
        <v>3003</v>
      </c>
      <c r="D1755" s="118">
        <v>1.36</v>
      </c>
    </row>
    <row r="1756" spans="2:4" x14ac:dyDescent="0.2">
      <c r="B1756" s="125" t="s">
        <v>3004</v>
      </c>
      <c r="C1756" s="118" t="s">
        <v>3005</v>
      </c>
      <c r="D1756" s="118">
        <v>3.13</v>
      </c>
    </row>
    <row r="1757" spans="2:4" x14ac:dyDescent="0.2">
      <c r="B1757" s="125" t="s">
        <v>3006</v>
      </c>
      <c r="C1757" s="118" t="s">
        <v>3007</v>
      </c>
      <c r="D1757" s="118">
        <v>7.75</v>
      </c>
    </row>
    <row r="1758" spans="2:4" x14ac:dyDescent="0.2">
      <c r="B1758" s="125" t="s">
        <v>3008</v>
      </c>
      <c r="C1758" s="118" t="s">
        <v>3009</v>
      </c>
      <c r="D1758" s="118">
        <v>4.8099999999999996</v>
      </c>
    </row>
    <row r="1759" spans="2:4" x14ac:dyDescent="0.2">
      <c r="B1759" s="125" t="s">
        <v>3010</v>
      </c>
      <c r="C1759" s="118" t="s">
        <v>3011</v>
      </c>
      <c r="D1759" s="118">
        <v>1.46</v>
      </c>
    </row>
    <row r="1760" spans="2:4" x14ac:dyDescent="0.2">
      <c r="B1760" s="125" t="s">
        <v>3010</v>
      </c>
      <c r="C1760" s="118" t="s">
        <v>4314</v>
      </c>
      <c r="D1760" s="118">
        <v>1.31</v>
      </c>
    </row>
    <row r="1761" spans="2:4" x14ac:dyDescent="0.2">
      <c r="B1761" s="125" t="s">
        <v>3012</v>
      </c>
      <c r="C1761" s="118" t="s">
        <v>3013</v>
      </c>
      <c r="D1761" s="118">
        <v>3.98</v>
      </c>
    </row>
    <row r="1762" spans="2:4" x14ac:dyDescent="0.2">
      <c r="B1762" s="125" t="s">
        <v>3014</v>
      </c>
      <c r="C1762" s="118" t="s">
        <v>3015</v>
      </c>
      <c r="D1762" s="118">
        <v>0</v>
      </c>
    </row>
    <row r="1763" spans="2:4" x14ac:dyDescent="0.2">
      <c r="B1763" s="125" t="s">
        <v>3016</v>
      </c>
      <c r="C1763" s="118" t="s">
        <v>3017</v>
      </c>
      <c r="D1763" s="118">
        <v>1.93</v>
      </c>
    </row>
    <row r="1764" spans="2:4" x14ac:dyDescent="0.2">
      <c r="B1764" s="125" t="s">
        <v>3018</v>
      </c>
      <c r="C1764" s="118" t="s">
        <v>3019</v>
      </c>
      <c r="D1764" s="118">
        <v>2</v>
      </c>
    </row>
    <row r="1765" spans="2:4" x14ac:dyDescent="0.2">
      <c r="B1765" s="125" t="s">
        <v>3020</v>
      </c>
      <c r="C1765" s="118" t="s">
        <v>3021</v>
      </c>
      <c r="D1765" s="118">
        <v>10.34</v>
      </c>
    </row>
    <row r="1766" spans="2:4" x14ac:dyDescent="0.2">
      <c r="B1766" s="125" t="s">
        <v>3022</v>
      </c>
      <c r="C1766" s="118" t="s">
        <v>3023</v>
      </c>
      <c r="D1766" s="118">
        <v>2.5</v>
      </c>
    </row>
    <row r="1767" spans="2:4" x14ac:dyDescent="0.2">
      <c r="B1767" s="125" t="s">
        <v>4315</v>
      </c>
      <c r="C1767" s="118" t="s">
        <v>4316</v>
      </c>
      <c r="D1767" s="118">
        <v>0</v>
      </c>
    </row>
    <row r="1768" spans="2:4" x14ac:dyDescent="0.2">
      <c r="B1768" s="125" t="s">
        <v>4317</v>
      </c>
      <c r="C1768" s="118" t="s">
        <v>4318</v>
      </c>
      <c r="D1768" s="118">
        <v>1.35</v>
      </c>
    </row>
    <row r="1769" spans="2:4" x14ac:dyDescent="0.2">
      <c r="B1769" s="125" t="s">
        <v>3024</v>
      </c>
      <c r="C1769" s="118" t="s">
        <v>3025</v>
      </c>
      <c r="D1769" s="118">
        <v>1.5</v>
      </c>
    </row>
    <row r="1770" spans="2:4" x14ac:dyDescent="0.2">
      <c r="B1770" s="125" t="s">
        <v>4319</v>
      </c>
      <c r="C1770" s="118" t="s">
        <v>4320</v>
      </c>
      <c r="D1770" s="118">
        <v>0</v>
      </c>
    </row>
    <row r="1771" spans="2:4" x14ac:dyDescent="0.2">
      <c r="B1771" s="125" t="s">
        <v>4321</v>
      </c>
      <c r="C1771" s="118" t="s">
        <v>4322</v>
      </c>
      <c r="D1771" s="118">
        <v>0.8</v>
      </c>
    </row>
    <row r="1772" spans="2:4" x14ac:dyDescent="0.2">
      <c r="B1772" s="125" t="s">
        <v>3026</v>
      </c>
      <c r="C1772" s="118" t="s">
        <v>3027</v>
      </c>
      <c r="D1772" s="118">
        <v>0.75</v>
      </c>
    </row>
    <row r="1773" spans="2:4" x14ac:dyDescent="0.2">
      <c r="B1773" s="125" t="s">
        <v>4323</v>
      </c>
      <c r="C1773" s="118" t="s">
        <v>4324</v>
      </c>
      <c r="D1773" s="118">
        <v>8.84</v>
      </c>
    </row>
    <row r="1774" spans="2:4" x14ac:dyDescent="0.2">
      <c r="B1774" s="125" t="s">
        <v>4325</v>
      </c>
      <c r="C1774" s="118" t="s">
        <v>4326</v>
      </c>
      <c r="D1774" s="118">
        <v>1.72</v>
      </c>
    </row>
    <row r="1775" spans="2:4" x14ac:dyDescent="0.2">
      <c r="B1775" s="125" t="s">
        <v>3028</v>
      </c>
      <c r="C1775" s="118" t="s">
        <v>3029</v>
      </c>
      <c r="D1775" s="118">
        <v>0</v>
      </c>
    </row>
    <row r="1776" spans="2:4" x14ac:dyDescent="0.2">
      <c r="B1776" s="125" t="s">
        <v>3030</v>
      </c>
      <c r="C1776" s="118" t="s">
        <v>3031</v>
      </c>
      <c r="D1776" s="118">
        <v>1.96</v>
      </c>
    </row>
    <row r="1777" spans="2:4" x14ac:dyDescent="0.2">
      <c r="B1777" s="125" t="s">
        <v>3032</v>
      </c>
      <c r="C1777" s="118" t="s">
        <v>3033</v>
      </c>
      <c r="D1777" s="118">
        <v>2.21</v>
      </c>
    </row>
    <row r="1778" spans="2:4" x14ac:dyDescent="0.2">
      <c r="B1778" s="125" t="s">
        <v>3034</v>
      </c>
      <c r="C1778" s="118" t="s">
        <v>3035</v>
      </c>
      <c r="D1778" s="118">
        <v>3.25</v>
      </c>
    </row>
    <row r="1779" spans="2:4" x14ac:dyDescent="0.2">
      <c r="B1779" s="125" t="s">
        <v>4327</v>
      </c>
      <c r="C1779" s="118" t="s">
        <v>4328</v>
      </c>
      <c r="D1779" s="118">
        <v>0</v>
      </c>
    </row>
    <row r="1780" spans="2:4" x14ac:dyDescent="0.2">
      <c r="B1780" s="125" t="s">
        <v>3036</v>
      </c>
      <c r="C1780" s="118" t="s">
        <v>3037</v>
      </c>
      <c r="D1780" s="118">
        <v>2.38</v>
      </c>
    </row>
    <row r="1781" spans="2:4" x14ac:dyDescent="0.2">
      <c r="B1781" s="125" t="s">
        <v>3038</v>
      </c>
      <c r="C1781" s="118" t="s">
        <v>3039</v>
      </c>
      <c r="D1781" s="118">
        <v>2.6</v>
      </c>
    </row>
    <row r="1782" spans="2:4" x14ac:dyDescent="0.2">
      <c r="B1782" s="125" t="s">
        <v>4329</v>
      </c>
      <c r="C1782" s="118" t="s">
        <v>4330</v>
      </c>
      <c r="D1782" s="118">
        <v>0.68</v>
      </c>
    </row>
    <row r="1783" spans="2:4" x14ac:dyDescent="0.2">
      <c r="B1783" s="125" t="s">
        <v>3040</v>
      </c>
      <c r="C1783" s="118" t="s">
        <v>3041</v>
      </c>
      <c r="D1783" s="118">
        <v>0.94</v>
      </c>
    </row>
    <row r="1784" spans="2:4" x14ac:dyDescent="0.2">
      <c r="B1784" s="125" t="s">
        <v>3042</v>
      </c>
      <c r="C1784" s="118" t="s">
        <v>3043</v>
      </c>
      <c r="D1784" s="118">
        <v>1.26</v>
      </c>
    </row>
    <row r="1785" spans="2:4" x14ac:dyDescent="0.2">
      <c r="B1785" s="125" t="s">
        <v>3044</v>
      </c>
      <c r="C1785" s="118" t="s">
        <v>3045</v>
      </c>
      <c r="D1785" s="118">
        <v>0</v>
      </c>
    </row>
    <row r="1786" spans="2:4" x14ac:dyDescent="0.2">
      <c r="B1786" s="125" t="s">
        <v>3046</v>
      </c>
      <c r="C1786" s="118" t="s">
        <v>3047</v>
      </c>
      <c r="D1786" s="118">
        <v>1.99</v>
      </c>
    </row>
    <row r="1787" spans="2:4" x14ac:dyDescent="0.2">
      <c r="B1787" s="125" t="s">
        <v>4331</v>
      </c>
      <c r="C1787" s="118" t="s">
        <v>4332</v>
      </c>
      <c r="D1787" s="118">
        <v>3.31</v>
      </c>
    </row>
    <row r="1788" spans="2:4" x14ac:dyDescent="0.2">
      <c r="B1788" s="125" t="s">
        <v>3048</v>
      </c>
      <c r="C1788" s="118" t="s">
        <v>3049</v>
      </c>
      <c r="D1788" s="118">
        <v>1.33</v>
      </c>
    </row>
    <row r="1789" spans="2:4" x14ac:dyDescent="0.2">
      <c r="B1789" s="125" t="s">
        <v>3050</v>
      </c>
      <c r="C1789" s="118" t="s">
        <v>3051</v>
      </c>
      <c r="D1789" s="118">
        <v>5.38</v>
      </c>
    </row>
    <row r="1790" spans="2:4" x14ac:dyDescent="0.2">
      <c r="B1790" s="125" t="s">
        <v>3052</v>
      </c>
      <c r="C1790" s="118" t="s">
        <v>3053</v>
      </c>
      <c r="D1790" s="118">
        <v>3.5</v>
      </c>
    </row>
    <row r="1791" spans="2:4" x14ac:dyDescent="0.2">
      <c r="B1791" s="125" t="s">
        <v>3054</v>
      </c>
      <c r="C1791" s="118" t="s">
        <v>3055</v>
      </c>
      <c r="D1791" s="118">
        <v>0</v>
      </c>
    </row>
    <row r="1792" spans="2:4" x14ac:dyDescent="0.2">
      <c r="B1792" s="125" t="s">
        <v>3056</v>
      </c>
      <c r="C1792" s="118" t="s">
        <v>3057</v>
      </c>
      <c r="D1792" s="118">
        <v>4.05</v>
      </c>
    </row>
    <row r="1793" spans="2:4" x14ac:dyDescent="0.2">
      <c r="B1793" s="125" t="s">
        <v>3058</v>
      </c>
      <c r="C1793" s="118" t="s">
        <v>3059</v>
      </c>
      <c r="D1793" s="118">
        <v>0</v>
      </c>
    </row>
    <row r="1794" spans="2:4" x14ac:dyDescent="0.2">
      <c r="B1794" s="125" t="s">
        <v>3060</v>
      </c>
      <c r="C1794" s="118" t="s">
        <v>3061</v>
      </c>
      <c r="D1794" s="118">
        <v>5.19</v>
      </c>
    </row>
    <row r="1795" spans="2:4" x14ac:dyDescent="0.2">
      <c r="B1795" s="125" t="s">
        <v>3062</v>
      </c>
      <c r="C1795" s="118" t="s">
        <v>3063</v>
      </c>
      <c r="D1795" s="118">
        <v>0.26</v>
      </c>
    </row>
    <row r="1796" spans="2:4" x14ac:dyDescent="0.2">
      <c r="B1796" s="125" t="s">
        <v>4333</v>
      </c>
      <c r="C1796" s="118" t="s">
        <v>4334</v>
      </c>
      <c r="D1796" s="118">
        <v>0</v>
      </c>
    </row>
    <row r="1797" spans="2:4" x14ac:dyDescent="0.2">
      <c r="B1797" s="125" t="s">
        <v>3064</v>
      </c>
      <c r="C1797" s="118" t="s">
        <v>3065</v>
      </c>
      <c r="D1797" s="118">
        <v>3.92</v>
      </c>
    </row>
    <row r="1798" spans="2:4" x14ac:dyDescent="0.2">
      <c r="B1798" s="125" t="s">
        <v>3066</v>
      </c>
      <c r="C1798" s="118" t="s">
        <v>3067</v>
      </c>
      <c r="D1798" s="118">
        <v>0</v>
      </c>
    </row>
    <row r="1799" spans="2:4" x14ac:dyDescent="0.2">
      <c r="B1799" s="125" t="s">
        <v>3068</v>
      </c>
      <c r="C1799" s="118" t="s">
        <v>3069</v>
      </c>
      <c r="D1799" s="118">
        <v>0</v>
      </c>
    </row>
    <row r="1800" spans="2:4" x14ac:dyDescent="0.2">
      <c r="B1800" s="125" t="s">
        <v>3070</v>
      </c>
      <c r="C1800" s="118" t="s">
        <v>3071</v>
      </c>
      <c r="D1800" s="118">
        <v>0</v>
      </c>
    </row>
    <row r="1801" spans="2:4" x14ac:dyDescent="0.2">
      <c r="B1801" s="125" t="s">
        <v>3072</v>
      </c>
      <c r="C1801" s="118" t="s">
        <v>3073</v>
      </c>
      <c r="D1801" s="118">
        <v>0</v>
      </c>
    </row>
    <row r="1802" spans="2:4" x14ac:dyDescent="0.2">
      <c r="B1802" s="125" t="s">
        <v>3074</v>
      </c>
      <c r="C1802" s="118" t="s">
        <v>3075</v>
      </c>
      <c r="D1802" s="118">
        <v>0</v>
      </c>
    </row>
    <row r="1803" spans="2:4" x14ac:dyDescent="0.2">
      <c r="B1803" s="125" t="s">
        <v>3076</v>
      </c>
      <c r="C1803" s="118" t="s">
        <v>3077</v>
      </c>
      <c r="D1803" s="118">
        <v>0</v>
      </c>
    </row>
    <row r="1804" spans="2:4" x14ac:dyDescent="0.2">
      <c r="B1804" s="125" t="s">
        <v>3079</v>
      </c>
      <c r="C1804" s="118" t="s">
        <v>3080</v>
      </c>
      <c r="D1804" s="118">
        <v>0.64</v>
      </c>
    </row>
    <row r="1805" spans="2:4" x14ac:dyDescent="0.2">
      <c r="B1805" s="125" t="s">
        <v>3081</v>
      </c>
      <c r="C1805" s="118" t="s">
        <v>3082</v>
      </c>
      <c r="D1805" s="118">
        <v>0.87</v>
      </c>
    </row>
    <row r="1806" spans="2:4" x14ac:dyDescent="0.2">
      <c r="B1806" s="125" t="s">
        <v>3083</v>
      </c>
      <c r="C1806" s="118" t="s">
        <v>3084</v>
      </c>
      <c r="D1806" s="118">
        <v>4.6100000000000003</v>
      </c>
    </row>
    <row r="1807" spans="2:4" x14ac:dyDescent="0.2">
      <c r="B1807" s="125" t="s">
        <v>3085</v>
      </c>
      <c r="C1807" s="118" t="s">
        <v>3086</v>
      </c>
      <c r="D1807" s="118">
        <v>1.97</v>
      </c>
    </row>
    <row r="1808" spans="2:4" x14ac:dyDescent="0.2">
      <c r="B1808" s="125" t="s">
        <v>3087</v>
      </c>
      <c r="C1808" s="118" t="s">
        <v>3088</v>
      </c>
      <c r="D1808" s="118">
        <v>3.95</v>
      </c>
    </row>
    <row r="1809" spans="2:4" x14ac:dyDescent="0.2">
      <c r="B1809" s="125" t="s">
        <v>3089</v>
      </c>
      <c r="C1809" s="118" t="s">
        <v>3090</v>
      </c>
      <c r="D1809" s="118">
        <v>5.97</v>
      </c>
    </row>
    <row r="1810" spans="2:4" x14ac:dyDescent="0.2">
      <c r="B1810" s="125" t="s">
        <v>3091</v>
      </c>
      <c r="C1810" s="118" t="s">
        <v>3092</v>
      </c>
      <c r="D1810" s="118">
        <v>0.62</v>
      </c>
    </row>
    <row r="1811" spans="2:4" x14ac:dyDescent="0.2">
      <c r="B1811" s="125" t="s">
        <v>3093</v>
      </c>
      <c r="C1811" s="118" t="s">
        <v>3094</v>
      </c>
      <c r="D1811" s="118">
        <v>4.59</v>
      </c>
    </row>
    <row r="1812" spans="2:4" x14ac:dyDescent="0.2">
      <c r="B1812" s="125" t="s">
        <v>3095</v>
      </c>
      <c r="C1812" s="118" t="s">
        <v>3096</v>
      </c>
      <c r="D1812" s="118">
        <v>0</v>
      </c>
    </row>
    <row r="1813" spans="2:4" x14ac:dyDescent="0.2">
      <c r="B1813" s="125" t="s">
        <v>4335</v>
      </c>
      <c r="C1813" s="118" t="s">
        <v>4336</v>
      </c>
      <c r="D1813" s="118">
        <v>3.65</v>
      </c>
    </row>
    <row r="1814" spans="2:4" x14ac:dyDescent="0.2">
      <c r="B1814" s="125" t="s">
        <v>4337</v>
      </c>
      <c r="C1814" s="118" t="s">
        <v>4338</v>
      </c>
      <c r="D1814" s="118">
        <v>5.98</v>
      </c>
    </row>
    <row r="1815" spans="2:4" x14ac:dyDescent="0.2">
      <c r="B1815" s="125" t="s">
        <v>3097</v>
      </c>
      <c r="C1815" s="118" t="s">
        <v>3098</v>
      </c>
      <c r="D1815" s="118">
        <v>0.4</v>
      </c>
    </row>
    <row r="1816" spans="2:4" x14ac:dyDescent="0.2">
      <c r="B1816" s="125" t="s">
        <v>3099</v>
      </c>
      <c r="C1816" s="118" t="s">
        <v>3100</v>
      </c>
      <c r="D1816" s="118">
        <v>10.76</v>
      </c>
    </row>
    <row r="1817" spans="2:4" x14ac:dyDescent="0.2">
      <c r="B1817" s="125" t="s">
        <v>3101</v>
      </c>
      <c r="C1817" s="118" t="s">
        <v>3102</v>
      </c>
      <c r="D1817" s="118">
        <v>1.85</v>
      </c>
    </row>
    <row r="1818" spans="2:4" x14ac:dyDescent="0.2">
      <c r="B1818" s="125" t="s">
        <v>3103</v>
      </c>
      <c r="C1818" s="118" t="s">
        <v>3104</v>
      </c>
      <c r="D1818" s="118">
        <v>2.4700000000000002</v>
      </c>
    </row>
    <row r="1819" spans="2:4" x14ac:dyDescent="0.2">
      <c r="B1819" s="125" t="s">
        <v>3105</v>
      </c>
      <c r="C1819" s="118" t="s">
        <v>3106</v>
      </c>
      <c r="D1819" s="118">
        <v>1.82</v>
      </c>
    </row>
    <row r="1820" spans="2:4" x14ac:dyDescent="0.2">
      <c r="B1820" s="125" t="s">
        <v>4339</v>
      </c>
      <c r="C1820" s="118" t="s">
        <v>4340</v>
      </c>
      <c r="D1820" s="118">
        <v>1.27</v>
      </c>
    </row>
    <row r="1821" spans="2:4" x14ac:dyDescent="0.2">
      <c r="B1821" s="125" t="s">
        <v>3107</v>
      </c>
      <c r="C1821" s="118" t="s">
        <v>3108</v>
      </c>
      <c r="D1821" s="118">
        <v>0</v>
      </c>
    </row>
    <row r="1822" spans="2:4" x14ac:dyDescent="0.2">
      <c r="B1822" s="125" t="s">
        <v>3114</v>
      </c>
      <c r="C1822" s="118" t="s">
        <v>4341</v>
      </c>
      <c r="D1822" s="118">
        <v>4.1900000000000004</v>
      </c>
    </row>
    <row r="1823" spans="2:4" x14ac:dyDescent="0.2">
      <c r="B1823" s="125" t="s">
        <v>3109</v>
      </c>
      <c r="C1823" s="118" t="s">
        <v>3110</v>
      </c>
      <c r="D1823" s="118">
        <v>2.54</v>
      </c>
    </row>
    <row r="1824" spans="2:4" x14ac:dyDescent="0.2">
      <c r="B1824" s="125" t="s">
        <v>3112</v>
      </c>
      <c r="C1824" s="118" t="s">
        <v>3113</v>
      </c>
      <c r="D1824" s="118">
        <v>5.14</v>
      </c>
    </row>
    <row r="1825" spans="2:4" x14ac:dyDescent="0.2">
      <c r="B1825" s="125" t="s">
        <v>3114</v>
      </c>
      <c r="C1825" s="118" t="s">
        <v>3115</v>
      </c>
      <c r="D1825" s="118">
        <v>0</v>
      </c>
    </row>
    <row r="1826" spans="2:4" x14ac:dyDescent="0.2">
      <c r="B1826" s="125" t="s">
        <v>4342</v>
      </c>
      <c r="C1826" s="118" t="s">
        <v>4343</v>
      </c>
      <c r="D1826" s="118">
        <v>2.91</v>
      </c>
    </row>
    <row r="1827" spans="2:4" x14ac:dyDescent="0.2">
      <c r="B1827" s="125" t="s">
        <v>4344</v>
      </c>
      <c r="C1827" s="118" t="s">
        <v>4345</v>
      </c>
      <c r="D1827" s="118">
        <v>1.84</v>
      </c>
    </row>
    <row r="1828" spans="2:4" x14ac:dyDescent="0.2">
      <c r="B1828" s="125" t="s">
        <v>3116</v>
      </c>
      <c r="C1828" s="118" t="s">
        <v>3117</v>
      </c>
      <c r="D1828" s="118">
        <v>1.68</v>
      </c>
    </row>
    <row r="1829" spans="2:4" x14ac:dyDescent="0.2">
      <c r="B1829" s="125" t="s">
        <v>3118</v>
      </c>
      <c r="C1829" s="118" t="s">
        <v>3119</v>
      </c>
      <c r="D1829" s="118">
        <v>2.98</v>
      </c>
    </row>
    <row r="1830" spans="2:4" x14ac:dyDescent="0.2">
      <c r="B1830" s="125" t="s">
        <v>3120</v>
      </c>
      <c r="C1830" s="118" t="s">
        <v>3121</v>
      </c>
      <c r="D1830" s="118">
        <v>0.77</v>
      </c>
    </row>
    <row r="1831" spans="2:4" x14ac:dyDescent="0.2">
      <c r="B1831" s="125" t="s">
        <v>3122</v>
      </c>
      <c r="C1831" s="118" t="s">
        <v>3123</v>
      </c>
      <c r="D1831" s="118">
        <v>0.72</v>
      </c>
    </row>
    <row r="1832" spans="2:4" x14ac:dyDescent="0.2">
      <c r="B1832" s="125" t="s">
        <v>3124</v>
      </c>
      <c r="C1832" s="118" t="s">
        <v>3125</v>
      </c>
      <c r="D1832" s="118">
        <v>2.46</v>
      </c>
    </row>
    <row r="1833" spans="2:4" x14ac:dyDescent="0.2">
      <c r="B1833" s="125" t="s">
        <v>3126</v>
      </c>
      <c r="C1833" s="118" t="s">
        <v>3127</v>
      </c>
      <c r="D1833" s="118">
        <v>2.5299999999999998</v>
      </c>
    </row>
    <row r="1834" spans="2:4" x14ac:dyDescent="0.2">
      <c r="B1834" s="125" t="s">
        <v>4346</v>
      </c>
      <c r="C1834" s="118" t="s">
        <v>4347</v>
      </c>
      <c r="D1834" s="118">
        <v>2.1</v>
      </c>
    </row>
    <row r="1835" spans="2:4" x14ac:dyDescent="0.2">
      <c r="B1835" s="125" t="s">
        <v>3128</v>
      </c>
      <c r="C1835" s="118" t="s">
        <v>3129</v>
      </c>
      <c r="D1835" s="118">
        <v>3.98</v>
      </c>
    </row>
    <row r="1836" spans="2:4" x14ac:dyDescent="0.2">
      <c r="B1836" s="125" t="s">
        <v>3130</v>
      </c>
      <c r="C1836" s="118" t="s">
        <v>3131</v>
      </c>
      <c r="D1836" s="118">
        <v>4.08</v>
      </c>
    </row>
    <row r="1837" spans="2:4" x14ac:dyDescent="0.2">
      <c r="B1837" s="125" t="s">
        <v>4348</v>
      </c>
      <c r="C1837" s="118" t="s">
        <v>4349</v>
      </c>
      <c r="D1837" s="118">
        <v>2.2599999999999998</v>
      </c>
    </row>
    <row r="1838" spans="2:4" x14ac:dyDescent="0.2">
      <c r="B1838" s="125" t="s">
        <v>3132</v>
      </c>
      <c r="C1838" s="118" t="s">
        <v>3133</v>
      </c>
      <c r="D1838" s="118">
        <v>4.91</v>
      </c>
    </row>
    <row r="1839" spans="2:4" x14ac:dyDescent="0.2">
      <c r="B1839" s="125" t="s">
        <v>3134</v>
      </c>
      <c r="C1839" s="118" t="s">
        <v>3135</v>
      </c>
      <c r="D1839" s="118">
        <v>2.85</v>
      </c>
    </row>
    <row r="1840" spans="2:4" x14ac:dyDescent="0.2">
      <c r="B1840" s="125" t="s">
        <v>3136</v>
      </c>
      <c r="C1840" s="118" t="s">
        <v>3137</v>
      </c>
      <c r="D1840" s="118">
        <v>0</v>
      </c>
    </row>
    <row r="1841" spans="2:4" x14ac:dyDescent="0.2">
      <c r="B1841" s="125" t="s">
        <v>3138</v>
      </c>
      <c r="C1841" s="118" t="s">
        <v>3139</v>
      </c>
      <c r="D1841" s="118">
        <v>2.5299999999999998</v>
      </c>
    </row>
    <row r="1842" spans="2:4" x14ac:dyDescent="0.2">
      <c r="B1842" s="125" t="s">
        <v>4350</v>
      </c>
      <c r="C1842" s="118" t="s">
        <v>4351</v>
      </c>
      <c r="D1842" s="118">
        <v>0</v>
      </c>
    </row>
    <row r="1843" spans="2:4" x14ac:dyDescent="0.2">
      <c r="B1843" s="125" t="s">
        <v>3140</v>
      </c>
      <c r="C1843" s="118" t="s">
        <v>3141</v>
      </c>
      <c r="D1843" s="118">
        <v>0.26</v>
      </c>
    </row>
    <row r="1844" spans="2:4" x14ac:dyDescent="0.2">
      <c r="B1844" s="125" t="s">
        <v>3142</v>
      </c>
      <c r="C1844" s="118" t="s">
        <v>3143</v>
      </c>
      <c r="D1844" s="118">
        <v>0</v>
      </c>
    </row>
    <row r="1845" spans="2:4" x14ac:dyDescent="0.2">
      <c r="B1845" s="125" t="s">
        <v>4352</v>
      </c>
      <c r="C1845" s="118" t="s">
        <v>4353</v>
      </c>
      <c r="D1845" s="118">
        <v>3.05</v>
      </c>
    </row>
    <row r="1846" spans="2:4" x14ac:dyDescent="0.2">
      <c r="B1846" s="125" t="s">
        <v>3144</v>
      </c>
      <c r="C1846" s="118" t="s">
        <v>3145</v>
      </c>
      <c r="D1846" s="118">
        <v>0</v>
      </c>
    </row>
    <row r="1847" spans="2:4" x14ac:dyDescent="0.2">
      <c r="B1847" s="125" t="s">
        <v>3146</v>
      </c>
      <c r="C1847" s="118" t="s">
        <v>3147</v>
      </c>
      <c r="D1847" s="118">
        <v>0</v>
      </c>
    </row>
    <row r="1848" spans="2:4" x14ac:dyDescent="0.2">
      <c r="B1848" s="125" t="s">
        <v>3148</v>
      </c>
      <c r="C1848" s="118" t="s">
        <v>3149</v>
      </c>
      <c r="D1848" s="118">
        <v>2.57</v>
      </c>
    </row>
    <row r="1849" spans="2:4" x14ac:dyDescent="0.2">
      <c r="B1849" s="125" t="s">
        <v>3150</v>
      </c>
      <c r="C1849" s="118" t="s">
        <v>3151</v>
      </c>
      <c r="D1849" s="118">
        <v>1.1299999999999999</v>
      </c>
    </row>
    <row r="1850" spans="2:4" x14ac:dyDescent="0.2">
      <c r="B1850" s="125" t="s">
        <v>4354</v>
      </c>
      <c r="C1850" s="118" t="s">
        <v>4355</v>
      </c>
      <c r="D1850" s="118">
        <v>0.6</v>
      </c>
    </row>
    <row r="1851" spans="2:4" x14ac:dyDescent="0.2">
      <c r="B1851" s="125" t="s">
        <v>3152</v>
      </c>
      <c r="C1851" s="118" t="s">
        <v>3153</v>
      </c>
      <c r="D1851" s="118">
        <v>4.42</v>
      </c>
    </row>
    <row r="1852" spans="2:4" x14ac:dyDescent="0.2">
      <c r="B1852" s="125" t="s">
        <v>4356</v>
      </c>
      <c r="C1852" s="118" t="s">
        <v>4357</v>
      </c>
      <c r="D1852" s="118">
        <v>0.27</v>
      </c>
    </row>
    <row r="1853" spans="2:4" x14ac:dyDescent="0.2">
      <c r="B1853" s="125" t="s">
        <v>4358</v>
      </c>
      <c r="C1853" s="118" t="s">
        <v>4359</v>
      </c>
      <c r="D1853" s="118">
        <v>5.37</v>
      </c>
    </row>
    <row r="1854" spans="2:4" x14ac:dyDescent="0.2">
      <c r="B1854" s="125" t="s">
        <v>3154</v>
      </c>
      <c r="C1854" s="118" t="s">
        <v>3155</v>
      </c>
      <c r="D1854" s="118">
        <v>0</v>
      </c>
    </row>
    <row r="1855" spans="2:4" x14ac:dyDescent="0.2">
      <c r="B1855" s="125" t="s">
        <v>3156</v>
      </c>
      <c r="C1855" s="118" t="s">
        <v>3157</v>
      </c>
      <c r="D1855" s="118">
        <v>0</v>
      </c>
    </row>
    <row r="1856" spans="2:4" x14ac:dyDescent="0.2">
      <c r="B1856" s="125" t="s">
        <v>3158</v>
      </c>
      <c r="C1856" s="118" t="s">
        <v>3159</v>
      </c>
      <c r="D1856" s="118">
        <v>0</v>
      </c>
    </row>
    <row r="1857" spans="2:4" x14ac:dyDescent="0.2">
      <c r="B1857" s="125" t="s">
        <v>3160</v>
      </c>
      <c r="C1857" s="118" t="s">
        <v>3161</v>
      </c>
      <c r="D1857" s="118">
        <v>8.7799999999999994</v>
      </c>
    </row>
    <row r="1858" spans="2:4" x14ac:dyDescent="0.2">
      <c r="B1858" s="125" t="s">
        <v>3162</v>
      </c>
      <c r="C1858" s="118" t="s">
        <v>3163</v>
      </c>
      <c r="D1858" s="118">
        <v>2.16</v>
      </c>
    </row>
    <row r="1859" spans="2:4" x14ac:dyDescent="0.2">
      <c r="B1859" s="125" t="s">
        <v>3164</v>
      </c>
      <c r="C1859" s="118" t="s">
        <v>3165</v>
      </c>
      <c r="D1859" s="118">
        <v>0</v>
      </c>
    </row>
    <row r="1860" spans="2:4" x14ac:dyDescent="0.2">
      <c r="B1860" s="125" t="s">
        <v>3166</v>
      </c>
      <c r="C1860" s="118" t="s">
        <v>3167</v>
      </c>
      <c r="D1860" s="118">
        <v>0</v>
      </c>
    </row>
    <row r="1861" spans="2:4" x14ac:dyDescent="0.2">
      <c r="B1861" s="125" t="s">
        <v>3168</v>
      </c>
      <c r="C1861" s="118" t="s">
        <v>3169</v>
      </c>
      <c r="D1861" s="118">
        <v>1.87</v>
      </c>
    </row>
    <row r="1862" spans="2:4" x14ac:dyDescent="0.2">
      <c r="B1862" s="125" t="s">
        <v>3170</v>
      </c>
      <c r="C1862" s="118" t="s">
        <v>3171</v>
      </c>
      <c r="D1862" s="118">
        <v>2.66</v>
      </c>
    </row>
    <row r="1863" spans="2:4" x14ac:dyDescent="0.2">
      <c r="B1863" s="125" t="s">
        <v>3172</v>
      </c>
      <c r="C1863" s="118" t="s">
        <v>3173</v>
      </c>
      <c r="D1863" s="118">
        <v>3.09</v>
      </c>
    </row>
    <row r="1864" spans="2:4" x14ac:dyDescent="0.2">
      <c r="B1864" s="125" t="s">
        <v>3174</v>
      </c>
      <c r="C1864" s="118" t="s">
        <v>3175</v>
      </c>
      <c r="D1864" s="118">
        <v>0.37</v>
      </c>
    </row>
    <row r="1865" spans="2:4" x14ac:dyDescent="0.2">
      <c r="B1865" s="125" t="s">
        <v>4360</v>
      </c>
      <c r="C1865" s="118" t="s">
        <v>4361</v>
      </c>
      <c r="D1865" s="118">
        <v>1.1399999999999999</v>
      </c>
    </row>
    <row r="1866" spans="2:4" x14ac:dyDescent="0.2">
      <c r="B1866" s="125" t="s">
        <v>3176</v>
      </c>
      <c r="C1866" s="118" t="s">
        <v>3177</v>
      </c>
      <c r="D1866" s="118">
        <v>2.2400000000000002</v>
      </c>
    </row>
    <row r="1867" spans="2:4" x14ac:dyDescent="0.2">
      <c r="B1867" s="125" t="s">
        <v>3178</v>
      </c>
      <c r="C1867" s="118" t="s">
        <v>3179</v>
      </c>
      <c r="D1867" s="118">
        <v>1.35</v>
      </c>
    </row>
    <row r="1868" spans="2:4" x14ac:dyDescent="0.2">
      <c r="B1868" s="125" t="s">
        <v>3181</v>
      </c>
      <c r="C1868" s="118" t="s">
        <v>3182</v>
      </c>
      <c r="D1868" s="118">
        <v>5.16</v>
      </c>
    </row>
    <row r="1869" spans="2:4" x14ac:dyDescent="0.2">
      <c r="B1869" s="125" t="s">
        <v>3184</v>
      </c>
      <c r="C1869" s="118" t="s">
        <v>3185</v>
      </c>
      <c r="D1869" s="118">
        <v>3.49</v>
      </c>
    </row>
    <row r="1870" spans="2:4" x14ac:dyDescent="0.2">
      <c r="B1870" s="125" t="s">
        <v>3186</v>
      </c>
      <c r="C1870" s="118" t="s">
        <v>3187</v>
      </c>
      <c r="D1870" s="118">
        <v>1.55</v>
      </c>
    </row>
    <row r="1871" spans="2:4" x14ac:dyDescent="0.2">
      <c r="B1871" s="125" t="s">
        <v>3188</v>
      </c>
      <c r="C1871" s="118" t="s">
        <v>3189</v>
      </c>
      <c r="D1871" s="118">
        <v>0</v>
      </c>
    </row>
    <row r="1872" spans="2:4" x14ac:dyDescent="0.2">
      <c r="B1872" s="125" t="s">
        <v>4362</v>
      </c>
      <c r="C1872" s="118" t="s">
        <v>4363</v>
      </c>
      <c r="D1872" s="118">
        <v>0.94</v>
      </c>
    </row>
    <row r="1873" spans="2:4" x14ac:dyDescent="0.2">
      <c r="B1873" s="125" t="s">
        <v>3190</v>
      </c>
      <c r="C1873" s="118" t="s">
        <v>3191</v>
      </c>
      <c r="D1873" s="118">
        <v>0</v>
      </c>
    </row>
    <row r="1874" spans="2:4" x14ac:dyDescent="0.2">
      <c r="B1874" s="125" t="s">
        <v>3192</v>
      </c>
      <c r="C1874" s="118" t="s">
        <v>3193</v>
      </c>
      <c r="D1874" s="118">
        <v>2.2999999999999998</v>
      </c>
    </row>
    <row r="1875" spans="2:4" x14ac:dyDescent="0.2">
      <c r="B1875" s="125" t="s">
        <v>3195</v>
      </c>
      <c r="C1875" s="118" t="s">
        <v>3196</v>
      </c>
      <c r="D1875" s="118">
        <v>1.72</v>
      </c>
    </row>
    <row r="1876" spans="2:4" x14ac:dyDescent="0.2">
      <c r="B1876" s="125" t="s">
        <v>3197</v>
      </c>
      <c r="C1876" s="118" t="s">
        <v>3198</v>
      </c>
      <c r="D1876" s="118">
        <v>1.0900000000000001</v>
      </c>
    </row>
    <row r="1877" spans="2:4" x14ac:dyDescent="0.2">
      <c r="B1877" s="125" t="s">
        <v>4364</v>
      </c>
      <c r="C1877" s="118" t="s">
        <v>4365</v>
      </c>
      <c r="D1877" s="118">
        <v>1.57</v>
      </c>
    </row>
    <row r="1878" spans="2:4" x14ac:dyDescent="0.2">
      <c r="B1878" s="125" t="s">
        <v>3199</v>
      </c>
      <c r="C1878" s="118" t="s">
        <v>3200</v>
      </c>
      <c r="D1878" s="118">
        <v>1.25</v>
      </c>
    </row>
    <row r="1879" spans="2:4" x14ac:dyDescent="0.2">
      <c r="B1879" s="125" t="s">
        <v>3201</v>
      </c>
      <c r="C1879" s="118" t="s">
        <v>3202</v>
      </c>
      <c r="D1879" s="118">
        <v>0</v>
      </c>
    </row>
    <row r="1880" spans="2:4" x14ac:dyDescent="0.2">
      <c r="B1880" s="125" t="s">
        <v>3203</v>
      </c>
      <c r="C1880" s="118" t="s">
        <v>3204</v>
      </c>
      <c r="D1880" s="118">
        <v>1.35</v>
      </c>
    </row>
    <row r="1881" spans="2:4" x14ac:dyDescent="0.2">
      <c r="B1881" s="125" t="s">
        <v>3205</v>
      </c>
      <c r="C1881" s="118" t="s">
        <v>3206</v>
      </c>
      <c r="D1881" s="118">
        <v>0.71</v>
      </c>
    </row>
    <row r="1882" spans="2:4" x14ac:dyDescent="0.2">
      <c r="B1882" s="125" t="s">
        <v>3207</v>
      </c>
      <c r="C1882" s="118" t="s">
        <v>3208</v>
      </c>
      <c r="D1882" s="118">
        <v>0</v>
      </c>
    </row>
    <row r="1883" spans="2:4" x14ac:dyDescent="0.2">
      <c r="B1883" s="125" t="s">
        <v>4366</v>
      </c>
      <c r="C1883" s="118" t="s">
        <v>4367</v>
      </c>
      <c r="D1883" s="118">
        <v>1.56</v>
      </c>
    </row>
    <row r="1884" spans="2:4" x14ac:dyDescent="0.2">
      <c r="B1884" s="125" t="s">
        <v>3209</v>
      </c>
      <c r="C1884" s="118" t="s">
        <v>3210</v>
      </c>
      <c r="D1884" s="118">
        <v>0</v>
      </c>
    </row>
    <row r="1885" spans="2:4" x14ac:dyDescent="0.2">
      <c r="B1885" s="125" t="s">
        <v>3211</v>
      </c>
      <c r="C1885" s="118" t="s">
        <v>3212</v>
      </c>
      <c r="D1885" s="118">
        <v>4.57</v>
      </c>
    </row>
    <row r="1886" spans="2:4" x14ac:dyDescent="0.2">
      <c r="B1886" s="125" t="s">
        <v>4368</v>
      </c>
      <c r="C1886" s="118" t="s">
        <v>4369</v>
      </c>
      <c r="D1886" s="118">
        <v>5.08</v>
      </c>
    </row>
    <row r="1887" spans="2:4" x14ac:dyDescent="0.2">
      <c r="B1887" s="125" t="s">
        <v>3213</v>
      </c>
      <c r="C1887" s="118" t="s">
        <v>3214</v>
      </c>
      <c r="D1887" s="118">
        <v>0.75</v>
      </c>
    </row>
    <row r="1888" spans="2:4" x14ac:dyDescent="0.2">
      <c r="B1888" s="125" t="s">
        <v>3215</v>
      </c>
      <c r="C1888" s="118" t="s">
        <v>3216</v>
      </c>
      <c r="D1888" s="118">
        <v>0</v>
      </c>
    </row>
    <row r="1889" spans="2:4" x14ac:dyDescent="0.2">
      <c r="B1889" s="125" t="s">
        <v>4370</v>
      </c>
      <c r="C1889" s="118" t="s">
        <v>4371</v>
      </c>
      <c r="D1889" s="118">
        <v>0.8</v>
      </c>
    </row>
    <row r="1890" spans="2:4" x14ac:dyDescent="0.2">
      <c r="B1890" s="125" t="s">
        <v>3217</v>
      </c>
      <c r="C1890" s="118" t="s">
        <v>3218</v>
      </c>
      <c r="D1890" s="118">
        <v>0</v>
      </c>
    </row>
    <row r="1891" spans="2:4" x14ac:dyDescent="0.2">
      <c r="B1891" s="125" t="s">
        <v>3219</v>
      </c>
      <c r="C1891" s="118" t="s">
        <v>3220</v>
      </c>
      <c r="D1891" s="118">
        <v>11.91</v>
      </c>
    </row>
    <row r="1892" spans="2:4" x14ac:dyDescent="0.2">
      <c r="B1892" s="125" t="s">
        <v>4372</v>
      </c>
      <c r="C1892" s="118" t="s">
        <v>4373</v>
      </c>
      <c r="D1892" s="118">
        <v>4.37</v>
      </c>
    </row>
    <row r="1893" spans="2:4" x14ac:dyDescent="0.2">
      <c r="B1893" s="125" t="s">
        <v>3221</v>
      </c>
      <c r="C1893" s="118" t="s">
        <v>3222</v>
      </c>
      <c r="D1893" s="118">
        <v>0</v>
      </c>
    </row>
    <row r="1894" spans="2:4" x14ac:dyDescent="0.2">
      <c r="B1894" s="125" t="s">
        <v>3223</v>
      </c>
      <c r="C1894" s="118" t="s">
        <v>3224</v>
      </c>
      <c r="D1894" s="118">
        <v>6.26</v>
      </c>
    </row>
    <row r="1895" spans="2:4" x14ac:dyDescent="0.2">
      <c r="B1895" s="125" t="s">
        <v>3225</v>
      </c>
      <c r="C1895" s="118" t="s">
        <v>3226</v>
      </c>
      <c r="D1895" s="118">
        <v>2.4300000000000002</v>
      </c>
    </row>
    <row r="1896" spans="2:4" x14ac:dyDescent="0.2">
      <c r="B1896" s="125" t="s">
        <v>3227</v>
      </c>
      <c r="C1896" s="118" t="s">
        <v>3228</v>
      </c>
      <c r="D1896" s="118">
        <v>2.33</v>
      </c>
    </row>
    <row r="1897" spans="2:4" x14ac:dyDescent="0.2">
      <c r="B1897" s="125" t="s">
        <v>3229</v>
      </c>
      <c r="C1897" s="118" t="s">
        <v>3230</v>
      </c>
      <c r="D1897" s="118">
        <v>0.16</v>
      </c>
    </row>
    <row r="1898" spans="2:4" x14ac:dyDescent="0.2">
      <c r="B1898" s="125" t="s">
        <v>4374</v>
      </c>
      <c r="C1898" s="118" t="s">
        <v>4375</v>
      </c>
      <c r="D1898" s="118">
        <v>0</v>
      </c>
    </row>
    <row r="1899" spans="2:4" x14ac:dyDescent="0.2">
      <c r="B1899" s="125" t="s">
        <v>3231</v>
      </c>
      <c r="C1899" s="118" t="s">
        <v>3232</v>
      </c>
      <c r="D1899" s="118">
        <v>0</v>
      </c>
    </row>
    <row r="1900" spans="2:4" x14ac:dyDescent="0.2">
      <c r="B1900" s="125" t="s">
        <v>3233</v>
      </c>
      <c r="C1900" s="118" t="s">
        <v>4376</v>
      </c>
      <c r="D1900" s="118">
        <v>0</v>
      </c>
    </row>
    <row r="1901" spans="2:4" x14ac:dyDescent="0.2">
      <c r="B1901" s="125" t="s">
        <v>3233</v>
      </c>
      <c r="C1901" s="118" t="s">
        <v>3234</v>
      </c>
      <c r="D1901" s="118">
        <v>0</v>
      </c>
    </row>
    <row r="1902" spans="2:4" x14ac:dyDescent="0.2">
      <c r="B1902" s="125" t="s">
        <v>3235</v>
      </c>
      <c r="C1902" s="118" t="s">
        <v>3236</v>
      </c>
      <c r="D1902" s="118">
        <v>0</v>
      </c>
    </row>
    <row r="1903" spans="2:4" x14ac:dyDescent="0.2">
      <c r="B1903" s="125" t="s">
        <v>4377</v>
      </c>
      <c r="C1903" s="118" t="s">
        <v>4378</v>
      </c>
      <c r="D1903" s="118">
        <v>0</v>
      </c>
    </row>
    <row r="1904" spans="2:4" x14ac:dyDescent="0.2">
      <c r="B1904" s="125" t="s">
        <v>3237</v>
      </c>
      <c r="C1904" s="118" t="s">
        <v>3238</v>
      </c>
      <c r="D1904" s="118">
        <v>0</v>
      </c>
    </row>
    <row r="1905" spans="2:4" x14ac:dyDescent="0.2">
      <c r="B1905" s="125" t="s">
        <v>4379</v>
      </c>
      <c r="C1905" s="118" t="s">
        <v>4380</v>
      </c>
      <c r="D1905" s="118">
        <v>0</v>
      </c>
    </row>
    <row r="1906" spans="2:4" x14ac:dyDescent="0.2">
      <c r="B1906" s="125" t="s">
        <v>3239</v>
      </c>
      <c r="C1906" s="118" t="s">
        <v>3240</v>
      </c>
      <c r="D1906" s="118">
        <v>3.54</v>
      </c>
    </row>
    <row r="1907" spans="2:4" x14ac:dyDescent="0.2">
      <c r="B1907" s="125" t="s">
        <v>4381</v>
      </c>
      <c r="C1907" s="118" t="s">
        <v>4382</v>
      </c>
      <c r="D1907" s="118">
        <v>0</v>
      </c>
    </row>
    <row r="1908" spans="2:4" x14ac:dyDescent="0.2">
      <c r="B1908" s="125" t="s">
        <v>3241</v>
      </c>
      <c r="C1908" s="118" t="s">
        <v>3242</v>
      </c>
      <c r="D1908" s="118">
        <v>0</v>
      </c>
    </row>
    <row r="1909" spans="2:4" x14ac:dyDescent="0.2">
      <c r="B1909" s="125" t="s">
        <v>3243</v>
      </c>
      <c r="C1909" s="118" t="s">
        <v>3244</v>
      </c>
      <c r="D1909" s="118">
        <v>2.86</v>
      </c>
    </row>
    <row r="1910" spans="2:4" x14ac:dyDescent="0.2">
      <c r="B1910" s="125" t="s">
        <v>3245</v>
      </c>
      <c r="C1910" s="118" t="s">
        <v>3246</v>
      </c>
      <c r="D1910" s="118">
        <v>2.61</v>
      </c>
    </row>
    <row r="1911" spans="2:4" x14ac:dyDescent="0.2">
      <c r="B1911" s="125" t="s">
        <v>3247</v>
      </c>
      <c r="C1911" s="118" t="s">
        <v>3248</v>
      </c>
      <c r="D1911" s="118">
        <v>2.0299999999999998</v>
      </c>
    </row>
    <row r="1912" spans="2:4" x14ac:dyDescent="0.2">
      <c r="B1912" s="125" t="s">
        <v>3249</v>
      </c>
      <c r="C1912" s="118" t="s">
        <v>3250</v>
      </c>
      <c r="D1912" s="118">
        <v>0</v>
      </c>
    </row>
    <row r="1913" spans="2:4" x14ac:dyDescent="0.2">
      <c r="B1913" s="125" t="s">
        <v>3251</v>
      </c>
      <c r="C1913" s="118" t="s">
        <v>3252</v>
      </c>
      <c r="D1913" s="118">
        <v>0.53</v>
      </c>
    </row>
    <row r="1914" spans="2:4" x14ac:dyDescent="0.2">
      <c r="B1914" s="125" t="s">
        <v>3253</v>
      </c>
      <c r="C1914" s="118" t="s">
        <v>3254</v>
      </c>
      <c r="D1914" s="118">
        <v>1.01</v>
      </c>
    </row>
    <row r="1915" spans="2:4" x14ac:dyDescent="0.2">
      <c r="B1915" s="125" t="s">
        <v>3255</v>
      </c>
      <c r="C1915" s="118" t="s">
        <v>3256</v>
      </c>
      <c r="D1915" s="118">
        <v>3.02</v>
      </c>
    </row>
    <row r="1916" spans="2:4" x14ac:dyDescent="0.2">
      <c r="B1916" s="125" t="s">
        <v>3257</v>
      </c>
      <c r="C1916" s="118" t="s">
        <v>3258</v>
      </c>
      <c r="D1916" s="118">
        <v>0</v>
      </c>
    </row>
    <row r="1917" spans="2:4" x14ac:dyDescent="0.2">
      <c r="B1917" s="125" t="s">
        <v>3259</v>
      </c>
      <c r="C1917" s="118" t="s">
        <v>3260</v>
      </c>
      <c r="D1917" s="118">
        <v>1.83</v>
      </c>
    </row>
    <row r="1918" spans="2:4" x14ac:dyDescent="0.2">
      <c r="B1918" s="125" t="s">
        <v>4383</v>
      </c>
      <c r="C1918" s="118" t="s">
        <v>4384</v>
      </c>
      <c r="D1918" s="118">
        <v>3.08</v>
      </c>
    </row>
    <row r="1919" spans="2:4" x14ac:dyDescent="0.2">
      <c r="B1919" s="125" t="s">
        <v>3261</v>
      </c>
      <c r="C1919" s="118" t="s">
        <v>3262</v>
      </c>
      <c r="D1919" s="118">
        <v>4.99</v>
      </c>
    </row>
    <row r="1920" spans="2:4" x14ac:dyDescent="0.2">
      <c r="B1920" s="125" t="s">
        <v>3263</v>
      </c>
      <c r="C1920" s="118" t="s">
        <v>3264</v>
      </c>
      <c r="D1920" s="118">
        <v>2.63</v>
      </c>
    </row>
    <row r="1921" spans="2:4" x14ac:dyDescent="0.2">
      <c r="B1921" s="125" t="s">
        <v>3265</v>
      </c>
      <c r="C1921" s="118" t="s">
        <v>3266</v>
      </c>
      <c r="D1921" s="118">
        <v>0</v>
      </c>
    </row>
    <row r="1922" spans="2:4" x14ac:dyDescent="0.2">
      <c r="B1922" s="125" t="s">
        <v>3267</v>
      </c>
      <c r="C1922" s="118" t="s">
        <v>3268</v>
      </c>
      <c r="D1922" s="118">
        <v>0.23</v>
      </c>
    </row>
    <row r="1923" spans="2:4" x14ac:dyDescent="0.2">
      <c r="B1923" s="125" t="s">
        <v>3269</v>
      </c>
      <c r="C1923" s="118" t="s">
        <v>3270</v>
      </c>
      <c r="D1923" s="118">
        <v>1.85</v>
      </c>
    </row>
    <row r="1924" spans="2:4" x14ac:dyDescent="0.2">
      <c r="B1924" s="125" t="s">
        <v>4385</v>
      </c>
      <c r="C1924" s="118" t="s">
        <v>4386</v>
      </c>
      <c r="D1924" s="118">
        <v>0.62</v>
      </c>
    </row>
    <row r="1925" spans="2:4" x14ac:dyDescent="0.2">
      <c r="B1925" s="125" t="s">
        <v>3271</v>
      </c>
      <c r="C1925" s="118" t="s">
        <v>3272</v>
      </c>
      <c r="D1925" s="118">
        <v>3.87</v>
      </c>
    </row>
    <row r="1926" spans="2:4" x14ac:dyDescent="0.2">
      <c r="B1926" s="125" t="s">
        <v>3273</v>
      </c>
      <c r="C1926" s="118" t="s">
        <v>3274</v>
      </c>
      <c r="D1926" s="118">
        <v>2.33</v>
      </c>
    </row>
    <row r="1927" spans="2:4" x14ac:dyDescent="0.2">
      <c r="B1927" s="125" t="s">
        <v>3275</v>
      </c>
      <c r="C1927" s="118" t="s">
        <v>3276</v>
      </c>
      <c r="D1927" s="118">
        <v>0</v>
      </c>
    </row>
    <row r="1928" spans="2:4" x14ac:dyDescent="0.2">
      <c r="B1928" s="125" t="s">
        <v>3277</v>
      </c>
      <c r="C1928" s="118" t="s">
        <v>3278</v>
      </c>
      <c r="D1928" s="118">
        <v>4.26</v>
      </c>
    </row>
    <row r="1929" spans="2:4" x14ac:dyDescent="0.2">
      <c r="B1929" s="125" t="s">
        <v>3279</v>
      </c>
      <c r="C1929" s="118" t="s">
        <v>3280</v>
      </c>
      <c r="D1929" s="118">
        <v>3.18</v>
      </c>
    </row>
    <row r="1930" spans="2:4" x14ac:dyDescent="0.2">
      <c r="B1930" s="125" t="s">
        <v>3281</v>
      </c>
      <c r="C1930" s="118" t="s">
        <v>3282</v>
      </c>
      <c r="D1930" s="118">
        <v>0</v>
      </c>
    </row>
    <row r="1931" spans="2:4" x14ac:dyDescent="0.2">
      <c r="B1931" s="125" t="s">
        <v>3283</v>
      </c>
      <c r="C1931" s="118" t="s">
        <v>3284</v>
      </c>
      <c r="D1931" s="118">
        <v>2.67</v>
      </c>
    </row>
    <row r="1932" spans="2:4" x14ac:dyDescent="0.2">
      <c r="B1932" s="125" t="s">
        <v>3285</v>
      </c>
      <c r="C1932" s="118" t="s">
        <v>3286</v>
      </c>
      <c r="D1932" s="118">
        <v>0</v>
      </c>
    </row>
    <row r="1933" spans="2:4" x14ac:dyDescent="0.2">
      <c r="B1933" s="125" t="s">
        <v>3287</v>
      </c>
      <c r="C1933" s="118" t="s">
        <v>3288</v>
      </c>
      <c r="D1933" s="118">
        <v>0</v>
      </c>
    </row>
    <row r="1934" spans="2:4" x14ac:dyDescent="0.2">
      <c r="B1934" s="125" t="s">
        <v>3289</v>
      </c>
      <c r="C1934" s="118" t="s">
        <v>3290</v>
      </c>
      <c r="D1934" s="118">
        <v>0</v>
      </c>
    </row>
    <row r="1935" spans="2:4" x14ac:dyDescent="0.2">
      <c r="B1935" s="125" t="s">
        <v>3291</v>
      </c>
      <c r="C1935" s="118" t="s">
        <v>3292</v>
      </c>
      <c r="D1935" s="118">
        <v>0</v>
      </c>
    </row>
    <row r="1936" spans="2:4" x14ac:dyDescent="0.2">
      <c r="B1936" s="125" t="s">
        <v>3293</v>
      </c>
      <c r="C1936" s="118" t="s">
        <v>3294</v>
      </c>
      <c r="D1936" s="118">
        <v>2.17</v>
      </c>
    </row>
    <row r="1937" spans="2:4" x14ac:dyDescent="0.2">
      <c r="B1937" s="125" t="s">
        <v>4387</v>
      </c>
      <c r="C1937" s="118" t="s">
        <v>4388</v>
      </c>
      <c r="D1937" s="118">
        <v>6.3</v>
      </c>
    </row>
    <row r="1938" spans="2:4" x14ac:dyDescent="0.2">
      <c r="B1938" s="125" t="s">
        <v>3295</v>
      </c>
      <c r="C1938" s="118" t="s">
        <v>3296</v>
      </c>
      <c r="D1938" s="118">
        <v>0.56999999999999995</v>
      </c>
    </row>
    <row r="1939" spans="2:4" x14ac:dyDescent="0.2">
      <c r="B1939" s="125" t="s">
        <v>3297</v>
      </c>
      <c r="C1939" s="118" t="s">
        <v>3298</v>
      </c>
      <c r="D1939" s="118">
        <v>1.66</v>
      </c>
    </row>
    <row r="1940" spans="2:4" x14ac:dyDescent="0.2">
      <c r="B1940" s="125" t="s">
        <v>3299</v>
      </c>
      <c r="C1940" s="118" t="s">
        <v>3300</v>
      </c>
      <c r="D1940" s="118">
        <v>0</v>
      </c>
    </row>
    <row r="1941" spans="2:4" x14ac:dyDescent="0.2">
      <c r="B1941" s="125" t="s">
        <v>3301</v>
      </c>
      <c r="C1941" s="118" t="s">
        <v>3302</v>
      </c>
      <c r="D1941" s="118">
        <v>0</v>
      </c>
    </row>
    <row r="1942" spans="2:4" x14ac:dyDescent="0.2">
      <c r="B1942" s="125" t="s">
        <v>4389</v>
      </c>
      <c r="C1942" s="118" t="s">
        <v>4390</v>
      </c>
      <c r="D1942" s="118">
        <v>2.94</v>
      </c>
    </row>
    <row r="1943" spans="2:4" x14ac:dyDescent="0.2">
      <c r="B1943" s="125" t="s">
        <v>4391</v>
      </c>
      <c r="C1943" s="118" t="s">
        <v>4392</v>
      </c>
      <c r="D1943" s="118">
        <v>1.96</v>
      </c>
    </row>
    <row r="1944" spans="2:4" x14ac:dyDescent="0.2">
      <c r="B1944" s="125" t="s">
        <v>3303</v>
      </c>
      <c r="C1944" s="118" t="s">
        <v>3304</v>
      </c>
      <c r="D1944" s="118">
        <v>0</v>
      </c>
    </row>
    <row r="1945" spans="2:4" x14ac:dyDescent="0.2">
      <c r="B1945" s="125" t="s">
        <v>3305</v>
      </c>
      <c r="C1945" s="118" t="s">
        <v>3306</v>
      </c>
      <c r="D1945" s="118">
        <v>3.2</v>
      </c>
    </row>
    <row r="1946" spans="2:4" x14ac:dyDescent="0.2">
      <c r="B1946" s="125" t="s">
        <v>3307</v>
      </c>
      <c r="C1946" s="118" t="s">
        <v>3308</v>
      </c>
      <c r="D1946" s="118">
        <v>9.0399999999999991</v>
      </c>
    </row>
    <row r="1947" spans="2:4" x14ac:dyDescent="0.2">
      <c r="B1947" s="125" t="s">
        <v>3309</v>
      </c>
      <c r="C1947" s="118" t="s">
        <v>3310</v>
      </c>
      <c r="D1947" s="118">
        <v>5.61</v>
      </c>
    </row>
    <row r="1948" spans="2:4" x14ac:dyDescent="0.2">
      <c r="B1948" s="125" t="s">
        <v>3311</v>
      </c>
      <c r="C1948" s="118" t="s">
        <v>3312</v>
      </c>
      <c r="D1948" s="118">
        <v>2.0099999999999998</v>
      </c>
    </row>
    <row r="1949" spans="2:4" x14ac:dyDescent="0.2">
      <c r="B1949" s="125" t="s">
        <v>4393</v>
      </c>
      <c r="C1949" s="118" t="s">
        <v>4394</v>
      </c>
      <c r="D1949" s="118">
        <v>2.11</v>
      </c>
    </row>
    <row r="1950" spans="2:4" x14ac:dyDescent="0.2">
      <c r="B1950" s="125" t="s">
        <v>3315</v>
      </c>
      <c r="C1950" s="118" t="s">
        <v>4395</v>
      </c>
      <c r="D1950" s="118">
        <v>3.01</v>
      </c>
    </row>
    <row r="1951" spans="2:4" x14ac:dyDescent="0.2">
      <c r="B1951" s="125" t="s">
        <v>4396</v>
      </c>
      <c r="C1951" s="118" t="s">
        <v>4397</v>
      </c>
      <c r="D1951" s="118">
        <v>1.49</v>
      </c>
    </row>
    <row r="1952" spans="2:4" x14ac:dyDescent="0.2">
      <c r="B1952" s="125" t="s">
        <v>3315</v>
      </c>
      <c r="C1952" s="118" t="s">
        <v>3316</v>
      </c>
      <c r="D1952" s="118">
        <v>3.21</v>
      </c>
    </row>
    <row r="1953" spans="2:4" x14ac:dyDescent="0.2">
      <c r="B1953" s="125" t="s">
        <v>3317</v>
      </c>
      <c r="C1953" s="118" t="s">
        <v>3318</v>
      </c>
      <c r="D1953" s="118">
        <v>0</v>
      </c>
    </row>
    <row r="1954" spans="2:4" x14ac:dyDescent="0.2">
      <c r="B1954" s="125" t="s">
        <v>3319</v>
      </c>
      <c r="C1954" s="118" t="s">
        <v>3320</v>
      </c>
      <c r="D1954" s="118">
        <v>5.01</v>
      </c>
    </row>
    <row r="1955" spans="2:4" x14ac:dyDescent="0.2">
      <c r="B1955" s="125" t="s">
        <v>3321</v>
      </c>
      <c r="C1955" s="118" t="s">
        <v>3322</v>
      </c>
      <c r="D1955" s="118">
        <v>0</v>
      </c>
    </row>
    <row r="1956" spans="2:4" x14ac:dyDescent="0.2">
      <c r="B1956" s="125" t="s">
        <v>3323</v>
      </c>
      <c r="C1956" s="118" t="s">
        <v>3324</v>
      </c>
      <c r="D1956" s="118">
        <v>5</v>
      </c>
    </row>
    <row r="1957" spans="2:4" x14ac:dyDescent="0.2">
      <c r="B1957" s="125" t="s">
        <v>3325</v>
      </c>
      <c r="C1957" s="118" t="s">
        <v>3326</v>
      </c>
      <c r="D1957" s="118">
        <v>4</v>
      </c>
    </row>
    <row r="1958" spans="2:4" x14ac:dyDescent="0.2">
      <c r="B1958" s="125" t="s">
        <v>3327</v>
      </c>
      <c r="C1958" s="118" t="s">
        <v>3328</v>
      </c>
      <c r="D1958" s="118">
        <v>0</v>
      </c>
    </row>
    <row r="1959" spans="2:4" x14ac:dyDescent="0.2">
      <c r="B1959" s="125" t="s">
        <v>3329</v>
      </c>
      <c r="C1959" s="118" t="s">
        <v>3330</v>
      </c>
      <c r="D1959" s="118">
        <v>3.51</v>
      </c>
    </row>
    <row r="1960" spans="2:4" x14ac:dyDescent="0.2">
      <c r="B1960" s="125" t="s">
        <v>3331</v>
      </c>
      <c r="C1960" s="118" t="s">
        <v>3332</v>
      </c>
      <c r="D1960" s="118">
        <v>4.3499999999999996</v>
      </c>
    </row>
    <row r="1961" spans="2:4" x14ac:dyDescent="0.2">
      <c r="B1961" s="125" t="s">
        <v>3333</v>
      </c>
      <c r="C1961" s="118" t="s">
        <v>3334</v>
      </c>
      <c r="D1961" s="118">
        <v>3.14</v>
      </c>
    </row>
    <row r="1962" spans="2:4" x14ac:dyDescent="0.2">
      <c r="B1962" s="125" t="s">
        <v>3336</v>
      </c>
      <c r="C1962" s="118" t="s">
        <v>3337</v>
      </c>
      <c r="D1962" s="118">
        <v>5.88</v>
      </c>
    </row>
    <row r="1963" spans="2:4" x14ac:dyDescent="0.2">
      <c r="B1963" s="125" t="s">
        <v>3338</v>
      </c>
      <c r="C1963" s="118" t="s">
        <v>3339</v>
      </c>
      <c r="D1963" s="118">
        <v>4.01</v>
      </c>
    </row>
    <row r="1964" spans="2:4" x14ac:dyDescent="0.2">
      <c r="B1964" s="125" t="s">
        <v>3340</v>
      </c>
      <c r="C1964" s="118" t="s">
        <v>3341</v>
      </c>
      <c r="D1964" s="118">
        <v>0.83</v>
      </c>
    </row>
    <row r="1965" spans="2:4" x14ac:dyDescent="0.2">
      <c r="B1965" s="125" t="s">
        <v>3344</v>
      </c>
      <c r="C1965" s="118" t="s">
        <v>3345</v>
      </c>
      <c r="D1965" s="118">
        <v>0</v>
      </c>
    </row>
    <row r="1966" spans="2:4" x14ac:dyDescent="0.2">
      <c r="B1966" s="125" t="s">
        <v>3346</v>
      </c>
      <c r="C1966" s="118" t="s">
        <v>3347</v>
      </c>
      <c r="D1966" s="118">
        <v>4.22</v>
      </c>
    </row>
    <row r="1967" spans="2:4" x14ac:dyDescent="0.2">
      <c r="B1967" s="125" t="s">
        <v>3348</v>
      </c>
      <c r="C1967" s="118" t="s">
        <v>3349</v>
      </c>
      <c r="D1967" s="118">
        <v>6.29</v>
      </c>
    </row>
    <row r="1968" spans="2:4" x14ac:dyDescent="0.2">
      <c r="B1968" s="125" t="s">
        <v>4398</v>
      </c>
      <c r="C1968" s="118" t="s">
        <v>4399</v>
      </c>
      <c r="D1968" s="118">
        <v>3.78</v>
      </c>
    </row>
    <row r="1969" spans="2:4" x14ac:dyDescent="0.2">
      <c r="B1969" s="125" t="s">
        <v>3350</v>
      </c>
      <c r="C1969" s="118" t="s">
        <v>3351</v>
      </c>
      <c r="D1969" s="118">
        <v>4.58</v>
      </c>
    </row>
    <row r="1970" spans="2:4" x14ac:dyDescent="0.2">
      <c r="B1970" s="125" t="s">
        <v>4400</v>
      </c>
      <c r="C1970" s="118" t="s">
        <v>4401</v>
      </c>
      <c r="D1970" s="118">
        <v>3.17</v>
      </c>
    </row>
    <row r="1971" spans="2:4" x14ac:dyDescent="0.2">
      <c r="B1971" s="125" t="s">
        <v>3352</v>
      </c>
      <c r="C1971" s="118" t="s">
        <v>3353</v>
      </c>
      <c r="D1971" s="118">
        <v>1.95</v>
      </c>
    </row>
    <row r="1972" spans="2:4" x14ac:dyDescent="0.2">
      <c r="B1972" s="125" t="s">
        <v>3354</v>
      </c>
      <c r="C1972" s="118" t="s">
        <v>3355</v>
      </c>
      <c r="D1972" s="118">
        <v>1.0900000000000001</v>
      </c>
    </row>
    <row r="1973" spans="2:4" x14ac:dyDescent="0.2">
      <c r="B1973" s="125" t="s">
        <v>3356</v>
      </c>
      <c r="C1973" s="118" t="s">
        <v>3357</v>
      </c>
      <c r="D1973" s="118">
        <v>0</v>
      </c>
    </row>
    <row r="1974" spans="2:4" x14ac:dyDescent="0.2">
      <c r="B1974" s="125" t="s">
        <v>3358</v>
      </c>
      <c r="C1974" s="118" t="s">
        <v>3359</v>
      </c>
      <c r="D1974" s="118">
        <v>0.63</v>
      </c>
    </row>
    <row r="1975" spans="2:4" x14ac:dyDescent="0.2">
      <c r="B1975" s="125" t="s">
        <v>3360</v>
      </c>
      <c r="C1975" s="118" t="s">
        <v>3361</v>
      </c>
      <c r="D1975" s="118">
        <v>0</v>
      </c>
    </row>
    <row r="1976" spans="2:4" x14ac:dyDescent="0.2">
      <c r="B1976" s="125" t="s">
        <v>3362</v>
      </c>
      <c r="C1976" s="118" t="s">
        <v>3363</v>
      </c>
      <c r="D1976" s="118">
        <v>0</v>
      </c>
    </row>
    <row r="1977" spans="2:4" x14ac:dyDescent="0.2">
      <c r="B1977" s="125" t="s">
        <v>3364</v>
      </c>
      <c r="C1977" s="118" t="s">
        <v>3365</v>
      </c>
      <c r="D1977" s="118">
        <v>0</v>
      </c>
    </row>
    <row r="1978" spans="2:4" x14ac:dyDescent="0.2">
      <c r="B1978" s="125" t="s">
        <v>3366</v>
      </c>
      <c r="C1978" s="118" t="s">
        <v>3367</v>
      </c>
      <c r="D1978" s="118">
        <v>0.61</v>
      </c>
    </row>
    <row r="1979" spans="2:4" x14ac:dyDescent="0.2">
      <c r="B1979" s="125" t="s">
        <v>3368</v>
      </c>
      <c r="C1979" s="118" t="s">
        <v>3369</v>
      </c>
      <c r="D1979" s="118">
        <v>1.84</v>
      </c>
    </row>
    <row r="1980" spans="2:4" x14ac:dyDescent="0.2">
      <c r="B1980" s="125" t="s">
        <v>4402</v>
      </c>
      <c r="C1980" s="118" t="s">
        <v>4403</v>
      </c>
      <c r="D1980" s="118">
        <v>2.27</v>
      </c>
    </row>
    <row r="1981" spans="2:4" x14ac:dyDescent="0.2">
      <c r="B1981" s="125" t="s">
        <v>3370</v>
      </c>
      <c r="C1981" s="118" t="s">
        <v>3371</v>
      </c>
      <c r="D1981" s="118">
        <v>4.3899999999999997</v>
      </c>
    </row>
    <row r="1982" spans="2:4" x14ac:dyDescent="0.2">
      <c r="B1982" s="125" t="s">
        <v>3372</v>
      </c>
      <c r="C1982" s="118" t="s">
        <v>3373</v>
      </c>
      <c r="D1982" s="118">
        <v>1.92</v>
      </c>
    </row>
    <row r="1983" spans="2:4" x14ac:dyDescent="0.2">
      <c r="B1983" s="125" t="s">
        <v>3374</v>
      </c>
      <c r="C1983" s="118" t="s">
        <v>3375</v>
      </c>
      <c r="D1983" s="118">
        <v>1.94</v>
      </c>
    </row>
    <row r="1984" spans="2:4" x14ac:dyDescent="0.2">
      <c r="B1984" s="125" t="s">
        <v>4404</v>
      </c>
      <c r="C1984" s="118" t="s">
        <v>4405</v>
      </c>
      <c r="D1984" s="118">
        <v>0.86</v>
      </c>
    </row>
    <row r="1985" spans="2:4" x14ac:dyDescent="0.2">
      <c r="B1985" s="125" t="s">
        <v>4406</v>
      </c>
      <c r="C1985" s="118" t="s">
        <v>4407</v>
      </c>
      <c r="D1985" s="118">
        <v>2.64</v>
      </c>
    </row>
    <row r="1986" spans="2:4" x14ac:dyDescent="0.2">
      <c r="B1986" s="125" t="s">
        <v>3376</v>
      </c>
      <c r="C1986" s="118" t="s">
        <v>3377</v>
      </c>
      <c r="D1986" s="118">
        <v>4</v>
      </c>
    </row>
    <row r="1987" spans="2:4" x14ac:dyDescent="0.2">
      <c r="B1987" s="125" t="s">
        <v>3378</v>
      </c>
      <c r="C1987" s="118" t="s">
        <v>3379</v>
      </c>
      <c r="D1987" s="118">
        <v>0</v>
      </c>
    </row>
    <row r="1988" spans="2:4" x14ac:dyDescent="0.2">
      <c r="B1988" s="125" t="s">
        <v>3380</v>
      </c>
      <c r="C1988" s="118" t="s">
        <v>3381</v>
      </c>
      <c r="D1988" s="118">
        <v>0.65</v>
      </c>
    </row>
    <row r="1989" spans="2:4" x14ac:dyDescent="0.2">
      <c r="B1989" s="125" t="s">
        <v>3382</v>
      </c>
      <c r="C1989" s="118" t="s">
        <v>3383</v>
      </c>
      <c r="D1989" s="118">
        <v>2.17</v>
      </c>
    </row>
    <row r="1990" spans="2:4" x14ac:dyDescent="0.2">
      <c r="B1990" s="125" t="s">
        <v>3384</v>
      </c>
      <c r="C1990" s="118" t="s">
        <v>3385</v>
      </c>
      <c r="D1990" s="118">
        <v>0</v>
      </c>
    </row>
    <row r="1991" spans="2:4" x14ac:dyDescent="0.2">
      <c r="B1991" s="125" t="s">
        <v>3386</v>
      </c>
      <c r="C1991" s="118" t="s">
        <v>3387</v>
      </c>
      <c r="D1991" s="118">
        <v>0</v>
      </c>
    </row>
    <row r="1992" spans="2:4" x14ac:dyDescent="0.2">
      <c r="B1992" s="125" t="s">
        <v>4408</v>
      </c>
      <c r="C1992" s="118" t="s">
        <v>4409</v>
      </c>
      <c r="D1992" s="118">
        <v>3.33</v>
      </c>
    </row>
    <row r="1993" spans="2:4" x14ac:dyDescent="0.2">
      <c r="B1993" s="125" t="s">
        <v>3388</v>
      </c>
      <c r="C1993" s="118" t="s">
        <v>3389</v>
      </c>
      <c r="D1993" s="118">
        <v>0</v>
      </c>
    </row>
    <row r="1994" spans="2:4" x14ac:dyDescent="0.2">
      <c r="B1994" s="125" t="s">
        <v>3390</v>
      </c>
      <c r="C1994" s="118" t="s">
        <v>3391</v>
      </c>
      <c r="D1994" s="118">
        <v>6.43</v>
      </c>
    </row>
    <row r="1995" spans="2:4" x14ac:dyDescent="0.2">
      <c r="B1995" s="125" t="s">
        <v>3392</v>
      </c>
      <c r="C1995" s="118" t="s">
        <v>3393</v>
      </c>
      <c r="D1995" s="118">
        <v>3.31</v>
      </c>
    </row>
    <row r="1996" spans="2:4" x14ac:dyDescent="0.2">
      <c r="B1996" s="125" t="s">
        <v>4410</v>
      </c>
      <c r="C1996" s="118" t="s">
        <v>4411</v>
      </c>
      <c r="D1996" s="118">
        <v>0.08</v>
      </c>
    </row>
    <row r="1997" spans="2:4" x14ac:dyDescent="0.2">
      <c r="B1997" s="125" t="s">
        <v>3394</v>
      </c>
      <c r="C1997" s="118" t="s">
        <v>3395</v>
      </c>
      <c r="D1997" s="118">
        <v>0</v>
      </c>
    </row>
    <row r="1998" spans="2:4" x14ac:dyDescent="0.2">
      <c r="B1998" s="125" t="s">
        <v>3396</v>
      </c>
      <c r="C1998" s="118" t="s">
        <v>3397</v>
      </c>
      <c r="D1998" s="118">
        <v>0.71</v>
      </c>
    </row>
    <row r="1999" spans="2:4" x14ac:dyDescent="0.2">
      <c r="B1999" s="125" t="s">
        <v>3398</v>
      </c>
      <c r="C1999" s="118" t="s">
        <v>3399</v>
      </c>
      <c r="D1999" s="118">
        <v>0</v>
      </c>
    </row>
    <row r="2000" spans="2:4" x14ac:dyDescent="0.2">
      <c r="B2000" s="125" t="s">
        <v>3400</v>
      </c>
      <c r="C2000" s="118" t="s">
        <v>3401</v>
      </c>
      <c r="D2000" s="118">
        <v>3.3</v>
      </c>
    </row>
    <row r="2001" spans="2:4" x14ac:dyDescent="0.2">
      <c r="B2001" s="125" t="s">
        <v>3402</v>
      </c>
      <c r="C2001" s="118" t="s">
        <v>3403</v>
      </c>
      <c r="D2001" s="118">
        <v>2.52</v>
      </c>
    </row>
    <row r="2002" spans="2:4" x14ac:dyDescent="0.2">
      <c r="B2002" s="125" t="s">
        <v>3404</v>
      </c>
      <c r="C2002" s="118" t="s">
        <v>3405</v>
      </c>
      <c r="D2002" s="118">
        <v>3.76</v>
      </c>
    </row>
    <row r="2003" spans="2:4" x14ac:dyDescent="0.2">
      <c r="B2003" s="125" t="s">
        <v>4412</v>
      </c>
      <c r="C2003" s="118" t="s">
        <v>4413</v>
      </c>
      <c r="D2003" s="118">
        <v>4</v>
      </c>
    </row>
    <row r="2004" spans="2:4" x14ac:dyDescent="0.2">
      <c r="B2004" s="125" t="s">
        <v>3406</v>
      </c>
      <c r="C2004" s="118" t="s">
        <v>3407</v>
      </c>
      <c r="D2004" s="118">
        <v>3.92</v>
      </c>
    </row>
    <row r="2005" spans="2:4" x14ac:dyDescent="0.2">
      <c r="B2005" s="125" t="s">
        <v>3408</v>
      </c>
      <c r="C2005" s="118" t="s">
        <v>3409</v>
      </c>
      <c r="D2005" s="118">
        <v>1.93</v>
      </c>
    </row>
    <row r="2006" spans="2:4" x14ac:dyDescent="0.2">
      <c r="B2006" s="125" t="s">
        <v>3410</v>
      </c>
      <c r="C2006" s="118" t="s">
        <v>3411</v>
      </c>
      <c r="D2006" s="118">
        <v>9.36</v>
      </c>
    </row>
    <row r="2007" spans="2:4" x14ac:dyDescent="0.2">
      <c r="B2007" s="125" t="s">
        <v>3412</v>
      </c>
      <c r="C2007" s="118" t="s">
        <v>3413</v>
      </c>
      <c r="D2007" s="118">
        <v>0</v>
      </c>
    </row>
    <row r="2008" spans="2:4" x14ac:dyDescent="0.2">
      <c r="B2008" s="125" t="s">
        <v>3414</v>
      </c>
      <c r="C2008" s="118" t="s">
        <v>3415</v>
      </c>
      <c r="D2008" s="118">
        <v>4.58</v>
      </c>
    </row>
    <row r="2009" spans="2:4" x14ac:dyDescent="0.2">
      <c r="B2009" s="125" t="s">
        <v>3416</v>
      </c>
      <c r="C2009" s="118" t="s">
        <v>3417</v>
      </c>
      <c r="D2009" s="118">
        <v>4.1900000000000004</v>
      </c>
    </row>
    <row r="2010" spans="2:4" x14ac:dyDescent="0.2">
      <c r="B2010" s="125" t="s">
        <v>3418</v>
      </c>
      <c r="C2010" s="118" t="s">
        <v>3419</v>
      </c>
      <c r="D2010" s="118">
        <v>2.1800000000000002</v>
      </c>
    </row>
    <row r="2011" spans="2:4" x14ac:dyDescent="0.2">
      <c r="B2011" s="125" t="s">
        <v>3420</v>
      </c>
      <c r="C2011" s="118" t="s">
        <v>3421</v>
      </c>
      <c r="D2011" s="118">
        <v>3.23</v>
      </c>
    </row>
    <row r="2012" spans="2:4" x14ac:dyDescent="0.2">
      <c r="B2012" s="125" t="s">
        <v>3422</v>
      </c>
      <c r="C2012" s="118" t="s">
        <v>3423</v>
      </c>
      <c r="D2012" s="118">
        <v>0</v>
      </c>
    </row>
    <row r="2013" spans="2:4" x14ac:dyDescent="0.2">
      <c r="B2013" s="125" t="s">
        <v>3424</v>
      </c>
      <c r="C2013" s="118" t="s">
        <v>3425</v>
      </c>
      <c r="D2013" s="118">
        <v>0.28000000000000003</v>
      </c>
    </row>
    <row r="2014" spans="2:4" x14ac:dyDescent="0.2">
      <c r="B2014" s="125" t="s">
        <v>3426</v>
      </c>
      <c r="C2014" s="118" t="s">
        <v>3427</v>
      </c>
      <c r="D2014" s="118">
        <v>0</v>
      </c>
    </row>
    <row r="2015" spans="2:4" x14ac:dyDescent="0.2">
      <c r="B2015" s="125" t="s">
        <v>3428</v>
      </c>
      <c r="C2015" s="118" t="s">
        <v>3429</v>
      </c>
      <c r="D2015" s="118">
        <v>1.45</v>
      </c>
    </row>
    <row r="2016" spans="2:4" x14ac:dyDescent="0.2">
      <c r="B2016" s="125" t="s">
        <v>3430</v>
      </c>
      <c r="C2016" s="118" t="s">
        <v>3431</v>
      </c>
      <c r="D2016" s="118">
        <v>1.61</v>
      </c>
    </row>
    <row r="2017" spans="2:4" x14ac:dyDescent="0.2">
      <c r="B2017" s="125" t="s">
        <v>4414</v>
      </c>
      <c r="C2017" s="118" t="s">
        <v>4415</v>
      </c>
      <c r="D2017" s="118">
        <v>1.39</v>
      </c>
    </row>
    <row r="2018" spans="2:4" x14ac:dyDescent="0.2">
      <c r="B2018" s="125" t="s">
        <v>3432</v>
      </c>
      <c r="C2018" s="118" t="s">
        <v>3433</v>
      </c>
      <c r="D2018" s="118">
        <v>1.32</v>
      </c>
    </row>
    <row r="2019" spans="2:4" x14ac:dyDescent="0.2">
      <c r="B2019" s="125" t="s">
        <v>4416</v>
      </c>
      <c r="C2019" s="118" t="s">
        <v>4417</v>
      </c>
      <c r="D2019" s="118">
        <v>2.25</v>
      </c>
    </row>
    <row r="2020" spans="2:4" x14ac:dyDescent="0.2">
      <c r="B2020" s="125" t="s">
        <v>3434</v>
      </c>
      <c r="C2020" s="118" t="s">
        <v>3435</v>
      </c>
      <c r="D2020" s="118">
        <v>1.78</v>
      </c>
    </row>
    <row r="2021" spans="2:4" x14ac:dyDescent="0.2">
      <c r="B2021" s="125" t="s">
        <v>3436</v>
      </c>
      <c r="C2021" s="118" t="s">
        <v>3437</v>
      </c>
      <c r="D2021" s="118">
        <v>6.15</v>
      </c>
    </row>
    <row r="2022" spans="2:4" x14ac:dyDescent="0.2">
      <c r="B2022" s="125" t="s">
        <v>3438</v>
      </c>
      <c r="C2022" s="118" t="s">
        <v>3439</v>
      </c>
      <c r="D2022" s="118">
        <v>1.77</v>
      </c>
    </row>
    <row r="2023" spans="2:4" x14ac:dyDescent="0.2">
      <c r="B2023" s="125" t="s">
        <v>3440</v>
      </c>
      <c r="C2023" s="118" t="s">
        <v>3441</v>
      </c>
      <c r="D2023" s="118">
        <v>1.81</v>
      </c>
    </row>
    <row r="2024" spans="2:4" x14ac:dyDescent="0.2">
      <c r="B2024" s="125" t="s">
        <v>4418</v>
      </c>
      <c r="C2024" s="118" t="s">
        <v>4419</v>
      </c>
      <c r="D2024" s="118">
        <v>1.92</v>
      </c>
    </row>
    <row r="2025" spans="2:4" x14ac:dyDescent="0.2">
      <c r="B2025" s="125" t="s">
        <v>3442</v>
      </c>
      <c r="C2025" s="118" t="s">
        <v>3443</v>
      </c>
      <c r="D2025" s="118">
        <v>0</v>
      </c>
    </row>
    <row r="2026" spans="2:4" x14ac:dyDescent="0.2">
      <c r="B2026" s="125" t="s">
        <v>4420</v>
      </c>
      <c r="C2026" s="118" t="s">
        <v>4421</v>
      </c>
      <c r="D2026" s="118">
        <v>3.12</v>
      </c>
    </row>
    <row r="2027" spans="2:4" x14ac:dyDescent="0.2">
      <c r="B2027" s="125" t="s">
        <v>4422</v>
      </c>
      <c r="C2027" s="118" t="s">
        <v>4423</v>
      </c>
      <c r="D2027" s="118">
        <v>0</v>
      </c>
    </row>
    <row r="2028" spans="2:4" x14ac:dyDescent="0.2">
      <c r="B2028" s="125" t="s">
        <v>3444</v>
      </c>
      <c r="C2028" s="118" t="s">
        <v>3445</v>
      </c>
      <c r="D2028" s="118">
        <v>4.59</v>
      </c>
    </row>
    <row r="2029" spans="2:4" x14ac:dyDescent="0.2">
      <c r="B2029" s="125" t="s">
        <v>3446</v>
      </c>
      <c r="C2029" s="118" t="s">
        <v>3447</v>
      </c>
      <c r="D2029" s="118">
        <v>1.31</v>
      </c>
    </row>
    <row r="2030" spans="2:4" x14ac:dyDescent="0.2">
      <c r="B2030" s="125" t="s">
        <v>3448</v>
      </c>
      <c r="C2030" s="118" t="s">
        <v>3449</v>
      </c>
      <c r="D2030" s="118">
        <v>7.55</v>
      </c>
    </row>
    <row r="2031" spans="2:4" x14ac:dyDescent="0.2">
      <c r="B2031" s="125" t="s">
        <v>3450</v>
      </c>
      <c r="C2031" s="118" t="s">
        <v>3451</v>
      </c>
      <c r="D2031" s="118">
        <v>0</v>
      </c>
    </row>
    <row r="2032" spans="2:4" x14ac:dyDescent="0.2">
      <c r="B2032" s="125" t="s">
        <v>3452</v>
      </c>
      <c r="C2032" s="118" t="s">
        <v>3453</v>
      </c>
      <c r="D2032" s="118">
        <v>0.61</v>
      </c>
    </row>
    <row r="2033" spans="2:4" x14ac:dyDescent="0.2">
      <c r="B2033" s="125" t="s">
        <v>3454</v>
      </c>
      <c r="C2033" s="118" t="s">
        <v>3455</v>
      </c>
      <c r="D2033" s="118">
        <v>5.51</v>
      </c>
    </row>
    <row r="2034" spans="2:4" x14ac:dyDescent="0.2">
      <c r="B2034" s="125" t="s">
        <v>3456</v>
      </c>
      <c r="C2034" s="118" t="s">
        <v>3457</v>
      </c>
      <c r="D2034" s="118">
        <v>5.07</v>
      </c>
    </row>
    <row r="2035" spans="2:4" x14ac:dyDescent="0.2">
      <c r="B2035" s="125" t="s">
        <v>4424</v>
      </c>
      <c r="C2035" s="118" t="s">
        <v>4425</v>
      </c>
      <c r="D2035" s="118">
        <v>2.79</v>
      </c>
    </row>
    <row r="2036" spans="2:4" x14ac:dyDescent="0.2">
      <c r="B2036" s="125" t="s">
        <v>3458</v>
      </c>
      <c r="C2036" s="118" t="s">
        <v>3459</v>
      </c>
      <c r="D2036" s="118">
        <v>2.95</v>
      </c>
    </row>
    <row r="2037" spans="2:4" x14ac:dyDescent="0.2">
      <c r="B2037" s="125" t="s">
        <v>3460</v>
      </c>
      <c r="C2037" s="118" t="s">
        <v>3461</v>
      </c>
      <c r="D2037" s="118">
        <v>3.89</v>
      </c>
    </row>
    <row r="2038" spans="2:4" x14ac:dyDescent="0.2">
      <c r="B2038" s="125" t="s">
        <v>3460</v>
      </c>
      <c r="C2038" s="118" t="s">
        <v>4426</v>
      </c>
      <c r="D2038" s="118">
        <v>3.76</v>
      </c>
    </row>
    <row r="2039" spans="2:4" x14ac:dyDescent="0.2">
      <c r="B2039" s="125" t="s">
        <v>3462</v>
      </c>
      <c r="C2039" s="118" t="s">
        <v>3463</v>
      </c>
      <c r="D2039" s="118">
        <v>0.42</v>
      </c>
    </row>
    <row r="2040" spans="2:4" x14ac:dyDescent="0.2">
      <c r="B2040" s="125" t="s">
        <v>3464</v>
      </c>
      <c r="C2040" s="118" t="s">
        <v>3465</v>
      </c>
      <c r="D2040" s="118">
        <v>1.52</v>
      </c>
    </row>
    <row r="2041" spans="2:4" x14ac:dyDescent="0.2">
      <c r="B2041" s="125" t="s">
        <v>4427</v>
      </c>
      <c r="C2041" s="118" t="s">
        <v>4428</v>
      </c>
      <c r="D2041" s="118">
        <v>1.05</v>
      </c>
    </row>
    <row r="2042" spans="2:4" x14ac:dyDescent="0.2">
      <c r="B2042" s="125" t="s">
        <v>4429</v>
      </c>
      <c r="C2042" s="118" t="s">
        <v>4430</v>
      </c>
      <c r="D2042" s="118">
        <v>0.09</v>
      </c>
    </row>
    <row r="2043" spans="2:4" x14ac:dyDescent="0.2">
      <c r="B2043" s="125" t="s">
        <v>3466</v>
      </c>
      <c r="C2043" s="118" t="s">
        <v>3467</v>
      </c>
      <c r="D2043" s="118">
        <v>2.11</v>
      </c>
    </row>
    <row r="2044" spans="2:4" x14ac:dyDescent="0.2">
      <c r="B2044" s="125" t="s">
        <v>3468</v>
      </c>
      <c r="C2044" s="118" t="s">
        <v>3469</v>
      </c>
      <c r="D2044" s="118">
        <v>0.97</v>
      </c>
    </row>
    <row r="2045" spans="2:4" x14ac:dyDescent="0.2">
      <c r="B2045" s="125" t="s">
        <v>3470</v>
      </c>
      <c r="C2045" s="118" t="s">
        <v>3471</v>
      </c>
      <c r="D2045" s="118">
        <v>3.55</v>
      </c>
    </row>
    <row r="2046" spans="2:4" x14ac:dyDescent="0.2">
      <c r="B2046" s="125" t="s">
        <v>3472</v>
      </c>
      <c r="C2046" s="118" t="s">
        <v>3473</v>
      </c>
      <c r="D2046" s="118">
        <v>0</v>
      </c>
    </row>
    <row r="2047" spans="2:4" x14ac:dyDescent="0.2">
      <c r="B2047" s="125" t="s">
        <v>3474</v>
      </c>
      <c r="C2047" s="118" t="s">
        <v>3475</v>
      </c>
      <c r="D2047" s="118">
        <v>0.6</v>
      </c>
    </row>
    <row r="2048" spans="2:4" x14ac:dyDescent="0.2">
      <c r="B2048" s="125" t="s">
        <v>3476</v>
      </c>
      <c r="C2048" s="118" t="s">
        <v>3477</v>
      </c>
      <c r="D2048" s="118">
        <v>0.65</v>
      </c>
    </row>
    <row r="2049" spans="2:4" x14ac:dyDescent="0.2">
      <c r="B2049" s="125" t="s">
        <v>4431</v>
      </c>
      <c r="C2049" s="118" t="s">
        <v>4432</v>
      </c>
      <c r="D2049" s="118">
        <v>0</v>
      </c>
    </row>
    <row r="2050" spans="2:4" x14ac:dyDescent="0.2">
      <c r="B2050" s="125" t="s">
        <v>4433</v>
      </c>
      <c r="C2050" s="118" t="s">
        <v>4434</v>
      </c>
      <c r="D2050" s="118">
        <v>5.88</v>
      </c>
    </row>
    <row r="2051" spans="2:4" x14ac:dyDescent="0.2">
      <c r="B2051" s="125" t="s">
        <v>3478</v>
      </c>
      <c r="C2051" s="118" t="s">
        <v>3479</v>
      </c>
      <c r="D2051" s="118">
        <v>4.92</v>
      </c>
    </row>
    <row r="2052" spans="2:4" x14ac:dyDescent="0.2">
      <c r="B2052" s="125" t="s">
        <v>3480</v>
      </c>
      <c r="C2052" s="118" t="s">
        <v>3481</v>
      </c>
      <c r="D2052" s="118">
        <v>3.87</v>
      </c>
    </row>
    <row r="2053" spans="2:4" x14ac:dyDescent="0.2">
      <c r="B2053" s="125" t="s">
        <v>4435</v>
      </c>
      <c r="C2053" s="118" t="s">
        <v>4436</v>
      </c>
      <c r="D2053" s="118">
        <v>0</v>
      </c>
    </row>
    <row r="2054" spans="2:4" x14ac:dyDescent="0.2">
      <c r="B2054" s="125" t="s">
        <v>3482</v>
      </c>
      <c r="C2054" s="118" t="s">
        <v>3483</v>
      </c>
      <c r="D2054" s="118">
        <v>3.68</v>
      </c>
    </row>
    <row r="2055" spans="2:4" x14ac:dyDescent="0.2">
      <c r="B2055" s="125" t="s">
        <v>4437</v>
      </c>
      <c r="C2055" s="118" t="s">
        <v>4438</v>
      </c>
      <c r="D2055" s="118">
        <v>0.1</v>
      </c>
    </row>
    <row r="2056" spans="2:4" x14ac:dyDescent="0.2">
      <c r="B2056" s="125" t="s">
        <v>3484</v>
      </c>
      <c r="C2056" s="118" t="s">
        <v>3485</v>
      </c>
      <c r="D2056" s="118">
        <v>1.58</v>
      </c>
    </row>
    <row r="2057" spans="2:4" x14ac:dyDescent="0.2">
      <c r="B2057" s="125" t="s">
        <v>3486</v>
      </c>
      <c r="C2057" s="118" t="s">
        <v>3487</v>
      </c>
      <c r="D2057" s="118">
        <v>2.5099999999999998</v>
      </c>
    </row>
    <row r="2058" spans="2:4" x14ac:dyDescent="0.2">
      <c r="B2058" s="125" t="s">
        <v>4439</v>
      </c>
      <c r="C2058" s="118" t="s">
        <v>4440</v>
      </c>
      <c r="D2058" s="118">
        <v>2.04</v>
      </c>
    </row>
    <row r="2059" spans="2:4" x14ac:dyDescent="0.2">
      <c r="B2059" s="125" t="s">
        <v>4441</v>
      </c>
      <c r="C2059" s="118" t="s">
        <v>4442</v>
      </c>
      <c r="D2059" s="118">
        <v>1.95</v>
      </c>
    </row>
    <row r="2060" spans="2:4" x14ac:dyDescent="0.2">
      <c r="B2060" s="125" t="s">
        <v>3488</v>
      </c>
      <c r="C2060" s="118" t="s">
        <v>3489</v>
      </c>
      <c r="D2060" s="118">
        <v>1.53</v>
      </c>
    </row>
    <row r="2061" spans="2:4" x14ac:dyDescent="0.2">
      <c r="B2061" s="125" t="s">
        <v>4443</v>
      </c>
      <c r="C2061" s="118" t="s">
        <v>4444</v>
      </c>
      <c r="D2061" s="118">
        <v>2.9</v>
      </c>
    </row>
    <row r="2062" spans="2:4" x14ac:dyDescent="0.2">
      <c r="B2062" s="125" t="s">
        <v>4445</v>
      </c>
      <c r="C2062" s="118" t="s">
        <v>4446</v>
      </c>
      <c r="D2062" s="118">
        <v>1.26</v>
      </c>
    </row>
    <row r="2063" spans="2:4" x14ac:dyDescent="0.2">
      <c r="B2063" s="125" t="s">
        <v>3491</v>
      </c>
      <c r="C2063" s="118" t="s">
        <v>3492</v>
      </c>
      <c r="D2063" s="118">
        <v>1.34</v>
      </c>
    </row>
    <row r="2064" spans="2:4" x14ac:dyDescent="0.2">
      <c r="B2064" s="125" t="s">
        <v>3493</v>
      </c>
      <c r="C2064" s="118" t="s">
        <v>3494</v>
      </c>
      <c r="D2064" s="118">
        <v>4.83</v>
      </c>
    </row>
    <row r="2065" spans="2:4" x14ac:dyDescent="0.2">
      <c r="B2065" s="125" t="s">
        <v>3495</v>
      </c>
      <c r="C2065" s="118" t="s">
        <v>3496</v>
      </c>
      <c r="D2065" s="118">
        <v>0</v>
      </c>
    </row>
    <row r="2066" spans="2:4" x14ac:dyDescent="0.2">
      <c r="B2066" s="125" t="s">
        <v>3497</v>
      </c>
      <c r="C2066" s="118" t="s">
        <v>3498</v>
      </c>
      <c r="D2066" s="118">
        <v>0.68</v>
      </c>
    </row>
    <row r="2067" spans="2:4" x14ac:dyDescent="0.2">
      <c r="B2067" s="125" t="s">
        <v>3499</v>
      </c>
      <c r="C2067" s="118" t="s">
        <v>3500</v>
      </c>
      <c r="D2067" s="118">
        <v>3.37</v>
      </c>
    </row>
    <row r="2068" spans="2:4" x14ac:dyDescent="0.2">
      <c r="B2068" s="125" t="s">
        <v>4447</v>
      </c>
      <c r="C2068" s="118" t="s">
        <v>4448</v>
      </c>
      <c r="D2068" s="118">
        <v>0</v>
      </c>
    </row>
    <row r="2069" spans="2:4" x14ac:dyDescent="0.2">
      <c r="B2069" s="125" t="s">
        <v>3501</v>
      </c>
      <c r="C2069" s="118" t="s">
        <v>3502</v>
      </c>
      <c r="D2069" s="118">
        <v>1.24</v>
      </c>
    </row>
    <row r="2070" spans="2:4" x14ac:dyDescent="0.2">
      <c r="B2070" s="125" t="s">
        <v>3503</v>
      </c>
      <c r="C2070" s="118" t="s">
        <v>3504</v>
      </c>
      <c r="D2070" s="118">
        <v>0</v>
      </c>
    </row>
    <row r="2071" spans="2:4" x14ac:dyDescent="0.2">
      <c r="B2071" s="125" t="s">
        <v>3505</v>
      </c>
      <c r="C2071" s="118" t="s">
        <v>3506</v>
      </c>
      <c r="D2071" s="118">
        <v>4.05</v>
      </c>
    </row>
    <row r="2072" spans="2:4" x14ac:dyDescent="0.2">
      <c r="B2072" s="125" t="s">
        <v>3507</v>
      </c>
      <c r="C2072" s="118" t="s">
        <v>3508</v>
      </c>
      <c r="D2072" s="118">
        <v>0</v>
      </c>
    </row>
    <row r="2073" spans="2:4" x14ac:dyDescent="0.2">
      <c r="B2073" s="125" t="s">
        <v>4449</v>
      </c>
      <c r="C2073" s="118" t="s">
        <v>4450</v>
      </c>
      <c r="D2073" s="118">
        <v>1.31</v>
      </c>
    </row>
    <row r="2074" spans="2:4" x14ac:dyDescent="0.2">
      <c r="B2074" s="125" t="s">
        <v>4451</v>
      </c>
      <c r="C2074" s="118" t="s">
        <v>4452</v>
      </c>
      <c r="D2074" s="118">
        <v>0.98</v>
      </c>
    </row>
    <row r="2075" spans="2:4" x14ac:dyDescent="0.2">
      <c r="B2075" s="125" t="s">
        <v>3509</v>
      </c>
      <c r="C2075" s="118" t="s">
        <v>3510</v>
      </c>
      <c r="D2075" s="118">
        <v>0</v>
      </c>
    </row>
    <row r="2076" spans="2:4" x14ac:dyDescent="0.2">
      <c r="B2076" s="125" t="s">
        <v>3511</v>
      </c>
      <c r="C2076" s="118" t="s">
        <v>3512</v>
      </c>
      <c r="D2076" s="118">
        <v>1.52</v>
      </c>
    </row>
    <row r="2077" spans="2:4" x14ac:dyDescent="0.2">
      <c r="B2077" s="125" t="s">
        <v>4453</v>
      </c>
      <c r="C2077" s="118" t="s">
        <v>4454</v>
      </c>
      <c r="D2077" s="118">
        <v>3.36</v>
      </c>
    </row>
    <row r="2078" spans="2:4" x14ac:dyDescent="0.2">
      <c r="B2078" s="125" t="s">
        <v>3513</v>
      </c>
      <c r="C2078" s="118" t="s">
        <v>3514</v>
      </c>
      <c r="D2078" s="118">
        <v>1.5</v>
      </c>
    </row>
    <row r="2079" spans="2:4" x14ac:dyDescent="0.2">
      <c r="B2079" s="125" t="s">
        <v>3515</v>
      </c>
      <c r="C2079" s="118" t="s">
        <v>3516</v>
      </c>
      <c r="D2079" s="118">
        <v>1.07</v>
      </c>
    </row>
    <row r="2080" spans="2:4" x14ac:dyDescent="0.2">
      <c r="B2080" s="125" t="s">
        <v>3517</v>
      </c>
      <c r="C2080" s="118" t="s">
        <v>3518</v>
      </c>
      <c r="D2080" s="118">
        <v>0</v>
      </c>
    </row>
    <row r="2081" spans="2:4" x14ac:dyDescent="0.2">
      <c r="B2081" s="125" t="s">
        <v>4455</v>
      </c>
      <c r="C2081" s="118" t="s">
        <v>4456</v>
      </c>
      <c r="D2081" s="118">
        <v>6.45</v>
      </c>
    </row>
    <row r="2082" spans="2:4" x14ac:dyDescent="0.2">
      <c r="B2082" s="125" t="s">
        <v>4457</v>
      </c>
      <c r="C2082" s="118" t="s">
        <v>4458</v>
      </c>
      <c r="D2082" s="118">
        <v>0</v>
      </c>
    </row>
    <row r="2083" spans="2:4" x14ac:dyDescent="0.2">
      <c r="B2083" s="125" t="s">
        <v>3519</v>
      </c>
      <c r="C2083" s="118" t="s">
        <v>3520</v>
      </c>
      <c r="D2083" s="118">
        <v>0</v>
      </c>
    </row>
    <row r="2084" spans="2:4" x14ac:dyDescent="0.2">
      <c r="B2084" s="125" t="s">
        <v>3522</v>
      </c>
      <c r="C2084" s="118" t="s">
        <v>3523</v>
      </c>
      <c r="D2084" s="118">
        <v>0.68</v>
      </c>
    </row>
    <row r="2085" spans="2:4" x14ac:dyDescent="0.2">
      <c r="B2085" s="125" t="s">
        <v>3524</v>
      </c>
      <c r="C2085" s="118" t="s">
        <v>3525</v>
      </c>
      <c r="D2085" s="118">
        <v>0</v>
      </c>
    </row>
    <row r="2086" spans="2:4" x14ac:dyDescent="0.2">
      <c r="B2086" s="125" t="s">
        <v>3526</v>
      </c>
      <c r="C2086" s="118" t="s">
        <v>3527</v>
      </c>
      <c r="D2086" s="118">
        <v>0</v>
      </c>
    </row>
    <row r="2087" spans="2:4" x14ac:dyDescent="0.2">
      <c r="B2087" s="125" t="s">
        <v>4457</v>
      </c>
      <c r="C2087" s="118" t="s">
        <v>4459</v>
      </c>
      <c r="D2087" s="118">
        <v>0</v>
      </c>
    </row>
    <row r="2088" spans="2:4" x14ac:dyDescent="0.2">
      <c r="B2088" s="125" t="s">
        <v>3528</v>
      </c>
      <c r="C2088" s="118" t="s">
        <v>3529</v>
      </c>
      <c r="D2088" s="118">
        <v>3.06</v>
      </c>
    </row>
    <row r="2089" spans="2:4" x14ac:dyDescent="0.2">
      <c r="B2089" s="125" t="s">
        <v>4460</v>
      </c>
      <c r="C2089" s="118" t="s">
        <v>4461</v>
      </c>
      <c r="D2089" s="118">
        <v>0</v>
      </c>
    </row>
    <row r="2090" spans="2:4" x14ac:dyDescent="0.2">
      <c r="B2090" s="125" t="s">
        <v>4462</v>
      </c>
      <c r="C2090" s="118" t="s">
        <v>4463</v>
      </c>
      <c r="D2090" s="118">
        <v>0</v>
      </c>
    </row>
    <row r="2091" spans="2:4" x14ac:dyDescent="0.2">
      <c r="B2091" s="125" t="s">
        <v>3530</v>
      </c>
      <c r="C2091" s="118" t="s">
        <v>3531</v>
      </c>
      <c r="D2091" s="118">
        <v>0</v>
      </c>
    </row>
    <row r="2092" spans="2:4" x14ac:dyDescent="0.2">
      <c r="B2092" s="125" t="s">
        <v>3532</v>
      </c>
      <c r="C2092" s="118" t="s">
        <v>3533</v>
      </c>
      <c r="D2092" s="118">
        <v>1</v>
      </c>
    </row>
    <row r="2093" spans="2:4" x14ac:dyDescent="0.2">
      <c r="B2093" s="125" t="s">
        <v>3534</v>
      </c>
      <c r="C2093" s="118" t="s">
        <v>3535</v>
      </c>
      <c r="D2093" s="118">
        <v>0</v>
      </c>
    </row>
    <row r="2094" spans="2:4" x14ac:dyDescent="0.2">
      <c r="B2094" s="125" t="s">
        <v>3536</v>
      </c>
      <c r="C2094" s="118" t="s">
        <v>3537</v>
      </c>
      <c r="D2094" s="118">
        <v>0</v>
      </c>
    </row>
    <row r="2095" spans="2:4" x14ac:dyDescent="0.2">
      <c r="B2095" s="125" t="s">
        <v>3538</v>
      </c>
      <c r="C2095" s="118" t="s">
        <v>3539</v>
      </c>
      <c r="D2095" s="118">
        <v>0</v>
      </c>
    </row>
    <row r="2096" spans="2:4" x14ac:dyDescent="0.2">
      <c r="B2096" s="125" t="s">
        <v>3540</v>
      </c>
      <c r="C2096" s="118" t="s">
        <v>3541</v>
      </c>
      <c r="D2096" s="118">
        <v>0.52</v>
      </c>
    </row>
    <row r="2097" spans="2:4" x14ac:dyDescent="0.2">
      <c r="B2097" s="125" t="s">
        <v>3542</v>
      </c>
      <c r="C2097" s="118" t="s">
        <v>3543</v>
      </c>
      <c r="D2097" s="118">
        <v>4.17</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B2:G2097"/>
  <sheetViews>
    <sheetView zoomScale="160" zoomScaleNormal="160" workbookViewId="0">
      <selection activeCell="J31" sqref="J31"/>
    </sheetView>
  </sheetViews>
  <sheetFormatPr baseColWidth="10" defaultColWidth="9.1640625" defaultRowHeight="15" x14ac:dyDescent="0.2"/>
  <cols>
    <col min="1" max="1" width="9.1640625" style="2" customWidth="1"/>
    <col min="2" max="2" width="29" style="2" customWidth="1"/>
    <col min="3" max="3" width="29" style="3" customWidth="1"/>
    <col min="4" max="5" width="33" style="3" customWidth="1"/>
    <col min="6" max="6" width="9.1640625" style="2" customWidth="1"/>
    <col min="7" max="16384" width="9.1640625" style="2"/>
  </cols>
  <sheetData>
    <row r="2" spans="2:7" ht="16" customHeight="1" thickBot="1" x14ac:dyDescent="0.25"/>
    <row r="3" spans="2:7" x14ac:dyDescent="0.2">
      <c r="B3" s="112" t="s">
        <v>25</v>
      </c>
      <c r="C3" s="113" t="s">
        <v>26</v>
      </c>
      <c r="D3" s="113" t="s">
        <v>4464</v>
      </c>
      <c r="E3" s="113" t="s">
        <v>4465</v>
      </c>
      <c r="G3" s="2" t="s">
        <v>4466</v>
      </c>
    </row>
    <row r="4" spans="2:7" x14ac:dyDescent="0.2">
      <c r="B4" s="116" t="s">
        <v>32</v>
      </c>
      <c r="C4" s="117" t="s">
        <v>33</v>
      </c>
      <c r="D4" s="118">
        <v>19.14</v>
      </c>
      <c r="E4" s="118">
        <v>0.06</v>
      </c>
      <c r="G4" s="2" t="s">
        <v>4467</v>
      </c>
    </row>
    <row r="5" spans="2:7" x14ac:dyDescent="0.2">
      <c r="B5" s="116" t="s">
        <v>37</v>
      </c>
      <c r="C5" s="117" t="s">
        <v>38</v>
      </c>
      <c r="D5" s="118">
        <v>1.64</v>
      </c>
      <c r="E5" s="118">
        <v>0.02</v>
      </c>
      <c r="G5" s="2" t="s">
        <v>4468</v>
      </c>
    </row>
    <row r="6" spans="2:7" x14ac:dyDescent="0.2">
      <c r="B6" s="116" t="s">
        <v>3550</v>
      </c>
      <c r="C6" s="117" t="s">
        <v>3551</v>
      </c>
      <c r="D6" s="118"/>
      <c r="E6" s="118"/>
    </row>
    <row r="7" spans="2:7" x14ac:dyDescent="0.2">
      <c r="B7" s="116" t="s">
        <v>42</v>
      </c>
      <c r="C7" s="117" t="s">
        <v>43</v>
      </c>
      <c r="D7" s="118">
        <v>16.100000000000001</v>
      </c>
      <c r="E7" s="118">
        <v>0.22</v>
      </c>
      <c r="G7" s="2" t="s">
        <v>4469</v>
      </c>
    </row>
    <row r="8" spans="2:7" x14ac:dyDescent="0.2">
      <c r="B8" s="116" t="s">
        <v>3552</v>
      </c>
      <c r="C8" s="117" t="s">
        <v>3553</v>
      </c>
      <c r="D8" s="118"/>
      <c r="E8" s="118">
        <v>0.09</v>
      </c>
      <c r="G8" s="2" t="s">
        <v>4470</v>
      </c>
    </row>
    <row r="9" spans="2:7" x14ac:dyDescent="0.2">
      <c r="B9" s="116" t="s">
        <v>46</v>
      </c>
      <c r="C9" s="117" t="s">
        <v>47</v>
      </c>
      <c r="D9" s="118">
        <v>4.55</v>
      </c>
      <c r="E9" s="118">
        <v>0.03</v>
      </c>
    </row>
    <row r="10" spans="2:7" x14ac:dyDescent="0.2">
      <c r="B10" s="116" t="s">
        <v>50</v>
      </c>
      <c r="C10" s="117" t="s">
        <v>51</v>
      </c>
      <c r="D10" s="118">
        <v>6.56</v>
      </c>
      <c r="E10" s="118">
        <v>0.05</v>
      </c>
    </row>
    <row r="11" spans="2:7" x14ac:dyDescent="0.2">
      <c r="B11" s="116" t="s">
        <v>54</v>
      </c>
      <c r="C11" s="117" t="s">
        <v>55</v>
      </c>
      <c r="D11" s="118">
        <v>5.66</v>
      </c>
      <c r="E11" s="118">
        <v>0.04</v>
      </c>
    </row>
    <row r="12" spans="2:7" x14ac:dyDescent="0.2">
      <c r="B12" s="116" t="s">
        <v>57</v>
      </c>
      <c r="C12" s="117" t="s">
        <v>58</v>
      </c>
      <c r="D12" s="118">
        <v>21.5</v>
      </c>
      <c r="E12" s="118">
        <v>0.22</v>
      </c>
    </row>
    <row r="13" spans="2:7" x14ac:dyDescent="0.2">
      <c r="B13" s="116" t="s">
        <v>60</v>
      </c>
      <c r="C13" s="117" t="s">
        <v>61</v>
      </c>
      <c r="D13" s="118">
        <v>3.38</v>
      </c>
      <c r="E13" s="118">
        <v>7.0000000000000007E-2</v>
      </c>
    </row>
    <row r="14" spans="2:7" x14ac:dyDescent="0.2">
      <c r="B14" s="116" t="s">
        <v>63</v>
      </c>
      <c r="C14" s="117" t="s">
        <v>64</v>
      </c>
      <c r="D14" s="118">
        <v>8.92</v>
      </c>
      <c r="E14" s="118">
        <v>0.08</v>
      </c>
    </row>
    <row r="15" spans="2:7" x14ac:dyDescent="0.2">
      <c r="B15" s="116" t="s">
        <v>66</v>
      </c>
      <c r="C15" s="117" t="s">
        <v>67</v>
      </c>
      <c r="D15" s="118">
        <v>38.86</v>
      </c>
      <c r="E15" s="118">
        <v>0.17</v>
      </c>
    </row>
    <row r="16" spans="2:7" x14ac:dyDescent="0.2">
      <c r="B16" s="116" t="s">
        <v>70</v>
      </c>
      <c r="C16" s="117" t="s">
        <v>71</v>
      </c>
      <c r="D16" s="118">
        <v>0.83</v>
      </c>
      <c r="E16" s="118">
        <v>0.01</v>
      </c>
    </row>
    <row r="17" spans="2:5" x14ac:dyDescent="0.2">
      <c r="B17" s="116" t="s">
        <v>76</v>
      </c>
      <c r="C17" s="117" t="s">
        <v>77</v>
      </c>
      <c r="D17" s="118">
        <v>23.28</v>
      </c>
      <c r="E17" s="118">
        <v>0.23</v>
      </c>
    </row>
    <row r="18" spans="2:5" x14ac:dyDescent="0.2">
      <c r="B18" s="116" t="s">
        <v>80</v>
      </c>
      <c r="C18" s="117" t="s">
        <v>81</v>
      </c>
      <c r="D18" s="118">
        <v>22.3</v>
      </c>
      <c r="E18" s="118">
        <v>0.34</v>
      </c>
    </row>
    <row r="19" spans="2:5" x14ac:dyDescent="0.2">
      <c r="B19" s="116" t="s">
        <v>83</v>
      </c>
      <c r="C19" s="117" t="s">
        <v>84</v>
      </c>
      <c r="D19" s="118">
        <v>17.38</v>
      </c>
      <c r="E19" s="118">
        <v>0.08</v>
      </c>
    </row>
    <row r="20" spans="2:5" x14ac:dyDescent="0.2">
      <c r="B20" s="116" t="s">
        <v>85</v>
      </c>
      <c r="C20" s="117" t="s">
        <v>86</v>
      </c>
      <c r="D20" s="118">
        <v>-101.45</v>
      </c>
      <c r="E20" s="118">
        <v>-1.1000000000000001</v>
      </c>
    </row>
    <row r="21" spans="2:5" x14ac:dyDescent="0.2">
      <c r="B21" s="116" t="s">
        <v>88</v>
      </c>
      <c r="C21" s="117" t="s">
        <v>89</v>
      </c>
      <c r="D21" s="118">
        <v>-13.86</v>
      </c>
      <c r="E21" s="118">
        <v>-1.02</v>
      </c>
    </row>
    <row r="22" spans="2:5" x14ac:dyDescent="0.2">
      <c r="B22" s="116" t="s">
        <v>90</v>
      </c>
      <c r="C22" s="117" t="s">
        <v>91</v>
      </c>
      <c r="D22" s="118">
        <v>7.85</v>
      </c>
      <c r="E22" s="118">
        <v>0.13</v>
      </c>
    </row>
    <row r="23" spans="2:5" x14ac:dyDescent="0.2">
      <c r="B23" s="116" t="s">
        <v>3554</v>
      </c>
      <c r="C23" s="117" t="s">
        <v>3555</v>
      </c>
      <c r="D23" s="118">
        <v>4.6399999999999997</v>
      </c>
      <c r="E23" s="118">
        <v>0.01</v>
      </c>
    </row>
    <row r="24" spans="2:5" x14ac:dyDescent="0.2">
      <c r="B24" s="116" t="s">
        <v>3556</v>
      </c>
      <c r="C24" s="117" t="s">
        <v>3557</v>
      </c>
      <c r="D24" s="118"/>
      <c r="E24" s="118">
        <v>0.24</v>
      </c>
    </row>
    <row r="25" spans="2:5" x14ac:dyDescent="0.2">
      <c r="B25" s="116" t="s">
        <v>94</v>
      </c>
      <c r="C25" s="117" t="s">
        <v>95</v>
      </c>
      <c r="D25" s="118">
        <v>17.29</v>
      </c>
      <c r="E25" s="118">
        <v>0.14000000000000001</v>
      </c>
    </row>
    <row r="26" spans="2:5" x14ac:dyDescent="0.2">
      <c r="B26" s="116" t="s">
        <v>3558</v>
      </c>
      <c r="C26" s="117" t="s">
        <v>3559</v>
      </c>
      <c r="D26" s="118">
        <v>0.35</v>
      </c>
      <c r="E26" s="118">
        <v>0</v>
      </c>
    </row>
    <row r="27" spans="2:5" x14ac:dyDescent="0.2">
      <c r="B27" s="116" t="s">
        <v>97</v>
      </c>
      <c r="C27" s="117" t="s">
        <v>98</v>
      </c>
      <c r="D27" s="118">
        <v>10.16</v>
      </c>
      <c r="E27" s="118">
        <v>7.0000000000000007E-2</v>
      </c>
    </row>
    <row r="28" spans="2:5" x14ac:dyDescent="0.2">
      <c r="B28" s="116" t="s">
        <v>100</v>
      </c>
      <c r="C28" s="117" t="s">
        <v>101</v>
      </c>
      <c r="D28" s="118">
        <v>2.2000000000000002</v>
      </c>
      <c r="E28" s="118">
        <v>0.01</v>
      </c>
    </row>
    <row r="29" spans="2:5" x14ac:dyDescent="0.2">
      <c r="B29" s="116" t="s">
        <v>104</v>
      </c>
      <c r="C29" s="117" t="s">
        <v>105</v>
      </c>
      <c r="D29" s="118">
        <v>11.06</v>
      </c>
      <c r="E29" s="118"/>
    </row>
    <row r="30" spans="2:5" x14ac:dyDescent="0.2">
      <c r="B30" s="116" t="s">
        <v>3560</v>
      </c>
      <c r="C30" s="117" t="s">
        <v>3561</v>
      </c>
      <c r="D30" s="118"/>
      <c r="E30" s="118"/>
    </row>
    <row r="31" spans="2:5" x14ac:dyDescent="0.2">
      <c r="B31" s="116" t="s">
        <v>108</v>
      </c>
      <c r="C31" s="117" t="s">
        <v>109</v>
      </c>
      <c r="D31" s="118">
        <v>34.35</v>
      </c>
      <c r="E31" s="118">
        <v>0.28999999999999998</v>
      </c>
    </row>
    <row r="32" spans="2:5" x14ac:dyDescent="0.2">
      <c r="B32" s="116" t="s">
        <v>110</v>
      </c>
      <c r="C32" s="117" t="s">
        <v>111</v>
      </c>
      <c r="D32" s="118">
        <v>39.76</v>
      </c>
      <c r="E32" s="118">
        <v>0.39</v>
      </c>
    </row>
    <row r="33" spans="2:5" x14ac:dyDescent="0.2">
      <c r="B33" s="116" t="s">
        <v>113</v>
      </c>
      <c r="C33" s="117" t="s">
        <v>114</v>
      </c>
      <c r="D33" s="118">
        <v>8.16</v>
      </c>
      <c r="E33" s="118">
        <v>0.08</v>
      </c>
    </row>
    <row r="34" spans="2:5" x14ac:dyDescent="0.2">
      <c r="B34" s="116" t="s">
        <v>117</v>
      </c>
      <c r="C34" s="117" t="s">
        <v>118</v>
      </c>
      <c r="D34" s="118">
        <v>33.520000000000003</v>
      </c>
      <c r="E34" s="118">
        <v>0.24</v>
      </c>
    </row>
    <row r="35" spans="2:5" x14ac:dyDescent="0.2">
      <c r="B35" s="116" t="s">
        <v>120</v>
      </c>
      <c r="C35" s="117" t="s">
        <v>121</v>
      </c>
      <c r="D35" s="118">
        <v>2.56</v>
      </c>
      <c r="E35" s="118">
        <v>0.03</v>
      </c>
    </row>
    <row r="36" spans="2:5" x14ac:dyDescent="0.2">
      <c r="B36" s="116" t="s">
        <v>123</v>
      </c>
      <c r="C36" s="117" t="s">
        <v>124</v>
      </c>
      <c r="D36" s="118">
        <v>16.82</v>
      </c>
      <c r="E36" s="118">
        <v>0.16</v>
      </c>
    </row>
    <row r="37" spans="2:5" x14ac:dyDescent="0.2">
      <c r="B37" s="116" t="s">
        <v>3562</v>
      </c>
      <c r="C37" s="117" t="s">
        <v>3563</v>
      </c>
      <c r="D37" s="118"/>
      <c r="E37" s="118"/>
    </row>
    <row r="38" spans="2:5" x14ac:dyDescent="0.2">
      <c r="B38" s="116" t="s">
        <v>126</v>
      </c>
      <c r="C38" s="117" t="s">
        <v>127</v>
      </c>
      <c r="D38" s="118">
        <v>3.12</v>
      </c>
      <c r="E38" s="118">
        <v>0.03</v>
      </c>
    </row>
    <row r="39" spans="2:5" x14ac:dyDescent="0.2">
      <c r="B39" s="116" t="s">
        <v>3564</v>
      </c>
      <c r="C39" s="117" t="s">
        <v>3565</v>
      </c>
      <c r="D39" s="118">
        <v>3.14</v>
      </c>
      <c r="E39" s="118">
        <v>0.04</v>
      </c>
    </row>
    <row r="40" spans="2:5" x14ac:dyDescent="0.2">
      <c r="B40" s="116" t="s">
        <v>129</v>
      </c>
      <c r="C40" s="117" t="s">
        <v>130</v>
      </c>
      <c r="D40" s="118">
        <v>16.829999999999998</v>
      </c>
      <c r="E40" s="118">
        <v>0.12</v>
      </c>
    </row>
    <row r="41" spans="2:5" x14ac:dyDescent="0.2">
      <c r="B41" s="116" t="s">
        <v>132</v>
      </c>
      <c r="C41" s="117" t="s">
        <v>133</v>
      </c>
      <c r="D41" s="118">
        <v>13.98</v>
      </c>
      <c r="E41" s="118">
        <v>-0.03</v>
      </c>
    </row>
    <row r="42" spans="2:5" x14ac:dyDescent="0.2">
      <c r="B42" s="116" t="s">
        <v>134</v>
      </c>
      <c r="C42" s="117" t="s">
        <v>135</v>
      </c>
      <c r="D42" s="118">
        <v>-1.5</v>
      </c>
      <c r="E42" s="118">
        <v>-0.13</v>
      </c>
    </row>
    <row r="43" spans="2:5" x14ac:dyDescent="0.2">
      <c r="B43" s="116" t="s">
        <v>136</v>
      </c>
      <c r="C43" s="117" t="s">
        <v>137</v>
      </c>
      <c r="D43" s="118">
        <v>13.29</v>
      </c>
      <c r="E43" s="118">
        <v>0.13</v>
      </c>
    </row>
    <row r="44" spans="2:5" x14ac:dyDescent="0.2">
      <c r="B44" s="116" t="s">
        <v>140</v>
      </c>
      <c r="C44" s="117" t="s">
        <v>141</v>
      </c>
      <c r="D44" s="118"/>
      <c r="E44" s="118">
        <v>0.02</v>
      </c>
    </row>
    <row r="45" spans="2:5" x14ac:dyDescent="0.2">
      <c r="B45" s="116" t="s">
        <v>143</v>
      </c>
      <c r="C45" s="117" t="s">
        <v>144</v>
      </c>
      <c r="D45" s="118">
        <v>4.24</v>
      </c>
      <c r="E45" s="118">
        <v>-0.15</v>
      </c>
    </row>
    <row r="46" spans="2:5" x14ac:dyDescent="0.2">
      <c r="B46" s="116" t="s">
        <v>147</v>
      </c>
      <c r="C46" s="117" t="s">
        <v>148</v>
      </c>
      <c r="D46" s="118">
        <v>13.02</v>
      </c>
      <c r="E46" s="118">
        <v>0.12</v>
      </c>
    </row>
    <row r="47" spans="2:5" x14ac:dyDescent="0.2">
      <c r="B47" s="116" t="s">
        <v>149</v>
      </c>
      <c r="C47" s="117" t="s">
        <v>150</v>
      </c>
      <c r="D47" s="118">
        <v>21.79</v>
      </c>
      <c r="E47" s="118">
        <v>0.21</v>
      </c>
    </row>
    <row r="48" spans="2:5" x14ac:dyDescent="0.2">
      <c r="B48" s="116" t="s">
        <v>152</v>
      </c>
      <c r="C48" s="117" t="s">
        <v>153</v>
      </c>
      <c r="D48" s="118">
        <v>10.029999999999999</v>
      </c>
      <c r="E48" s="118">
        <v>0.11</v>
      </c>
    </row>
    <row r="49" spans="2:5" x14ac:dyDescent="0.2">
      <c r="B49" s="116" t="s">
        <v>3566</v>
      </c>
      <c r="C49" s="117" t="s">
        <v>3567</v>
      </c>
      <c r="D49" s="118"/>
      <c r="E49" s="118">
        <v>0.05</v>
      </c>
    </row>
    <row r="50" spans="2:5" x14ac:dyDescent="0.2">
      <c r="B50" s="116" t="s">
        <v>154</v>
      </c>
      <c r="C50" s="117" t="s">
        <v>155</v>
      </c>
      <c r="D50" s="118">
        <v>9.92</v>
      </c>
      <c r="E50" s="118">
        <v>7.0000000000000007E-2</v>
      </c>
    </row>
    <row r="51" spans="2:5" x14ac:dyDescent="0.2">
      <c r="B51" s="116" t="s">
        <v>156</v>
      </c>
      <c r="C51" s="117" t="s">
        <v>157</v>
      </c>
      <c r="D51" s="118">
        <v>14.7</v>
      </c>
      <c r="E51" s="118">
        <v>0.13</v>
      </c>
    </row>
    <row r="52" spans="2:5" x14ac:dyDescent="0.2">
      <c r="B52" s="116" t="s">
        <v>159</v>
      </c>
      <c r="C52" s="117" t="s">
        <v>160</v>
      </c>
      <c r="D52" s="118">
        <v>1.1499999999999999</v>
      </c>
      <c r="E52" s="118">
        <v>0.02</v>
      </c>
    </row>
    <row r="53" spans="2:5" x14ac:dyDescent="0.2">
      <c r="B53" s="116" t="s">
        <v>161</v>
      </c>
      <c r="C53" s="117" t="s">
        <v>162</v>
      </c>
      <c r="D53" s="118">
        <v>4.1500000000000004</v>
      </c>
      <c r="E53" s="118">
        <v>0.03</v>
      </c>
    </row>
    <row r="54" spans="2:5" x14ac:dyDescent="0.2">
      <c r="B54" s="116" t="s">
        <v>164</v>
      </c>
      <c r="C54" s="117" t="s">
        <v>165</v>
      </c>
      <c r="D54" s="118">
        <v>7.02</v>
      </c>
      <c r="E54" s="118">
        <v>7.0000000000000007E-2</v>
      </c>
    </row>
    <row r="55" spans="2:5" x14ac:dyDescent="0.2">
      <c r="B55" s="116" t="s">
        <v>3568</v>
      </c>
      <c r="C55" s="117" t="s">
        <v>3569</v>
      </c>
      <c r="D55" s="118"/>
      <c r="E55" s="118"/>
    </row>
    <row r="56" spans="2:5" x14ac:dyDescent="0.2">
      <c r="B56" s="116" t="s">
        <v>166</v>
      </c>
      <c r="C56" s="117" t="s">
        <v>167</v>
      </c>
      <c r="D56" s="118">
        <v>35.770000000000003</v>
      </c>
      <c r="E56" s="118">
        <v>-0.32</v>
      </c>
    </row>
    <row r="57" spans="2:5" x14ac:dyDescent="0.2">
      <c r="B57" s="116" t="s">
        <v>169</v>
      </c>
      <c r="C57" s="117" t="s">
        <v>170</v>
      </c>
      <c r="D57" s="118">
        <v>164.75</v>
      </c>
      <c r="E57" s="118">
        <v>0.17</v>
      </c>
    </row>
    <row r="58" spans="2:5" x14ac:dyDescent="0.2">
      <c r="B58" s="116" t="s">
        <v>3570</v>
      </c>
      <c r="C58" s="117" t="s">
        <v>3571</v>
      </c>
      <c r="D58" s="118">
        <v>50.79</v>
      </c>
      <c r="E58" s="118">
        <v>0.52</v>
      </c>
    </row>
    <row r="59" spans="2:5" x14ac:dyDescent="0.2">
      <c r="B59" s="116" t="s">
        <v>3572</v>
      </c>
      <c r="C59" s="117" t="s">
        <v>3573</v>
      </c>
      <c r="D59" s="118"/>
      <c r="E59" s="118">
        <v>0.14000000000000001</v>
      </c>
    </row>
    <row r="60" spans="2:5" x14ac:dyDescent="0.2">
      <c r="B60" s="116" t="s">
        <v>172</v>
      </c>
      <c r="C60" s="117" t="s">
        <v>173</v>
      </c>
      <c r="D60" s="118">
        <v>9.7799999999999994</v>
      </c>
      <c r="E60" s="118">
        <v>0.09</v>
      </c>
    </row>
    <row r="61" spans="2:5" x14ac:dyDescent="0.2">
      <c r="B61" s="116" t="s">
        <v>174</v>
      </c>
      <c r="C61" s="117" t="s">
        <v>175</v>
      </c>
      <c r="D61" s="118"/>
      <c r="E61" s="118">
        <v>0.23</v>
      </c>
    </row>
    <row r="62" spans="2:5" x14ac:dyDescent="0.2">
      <c r="B62" s="116" t="s">
        <v>3574</v>
      </c>
      <c r="C62" s="117" t="s">
        <v>3575</v>
      </c>
      <c r="D62" s="118">
        <v>2.84</v>
      </c>
      <c r="E62" s="118">
        <v>0.02</v>
      </c>
    </row>
    <row r="63" spans="2:5" x14ac:dyDescent="0.2">
      <c r="B63" s="116" t="s">
        <v>177</v>
      </c>
      <c r="C63" s="117" t="s">
        <v>178</v>
      </c>
      <c r="D63" s="118">
        <v>6.94</v>
      </c>
      <c r="E63" s="118">
        <v>7.0000000000000007E-2</v>
      </c>
    </row>
    <row r="64" spans="2:5" x14ac:dyDescent="0.2">
      <c r="B64" s="116" t="s">
        <v>180</v>
      </c>
      <c r="C64" s="117" t="s">
        <v>181</v>
      </c>
      <c r="D64" s="118">
        <v>3.66</v>
      </c>
      <c r="E64" s="118">
        <v>0</v>
      </c>
    </row>
    <row r="65" spans="2:5" x14ac:dyDescent="0.2">
      <c r="B65" s="116" t="s">
        <v>182</v>
      </c>
      <c r="C65" s="117" t="s">
        <v>183</v>
      </c>
      <c r="D65" s="118"/>
      <c r="E65" s="118">
        <v>0.1</v>
      </c>
    </row>
    <row r="66" spans="2:5" x14ac:dyDescent="0.2">
      <c r="B66" s="116" t="s">
        <v>184</v>
      </c>
      <c r="C66" s="117" t="s">
        <v>185</v>
      </c>
      <c r="D66" s="118">
        <v>5.39</v>
      </c>
      <c r="E66" s="118">
        <v>0.06</v>
      </c>
    </row>
    <row r="67" spans="2:5" x14ac:dyDescent="0.2">
      <c r="B67" s="116" t="s">
        <v>186</v>
      </c>
      <c r="C67" s="117" t="s">
        <v>187</v>
      </c>
      <c r="D67" s="118">
        <v>98.61</v>
      </c>
      <c r="E67" s="118">
        <v>0.69</v>
      </c>
    </row>
    <row r="68" spans="2:5" x14ac:dyDescent="0.2">
      <c r="B68" s="116" t="s">
        <v>188</v>
      </c>
      <c r="C68" s="117" t="s">
        <v>189</v>
      </c>
      <c r="D68" s="118">
        <v>4.29</v>
      </c>
      <c r="E68" s="118">
        <v>0.03</v>
      </c>
    </row>
    <row r="69" spans="2:5" x14ac:dyDescent="0.2">
      <c r="B69" s="116" t="s">
        <v>190</v>
      </c>
      <c r="C69" s="117" t="s">
        <v>191</v>
      </c>
      <c r="D69" s="118">
        <v>9.64</v>
      </c>
      <c r="E69" s="118">
        <v>0.09</v>
      </c>
    </row>
    <row r="70" spans="2:5" x14ac:dyDescent="0.2">
      <c r="B70" s="116" t="s">
        <v>3576</v>
      </c>
      <c r="C70" s="117" t="s">
        <v>3577</v>
      </c>
      <c r="D70" s="118"/>
      <c r="E70" s="118">
        <v>0.03</v>
      </c>
    </row>
    <row r="71" spans="2:5" x14ac:dyDescent="0.2">
      <c r="B71" s="116" t="s">
        <v>193</v>
      </c>
      <c r="C71" s="117" t="s">
        <v>194</v>
      </c>
      <c r="D71" s="118"/>
      <c r="E71" s="118"/>
    </row>
    <row r="72" spans="2:5" x14ac:dyDescent="0.2">
      <c r="B72" s="116" t="s">
        <v>196</v>
      </c>
      <c r="C72" s="117" t="s">
        <v>197</v>
      </c>
      <c r="D72" s="118">
        <v>7.21</v>
      </c>
      <c r="E72" s="118">
        <v>7.0000000000000007E-2</v>
      </c>
    </row>
    <row r="73" spans="2:5" x14ac:dyDescent="0.2">
      <c r="B73" s="116" t="s">
        <v>200</v>
      </c>
      <c r="C73" s="117" t="s">
        <v>201</v>
      </c>
      <c r="D73" s="118">
        <v>24.72</v>
      </c>
      <c r="E73" s="118">
        <v>0.11</v>
      </c>
    </row>
    <row r="74" spans="2:5" x14ac:dyDescent="0.2">
      <c r="B74" s="116" t="s">
        <v>3578</v>
      </c>
      <c r="C74" s="117" t="s">
        <v>3579</v>
      </c>
      <c r="D74" s="118">
        <v>26.83</v>
      </c>
      <c r="E74" s="118">
        <v>0.14000000000000001</v>
      </c>
    </row>
    <row r="75" spans="2:5" x14ac:dyDescent="0.2">
      <c r="B75" s="116" t="s">
        <v>203</v>
      </c>
      <c r="C75" s="117" t="s">
        <v>204</v>
      </c>
      <c r="D75" s="118">
        <v>5.51</v>
      </c>
      <c r="E75" s="118">
        <v>0.72</v>
      </c>
    </row>
    <row r="76" spans="2:5" x14ac:dyDescent="0.2">
      <c r="B76" s="116" t="s">
        <v>205</v>
      </c>
      <c r="C76" s="117" t="s">
        <v>206</v>
      </c>
      <c r="D76" s="118">
        <v>33.15</v>
      </c>
      <c r="E76" s="118">
        <v>0.3</v>
      </c>
    </row>
    <row r="77" spans="2:5" x14ac:dyDescent="0.2">
      <c r="B77" s="116" t="s">
        <v>208</v>
      </c>
      <c r="C77" s="117" t="s">
        <v>209</v>
      </c>
      <c r="D77" s="118">
        <v>17.57</v>
      </c>
      <c r="E77" s="118">
        <v>0.21</v>
      </c>
    </row>
    <row r="78" spans="2:5" x14ac:dyDescent="0.2">
      <c r="B78" s="116" t="s">
        <v>210</v>
      </c>
      <c r="C78" s="117" t="s">
        <v>211</v>
      </c>
      <c r="D78" s="118">
        <v>13.73</v>
      </c>
      <c r="E78" s="118">
        <v>0.12</v>
      </c>
    </row>
    <row r="79" spans="2:5" x14ac:dyDescent="0.2">
      <c r="B79" s="116" t="s">
        <v>3580</v>
      </c>
      <c r="C79" s="117" t="s">
        <v>3581</v>
      </c>
      <c r="D79" s="118">
        <v>11.62</v>
      </c>
      <c r="E79" s="118">
        <v>0.11</v>
      </c>
    </row>
    <row r="80" spans="2:5" x14ac:dyDescent="0.2">
      <c r="B80" s="116" t="s">
        <v>212</v>
      </c>
      <c r="C80" s="117" t="s">
        <v>213</v>
      </c>
      <c r="D80" s="118">
        <v>19.059999999999999</v>
      </c>
      <c r="E80" s="118">
        <v>0.2</v>
      </c>
    </row>
    <row r="81" spans="2:5" x14ac:dyDescent="0.2">
      <c r="B81" s="116" t="s">
        <v>214</v>
      </c>
      <c r="C81" s="117" t="s">
        <v>215</v>
      </c>
      <c r="D81" s="118">
        <v>7.36</v>
      </c>
      <c r="E81" s="118">
        <v>0.05</v>
      </c>
    </row>
    <row r="82" spans="2:5" x14ac:dyDescent="0.2">
      <c r="B82" s="116" t="s">
        <v>216</v>
      </c>
      <c r="C82" s="117" t="s">
        <v>217</v>
      </c>
      <c r="D82" s="118">
        <v>5.08</v>
      </c>
      <c r="E82" s="118">
        <v>-0.13</v>
      </c>
    </row>
    <row r="83" spans="2:5" x14ac:dyDescent="0.2">
      <c r="B83" s="116" t="s">
        <v>218</v>
      </c>
      <c r="C83" s="117" t="s">
        <v>219</v>
      </c>
      <c r="D83" s="118">
        <v>6.5</v>
      </c>
      <c r="E83" s="118">
        <v>0.06</v>
      </c>
    </row>
    <row r="84" spans="2:5" x14ac:dyDescent="0.2">
      <c r="B84" s="116" t="s">
        <v>220</v>
      </c>
      <c r="C84" s="117" t="s">
        <v>221</v>
      </c>
      <c r="D84" s="118">
        <v>15.61</v>
      </c>
      <c r="E84" s="118">
        <v>0.16</v>
      </c>
    </row>
    <row r="85" spans="2:5" x14ac:dyDescent="0.2">
      <c r="B85" s="116" t="s">
        <v>222</v>
      </c>
      <c r="C85" s="117" t="s">
        <v>223</v>
      </c>
      <c r="D85" s="118"/>
      <c r="E85" s="118"/>
    </row>
    <row r="86" spans="2:5" x14ac:dyDescent="0.2">
      <c r="B86" s="116" t="s">
        <v>224</v>
      </c>
      <c r="C86" s="117" t="s">
        <v>225</v>
      </c>
      <c r="D86" s="118"/>
      <c r="E86" s="118"/>
    </row>
    <row r="87" spans="2:5" x14ac:dyDescent="0.2">
      <c r="B87" s="116" t="s">
        <v>226</v>
      </c>
      <c r="C87" s="117" t="s">
        <v>227</v>
      </c>
      <c r="D87" s="118">
        <v>24.31</v>
      </c>
      <c r="E87" s="118">
        <v>0.22</v>
      </c>
    </row>
    <row r="88" spans="2:5" x14ac:dyDescent="0.2">
      <c r="B88" s="116" t="s">
        <v>3582</v>
      </c>
      <c r="C88" s="117" t="s">
        <v>3583</v>
      </c>
      <c r="D88" s="118">
        <v>5.19</v>
      </c>
      <c r="E88" s="118">
        <v>0.05</v>
      </c>
    </row>
    <row r="89" spans="2:5" x14ac:dyDescent="0.2">
      <c r="B89" s="116" t="s">
        <v>229</v>
      </c>
      <c r="C89" s="117" t="s">
        <v>230</v>
      </c>
      <c r="D89" s="118">
        <v>-681.41</v>
      </c>
      <c r="E89" s="118">
        <v>-10.17</v>
      </c>
    </row>
    <row r="90" spans="2:5" x14ac:dyDescent="0.2">
      <c r="B90" s="116" t="s">
        <v>3584</v>
      </c>
      <c r="C90" s="117" t="s">
        <v>3585</v>
      </c>
      <c r="D90" s="118">
        <v>17.25</v>
      </c>
      <c r="E90" s="118">
        <v>0.17</v>
      </c>
    </row>
    <row r="91" spans="2:5" x14ac:dyDescent="0.2">
      <c r="B91" s="116" t="s">
        <v>3586</v>
      </c>
      <c r="C91" s="117" t="s">
        <v>3587</v>
      </c>
      <c r="D91" s="118"/>
      <c r="E91" s="118">
        <v>0.08</v>
      </c>
    </row>
    <row r="92" spans="2:5" x14ac:dyDescent="0.2">
      <c r="B92" s="116" t="s">
        <v>231</v>
      </c>
      <c r="C92" s="117" t="s">
        <v>232</v>
      </c>
      <c r="D92" s="118">
        <v>24.06</v>
      </c>
      <c r="E92" s="118">
        <v>0.24</v>
      </c>
    </row>
    <row r="93" spans="2:5" x14ac:dyDescent="0.2">
      <c r="B93" s="116" t="s">
        <v>235</v>
      </c>
      <c r="C93" s="117" t="s">
        <v>236</v>
      </c>
      <c r="D93" s="118">
        <v>5.47</v>
      </c>
      <c r="E93" s="118">
        <v>0.02</v>
      </c>
    </row>
    <row r="94" spans="2:5" x14ac:dyDescent="0.2">
      <c r="B94" s="116" t="s">
        <v>237</v>
      </c>
      <c r="C94" s="117" t="s">
        <v>238</v>
      </c>
      <c r="D94" s="118">
        <v>46.61</v>
      </c>
      <c r="E94" s="118">
        <v>0.02</v>
      </c>
    </row>
    <row r="95" spans="2:5" x14ac:dyDescent="0.2">
      <c r="B95" s="116" t="s">
        <v>239</v>
      </c>
      <c r="C95" s="117" t="s">
        <v>240</v>
      </c>
      <c r="D95" s="118">
        <v>35.19</v>
      </c>
      <c r="E95" s="118">
        <v>0.47</v>
      </c>
    </row>
    <row r="96" spans="2:5" x14ac:dyDescent="0.2">
      <c r="B96" s="116" t="s">
        <v>243</v>
      </c>
      <c r="C96" s="117" t="s">
        <v>244</v>
      </c>
      <c r="D96" s="118"/>
      <c r="E96" s="118">
        <v>0.2</v>
      </c>
    </row>
    <row r="97" spans="2:5" x14ac:dyDescent="0.2">
      <c r="B97" s="116" t="s">
        <v>246</v>
      </c>
      <c r="C97" s="117" t="s">
        <v>247</v>
      </c>
      <c r="D97" s="118">
        <v>20.76</v>
      </c>
      <c r="E97" s="118">
        <v>0.19</v>
      </c>
    </row>
    <row r="98" spans="2:5" x14ac:dyDescent="0.2">
      <c r="B98" s="116" t="s">
        <v>3588</v>
      </c>
      <c r="C98" s="117" t="s">
        <v>3589</v>
      </c>
      <c r="D98" s="118">
        <v>4.92</v>
      </c>
      <c r="E98" s="118">
        <v>0.05</v>
      </c>
    </row>
    <row r="99" spans="2:5" x14ac:dyDescent="0.2">
      <c r="B99" s="116" t="s">
        <v>249</v>
      </c>
      <c r="C99" s="117" t="s">
        <v>250</v>
      </c>
      <c r="D99" s="118">
        <v>6.66</v>
      </c>
      <c r="E99" s="118">
        <v>0.05</v>
      </c>
    </row>
    <row r="100" spans="2:5" x14ac:dyDescent="0.2">
      <c r="B100" s="116" t="s">
        <v>3590</v>
      </c>
      <c r="C100" s="117" t="s">
        <v>3591</v>
      </c>
      <c r="D100" s="118">
        <v>9.89</v>
      </c>
      <c r="E100" s="118">
        <v>0.1</v>
      </c>
    </row>
    <row r="101" spans="2:5" x14ac:dyDescent="0.2">
      <c r="B101" s="116" t="s">
        <v>252</v>
      </c>
      <c r="C101" s="117" t="s">
        <v>253</v>
      </c>
      <c r="D101" s="118">
        <v>17.079999999999998</v>
      </c>
      <c r="E101" s="118">
        <v>0.16</v>
      </c>
    </row>
    <row r="102" spans="2:5" x14ac:dyDescent="0.2">
      <c r="B102" s="116" t="s">
        <v>254</v>
      </c>
      <c r="C102" s="117" t="s">
        <v>255</v>
      </c>
      <c r="D102" s="118">
        <v>7.56</v>
      </c>
      <c r="E102" s="118">
        <v>7.0000000000000007E-2</v>
      </c>
    </row>
    <row r="103" spans="2:5" x14ac:dyDescent="0.2">
      <c r="B103" s="116" t="s">
        <v>257</v>
      </c>
      <c r="C103" s="117" t="s">
        <v>258</v>
      </c>
      <c r="D103" s="118">
        <v>30.81</v>
      </c>
      <c r="E103" s="118">
        <v>0.1</v>
      </c>
    </row>
    <row r="104" spans="2:5" x14ac:dyDescent="0.2">
      <c r="B104" s="116" t="s">
        <v>259</v>
      </c>
      <c r="C104" s="117" t="s">
        <v>260</v>
      </c>
      <c r="D104" s="118">
        <v>39.18</v>
      </c>
      <c r="E104" s="118">
        <v>0.35</v>
      </c>
    </row>
    <row r="105" spans="2:5" x14ac:dyDescent="0.2">
      <c r="B105" s="116" t="s">
        <v>261</v>
      </c>
      <c r="C105" s="117" t="s">
        <v>262</v>
      </c>
      <c r="D105" s="118">
        <v>10.02</v>
      </c>
      <c r="E105" s="118">
        <v>0.1</v>
      </c>
    </row>
    <row r="106" spans="2:5" x14ac:dyDescent="0.2">
      <c r="B106" s="116" t="s">
        <v>263</v>
      </c>
      <c r="C106" s="117" t="s">
        <v>264</v>
      </c>
      <c r="D106" s="118">
        <v>0.72</v>
      </c>
      <c r="E106" s="118">
        <v>0.08</v>
      </c>
    </row>
    <row r="107" spans="2:5" x14ac:dyDescent="0.2">
      <c r="B107" s="116" t="s">
        <v>266</v>
      </c>
      <c r="C107" s="117" t="s">
        <v>267</v>
      </c>
      <c r="D107" s="118">
        <v>16.96</v>
      </c>
      <c r="E107" s="118">
        <v>0.16</v>
      </c>
    </row>
    <row r="108" spans="2:5" x14ac:dyDescent="0.2">
      <c r="B108" s="116" t="s">
        <v>268</v>
      </c>
      <c r="C108" s="117" t="s">
        <v>269</v>
      </c>
      <c r="D108" s="118">
        <v>-18.97</v>
      </c>
      <c r="E108" s="118">
        <v>-0.51</v>
      </c>
    </row>
    <row r="109" spans="2:5" x14ac:dyDescent="0.2">
      <c r="B109" s="116" t="s">
        <v>3592</v>
      </c>
      <c r="C109" s="117" t="s">
        <v>3593</v>
      </c>
      <c r="D109" s="118">
        <v>2.02</v>
      </c>
      <c r="E109" s="118">
        <v>7.0000000000000007E-2</v>
      </c>
    </row>
    <row r="110" spans="2:5" x14ac:dyDescent="0.2">
      <c r="B110" s="116" t="s">
        <v>270</v>
      </c>
      <c r="C110" s="117" t="s">
        <v>271</v>
      </c>
      <c r="D110" s="118">
        <v>19.3</v>
      </c>
      <c r="E110" s="118">
        <v>0.17</v>
      </c>
    </row>
    <row r="111" spans="2:5" x14ac:dyDescent="0.2">
      <c r="B111" s="116" t="s">
        <v>273</v>
      </c>
      <c r="C111" s="117" t="s">
        <v>274</v>
      </c>
      <c r="D111" s="118">
        <v>38.42</v>
      </c>
      <c r="E111" s="118">
        <v>0.27</v>
      </c>
    </row>
    <row r="112" spans="2:5" x14ac:dyDescent="0.2">
      <c r="B112" s="116" t="s">
        <v>276</v>
      </c>
      <c r="C112" s="117" t="s">
        <v>277</v>
      </c>
      <c r="D112" s="118">
        <v>6.15</v>
      </c>
      <c r="E112" s="118">
        <v>0.05</v>
      </c>
    </row>
    <row r="113" spans="2:5" x14ac:dyDescent="0.2">
      <c r="B113" s="116" t="s">
        <v>279</v>
      </c>
      <c r="C113" s="117" t="s">
        <v>280</v>
      </c>
      <c r="D113" s="118">
        <v>4.8</v>
      </c>
      <c r="E113" s="118">
        <v>0.04</v>
      </c>
    </row>
    <row r="114" spans="2:5" x14ac:dyDescent="0.2">
      <c r="B114" s="116" t="s">
        <v>282</v>
      </c>
      <c r="C114" s="117" t="s">
        <v>283</v>
      </c>
      <c r="D114" s="118">
        <v>1.97</v>
      </c>
      <c r="E114" s="118">
        <v>0.02</v>
      </c>
    </row>
    <row r="115" spans="2:5" x14ac:dyDescent="0.2">
      <c r="B115" s="116" t="s">
        <v>3594</v>
      </c>
      <c r="C115" s="117" t="s">
        <v>3595</v>
      </c>
      <c r="D115" s="118">
        <v>6.57</v>
      </c>
      <c r="E115" s="118">
        <v>0.05</v>
      </c>
    </row>
    <row r="116" spans="2:5" x14ac:dyDescent="0.2">
      <c r="B116" s="116" t="s">
        <v>285</v>
      </c>
      <c r="C116" s="117" t="s">
        <v>286</v>
      </c>
      <c r="D116" s="118">
        <v>31.31</v>
      </c>
      <c r="E116" s="118">
        <v>0.15</v>
      </c>
    </row>
    <row r="117" spans="2:5" x14ac:dyDescent="0.2">
      <c r="B117" s="116" t="s">
        <v>288</v>
      </c>
      <c r="C117" s="117" t="s">
        <v>289</v>
      </c>
      <c r="D117" s="118">
        <v>9.89</v>
      </c>
      <c r="E117" s="118">
        <v>7.0000000000000007E-2</v>
      </c>
    </row>
    <row r="118" spans="2:5" x14ac:dyDescent="0.2">
      <c r="B118" s="116" t="s">
        <v>290</v>
      </c>
      <c r="C118" s="117" t="s">
        <v>291</v>
      </c>
      <c r="D118" s="118"/>
      <c r="E118" s="118">
        <v>0.17</v>
      </c>
    </row>
    <row r="119" spans="2:5" x14ac:dyDescent="0.2">
      <c r="B119" s="116" t="s">
        <v>292</v>
      </c>
      <c r="C119" s="117" t="s">
        <v>293</v>
      </c>
      <c r="D119" s="118">
        <v>38.79</v>
      </c>
      <c r="E119" s="118">
        <v>0.32</v>
      </c>
    </row>
    <row r="120" spans="2:5" x14ac:dyDescent="0.2">
      <c r="B120" s="116" t="s">
        <v>294</v>
      </c>
      <c r="C120" s="117" t="s">
        <v>295</v>
      </c>
      <c r="D120" s="118">
        <v>4.6399999999999997</v>
      </c>
      <c r="E120" s="118">
        <v>0.04</v>
      </c>
    </row>
    <row r="121" spans="2:5" x14ac:dyDescent="0.2">
      <c r="B121" s="116" t="s">
        <v>297</v>
      </c>
      <c r="C121" s="117" t="s">
        <v>298</v>
      </c>
      <c r="D121" s="118"/>
      <c r="E121" s="118">
        <v>0.18</v>
      </c>
    </row>
    <row r="122" spans="2:5" x14ac:dyDescent="0.2">
      <c r="B122" s="116" t="s">
        <v>300</v>
      </c>
      <c r="C122" s="117" t="s">
        <v>301</v>
      </c>
      <c r="D122" s="118">
        <v>19.420000000000002</v>
      </c>
      <c r="E122" s="118">
        <v>0.11</v>
      </c>
    </row>
    <row r="123" spans="2:5" x14ac:dyDescent="0.2">
      <c r="B123" s="116" t="s">
        <v>302</v>
      </c>
      <c r="C123" s="117" t="s">
        <v>303</v>
      </c>
      <c r="D123" s="118">
        <v>13.71</v>
      </c>
      <c r="E123" s="118">
        <v>0.14000000000000001</v>
      </c>
    </row>
    <row r="124" spans="2:5" x14ac:dyDescent="0.2">
      <c r="B124" s="116" t="s">
        <v>304</v>
      </c>
      <c r="C124" s="117" t="s">
        <v>305</v>
      </c>
      <c r="D124" s="118">
        <v>6.33</v>
      </c>
      <c r="E124" s="118">
        <v>0.01</v>
      </c>
    </row>
    <row r="125" spans="2:5" x14ac:dyDescent="0.2">
      <c r="B125" s="116" t="s">
        <v>307</v>
      </c>
      <c r="C125" s="117" t="s">
        <v>308</v>
      </c>
      <c r="D125" s="118">
        <v>19.68</v>
      </c>
      <c r="E125" s="118">
        <v>0.17</v>
      </c>
    </row>
    <row r="126" spans="2:5" x14ac:dyDescent="0.2">
      <c r="B126" s="116" t="s">
        <v>309</v>
      </c>
      <c r="C126" s="117" t="s">
        <v>310</v>
      </c>
      <c r="D126" s="118"/>
      <c r="E126" s="118"/>
    </row>
    <row r="127" spans="2:5" x14ac:dyDescent="0.2">
      <c r="B127" s="116" t="s">
        <v>312</v>
      </c>
      <c r="C127" s="117" t="s">
        <v>313</v>
      </c>
      <c r="D127" s="118">
        <v>14.33</v>
      </c>
      <c r="E127" s="118">
        <v>0.15</v>
      </c>
    </row>
    <row r="128" spans="2:5" x14ac:dyDescent="0.2">
      <c r="B128" s="116" t="s">
        <v>3596</v>
      </c>
      <c r="C128" s="117" t="s">
        <v>3597</v>
      </c>
      <c r="D128" s="118">
        <v>15.44</v>
      </c>
      <c r="E128" s="118">
        <v>0.16</v>
      </c>
    </row>
    <row r="129" spans="2:5" x14ac:dyDescent="0.2">
      <c r="B129" s="116" t="s">
        <v>315</v>
      </c>
      <c r="C129" s="117" t="s">
        <v>316</v>
      </c>
      <c r="D129" s="118">
        <v>40.65</v>
      </c>
      <c r="E129" s="118">
        <v>-0.01</v>
      </c>
    </row>
    <row r="130" spans="2:5" x14ac:dyDescent="0.2">
      <c r="B130" s="116" t="s">
        <v>317</v>
      </c>
      <c r="C130" s="117" t="s">
        <v>318</v>
      </c>
      <c r="D130" s="118">
        <v>17.34</v>
      </c>
      <c r="E130" s="118">
        <v>0.11</v>
      </c>
    </row>
    <row r="131" spans="2:5" x14ac:dyDescent="0.2">
      <c r="B131" s="116" t="s">
        <v>320</v>
      </c>
      <c r="C131" s="117" t="s">
        <v>321</v>
      </c>
      <c r="D131" s="118">
        <v>-14.15</v>
      </c>
      <c r="E131" s="118">
        <v>-0.22</v>
      </c>
    </row>
    <row r="132" spans="2:5" x14ac:dyDescent="0.2">
      <c r="B132" s="116" t="s">
        <v>322</v>
      </c>
      <c r="C132" s="117" t="s">
        <v>323</v>
      </c>
      <c r="D132" s="118">
        <v>9.0500000000000007</v>
      </c>
      <c r="E132" s="118">
        <v>7.0000000000000007E-2</v>
      </c>
    </row>
    <row r="133" spans="2:5" x14ac:dyDescent="0.2">
      <c r="B133" s="116" t="s">
        <v>325</v>
      </c>
      <c r="C133" s="117" t="s">
        <v>326</v>
      </c>
      <c r="D133" s="118">
        <v>16.739999999999998</v>
      </c>
      <c r="E133" s="118">
        <v>0.11</v>
      </c>
    </row>
    <row r="134" spans="2:5" x14ac:dyDescent="0.2">
      <c r="B134" s="116" t="s">
        <v>327</v>
      </c>
      <c r="C134" s="117" t="s">
        <v>328</v>
      </c>
      <c r="D134" s="118">
        <v>54.5</v>
      </c>
      <c r="E134" s="118">
        <v>0.64</v>
      </c>
    </row>
    <row r="135" spans="2:5" x14ac:dyDescent="0.2">
      <c r="B135" s="116" t="s">
        <v>330</v>
      </c>
      <c r="C135" s="117" t="s">
        <v>331</v>
      </c>
      <c r="D135" s="118">
        <v>28.05</v>
      </c>
      <c r="E135" s="118">
        <v>0.28999999999999998</v>
      </c>
    </row>
    <row r="136" spans="2:5" x14ac:dyDescent="0.2">
      <c r="B136" s="116" t="s">
        <v>332</v>
      </c>
      <c r="C136" s="117" t="s">
        <v>333</v>
      </c>
      <c r="D136" s="118">
        <v>24.97</v>
      </c>
      <c r="E136" s="118">
        <v>0.06</v>
      </c>
    </row>
    <row r="137" spans="2:5" x14ac:dyDescent="0.2">
      <c r="B137" s="116" t="s">
        <v>334</v>
      </c>
      <c r="C137" s="117" t="s">
        <v>335</v>
      </c>
      <c r="D137" s="118"/>
      <c r="E137" s="118">
        <v>-3.1</v>
      </c>
    </row>
    <row r="138" spans="2:5" x14ac:dyDescent="0.2">
      <c r="B138" s="116" t="s">
        <v>3598</v>
      </c>
      <c r="C138" s="117" t="s">
        <v>3599</v>
      </c>
      <c r="D138" s="118">
        <v>85.41</v>
      </c>
      <c r="E138" s="118">
        <v>0.76</v>
      </c>
    </row>
    <row r="139" spans="2:5" x14ac:dyDescent="0.2">
      <c r="B139" s="116" t="s">
        <v>336</v>
      </c>
      <c r="C139" s="117" t="s">
        <v>337</v>
      </c>
      <c r="D139" s="118">
        <v>7.48</v>
      </c>
      <c r="E139" s="118">
        <v>0.08</v>
      </c>
    </row>
    <row r="140" spans="2:5" x14ac:dyDescent="0.2">
      <c r="B140" s="116" t="s">
        <v>338</v>
      </c>
      <c r="C140" s="117" t="s">
        <v>339</v>
      </c>
      <c r="D140" s="118">
        <v>3.52</v>
      </c>
      <c r="E140" s="118">
        <v>0.04</v>
      </c>
    </row>
    <row r="141" spans="2:5" x14ac:dyDescent="0.2">
      <c r="B141" s="116" t="s">
        <v>341</v>
      </c>
      <c r="C141" s="117" t="s">
        <v>342</v>
      </c>
      <c r="D141" s="118">
        <v>5.62</v>
      </c>
      <c r="E141" s="118">
        <v>0.05</v>
      </c>
    </row>
    <row r="142" spans="2:5" x14ac:dyDescent="0.2">
      <c r="B142" s="116" t="s">
        <v>344</v>
      </c>
      <c r="C142" s="117" t="s">
        <v>345</v>
      </c>
      <c r="D142" s="118">
        <v>2.39</v>
      </c>
      <c r="E142" s="118">
        <v>0.02</v>
      </c>
    </row>
    <row r="143" spans="2:5" x14ac:dyDescent="0.2">
      <c r="B143" s="116" t="s">
        <v>347</v>
      </c>
      <c r="C143" s="117" t="s">
        <v>348</v>
      </c>
      <c r="D143" s="118">
        <v>10.91</v>
      </c>
      <c r="E143" s="118">
        <v>0.03</v>
      </c>
    </row>
    <row r="144" spans="2:5" x14ac:dyDescent="0.2">
      <c r="B144" s="116" t="s">
        <v>349</v>
      </c>
      <c r="C144" s="117" t="s">
        <v>350</v>
      </c>
      <c r="D144" s="118">
        <v>28.59</v>
      </c>
      <c r="E144" s="118">
        <v>0.22</v>
      </c>
    </row>
    <row r="145" spans="2:5" x14ac:dyDescent="0.2">
      <c r="B145" s="116" t="s">
        <v>352</v>
      </c>
      <c r="C145" s="117" t="s">
        <v>353</v>
      </c>
      <c r="D145" s="118"/>
      <c r="E145" s="118">
        <v>7.0000000000000007E-2</v>
      </c>
    </row>
    <row r="146" spans="2:5" x14ac:dyDescent="0.2">
      <c r="B146" s="116" t="s">
        <v>354</v>
      </c>
      <c r="C146" s="117" t="s">
        <v>355</v>
      </c>
      <c r="D146" s="118">
        <v>2.73</v>
      </c>
      <c r="E146" s="118">
        <v>0.03</v>
      </c>
    </row>
    <row r="147" spans="2:5" x14ac:dyDescent="0.2">
      <c r="B147" s="116" t="s">
        <v>3600</v>
      </c>
      <c r="C147" s="117" t="s">
        <v>3601</v>
      </c>
      <c r="D147" s="118">
        <v>6.13</v>
      </c>
      <c r="E147" s="118">
        <v>0.06</v>
      </c>
    </row>
    <row r="148" spans="2:5" x14ac:dyDescent="0.2">
      <c r="B148" s="116" t="s">
        <v>356</v>
      </c>
      <c r="C148" s="117" t="s">
        <v>357</v>
      </c>
      <c r="D148" s="118">
        <v>6.32</v>
      </c>
      <c r="E148" s="118">
        <v>0.05</v>
      </c>
    </row>
    <row r="149" spans="2:5" x14ac:dyDescent="0.2">
      <c r="B149" s="116" t="s">
        <v>358</v>
      </c>
      <c r="C149" s="117" t="s">
        <v>359</v>
      </c>
      <c r="D149" s="118">
        <v>6.02</v>
      </c>
      <c r="E149" s="118">
        <v>0.03</v>
      </c>
    </row>
    <row r="150" spans="2:5" x14ac:dyDescent="0.2">
      <c r="B150" s="116" t="s">
        <v>361</v>
      </c>
      <c r="C150" s="117" t="s">
        <v>362</v>
      </c>
      <c r="D150" s="118">
        <v>18.100000000000001</v>
      </c>
      <c r="E150" s="118">
        <v>0.18</v>
      </c>
    </row>
    <row r="151" spans="2:5" x14ac:dyDescent="0.2">
      <c r="B151" s="116" t="s">
        <v>3602</v>
      </c>
      <c r="C151" s="117" t="s">
        <v>3603</v>
      </c>
      <c r="D151" s="118">
        <v>24.99</v>
      </c>
      <c r="E151" s="118">
        <v>0.19</v>
      </c>
    </row>
    <row r="152" spans="2:5" x14ac:dyDescent="0.2">
      <c r="B152" s="116" t="s">
        <v>364</v>
      </c>
      <c r="C152" s="117" t="s">
        <v>365</v>
      </c>
      <c r="D152" s="118">
        <v>23.08</v>
      </c>
      <c r="E152" s="118">
        <v>0.24</v>
      </c>
    </row>
    <row r="153" spans="2:5" x14ac:dyDescent="0.2">
      <c r="B153" s="116" t="s">
        <v>366</v>
      </c>
      <c r="C153" s="117" t="s">
        <v>367</v>
      </c>
      <c r="D153" s="118">
        <v>-932.52</v>
      </c>
      <c r="E153" s="118">
        <v>-12.3</v>
      </c>
    </row>
    <row r="154" spans="2:5" x14ac:dyDescent="0.2">
      <c r="B154" s="116" t="s">
        <v>368</v>
      </c>
      <c r="C154" s="117" t="s">
        <v>369</v>
      </c>
      <c r="D154" s="118">
        <v>34.549999999999997</v>
      </c>
      <c r="E154" s="118">
        <v>0.32</v>
      </c>
    </row>
    <row r="155" spans="2:5" x14ac:dyDescent="0.2">
      <c r="B155" s="116" t="s">
        <v>371</v>
      </c>
      <c r="C155" s="117" t="s">
        <v>372</v>
      </c>
      <c r="D155" s="118">
        <v>4.0999999999999996</v>
      </c>
      <c r="E155" s="118">
        <v>7.0000000000000007E-2</v>
      </c>
    </row>
    <row r="156" spans="2:5" x14ac:dyDescent="0.2">
      <c r="B156" s="116" t="s">
        <v>3604</v>
      </c>
      <c r="C156" s="117" t="s">
        <v>3605</v>
      </c>
      <c r="D156" s="118"/>
      <c r="E156" s="118">
        <v>0.04</v>
      </c>
    </row>
    <row r="157" spans="2:5" x14ac:dyDescent="0.2">
      <c r="B157" s="116" t="s">
        <v>3606</v>
      </c>
      <c r="C157" s="117" t="s">
        <v>3607</v>
      </c>
      <c r="D157" s="118"/>
      <c r="E157" s="118">
        <v>0.56000000000000005</v>
      </c>
    </row>
    <row r="158" spans="2:5" x14ac:dyDescent="0.2">
      <c r="B158" s="116" t="s">
        <v>373</v>
      </c>
      <c r="C158" s="117" t="s">
        <v>374</v>
      </c>
      <c r="D158" s="118">
        <v>19.87</v>
      </c>
      <c r="E158" s="118">
        <v>0.2</v>
      </c>
    </row>
    <row r="159" spans="2:5" x14ac:dyDescent="0.2">
      <c r="B159" s="116" t="s">
        <v>376</v>
      </c>
      <c r="C159" s="117" t="s">
        <v>377</v>
      </c>
      <c r="D159" s="118">
        <v>26.74</v>
      </c>
      <c r="E159" s="118">
        <v>0.16</v>
      </c>
    </row>
    <row r="160" spans="2:5" x14ac:dyDescent="0.2">
      <c r="B160" s="116" t="s">
        <v>379</v>
      </c>
      <c r="C160" s="117" t="s">
        <v>380</v>
      </c>
      <c r="D160" s="118">
        <v>42.14</v>
      </c>
      <c r="E160" s="118">
        <v>0.4</v>
      </c>
    </row>
    <row r="161" spans="2:5" x14ac:dyDescent="0.2">
      <c r="B161" s="116" t="s">
        <v>381</v>
      </c>
      <c r="C161" s="117" t="s">
        <v>382</v>
      </c>
      <c r="D161" s="118">
        <v>17.100000000000001</v>
      </c>
      <c r="E161" s="118">
        <v>1.1100000000000001</v>
      </c>
    </row>
    <row r="162" spans="2:5" x14ac:dyDescent="0.2">
      <c r="B162" s="116" t="s">
        <v>384</v>
      </c>
      <c r="C162" s="117" t="s">
        <v>385</v>
      </c>
      <c r="D162" s="118">
        <v>17.170000000000002</v>
      </c>
      <c r="E162" s="118">
        <v>0.19</v>
      </c>
    </row>
    <row r="163" spans="2:5" x14ac:dyDescent="0.2">
      <c r="B163" s="116" t="s">
        <v>387</v>
      </c>
      <c r="C163" s="117" t="s">
        <v>388</v>
      </c>
      <c r="D163" s="118">
        <v>9.56</v>
      </c>
      <c r="E163" s="118">
        <v>7.0000000000000007E-2</v>
      </c>
    </row>
    <row r="164" spans="2:5" x14ac:dyDescent="0.2">
      <c r="B164" s="116" t="s">
        <v>390</v>
      </c>
      <c r="C164" s="117" t="s">
        <v>391</v>
      </c>
      <c r="D164" s="118">
        <v>4.5</v>
      </c>
      <c r="E164" s="118">
        <v>0</v>
      </c>
    </row>
    <row r="165" spans="2:5" x14ac:dyDescent="0.2">
      <c r="B165" s="116" t="s">
        <v>392</v>
      </c>
      <c r="C165" s="117" t="s">
        <v>393</v>
      </c>
      <c r="D165" s="118">
        <v>27.72</v>
      </c>
      <c r="E165" s="118">
        <v>0.24</v>
      </c>
    </row>
    <row r="166" spans="2:5" x14ac:dyDescent="0.2">
      <c r="B166" s="116" t="s">
        <v>395</v>
      </c>
      <c r="C166" s="117" t="s">
        <v>396</v>
      </c>
      <c r="D166" s="118"/>
      <c r="E166" s="118">
        <v>0.03</v>
      </c>
    </row>
    <row r="167" spans="2:5" x14ac:dyDescent="0.2">
      <c r="B167" s="116" t="s">
        <v>397</v>
      </c>
      <c r="C167" s="117" t="s">
        <v>398</v>
      </c>
      <c r="D167" s="118">
        <v>33.31</v>
      </c>
      <c r="E167" s="118">
        <v>0.23</v>
      </c>
    </row>
    <row r="168" spans="2:5" x14ac:dyDescent="0.2">
      <c r="B168" s="116" t="s">
        <v>400</v>
      </c>
      <c r="C168" s="117" t="s">
        <v>401</v>
      </c>
      <c r="D168" s="118"/>
      <c r="E168" s="118">
        <v>0.19</v>
      </c>
    </row>
    <row r="169" spans="2:5" x14ac:dyDescent="0.2">
      <c r="B169" s="116" t="s">
        <v>403</v>
      </c>
      <c r="C169" s="117" t="s">
        <v>404</v>
      </c>
      <c r="D169" s="118">
        <v>5.29</v>
      </c>
      <c r="E169" s="118">
        <v>-0.16</v>
      </c>
    </row>
    <row r="170" spans="2:5" x14ac:dyDescent="0.2">
      <c r="B170" s="116" t="s">
        <v>405</v>
      </c>
      <c r="C170" s="117" t="s">
        <v>406</v>
      </c>
      <c r="D170" s="118">
        <v>8.4700000000000006</v>
      </c>
      <c r="E170" s="118">
        <v>0.1</v>
      </c>
    </row>
    <row r="171" spans="2:5" x14ac:dyDescent="0.2">
      <c r="B171" s="116" t="s">
        <v>407</v>
      </c>
      <c r="C171" s="117" t="s">
        <v>408</v>
      </c>
      <c r="D171" s="118">
        <v>14.64</v>
      </c>
      <c r="E171" s="118">
        <v>0.09</v>
      </c>
    </row>
    <row r="172" spans="2:5" x14ac:dyDescent="0.2">
      <c r="B172" s="116" t="s">
        <v>409</v>
      </c>
      <c r="C172" s="117" t="s">
        <v>410</v>
      </c>
      <c r="D172" s="118">
        <v>41.83</v>
      </c>
      <c r="E172" s="118">
        <v>0.43</v>
      </c>
    </row>
    <row r="173" spans="2:5" x14ac:dyDescent="0.2">
      <c r="B173" s="116" t="s">
        <v>411</v>
      </c>
      <c r="C173" s="117" t="s">
        <v>412</v>
      </c>
      <c r="D173" s="118">
        <v>43.15</v>
      </c>
      <c r="E173" s="118">
        <v>0.59</v>
      </c>
    </row>
    <row r="174" spans="2:5" x14ac:dyDescent="0.2">
      <c r="B174" s="116" t="s">
        <v>3608</v>
      </c>
      <c r="C174" s="117" t="s">
        <v>3609</v>
      </c>
      <c r="D174" s="118">
        <v>16.96</v>
      </c>
      <c r="E174" s="118">
        <v>0.17</v>
      </c>
    </row>
    <row r="175" spans="2:5" x14ac:dyDescent="0.2">
      <c r="B175" s="116" t="s">
        <v>413</v>
      </c>
      <c r="C175" s="117" t="s">
        <v>414</v>
      </c>
      <c r="D175" s="118">
        <v>-7.53</v>
      </c>
      <c r="E175" s="118">
        <v>-0.28000000000000003</v>
      </c>
    </row>
    <row r="176" spans="2:5" x14ac:dyDescent="0.2">
      <c r="B176" s="116" t="s">
        <v>415</v>
      </c>
      <c r="C176" s="117" t="s">
        <v>416</v>
      </c>
      <c r="D176" s="118">
        <v>2.33</v>
      </c>
      <c r="E176" s="118">
        <v>0.01</v>
      </c>
    </row>
    <row r="177" spans="2:5" x14ac:dyDescent="0.2">
      <c r="B177" s="116" t="s">
        <v>3610</v>
      </c>
      <c r="C177" s="117" t="s">
        <v>3611</v>
      </c>
      <c r="D177" s="118"/>
      <c r="E177" s="118"/>
    </row>
    <row r="178" spans="2:5" x14ac:dyDescent="0.2">
      <c r="B178" s="116" t="s">
        <v>417</v>
      </c>
      <c r="C178" s="117" t="s">
        <v>418</v>
      </c>
      <c r="D178" s="118"/>
      <c r="E178" s="118">
        <v>0.09</v>
      </c>
    </row>
    <row r="179" spans="2:5" x14ac:dyDescent="0.2">
      <c r="B179" s="116" t="s">
        <v>419</v>
      </c>
      <c r="C179" s="117" t="s">
        <v>420</v>
      </c>
      <c r="D179" s="118">
        <v>7.56</v>
      </c>
      <c r="E179" s="118">
        <v>7.0000000000000007E-2</v>
      </c>
    </row>
    <row r="180" spans="2:5" x14ac:dyDescent="0.2">
      <c r="B180" s="116" t="s">
        <v>3612</v>
      </c>
      <c r="C180" s="117" t="s">
        <v>3613</v>
      </c>
      <c r="D180" s="118"/>
      <c r="E180" s="118">
        <v>397.13</v>
      </c>
    </row>
    <row r="181" spans="2:5" x14ac:dyDescent="0.2">
      <c r="B181" s="116" t="s">
        <v>422</v>
      </c>
      <c r="C181" s="117" t="s">
        <v>423</v>
      </c>
      <c r="D181" s="118">
        <v>21.21</v>
      </c>
      <c r="E181" s="118">
        <v>0.19</v>
      </c>
    </row>
    <row r="182" spans="2:5" x14ac:dyDescent="0.2">
      <c r="B182" s="116" t="s">
        <v>425</v>
      </c>
      <c r="C182" s="117" t="s">
        <v>426</v>
      </c>
      <c r="D182" s="118">
        <v>17.68</v>
      </c>
      <c r="E182" s="118">
        <v>0.16</v>
      </c>
    </row>
    <row r="183" spans="2:5" x14ac:dyDescent="0.2">
      <c r="B183" s="116" t="s">
        <v>428</v>
      </c>
      <c r="C183" s="117" t="s">
        <v>429</v>
      </c>
      <c r="D183" s="118">
        <v>15.91</v>
      </c>
      <c r="E183" s="118">
        <v>0.15</v>
      </c>
    </row>
    <row r="184" spans="2:5" x14ac:dyDescent="0.2">
      <c r="B184" s="116" t="s">
        <v>430</v>
      </c>
      <c r="C184" s="117" t="s">
        <v>431</v>
      </c>
      <c r="D184" s="118"/>
      <c r="E184" s="118">
        <v>0.03</v>
      </c>
    </row>
    <row r="185" spans="2:5" x14ac:dyDescent="0.2">
      <c r="B185" s="116" t="s">
        <v>432</v>
      </c>
      <c r="C185" s="117" t="s">
        <v>433</v>
      </c>
      <c r="D185" s="118">
        <v>15.84</v>
      </c>
      <c r="E185" s="118">
        <v>0.17</v>
      </c>
    </row>
    <row r="186" spans="2:5" x14ac:dyDescent="0.2">
      <c r="B186" s="116" t="s">
        <v>435</v>
      </c>
      <c r="C186" s="117" t="s">
        <v>436</v>
      </c>
      <c r="D186" s="118">
        <v>3.98</v>
      </c>
      <c r="E186" s="118">
        <v>0.01</v>
      </c>
    </row>
    <row r="187" spans="2:5" x14ac:dyDescent="0.2">
      <c r="B187" s="116" t="s">
        <v>437</v>
      </c>
      <c r="C187" s="117" t="s">
        <v>438</v>
      </c>
      <c r="D187" s="118">
        <v>7.89</v>
      </c>
      <c r="E187" s="118">
        <v>0.04</v>
      </c>
    </row>
    <row r="188" spans="2:5" x14ac:dyDescent="0.2">
      <c r="B188" s="116" t="s">
        <v>439</v>
      </c>
      <c r="C188" s="117" t="s">
        <v>440</v>
      </c>
      <c r="D188" s="118">
        <v>10.01</v>
      </c>
      <c r="E188" s="118"/>
    </row>
    <row r="189" spans="2:5" x14ac:dyDescent="0.2">
      <c r="B189" s="116" t="s">
        <v>442</v>
      </c>
      <c r="C189" s="117" t="s">
        <v>443</v>
      </c>
      <c r="D189" s="118">
        <v>3.17</v>
      </c>
      <c r="E189" s="118">
        <v>0.14000000000000001</v>
      </c>
    </row>
    <row r="190" spans="2:5" x14ac:dyDescent="0.2">
      <c r="B190" s="116" t="s">
        <v>444</v>
      </c>
      <c r="C190" s="117" t="s">
        <v>445</v>
      </c>
      <c r="D190" s="118">
        <v>21.23</v>
      </c>
      <c r="E190" s="118">
        <v>0.1</v>
      </c>
    </row>
    <row r="191" spans="2:5" x14ac:dyDescent="0.2">
      <c r="B191" s="116" t="s">
        <v>446</v>
      </c>
      <c r="C191" s="117" t="s">
        <v>447</v>
      </c>
      <c r="D191" s="118">
        <v>13.52</v>
      </c>
      <c r="E191" s="118"/>
    </row>
    <row r="192" spans="2:5" x14ac:dyDescent="0.2">
      <c r="B192" s="116" t="s">
        <v>448</v>
      </c>
      <c r="C192" s="117" t="s">
        <v>449</v>
      </c>
      <c r="D192" s="118">
        <v>48.34</v>
      </c>
      <c r="E192" s="118">
        <v>0.44</v>
      </c>
    </row>
    <row r="193" spans="2:5" x14ac:dyDescent="0.2">
      <c r="B193" s="116" t="s">
        <v>450</v>
      </c>
      <c r="C193" s="117" t="s">
        <v>451</v>
      </c>
      <c r="D193" s="118">
        <v>7.34</v>
      </c>
      <c r="E193" s="118">
        <v>0.06</v>
      </c>
    </row>
    <row r="194" spans="2:5" x14ac:dyDescent="0.2">
      <c r="B194" s="116" t="s">
        <v>452</v>
      </c>
      <c r="C194" s="117" t="s">
        <v>453</v>
      </c>
      <c r="D194" s="118">
        <v>7.28</v>
      </c>
      <c r="E194" s="118">
        <v>0.05</v>
      </c>
    </row>
    <row r="195" spans="2:5" x14ac:dyDescent="0.2">
      <c r="B195" s="116" t="s">
        <v>454</v>
      </c>
      <c r="C195" s="117" t="s">
        <v>455</v>
      </c>
      <c r="D195" s="118">
        <v>9.4499999999999993</v>
      </c>
      <c r="E195" s="118">
        <v>0.1</v>
      </c>
    </row>
    <row r="196" spans="2:5" x14ac:dyDescent="0.2">
      <c r="B196" s="116" t="s">
        <v>457</v>
      </c>
      <c r="C196" s="117" t="s">
        <v>458</v>
      </c>
      <c r="D196" s="118">
        <v>26.98</v>
      </c>
      <c r="E196" s="118">
        <v>0.23</v>
      </c>
    </row>
    <row r="197" spans="2:5" x14ac:dyDescent="0.2">
      <c r="B197" s="116" t="s">
        <v>459</v>
      </c>
      <c r="C197" s="117" t="s">
        <v>460</v>
      </c>
      <c r="D197" s="118">
        <v>31.77</v>
      </c>
      <c r="E197" s="118">
        <v>0.25</v>
      </c>
    </row>
    <row r="198" spans="2:5" x14ac:dyDescent="0.2">
      <c r="B198" s="116" t="s">
        <v>3614</v>
      </c>
      <c r="C198" s="117" t="s">
        <v>3615</v>
      </c>
      <c r="D198" s="118"/>
      <c r="E198" s="118"/>
    </row>
    <row r="199" spans="2:5" x14ac:dyDescent="0.2">
      <c r="B199" s="116" t="s">
        <v>462</v>
      </c>
      <c r="C199" s="117" t="s">
        <v>463</v>
      </c>
      <c r="D199" s="118"/>
      <c r="E199" s="118">
        <v>0.05</v>
      </c>
    </row>
    <row r="200" spans="2:5" x14ac:dyDescent="0.2">
      <c r="B200" s="116" t="s">
        <v>464</v>
      </c>
      <c r="C200" s="117" t="s">
        <v>465</v>
      </c>
      <c r="D200" s="118">
        <v>5.93</v>
      </c>
      <c r="E200" s="118">
        <v>0.06</v>
      </c>
    </row>
    <row r="201" spans="2:5" x14ac:dyDescent="0.2">
      <c r="B201" s="116" t="s">
        <v>3616</v>
      </c>
      <c r="C201" s="117" t="s">
        <v>3617</v>
      </c>
      <c r="D201" s="118">
        <v>4.8600000000000003</v>
      </c>
      <c r="E201" s="118">
        <v>0.06</v>
      </c>
    </row>
    <row r="202" spans="2:5" x14ac:dyDescent="0.2">
      <c r="B202" s="116" t="s">
        <v>467</v>
      </c>
      <c r="C202" s="117" t="s">
        <v>468</v>
      </c>
      <c r="D202" s="118">
        <v>4.8600000000000003</v>
      </c>
      <c r="E202" s="118">
        <v>7.0000000000000007E-2</v>
      </c>
    </row>
    <row r="203" spans="2:5" x14ac:dyDescent="0.2">
      <c r="B203" s="116" t="s">
        <v>470</v>
      </c>
      <c r="C203" s="117" t="s">
        <v>471</v>
      </c>
      <c r="D203" s="118">
        <v>30.38</v>
      </c>
      <c r="E203" s="118">
        <v>0.26</v>
      </c>
    </row>
    <row r="204" spans="2:5" x14ac:dyDescent="0.2">
      <c r="B204" s="116" t="s">
        <v>472</v>
      </c>
      <c r="C204" s="117" t="s">
        <v>473</v>
      </c>
      <c r="D204" s="118">
        <v>6.09</v>
      </c>
      <c r="E204" s="118">
        <v>0.08</v>
      </c>
    </row>
    <row r="205" spans="2:5" x14ac:dyDescent="0.2">
      <c r="B205" s="116" t="s">
        <v>474</v>
      </c>
      <c r="C205" s="117" t="s">
        <v>475</v>
      </c>
      <c r="D205" s="118">
        <v>15.52</v>
      </c>
      <c r="E205" s="118">
        <v>0.15</v>
      </c>
    </row>
    <row r="206" spans="2:5" x14ac:dyDescent="0.2">
      <c r="B206" s="116" t="s">
        <v>476</v>
      </c>
      <c r="C206" s="117" t="s">
        <v>477</v>
      </c>
      <c r="D206" s="118">
        <v>11.35</v>
      </c>
      <c r="E206" s="118">
        <v>0.04</v>
      </c>
    </row>
    <row r="207" spans="2:5" x14ac:dyDescent="0.2">
      <c r="B207" s="116" t="s">
        <v>478</v>
      </c>
      <c r="C207" s="117" t="s">
        <v>479</v>
      </c>
      <c r="D207" s="118">
        <v>11.8</v>
      </c>
      <c r="E207" s="118">
        <v>0.1</v>
      </c>
    </row>
    <row r="208" spans="2:5" x14ac:dyDescent="0.2">
      <c r="B208" s="116" t="s">
        <v>480</v>
      </c>
      <c r="C208" s="117" t="s">
        <v>481</v>
      </c>
      <c r="D208" s="118"/>
      <c r="E208" s="118">
        <v>0.05</v>
      </c>
    </row>
    <row r="209" spans="2:5" x14ac:dyDescent="0.2">
      <c r="B209" s="116" t="s">
        <v>482</v>
      </c>
      <c r="C209" s="117" t="s">
        <v>483</v>
      </c>
      <c r="D209" s="118">
        <v>17.670000000000002</v>
      </c>
      <c r="E209" s="118">
        <v>0.16</v>
      </c>
    </row>
    <row r="210" spans="2:5" x14ac:dyDescent="0.2">
      <c r="B210" s="116" t="s">
        <v>482</v>
      </c>
      <c r="C210" s="117" t="s">
        <v>3618</v>
      </c>
      <c r="D210" s="118">
        <v>17.670000000000002</v>
      </c>
      <c r="E210" s="118">
        <v>0.16</v>
      </c>
    </row>
    <row r="211" spans="2:5" x14ac:dyDescent="0.2">
      <c r="B211" s="116" t="s">
        <v>3619</v>
      </c>
      <c r="C211" s="117" t="s">
        <v>3620</v>
      </c>
      <c r="D211" s="118"/>
      <c r="E211" s="118"/>
    </row>
    <row r="212" spans="2:5" x14ac:dyDescent="0.2">
      <c r="B212" s="116" t="s">
        <v>484</v>
      </c>
      <c r="C212" s="117" t="s">
        <v>485</v>
      </c>
      <c r="D212" s="118"/>
      <c r="E212" s="118">
        <v>0.19</v>
      </c>
    </row>
    <row r="213" spans="2:5" x14ac:dyDescent="0.2">
      <c r="B213" s="116" t="s">
        <v>3621</v>
      </c>
      <c r="C213" s="117" t="s">
        <v>3622</v>
      </c>
      <c r="D213" s="118">
        <v>73.62</v>
      </c>
      <c r="E213" s="118">
        <v>0.73</v>
      </c>
    </row>
    <row r="214" spans="2:5" x14ac:dyDescent="0.2">
      <c r="B214" s="116" t="s">
        <v>486</v>
      </c>
      <c r="C214" s="117" t="s">
        <v>487</v>
      </c>
      <c r="D214" s="118">
        <v>28.65</v>
      </c>
      <c r="E214" s="118">
        <v>0.25</v>
      </c>
    </row>
    <row r="215" spans="2:5" x14ac:dyDescent="0.2">
      <c r="B215" s="116" t="s">
        <v>3623</v>
      </c>
      <c r="C215" s="117" t="s">
        <v>3624</v>
      </c>
      <c r="D215" s="118">
        <v>1.95</v>
      </c>
      <c r="E215" s="118">
        <v>0</v>
      </c>
    </row>
    <row r="216" spans="2:5" x14ac:dyDescent="0.2">
      <c r="B216" s="116" t="s">
        <v>488</v>
      </c>
      <c r="C216" s="117" t="s">
        <v>489</v>
      </c>
      <c r="D216" s="118">
        <v>23.08</v>
      </c>
      <c r="E216" s="118">
        <v>0.31</v>
      </c>
    </row>
    <row r="217" spans="2:5" x14ac:dyDescent="0.2">
      <c r="B217" s="116" t="s">
        <v>490</v>
      </c>
      <c r="C217" s="117" t="s">
        <v>491</v>
      </c>
      <c r="D217" s="118">
        <v>3.65</v>
      </c>
      <c r="E217" s="118">
        <v>0.03</v>
      </c>
    </row>
    <row r="218" spans="2:5" x14ac:dyDescent="0.2">
      <c r="B218" s="116" t="s">
        <v>492</v>
      </c>
      <c r="C218" s="117" t="s">
        <v>493</v>
      </c>
      <c r="D218" s="118">
        <v>8.26</v>
      </c>
      <c r="E218" s="118">
        <v>0.05</v>
      </c>
    </row>
    <row r="219" spans="2:5" x14ac:dyDescent="0.2">
      <c r="B219" s="116" t="s">
        <v>495</v>
      </c>
      <c r="C219" s="117" t="s">
        <v>496</v>
      </c>
      <c r="D219" s="118"/>
      <c r="E219" s="118">
        <v>1.33</v>
      </c>
    </row>
    <row r="220" spans="2:5" x14ac:dyDescent="0.2">
      <c r="B220" s="116" t="s">
        <v>497</v>
      </c>
      <c r="C220" s="117" t="s">
        <v>498</v>
      </c>
      <c r="D220" s="118">
        <v>13.51</v>
      </c>
      <c r="E220" s="118">
        <v>0.12</v>
      </c>
    </row>
    <row r="221" spans="2:5" x14ac:dyDescent="0.2">
      <c r="B221" s="116" t="s">
        <v>500</v>
      </c>
      <c r="C221" s="117" t="s">
        <v>501</v>
      </c>
      <c r="D221" s="118">
        <v>33.56</v>
      </c>
      <c r="E221" s="118">
        <v>0.24</v>
      </c>
    </row>
    <row r="222" spans="2:5" x14ac:dyDescent="0.2">
      <c r="B222" s="116" t="s">
        <v>3625</v>
      </c>
      <c r="C222" s="117" t="s">
        <v>3626</v>
      </c>
      <c r="D222" s="118"/>
      <c r="E222" s="118">
        <v>0.28000000000000003</v>
      </c>
    </row>
    <row r="223" spans="2:5" x14ac:dyDescent="0.2">
      <c r="B223" s="116" t="s">
        <v>502</v>
      </c>
      <c r="C223" s="117" t="s">
        <v>503</v>
      </c>
      <c r="D223" s="118"/>
      <c r="E223" s="118">
        <v>0.04</v>
      </c>
    </row>
    <row r="224" spans="2:5" x14ac:dyDescent="0.2">
      <c r="B224" s="116" t="s">
        <v>3627</v>
      </c>
      <c r="C224" s="117" t="s">
        <v>3628</v>
      </c>
      <c r="D224" s="118"/>
      <c r="E224" s="118"/>
    </row>
    <row r="225" spans="2:5" x14ac:dyDescent="0.2">
      <c r="B225" s="116" t="s">
        <v>504</v>
      </c>
      <c r="C225" s="117" t="s">
        <v>505</v>
      </c>
      <c r="D225" s="118">
        <v>5.15</v>
      </c>
      <c r="E225" s="118">
        <v>-0.01</v>
      </c>
    </row>
    <row r="226" spans="2:5" x14ac:dyDescent="0.2">
      <c r="B226" s="116" t="s">
        <v>506</v>
      </c>
      <c r="C226" s="117" t="s">
        <v>507</v>
      </c>
      <c r="D226" s="118">
        <v>15.35</v>
      </c>
      <c r="E226" s="118">
        <v>0.12</v>
      </c>
    </row>
    <row r="227" spans="2:5" x14ac:dyDescent="0.2">
      <c r="B227" s="116" t="s">
        <v>508</v>
      </c>
      <c r="C227" s="117" t="s">
        <v>509</v>
      </c>
      <c r="D227" s="118">
        <v>15.95</v>
      </c>
      <c r="E227" s="118">
        <v>0.1</v>
      </c>
    </row>
    <row r="228" spans="2:5" x14ac:dyDescent="0.2">
      <c r="B228" s="116" t="s">
        <v>3629</v>
      </c>
      <c r="C228" s="117" t="s">
        <v>3630</v>
      </c>
      <c r="D228" s="118">
        <v>11.91</v>
      </c>
      <c r="E228" s="118">
        <v>0.1</v>
      </c>
    </row>
    <row r="229" spans="2:5" x14ac:dyDescent="0.2">
      <c r="B229" s="116" t="s">
        <v>510</v>
      </c>
      <c r="C229" s="117" t="s">
        <v>511</v>
      </c>
      <c r="D229" s="118">
        <v>18.399999999999999</v>
      </c>
      <c r="E229" s="118">
        <v>0.02</v>
      </c>
    </row>
    <row r="230" spans="2:5" x14ac:dyDescent="0.2">
      <c r="B230" s="116" t="s">
        <v>512</v>
      </c>
      <c r="C230" s="117" t="s">
        <v>513</v>
      </c>
      <c r="D230" s="118">
        <v>23.74</v>
      </c>
      <c r="E230" s="118">
        <v>0.12</v>
      </c>
    </row>
    <row r="231" spans="2:5" x14ac:dyDescent="0.2">
      <c r="B231" s="116" t="s">
        <v>3631</v>
      </c>
      <c r="C231" s="117" t="s">
        <v>3632</v>
      </c>
      <c r="D231" s="118">
        <v>9.16</v>
      </c>
      <c r="E231" s="118">
        <v>0.02</v>
      </c>
    </row>
    <row r="232" spans="2:5" x14ac:dyDescent="0.2">
      <c r="B232" s="116" t="s">
        <v>514</v>
      </c>
      <c r="C232" s="117" t="s">
        <v>515</v>
      </c>
      <c r="D232" s="118">
        <v>5.78</v>
      </c>
      <c r="E232" s="118">
        <v>0.06</v>
      </c>
    </row>
    <row r="233" spans="2:5" x14ac:dyDescent="0.2">
      <c r="B233" s="116" t="s">
        <v>516</v>
      </c>
      <c r="C233" s="117" t="s">
        <v>517</v>
      </c>
      <c r="D233" s="118">
        <v>24.7</v>
      </c>
      <c r="E233" s="118">
        <v>0.25</v>
      </c>
    </row>
    <row r="234" spans="2:5" x14ac:dyDescent="0.2">
      <c r="B234" s="116" t="s">
        <v>518</v>
      </c>
      <c r="C234" s="117" t="s">
        <v>519</v>
      </c>
      <c r="D234" s="118">
        <v>24.7</v>
      </c>
      <c r="E234" s="118">
        <v>0.25</v>
      </c>
    </row>
    <row r="235" spans="2:5" x14ac:dyDescent="0.2">
      <c r="B235" s="116" t="s">
        <v>520</v>
      </c>
      <c r="C235" s="117" t="s">
        <v>521</v>
      </c>
      <c r="D235" s="118">
        <v>10.220000000000001</v>
      </c>
      <c r="E235" s="118">
        <v>0.08</v>
      </c>
    </row>
    <row r="236" spans="2:5" x14ac:dyDescent="0.2">
      <c r="B236" s="116" t="s">
        <v>523</v>
      </c>
      <c r="C236" s="117" t="s">
        <v>524</v>
      </c>
      <c r="D236" s="118">
        <v>1.55</v>
      </c>
      <c r="E236" s="118">
        <v>0.01</v>
      </c>
    </row>
    <row r="237" spans="2:5" x14ac:dyDescent="0.2">
      <c r="B237" s="116" t="s">
        <v>526</v>
      </c>
      <c r="C237" s="117" t="s">
        <v>527</v>
      </c>
      <c r="D237" s="118">
        <v>-153.32</v>
      </c>
      <c r="E237" s="118">
        <v>-3.4</v>
      </c>
    </row>
    <row r="238" spans="2:5" x14ac:dyDescent="0.2">
      <c r="B238" s="116" t="s">
        <v>528</v>
      </c>
      <c r="C238" s="117" t="s">
        <v>529</v>
      </c>
      <c r="D238" s="118">
        <v>17.82</v>
      </c>
      <c r="E238" s="118">
        <v>-0.49</v>
      </c>
    </row>
    <row r="239" spans="2:5" x14ac:dyDescent="0.2">
      <c r="B239" s="116" t="s">
        <v>530</v>
      </c>
      <c r="C239" s="117" t="s">
        <v>531</v>
      </c>
      <c r="D239" s="118">
        <v>11.65</v>
      </c>
      <c r="E239" s="118">
        <v>0.1</v>
      </c>
    </row>
    <row r="240" spans="2:5" x14ac:dyDescent="0.2">
      <c r="B240" s="116" t="s">
        <v>532</v>
      </c>
      <c r="C240" s="117" t="s">
        <v>533</v>
      </c>
      <c r="D240" s="118">
        <v>1.61</v>
      </c>
      <c r="E240" s="118">
        <v>0.01</v>
      </c>
    </row>
    <row r="241" spans="2:5" x14ac:dyDescent="0.2">
      <c r="B241" s="116" t="s">
        <v>3633</v>
      </c>
      <c r="C241" s="117" t="s">
        <v>3634</v>
      </c>
      <c r="D241" s="118"/>
      <c r="E241" s="118">
        <v>0.41</v>
      </c>
    </row>
    <row r="242" spans="2:5" x14ac:dyDescent="0.2">
      <c r="B242" s="116" t="s">
        <v>535</v>
      </c>
      <c r="C242" s="117" t="s">
        <v>536</v>
      </c>
      <c r="D242" s="118"/>
      <c r="E242" s="118"/>
    </row>
    <row r="243" spans="2:5" x14ac:dyDescent="0.2">
      <c r="B243" s="116" t="s">
        <v>537</v>
      </c>
      <c r="C243" s="117" t="s">
        <v>538</v>
      </c>
      <c r="D243" s="118"/>
      <c r="E243" s="118">
        <v>0.19</v>
      </c>
    </row>
    <row r="244" spans="2:5" x14ac:dyDescent="0.2">
      <c r="B244" s="116" t="s">
        <v>539</v>
      </c>
      <c r="C244" s="117" t="s">
        <v>540</v>
      </c>
      <c r="D244" s="118">
        <v>14.96</v>
      </c>
      <c r="E244" s="118">
        <v>0.27</v>
      </c>
    </row>
    <row r="245" spans="2:5" x14ac:dyDescent="0.2">
      <c r="B245" s="116" t="s">
        <v>541</v>
      </c>
      <c r="C245" s="117" t="s">
        <v>542</v>
      </c>
      <c r="D245" s="118">
        <v>42.72</v>
      </c>
      <c r="E245" s="118">
        <v>0.33</v>
      </c>
    </row>
    <row r="246" spans="2:5" x14ac:dyDescent="0.2">
      <c r="B246" s="116" t="s">
        <v>543</v>
      </c>
      <c r="C246" s="117" t="s">
        <v>544</v>
      </c>
      <c r="D246" s="118">
        <v>-14.22</v>
      </c>
      <c r="E246" s="118">
        <v>-0.13</v>
      </c>
    </row>
    <row r="247" spans="2:5" x14ac:dyDescent="0.2">
      <c r="B247" s="116" t="s">
        <v>545</v>
      </c>
      <c r="C247" s="117" t="s">
        <v>546</v>
      </c>
      <c r="D247" s="118">
        <v>8.25</v>
      </c>
      <c r="E247" s="118">
        <v>0.16</v>
      </c>
    </row>
    <row r="248" spans="2:5" x14ac:dyDescent="0.2">
      <c r="B248" s="116" t="s">
        <v>545</v>
      </c>
      <c r="C248" s="117" t="s">
        <v>3635</v>
      </c>
      <c r="D248" s="118">
        <v>8.25</v>
      </c>
      <c r="E248" s="118">
        <v>0.16</v>
      </c>
    </row>
    <row r="249" spans="2:5" x14ac:dyDescent="0.2">
      <c r="B249" s="116" t="s">
        <v>547</v>
      </c>
      <c r="C249" s="117" t="s">
        <v>548</v>
      </c>
      <c r="D249" s="118">
        <v>3.32</v>
      </c>
      <c r="E249" s="118">
        <v>7.0000000000000007E-2</v>
      </c>
    </row>
    <row r="250" spans="2:5" x14ac:dyDescent="0.2">
      <c r="B250" s="116" t="s">
        <v>549</v>
      </c>
      <c r="C250" s="117" t="s">
        <v>550</v>
      </c>
      <c r="D250" s="118">
        <v>1.58</v>
      </c>
      <c r="E250" s="118">
        <v>0.01</v>
      </c>
    </row>
    <row r="251" spans="2:5" x14ac:dyDescent="0.2">
      <c r="B251" s="116" t="s">
        <v>552</v>
      </c>
      <c r="C251" s="117" t="s">
        <v>553</v>
      </c>
      <c r="D251" s="118">
        <v>25.58</v>
      </c>
      <c r="E251" s="118">
        <v>0.22</v>
      </c>
    </row>
    <row r="252" spans="2:5" x14ac:dyDescent="0.2">
      <c r="B252" s="116" t="s">
        <v>554</v>
      </c>
      <c r="C252" s="117" t="s">
        <v>555</v>
      </c>
      <c r="D252" s="118"/>
      <c r="E252" s="118">
        <v>0.22</v>
      </c>
    </row>
    <row r="253" spans="2:5" x14ac:dyDescent="0.2">
      <c r="B253" s="116" t="s">
        <v>556</v>
      </c>
      <c r="C253" s="117" t="s">
        <v>557</v>
      </c>
      <c r="D253" s="118"/>
      <c r="E253" s="118">
        <v>0.21</v>
      </c>
    </row>
    <row r="254" spans="2:5" x14ac:dyDescent="0.2">
      <c r="B254" s="116" t="s">
        <v>559</v>
      </c>
      <c r="C254" s="117" t="s">
        <v>560</v>
      </c>
      <c r="D254" s="118">
        <v>11.55</v>
      </c>
      <c r="E254" s="118">
        <v>0.15</v>
      </c>
    </row>
    <row r="255" spans="2:5" x14ac:dyDescent="0.2">
      <c r="B255" s="116" t="s">
        <v>3636</v>
      </c>
      <c r="C255" s="117" t="s">
        <v>3637</v>
      </c>
      <c r="D255" s="118">
        <v>13.65</v>
      </c>
      <c r="E255" s="118">
        <v>0.16</v>
      </c>
    </row>
    <row r="256" spans="2:5" x14ac:dyDescent="0.2">
      <c r="B256" s="116" t="s">
        <v>561</v>
      </c>
      <c r="C256" s="117" t="s">
        <v>562</v>
      </c>
      <c r="D256" s="118">
        <v>24.81</v>
      </c>
      <c r="E256" s="118">
        <v>0.15</v>
      </c>
    </row>
    <row r="257" spans="2:5" x14ac:dyDescent="0.2">
      <c r="B257" s="116" t="s">
        <v>564</v>
      </c>
      <c r="C257" s="117" t="s">
        <v>565</v>
      </c>
      <c r="D257" s="118">
        <v>29.75</v>
      </c>
      <c r="E257" s="118">
        <v>0.28000000000000003</v>
      </c>
    </row>
    <row r="258" spans="2:5" x14ac:dyDescent="0.2">
      <c r="B258" s="116" t="s">
        <v>566</v>
      </c>
      <c r="C258" s="117" t="s">
        <v>567</v>
      </c>
      <c r="D258" s="118">
        <v>26.23</v>
      </c>
      <c r="E258" s="118">
        <v>0.25</v>
      </c>
    </row>
    <row r="259" spans="2:5" x14ac:dyDescent="0.2">
      <c r="B259" s="116" t="s">
        <v>568</v>
      </c>
      <c r="C259" s="117" t="s">
        <v>569</v>
      </c>
      <c r="D259" s="118">
        <v>28.07</v>
      </c>
      <c r="E259" s="118">
        <v>0.21</v>
      </c>
    </row>
    <row r="260" spans="2:5" x14ac:dyDescent="0.2">
      <c r="B260" s="116" t="s">
        <v>570</v>
      </c>
      <c r="C260" s="117" t="s">
        <v>571</v>
      </c>
      <c r="D260" s="118">
        <v>6.71</v>
      </c>
      <c r="E260" s="118">
        <v>0.06</v>
      </c>
    </row>
    <row r="261" spans="2:5" x14ac:dyDescent="0.2">
      <c r="B261" s="116" t="s">
        <v>572</v>
      </c>
      <c r="C261" s="117" t="s">
        <v>573</v>
      </c>
      <c r="D261" s="118">
        <v>30.58</v>
      </c>
      <c r="E261" s="118">
        <v>0.3</v>
      </c>
    </row>
    <row r="262" spans="2:5" x14ac:dyDescent="0.2">
      <c r="B262" s="116" t="s">
        <v>574</v>
      </c>
      <c r="C262" s="117" t="s">
        <v>575</v>
      </c>
      <c r="D262" s="118">
        <v>13.3</v>
      </c>
      <c r="E262" s="118">
        <v>0.05</v>
      </c>
    </row>
    <row r="263" spans="2:5" x14ac:dyDescent="0.2">
      <c r="B263" s="116" t="s">
        <v>576</v>
      </c>
      <c r="C263" s="117" t="s">
        <v>577</v>
      </c>
      <c r="D263" s="118">
        <v>6.7</v>
      </c>
      <c r="E263" s="118">
        <v>0.04</v>
      </c>
    </row>
    <row r="264" spans="2:5" x14ac:dyDescent="0.2">
      <c r="B264" s="116" t="s">
        <v>579</v>
      </c>
      <c r="C264" s="117" t="s">
        <v>580</v>
      </c>
      <c r="D264" s="118">
        <v>-1158.04</v>
      </c>
      <c r="E264" s="118">
        <v>-10.18</v>
      </c>
    </row>
    <row r="265" spans="2:5" x14ac:dyDescent="0.2">
      <c r="B265" s="116" t="s">
        <v>3638</v>
      </c>
      <c r="C265" s="117" t="s">
        <v>3639</v>
      </c>
      <c r="D265" s="118"/>
      <c r="E265" s="118"/>
    </row>
    <row r="266" spans="2:5" x14ac:dyDescent="0.2">
      <c r="B266" s="116" t="s">
        <v>3640</v>
      </c>
      <c r="C266" s="117" t="s">
        <v>3641</v>
      </c>
      <c r="D266" s="118"/>
      <c r="E266" s="118"/>
    </row>
    <row r="267" spans="2:5" x14ac:dyDescent="0.2">
      <c r="B267" s="116" t="s">
        <v>581</v>
      </c>
      <c r="C267" s="117" t="s">
        <v>582</v>
      </c>
      <c r="D267" s="118">
        <v>24.38</v>
      </c>
      <c r="E267" s="118">
        <v>0.17</v>
      </c>
    </row>
    <row r="268" spans="2:5" x14ac:dyDescent="0.2">
      <c r="B268" s="116" t="s">
        <v>583</v>
      </c>
      <c r="C268" s="117" t="s">
        <v>584</v>
      </c>
      <c r="D268" s="118">
        <v>3.68</v>
      </c>
      <c r="E268" s="118">
        <v>-0.05</v>
      </c>
    </row>
    <row r="269" spans="2:5" x14ac:dyDescent="0.2">
      <c r="B269" s="116" t="s">
        <v>585</v>
      </c>
      <c r="C269" s="117" t="s">
        <v>586</v>
      </c>
      <c r="D269" s="118"/>
      <c r="E269" s="118">
        <v>0.06</v>
      </c>
    </row>
    <row r="270" spans="2:5" x14ac:dyDescent="0.2">
      <c r="B270" s="116" t="s">
        <v>588</v>
      </c>
      <c r="C270" s="117" t="s">
        <v>589</v>
      </c>
      <c r="D270" s="118">
        <v>29.62</v>
      </c>
      <c r="E270" s="118">
        <v>0.22</v>
      </c>
    </row>
    <row r="271" spans="2:5" x14ac:dyDescent="0.2">
      <c r="B271" s="116" t="s">
        <v>590</v>
      </c>
      <c r="C271" s="117" t="s">
        <v>591</v>
      </c>
      <c r="D271" s="118">
        <v>18.54</v>
      </c>
      <c r="E271" s="118">
        <v>0.18</v>
      </c>
    </row>
    <row r="272" spans="2:5" x14ac:dyDescent="0.2">
      <c r="B272" s="116" t="s">
        <v>592</v>
      </c>
      <c r="C272" s="117" t="s">
        <v>593</v>
      </c>
      <c r="D272" s="118">
        <v>29.07</v>
      </c>
      <c r="E272" s="118">
        <v>0.21</v>
      </c>
    </row>
    <row r="273" spans="2:5" x14ac:dyDescent="0.2">
      <c r="B273" s="116" t="s">
        <v>594</v>
      </c>
      <c r="C273" s="117" t="s">
        <v>595</v>
      </c>
      <c r="D273" s="118">
        <v>3.64</v>
      </c>
      <c r="E273" s="118">
        <v>0.04</v>
      </c>
    </row>
    <row r="274" spans="2:5" x14ac:dyDescent="0.2">
      <c r="B274" s="116" t="s">
        <v>596</v>
      </c>
      <c r="C274" s="117" t="s">
        <v>597</v>
      </c>
      <c r="D274" s="118">
        <v>33.89</v>
      </c>
      <c r="E274" s="118">
        <v>0.31</v>
      </c>
    </row>
    <row r="275" spans="2:5" x14ac:dyDescent="0.2">
      <c r="B275" s="116" t="s">
        <v>599</v>
      </c>
      <c r="C275" s="117" t="s">
        <v>600</v>
      </c>
      <c r="D275" s="118">
        <v>28.11</v>
      </c>
      <c r="E275" s="118">
        <v>0.24</v>
      </c>
    </row>
    <row r="276" spans="2:5" x14ac:dyDescent="0.2">
      <c r="B276" s="116" t="s">
        <v>3642</v>
      </c>
      <c r="C276" s="117" t="s">
        <v>3643</v>
      </c>
      <c r="D276" s="118">
        <v>7.88</v>
      </c>
      <c r="E276" s="118">
        <v>0.08</v>
      </c>
    </row>
    <row r="277" spans="2:5" x14ac:dyDescent="0.2">
      <c r="B277" s="116" t="s">
        <v>602</v>
      </c>
      <c r="C277" s="117" t="s">
        <v>603</v>
      </c>
      <c r="D277" s="118">
        <v>3.62</v>
      </c>
      <c r="E277" s="118">
        <v>0.04</v>
      </c>
    </row>
    <row r="278" spans="2:5" x14ac:dyDescent="0.2">
      <c r="B278" s="116" t="s">
        <v>604</v>
      </c>
      <c r="C278" s="117" t="s">
        <v>605</v>
      </c>
      <c r="D278" s="118">
        <v>4.18</v>
      </c>
      <c r="E278" s="118">
        <v>0.03</v>
      </c>
    </row>
    <row r="279" spans="2:5" x14ac:dyDescent="0.2">
      <c r="B279" s="116" t="s">
        <v>607</v>
      </c>
      <c r="C279" s="117" t="s">
        <v>608</v>
      </c>
      <c r="D279" s="118">
        <v>10.44</v>
      </c>
      <c r="E279" s="118">
        <v>-0.01</v>
      </c>
    </row>
    <row r="280" spans="2:5" x14ac:dyDescent="0.2">
      <c r="B280" s="116" t="s">
        <v>610</v>
      </c>
      <c r="C280" s="117" t="s">
        <v>611</v>
      </c>
      <c r="D280" s="118">
        <v>-4268.74</v>
      </c>
      <c r="E280" s="118">
        <v>-5.32</v>
      </c>
    </row>
    <row r="281" spans="2:5" x14ac:dyDescent="0.2">
      <c r="B281" s="116" t="s">
        <v>612</v>
      </c>
      <c r="C281" s="117" t="s">
        <v>613</v>
      </c>
      <c r="D281" s="118">
        <v>24.9</v>
      </c>
      <c r="E281" s="118">
        <v>0.23</v>
      </c>
    </row>
    <row r="282" spans="2:5" x14ac:dyDescent="0.2">
      <c r="B282" s="116" t="s">
        <v>3644</v>
      </c>
      <c r="C282" s="117" t="s">
        <v>3645</v>
      </c>
      <c r="D282" s="118">
        <v>21.13</v>
      </c>
      <c r="E282" s="118">
        <v>0.13</v>
      </c>
    </row>
    <row r="283" spans="2:5" x14ac:dyDescent="0.2">
      <c r="B283" s="116" t="s">
        <v>615</v>
      </c>
      <c r="C283" s="117" t="s">
        <v>616</v>
      </c>
      <c r="D283" s="118">
        <v>12.69</v>
      </c>
      <c r="E283" s="118">
        <v>0.11</v>
      </c>
    </row>
    <row r="284" spans="2:5" x14ac:dyDescent="0.2">
      <c r="B284" s="116" t="s">
        <v>617</v>
      </c>
      <c r="C284" s="117" t="s">
        <v>618</v>
      </c>
      <c r="D284" s="118">
        <v>6.5</v>
      </c>
      <c r="E284" s="118">
        <v>0.08</v>
      </c>
    </row>
    <row r="285" spans="2:5" x14ac:dyDescent="0.2">
      <c r="B285" s="116" t="s">
        <v>620</v>
      </c>
      <c r="C285" s="117" t="s">
        <v>621</v>
      </c>
      <c r="D285" s="118">
        <v>-2.2999999999999998</v>
      </c>
      <c r="E285" s="118">
        <v>-0.13</v>
      </c>
    </row>
    <row r="286" spans="2:5" x14ac:dyDescent="0.2">
      <c r="B286" s="116" t="s">
        <v>622</v>
      </c>
      <c r="C286" s="117" t="s">
        <v>3646</v>
      </c>
      <c r="D286" s="118">
        <v>9.66</v>
      </c>
      <c r="E286" s="118">
        <v>0.02</v>
      </c>
    </row>
    <row r="287" spans="2:5" x14ac:dyDescent="0.2">
      <c r="B287" s="116" t="s">
        <v>622</v>
      </c>
      <c r="C287" s="117" t="s">
        <v>623</v>
      </c>
      <c r="D287" s="118">
        <v>9.66</v>
      </c>
      <c r="E287" s="118">
        <v>0.02</v>
      </c>
    </row>
    <row r="288" spans="2:5" x14ac:dyDescent="0.2">
      <c r="B288" s="116" t="s">
        <v>624</v>
      </c>
      <c r="C288" s="117" t="s">
        <v>625</v>
      </c>
      <c r="D288" s="118">
        <v>3.18</v>
      </c>
      <c r="E288" s="118">
        <v>0.04</v>
      </c>
    </row>
    <row r="289" spans="2:5" x14ac:dyDescent="0.2">
      <c r="B289" s="116" t="s">
        <v>626</v>
      </c>
      <c r="C289" s="117" t="s">
        <v>627</v>
      </c>
      <c r="D289" s="118">
        <v>12.1</v>
      </c>
      <c r="E289" s="118">
        <v>0.09</v>
      </c>
    </row>
    <row r="290" spans="2:5" x14ac:dyDescent="0.2">
      <c r="B290" s="116" t="s">
        <v>629</v>
      </c>
      <c r="C290" s="117" t="s">
        <v>630</v>
      </c>
      <c r="D290" s="118">
        <v>17.28</v>
      </c>
      <c r="E290" s="118">
        <v>0.17</v>
      </c>
    </row>
    <row r="291" spans="2:5" x14ac:dyDescent="0.2">
      <c r="B291" s="116" t="s">
        <v>3647</v>
      </c>
      <c r="C291" s="117" t="s">
        <v>3648</v>
      </c>
      <c r="D291" s="118">
        <v>7.47</v>
      </c>
      <c r="E291" s="118">
        <v>0.08</v>
      </c>
    </row>
    <row r="292" spans="2:5" x14ac:dyDescent="0.2">
      <c r="B292" s="116" t="s">
        <v>631</v>
      </c>
      <c r="C292" s="117" t="s">
        <v>632</v>
      </c>
      <c r="D292" s="118">
        <v>30.07</v>
      </c>
      <c r="E292" s="118">
        <v>0.3</v>
      </c>
    </row>
    <row r="293" spans="2:5" x14ac:dyDescent="0.2">
      <c r="B293" s="116" t="s">
        <v>633</v>
      </c>
      <c r="C293" s="117" t="s">
        <v>634</v>
      </c>
      <c r="D293" s="118">
        <v>33.54</v>
      </c>
      <c r="E293" s="118">
        <v>0.25</v>
      </c>
    </row>
    <row r="294" spans="2:5" x14ac:dyDescent="0.2">
      <c r="B294" s="116" t="s">
        <v>635</v>
      </c>
      <c r="C294" s="117" t="s">
        <v>636</v>
      </c>
      <c r="D294" s="118">
        <v>22.46</v>
      </c>
      <c r="E294" s="118">
        <v>0.14000000000000001</v>
      </c>
    </row>
    <row r="295" spans="2:5" x14ac:dyDescent="0.2">
      <c r="B295" s="116" t="s">
        <v>640</v>
      </c>
      <c r="C295" s="117" t="s">
        <v>641</v>
      </c>
      <c r="D295" s="118">
        <v>24.4</v>
      </c>
      <c r="E295" s="118">
        <v>0.15</v>
      </c>
    </row>
    <row r="296" spans="2:5" x14ac:dyDescent="0.2">
      <c r="B296" s="116" t="s">
        <v>642</v>
      </c>
      <c r="C296" s="117" t="s">
        <v>643</v>
      </c>
      <c r="D296" s="118">
        <v>20.62</v>
      </c>
      <c r="E296" s="118">
        <v>0.17</v>
      </c>
    </row>
    <row r="297" spans="2:5" x14ac:dyDescent="0.2">
      <c r="B297" s="116" t="s">
        <v>644</v>
      </c>
      <c r="C297" s="117" t="s">
        <v>645</v>
      </c>
      <c r="D297" s="118"/>
      <c r="E297" s="118">
        <v>0.16</v>
      </c>
    </row>
    <row r="298" spans="2:5" x14ac:dyDescent="0.2">
      <c r="B298" s="116" t="s">
        <v>646</v>
      </c>
      <c r="C298" s="117" t="s">
        <v>647</v>
      </c>
      <c r="D298" s="118">
        <v>12.78</v>
      </c>
      <c r="E298" s="118">
        <v>0.02</v>
      </c>
    </row>
    <row r="299" spans="2:5" x14ac:dyDescent="0.2">
      <c r="B299" s="116" t="s">
        <v>648</v>
      </c>
      <c r="C299" s="117" t="s">
        <v>649</v>
      </c>
      <c r="D299" s="118"/>
      <c r="E299" s="118">
        <v>0.25</v>
      </c>
    </row>
    <row r="300" spans="2:5" x14ac:dyDescent="0.2">
      <c r="B300" s="116" t="s">
        <v>3649</v>
      </c>
      <c r="C300" s="117" t="s">
        <v>3650</v>
      </c>
      <c r="D300" s="118"/>
      <c r="E300" s="118">
        <v>-0.32</v>
      </c>
    </row>
    <row r="301" spans="2:5" x14ac:dyDescent="0.2">
      <c r="B301" s="116" t="s">
        <v>651</v>
      </c>
      <c r="C301" s="117" t="s">
        <v>652</v>
      </c>
      <c r="D301" s="118"/>
      <c r="E301" s="118">
        <v>0.1</v>
      </c>
    </row>
    <row r="302" spans="2:5" x14ac:dyDescent="0.2">
      <c r="B302" s="116" t="s">
        <v>3651</v>
      </c>
      <c r="C302" s="117" t="s">
        <v>3652</v>
      </c>
      <c r="D302" s="118"/>
      <c r="E302" s="118">
        <v>0.08</v>
      </c>
    </row>
    <row r="303" spans="2:5" x14ac:dyDescent="0.2">
      <c r="B303" s="116" t="s">
        <v>653</v>
      </c>
      <c r="C303" s="117" t="s">
        <v>654</v>
      </c>
      <c r="D303" s="118">
        <v>15.11</v>
      </c>
      <c r="E303" s="118">
        <v>0.08</v>
      </c>
    </row>
    <row r="304" spans="2:5" x14ac:dyDescent="0.2">
      <c r="B304" s="116" t="s">
        <v>655</v>
      </c>
      <c r="C304" s="117" t="s">
        <v>656</v>
      </c>
      <c r="D304" s="118"/>
      <c r="E304" s="118">
        <v>0.13</v>
      </c>
    </row>
    <row r="305" spans="2:5" x14ac:dyDescent="0.2">
      <c r="B305" s="116" t="s">
        <v>658</v>
      </c>
      <c r="C305" s="117" t="s">
        <v>659</v>
      </c>
      <c r="D305" s="118">
        <v>6.56</v>
      </c>
      <c r="E305" s="118">
        <v>0.06</v>
      </c>
    </row>
    <row r="306" spans="2:5" x14ac:dyDescent="0.2">
      <c r="B306" s="116" t="s">
        <v>661</v>
      </c>
      <c r="C306" s="117" t="s">
        <v>662</v>
      </c>
      <c r="D306" s="118">
        <v>4.49</v>
      </c>
      <c r="E306" s="118">
        <v>-0.01</v>
      </c>
    </row>
    <row r="307" spans="2:5" x14ac:dyDescent="0.2">
      <c r="B307" s="116" t="s">
        <v>664</v>
      </c>
      <c r="C307" s="117" t="s">
        <v>665</v>
      </c>
      <c r="D307" s="118"/>
      <c r="E307" s="118"/>
    </row>
    <row r="308" spans="2:5" x14ac:dyDescent="0.2">
      <c r="B308" s="116" t="s">
        <v>666</v>
      </c>
      <c r="C308" s="117" t="s">
        <v>667</v>
      </c>
      <c r="D308" s="118">
        <v>8.61</v>
      </c>
      <c r="E308" s="118">
        <v>0.09</v>
      </c>
    </row>
    <row r="309" spans="2:5" x14ac:dyDescent="0.2">
      <c r="B309" s="116" t="s">
        <v>668</v>
      </c>
      <c r="C309" s="117" t="s">
        <v>669</v>
      </c>
      <c r="D309" s="118">
        <v>13.53</v>
      </c>
      <c r="E309" s="118">
        <v>0.13</v>
      </c>
    </row>
    <row r="310" spans="2:5" x14ac:dyDescent="0.2">
      <c r="B310" s="116" t="s">
        <v>670</v>
      </c>
      <c r="C310" s="117" t="s">
        <v>671</v>
      </c>
      <c r="D310" s="118">
        <v>33.36</v>
      </c>
      <c r="E310" s="118">
        <v>0.23</v>
      </c>
    </row>
    <row r="311" spans="2:5" x14ac:dyDescent="0.2">
      <c r="B311" s="116" t="s">
        <v>3653</v>
      </c>
      <c r="C311" s="117" t="s">
        <v>3654</v>
      </c>
      <c r="D311" s="118"/>
      <c r="E311" s="118"/>
    </row>
    <row r="312" spans="2:5" x14ac:dyDescent="0.2">
      <c r="B312" s="116" t="s">
        <v>672</v>
      </c>
      <c r="C312" s="117" t="s">
        <v>673</v>
      </c>
      <c r="D312" s="118">
        <v>82.17</v>
      </c>
      <c r="E312" s="118">
        <v>0.72</v>
      </c>
    </row>
    <row r="313" spans="2:5" x14ac:dyDescent="0.2">
      <c r="B313" s="116" t="s">
        <v>674</v>
      </c>
      <c r="C313" s="117" t="s">
        <v>675</v>
      </c>
      <c r="D313" s="118">
        <v>20.49</v>
      </c>
      <c r="E313" s="118">
        <v>0.21</v>
      </c>
    </row>
    <row r="314" spans="2:5" x14ac:dyDescent="0.2">
      <c r="B314" s="116" t="s">
        <v>3655</v>
      </c>
      <c r="C314" s="117" t="s">
        <v>3656</v>
      </c>
      <c r="D314" s="118"/>
      <c r="E314" s="118">
        <v>-0.34</v>
      </c>
    </row>
    <row r="315" spans="2:5" x14ac:dyDescent="0.2">
      <c r="B315" s="116" t="s">
        <v>676</v>
      </c>
      <c r="C315" s="117" t="s">
        <v>677</v>
      </c>
      <c r="D315" s="118"/>
      <c r="E315" s="118">
        <v>0.04</v>
      </c>
    </row>
    <row r="316" spans="2:5" x14ac:dyDescent="0.2">
      <c r="B316" s="116" t="s">
        <v>3657</v>
      </c>
      <c r="C316" s="117" t="s">
        <v>3658</v>
      </c>
      <c r="D316" s="118"/>
      <c r="E316" s="118"/>
    </row>
    <row r="317" spans="2:5" x14ac:dyDescent="0.2">
      <c r="B317" s="116" t="s">
        <v>680</v>
      </c>
      <c r="C317" s="117" t="s">
        <v>681</v>
      </c>
      <c r="D317" s="118">
        <v>24.85</v>
      </c>
      <c r="E317" s="118">
        <v>0.19</v>
      </c>
    </row>
    <row r="318" spans="2:5" x14ac:dyDescent="0.2">
      <c r="B318" s="116" t="s">
        <v>682</v>
      </c>
      <c r="C318" s="117" t="s">
        <v>683</v>
      </c>
      <c r="D318" s="118"/>
      <c r="E318" s="118">
        <v>0.08</v>
      </c>
    </row>
    <row r="319" spans="2:5" x14ac:dyDescent="0.2">
      <c r="B319" s="116" t="s">
        <v>684</v>
      </c>
      <c r="C319" s="117" t="s">
        <v>685</v>
      </c>
      <c r="D319" s="118">
        <v>14.72</v>
      </c>
      <c r="E319" s="118">
        <v>0.15</v>
      </c>
    </row>
    <row r="320" spans="2:5" x14ac:dyDescent="0.2">
      <c r="B320" s="116" t="s">
        <v>687</v>
      </c>
      <c r="C320" s="117" t="s">
        <v>688</v>
      </c>
      <c r="D320" s="118">
        <v>44.38</v>
      </c>
      <c r="E320" s="118">
        <v>0.45</v>
      </c>
    </row>
    <row r="321" spans="2:5" x14ac:dyDescent="0.2">
      <c r="B321" s="116" t="s">
        <v>689</v>
      </c>
      <c r="C321" s="117" t="s">
        <v>690</v>
      </c>
      <c r="D321" s="118">
        <v>5.33</v>
      </c>
      <c r="E321" s="118">
        <v>0.05</v>
      </c>
    </row>
    <row r="322" spans="2:5" x14ac:dyDescent="0.2">
      <c r="B322" s="116" t="s">
        <v>692</v>
      </c>
      <c r="C322" s="117" t="s">
        <v>693</v>
      </c>
      <c r="D322" s="118">
        <v>9.68</v>
      </c>
      <c r="E322" s="118">
        <v>0.1</v>
      </c>
    </row>
    <row r="323" spans="2:5" x14ac:dyDescent="0.2">
      <c r="B323" s="116" t="s">
        <v>694</v>
      </c>
      <c r="C323" s="117" t="s">
        <v>695</v>
      </c>
      <c r="D323" s="118">
        <v>9.3699999999999992</v>
      </c>
      <c r="E323" s="118">
        <v>7.0000000000000007E-2</v>
      </c>
    </row>
    <row r="324" spans="2:5" x14ac:dyDescent="0.2">
      <c r="B324" s="116" t="s">
        <v>696</v>
      </c>
      <c r="C324" s="117" t="s">
        <v>697</v>
      </c>
      <c r="D324" s="118">
        <v>1.0900000000000001</v>
      </c>
      <c r="E324" s="118">
        <v>0.01</v>
      </c>
    </row>
    <row r="325" spans="2:5" x14ac:dyDescent="0.2">
      <c r="B325" s="116" t="s">
        <v>698</v>
      </c>
      <c r="C325" s="117" t="s">
        <v>699</v>
      </c>
      <c r="D325" s="118">
        <v>4.88</v>
      </c>
      <c r="E325" s="118">
        <v>0.06</v>
      </c>
    </row>
    <row r="326" spans="2:5" x14ac:dyDescent="0.2">
      <c r="B326" s="116" t="s">
        <v>3659</v>
      </c>
      <c r="C326" s="117" t="s">
        <v>3660</v>
      </c>
      <c r="D326" s="118"/>
      <c r="E326" s="118"/>
    </row>
    <row r="327" spans="2:5" x14ac:dyDescent="0.2">
      <c r="B327" s="116" t="s">
        <v>701</v>
      </c>
      <c r="C327" s="117" t="s">
        <v>702</v>
      </c>
      <c r="D327" s="118">
        <v>8.77</v>
      </c>
      <c r="E327" s="118">
        <v>0.14000000000000001</v>
      </c>
    </row>
    <row r="328" spans="2:5" x14ac:dyDescent="0.2">
      <c r="B328" s="116" t="s">
        <v>704</v>
      </c>
      <c r="C328" s="117" t="s">
        <v>705</v>
      </c>
      <c r="D328" s="118">
        <v>2.34</v>
      </c>
      <c r="E328" s="118">
        <v>0.02</v>
      </c>
    </row>
    <row r="329" spans="2:5" x14ac:dyDescent="0.2">
      <c r="B329" s="116" t="s">
        <v>707</v>
      </c>
      <c r="C329" s="117" t="s">
        <v>708</v>
      </c>
      <c r="D329" s="118">
        <v>11.73</v>
      </c>
      <c r="E329" s="118">
        <v>0.11</v>
      </c>
    </row>
    <row r="330" spans="2:5" x14ac:dyDescent="0.2">
      <c r="B330" s="116" t="s">
        <v>710</v>
      </c>
      <c r="C330" s="117" t="s">
        <v>711</v>
      </c>
      <c r="D330" s="118">
        <v>12.88</v>
      </c>
      <c r="E330" s="118">
        <v>0.12</v>
      </c>
    </row>
    <row r="331" spans="2:5" x14ac:dyDescent="0.2">
      <c r="B331" s="116" t="s">
        <v>712</v>
      </c>
      <c r="C331" s="117" t="s">
        <v>713</v>
      </c>
      <c r="D331" s="118">
        <v>1.83</v>
      </c>
      <c r="E331" s="118">
        <v>0.02</v>
      </c>
    </row>
    <row r="332" spans="2:5" x14ac:dyDescent="0.2">
      <c r="B332" s="116" t="s">
        <v>3661</v>
      </c>
      <c r="C332" s="117" t="s">
        <v>3662</v>
      </c>
      <c r="D332" s="118"/>
      <c r="E332" s="118">
        <v>0.05</v>
      </c>
    </row>
    <row r="333" spans="2:5" x14ac:dyDescent="0.2">
      <c r="B333" s="116" t="s">
        <v>715</v>
      </c>
      <c r="C333" s="117" t="s">
        <v>716</v>
      </c>
      <c r="D333" s="118">
        <v>46.27</v>
      </c>
      <c r="E333" s="118">
        <v>0.15</v>
      </c>
    </row>
    <row r="334" spans="2:5" x14ac:dyDescent="0.2">
      <c r="B334" s="116" t="s">
        <v>718</v>
      </c>
      <c r="C334" s="117" t="s">
        <v>719</v>
      </c>
      <c r="D334" s="118">
        <v>31.55</v>
      </c>
      <c r="E334" s="118">
        <v>0.27</v>
      </c>
    </row>
    <row r="335" spans="2:5" x14ac:dyDescent="0.2">
      <c r="B335" s="116" t="s">
        <v>720</v>
      </c>
      <c r="C335" s="117" t="s">
        <v>721</v>
      </c>
      <c r="D335" s="118">
        <v>5.49</v>
      </c>
      <c r="E335" s="118">
        <v>0.05</v>
      </c>
    </row>
    <row r="336" spans="2:5" x14ac:dyDescent="0.2">
      <c r="B336" s="116" t="s">
        <v>723</v>
      </c>
      <c r="C336" s="117" t="s">
        <v>724</v>
      </c>
      <c r="D336" s="118">
        <v>7.27</v>
      </c>
      <c r="E336" s="118"/>
    </row>
    <row r="337" spans="2:5" x14ac:dyDescent="0.2">
      <c r="B337" s="116" t="s">
        <v>726</v>
      </c>
      <c r="C337" s="117" t="s">
        <v>727</v>
      </c>
      <c r="D337" s="118">
        <v>13</v>
      </c>
      <c r="E337" s="118">
        <v>0.14000000000000001</v>
      </c>
    </row>
    <row r="338" spans="2:5" x14ac:dyDescent="0.2">
      <c r="B338" s="116" t="s">
        <v>726</v>
      </c>
      <c r="C338" s="117" t="s">
        <v>3663</v>
      </c>
      <c r="D338" s="118">
        <v>13</v>
      </c>
      <c r="E338" s="118">
        <v>0.14000000000000001</v>
      </c>
    </row>
    <row r="339" spans="2:5" x14ac:dyDescent="0.2">
      <c r="B339" s="116" t="s">
        <v>3664</v>
      </c>
      <c r="C339" s="117" t="s">
        <v>3665</v>
      </c>
      <c r="D339" s="118">
        <v>31.88</v>
      </c>
      <c r="E339" s="118">
        <v>0.31</v>
      </c>
    </row>
    <row r="340" spans="2:5" x14ac:dyDescent="0.2">
      <c r="B340" s="116" t="s">
        <v>729</v>
      </c>
      <c r="C340" s="117" t="s">
        <v>730</v>
      </c>
      <c r="D340" s="118">
        <v>30.52</v>
      </c>
      <c r="E340" s="118">
        <v>0.28999999999999998</v>
      </c>
    </row>
    <row r="341" spans="2:5" x14ac:dyDescent="0.2">
      <c r="B341" s="116" t="s">
        <v>3666</v>
      </c>
      <c r="C341" s="117" t="s">
        <v>3667</v>
      </c>
      <c r="D341" s="118"/>
      <c r="E341" s="118"/>
    </row>
    <row r="342" spans="2:5" x14ac:dyDescent="0.2">
      <c r="B342" s="116" t="s">
        <v>731</v>
      </c>
      <c r="C342" s="117" t="s">
        <v>732</v>
      </c>
      <c r="D342" s="118"/>
      <c r="E342" s="118"/>
    </row>
    <row r="343" spans="2:5" x14ac:dyDescent="0.2">
      <c r="B343" s="116" t="s">
        <v>734</v>
      </c>
      <c r="C343" s="117" t="s">
        <v>735</v>
      </c>
      <c r="D343" s="118">
        <v>9.6999999999999993</v>
      </c>
      <c r="E343" s="118">
        <v>0.08</v>
      </c>
    </row>
    <row r="344" spans="2:5" x14ac:dyDescent="0.2">
      <c r="B344" s="116" t="s">
        <v>737</v>
      </c>
      <c r="C344" s="117" t="s">
        <v>738</v>
      </c>
      <c r="D344" s="118"/>
      <c r="E344" s="118">
        <v>7.0000000000000007E-2</v>
      </c>
    </row>
    <row r="345" spans="2:5" x14ac:dyDescent="0.2">
      <c r="B345" s="116" t="s">
        <v>739</v>
      </c>
      <c r="C345" s="117" t="s">
        <v>740</v>
      </c>
      <c r="D345" s="118">
        <v>14.62</v>
      </c>
      <c r="E345" s="118">
        <v>0.12</v>
      </c>
    </row>
    <row r="346" spans="2:5" x14ac:dyDescent="0.2">
      <c r="B346" s="116" t="s">
        <v>741</v>
      </c>
      <c r="C346" s="117" t="s">
        <v>742</v>
      </c>
      <c r="D346" s="118">
        <v>8.31</v>
      </c>
      <c r="E346" s="118">
        <v>0.08</v>
      </c>
    </row>
    <row r="347" spans="2:5" x14ac:dyDescent="0.2">
      <c r="B347" s="116" t="s">
        <v>743</v>
      </c>
      <c r="C347" s="117" t="s">
        <v>744</v>
      </c>
      <c r="D347" s="118">
        <v>5.99</v>
      </c>
      <c r="E347" s="118">
        <v>0.04</v>
      </c>
    </row>
    <row r="348" spans="2:5" x14ac:dyDescent="0.2">
      <c r="B348" s="116" t="s">
        <v>745</v>
      </c>
      <c r="C348" s="117" t="s">
        <v>746</v>
      </c>
      <c r="D348" s="118">
        <v>14.95</v>
      </c>
      <c r="E348" s="118">
        <v>0.17</v>
      </c>
    </row>
    <row r="349" spans="2:5" x14ac:dyDescent="0.2">
      <c r="B349" s="116" t="s">
        <v>748</v>
      </c>
      <c r="C349" s="117" t="s">
        <v>749</v>
      </c>
      <c r="D349" s="118"/>
      <c r="E349" s="118">
        <v>0.06</v>
      </c>
    </row>
    <row r="350" spans="2:5" x14ac:dyDescent="0.2">
      <c r="B350" s="116" t="s">
        <v>750</v>
      </c>
      <c r="C350" s="117" t="s">
        <v>751</v>
      </c>
      <c r="D350" s="118">
        <v>20.12</v>
      </c>
      <c r="E350" s="118">
        <v>0.19</v>
      </c>
    </row>
    <row r="351" spans="2:5" x14ac:dyDescent="0.2">
      <c r="B351" s="116" t="s">
        <v>3668</v>
      </c>
      <c r="C351" s="117" t="s">
        <v>3669</v>
      </c>
      <c r="D351" s="118"/>
      <c r="E351" s="118">
        <v>0.13</v>
      </c>
    </row>
    <row r="352" spans="2:5" x14ac:dyDescent="0.2">
      <c r="B352" s="116" t="s">
        <v>3670</v>
      </c>
      <c r="C352" s="117" t="s">
        <v>3671</v>
      </c>
      <c r="D352" s="118"/>
      <c r="E352" s="118">
        <v>0.08</v>
      </c>
    </row>
    <row r="353" spans="2:5" x14ac:dyDescent="0.2">
      <c r="B353" s="116" t="s">
        <v>752</v>
      </c>
      <c r="C353" s="117" t="s">
        <v>753</v>
      </c>
      <c r="D353" s="118">
        <v>4.38</v>
      </c>
      <c r="E353" s="118">
        <v>7.0000000000000007E-2</v>
      </c>
    </row>
    <row r="354" spans="2:5" x14ac:dyDescent="0.2">
      <c r="B354" s="116" t="s">
        <v>755</v>
      </c>
      <c r="C354" s="117" t="s">
        <v>756</v>
      </c>
      <c r="D354" s="118">
        <v>8.64</v>
      </c>
      <c r="E354" s="118">
        <v>0.17</v>
      </c>
    </row>
    <row r="355" spans="2:5" x14ac:dyDescent="0.2">
      <c r="B355" s="116" t="s">
        <v>757</v>
      </c>
      <c r="C355" s="117" t="s">
        <v>758</v>
      </c>
      <c r="D355" s="118">
        <v>6.12</v>
      </c>
      <c r="E355" s="118">
        <v>-0.08</v>
      </c>
    </row>
    <row r="356" spans="2:5" x14ac:dyDescent="0.2">
      <c r="B356" s="116" t="s">
        <v>759</v>
      </c>
      <c r="C356" s="117" t="s">
        <v>760</v>
      </c>
      <c r="D356" s="118">
        <v>17.72</v>
      </c>
      <c r="E356" s="118">
        <v>0.13</v>
      </c>
    </row>
    <row r="357" spans="2:5" x14ac:dyDescent="0.2">
      <c r="B357" s="116" t="s">
        <v>761</v>
      </c>
      <c r="C357" s="117" t="s">
        <v>762</v>
      </c>
      <c r="D357" s="118">
        <v>21.09</v>
      </c>
      <c r="E357" s="118">
        <v>0.06</v>
      </c>
    </row>
    <row r="358" spans="2:5" x14ac:dyDescent="0.2">
      <c r="B358" s="116" t="s">
        <v>763</v>
      </c>
      <c r="C358" s="117" t="s">
        <v>764</v>
      </c>
      <c r="D358" s="118">
        <v>26.49</v>
      </c>
      <c r="E358" s="118">
        <v>0.16</v>
      </c>
    </row>
    <row r="359" spans="2:5" x14ac:dyDescent="0.2">
      <c r="B359" s="116" t="s">
        <v>765</v>
      </c>
      <c r="C359" s="117" t="s">
        <v>766</v>
      </c>
      <c r="D359" s="118">
        <v>4.9400000000000004</v>
      </c>
      <c r="E359" s="118">
        <v>0.04</v>
      </c>
    </row>
    <row r="360" spans="2:5" x14ac:dyDescent="0.2">
      <c r="B360" s="116" t="s">
        <v>767</v>
      </c>
      <c r="C360" s="117" t="s">
        <v>768</v>
      </c>
      <c r="D360" s="118">
        <v>20.05</v>
      </c>
      <c r="E360" s="118">
        <v>0.17</v>
      </c>
    </row>
    <row r="361" spans="2:5" x14ac:dyDescent="0.2">
      <c r="B361" s="116" t="s">
        <v>769</v>
      </c>
      <c r="C361" s="117" t="s">
        <v>770</v>
      </c>
      <c r="D361" s="118">
        <v>2.25</v>
      </c>
      <c r="E361" s="118">
        <v>0.02</v>
      </c>
    </row>
    <row r="362" spans="2:5" x14ac:dyDescent="0.2">
      <c r="B362" s="116" t="s">
        <v>771</v>
      </c>
      <c r="C362" s="117" t="s">
        <v>772</v>
      </c>
      <c r="D362" s="118">
        <v>44.44</v>
      </c>
      <c r="E362" s="118">
        <v>0.26</v>
      </c>
    </row>
    <row r="363" spans="2:5" x14ac:dyDescent="0.2">
      <c r="B363" s="116" t="s">
        <v>773</v>
      </c>
      <c r="C363" s="117" t="s">
        <v>774</v>
      </c>
      <c r="D363" s="118"/>
      <c r="E363" s="118">
        <v>0.28999999999999998</v>
      </c>
    </row>
    <row r="364" spans="2:5" x14ac:dyDescent="0.2">
      <c r="B364" s="116" t="s">
        <v>776</v>
      </c>
      <c r="C364" s="117" t="s">
        <v>777</v>
      </c>
      <c r="D364" s="118">
        <v>15.04</v>
      </c>
      <c r="E364" s="118">
        <v>0.12</v>
      </c>
    </row>
    <row r="365" spans="2:5" x14ac:dyDescent="0.2">
      <c r="B365" s="116" t="s">
        <v>779</v>
      </c>
      <c r="C365" s="117" t="s">
        <v>780</v>
      </c>
      <c r="D365" s="118">
        <v>9.0299999999999994</v>
      </c>
      <c r="E365" s="118">
        <v>7.0000000000000007E-2</v>
      </c>
    </row>
    <row r="366" spans="2:5" x14ac:dyDescent="0.2">
      <c r="B366" s="116" t="s">
        <v>782</v>
      </c>
      <c r="C366" s="117" t="s">
        <v>783</v>
      </c>
      <c r="D366" s="118">
        <v>28.4</v>
      </c>
      <c r="E366" s="118">
        <v>0.23</v>
      </c>
    </row>
    <row r="367" spans="2:5" x14ac:dyDescent="0.2">
      <c r="B367" s="116" t="s">
        <v>3672</v>
      </c>
      <c r="C367" s="117" t="s">
        <v>3673</v>
      </c>
      <c r="D367" s="118">
        <v>32.24</v>
      </c>
      <c r="E367" s="118">
        <v>0.32</v>
      </c>
    </row>
    <row r="368" spans="2:5" x14ac:dyDescent="0.2">
      <c r="B368" s="116" t="s">
        <v>3674</v>
      </c>
      <c r="C368" s="117" t="s">
        <v>3675</v>
      </c>
      <c r="D368" s="118"/>
      <c r="E368" s="118"/>
    </row>
    <row r="369" spans="2:5" x14ac:dyDescent="0.2">
      <c r="B369" s="116" t="s">
        <v>785</v>
      </c>
      <c r="C369" s="117" t="s">
        <v>786</v>
      </c>
      <c r="D369" s="118">
        <v>8.02</v>
      </c>
      <c r="E369" s="118">
        <v>0.04</v>
      </c>
    </row>
    <row r="370" spans="2:5" x14ac:dyDescent="0.2">
      <c r="B370" s="116" t="s">
        <v>787</v>
      </c>
      <c r="C370" s="117" t="s">
        <v>788</v>
      </c>
      <c r="D370" s="118">
        <v>-251.5</v>
      </c>
      <c r="E370" s="118">
        <v>-3.07</v>
      </c>
    </row>
    <row r="371" spans="2:5" x14ac:dyDescent="0.2">
      <c r="B371" s="116" t="s">
        <v>3676</v>
      </c>
      <c r="C371" s="117" t="s">
        <v>3677</v>
      </c>
      <c r="D371" s="118"/>
      <c r="E371" s="118">
        <v>0.06</v>
      </c>
    </row>
    <row r="372" spans="2:5" x14ac:dyDescent="0.2">
      <c r="B372" s="116" t="s">
        <v>789</v>
      </c>
      <c r="C372" s="117" t="s">
        <v>790</v>
      </c>
      <c r="D372" s="118">
        <v>27.61</v>
      </c>
      <c r="E372" s="118">
        <v>0.27</v>
      </c>
    </row>
    <row r="373" spans="2:5" x14ac:dyDescent="0.2">
      <c r="B373" s="116" t="s">
        <v>791</v>
      </c>
      <c r="C373" s="117" t="s">
        <v>792</v>
      </c>
      <c r="D373" s="118"/>
      <c r="E373" s="118">
        <v>0.06</v>
      </c>
    </row>
    <row r="374" spans="2:5" x14ac:dyDescent="0.2">
      <c r="B374" s="116" t="s">
        <v>3678</v>
      </c>
      <c r="C374" s="117" t="s">
        <v>3679</v>
      </c>
      <c r="D374" s="118">
        <v>21.37</v>
      </c>
      <c r="E374" s="118">
        <v>0.21</v>
      </c>
    </row>
    <row r="375" spans="2:5" x14ac:dyDescent="0.2">
      <c r="B375" s="116" t="s">
        <v>3680</v>
      </c>
      <c r="C375" s="117" t="s">
        <v>3681</v>
      </c>
      <c r="D375" s="118"/>
      <c r="E375" s="118"/>
    </row>
    <row r="376" spans="2:5" x14ac:dyDescent="0.2">
      <c r="B376" s="116" t="s">
        <v>794</v>
      </c>
      <c r="C376" s="117" t="s">
        <v>795</v>
      </c>
      <c r="D376" s="118">
        <v>14.37</v>
      </c>
      <c r="E376" s="118">
        <v>0.14000000000000001</v>
      </c>
    </row>
    <row r="377" spans="2:5" x14ac:dyDescent="0.2">
      <c r="B377" s="116" t="s">
        <v>797</v>
      </c>
      <c r="C377" s="117" t="s">
        <v>798</v>
      </c>
      <c r="D377" s="118">
        <v>14.45</v>
      </c>
      <c r="E377" s="118">
        <v>0.35</v>
      </c>
    </row>
    <row r="378" spans="2:5" x14ac:dyDescent="0.2">
      <c r="B378" s="116" t="s">
        <v>800</v>
      </c>
      <c r="C378" s="117" t="s">
        <v>801</v>
      </c>
      <c r="D378" s="118">
        <v>11.47</v>
      </c>
      <c r="E378" s="118">
        <v>0.12</v>
      </c>
    </row>
    <row r="379" spans="2:5" x14ac:dyDescent="0.2">
      <c r="B379" s="116" t="s">
        <v>3682</v>
      </c>
      <c r="C379" s="117" t="s">
        <v>3683</v>
      </c>
      <c r="D379" s="118"/>
      <c r="E379" s="118"/>
    </row>
    <row r="380" spans="2:5" x14ac:dyDescent="0.2">
      <c r="B380" s="116" t="s">
        <v>802</v>
      </c>
      <c r="C380" s="117" t="s">
        <v>803</v>
      </c>
      <c r="D380" s="118">
        <v>24.6</v>
      </c>
      <c r="E380" s="118">
        <v>-0.05</v>
      </c>
    </row>
    <row r="381" spans="2:5" x14ac:dyDescent="0.2">
      <c r="B381" s="116" t="s">
        <v>804</v>
      </c>
      <c r="C381" s="117" t="s">
        <v>805</v>
      </c>
      <c r="D381" s="118">
        <v>21.78</v>
      </c>
      <c r="E381" s="118">
        <v>0.21</v>
      </c>
    </row>
    <row r="382" spans="2:5" x14ac:dyDescent="0.2">
      <c r="B382" s="116" t="s">
        <v>807</v>
      </c>
      <c r="C382" s="117" t="s">
        <v>808</v>
      </c>
      <c r="D382" s="118">
        <v>46</v>
      </c>
      <c r="E382" s="118">
        <v>0.43</v>
      </c>
    </row>
    <row r="383" spans="2:5" x14ac:dyDescent="0.2">
      <c r="B383" s="116" t="s">
        <v>810</v>
      </c>
      <c r="C383" s="117" t="s">
        <v>811</v>
      </c>
      <c r="D383" s="118"/>
      <c r="E383" s="118">
        <v>0.17</v>
      </c>
    </row>
    <row r="384" spans="2:5" x14ac:dyDescent="0.2">
      <c r="B384" s="116" t="s">
        <v>812</v>
      </c>
      <c r="C384" s="117" t="s">
        <v>813</v>
      </c>
      <c r="D384" s="118">
        <v>4.3099999999999996</v>
      </c>
      <c r="E384" s="118">
        <v>0.04</v>
      </c>
    </row>
    <row r="385" spans="2:5" x14ac:dyDescent="0.2">
      <c r="B385" s="116" t="s">
        <v>3684</v>
      </c>
      <c r="C385" s="117" t="s">
        <v>3685</v>
      </c>
      <c r="D385" s="118">
        <v>16.32</v>
      </c>
      <c r="E385" s="118">
        <v>0.18</v>
      </c>
    </row>
    <row r="386" spans="2:5" x14ac:dyDescent="0.2">
      <c r="B386" s="116" t="s">
        <v>814</v>
      </c>
      <c r="C386" s="117" t="s">
        <v>815</v>
      </c>
      <c r="D386" s="118">
        <v>3.04</v>
      </c>
      <c r="E386" s="118">
        <v>0.03</v>
      </c>
    </row>
    <row r="387" spans="2:5" x14ac:dyDescent="0.2">
      <c r="B387" s="116" t="s">
        <v>816</v>
      </c>
      <c r="C387" s="117" t="s">
        <v>817</v>
      </c>
      <c r="D387" s="118"/>
      <c r="E387" s="118">
        <v>0.03</v>
      </c>
    </row>
    <row r="388" spans="2:5" x14ac:dyDescent="0.2">
      <c r="B388" s="116" t="s">
        <v>3686</v>
      </c>
      <c r="C388" s="117" t="s">
        <v>3687</v>
      </c>
      <c r="D388" s="118"/>
      <c r="E388" s="118"/>
    </row>
    <row r="389" spans="2:5" x14ac:dyDescent="0.2">
      <c r="B389" s="116" t="s">
        <v>818</v>
      </c>
      <c r="C389" s="117" t="s">
        <v>819</v>
      </c>
      <c r="D389" s="118">
        <v>5.08</v>
      </c>
      <c r="E389" s="118">
        <v>0.05</v>
      </c>
    </row>
    <row r="390" spans="2:5" x14ac:dyDescent="0.2">
      <c r="B390" s="116" t="s">
        <v>3688</v>
      </c>
      <c r="C390" s="117" t="s">
        <v>3689</v>
      </c>
      <c r="D390" s="118"/>
      <c r="E390" s="118">
        <v>0.04</v>
      </c>
    </row>
    <row r="391" spans="2:5" x14ac:dyDescent="0.2">
      <c r="B391" s="116" t="s">
        <v>820</v>
      </c>
      <c r="C391" s="117" t="s">
        <v>821</v>
      </c>
      <c r="D391" s="118">
        <v>22.85</v>
      </c>
      <c r="E391" s="118">
        <v>0.13</v>
      </c>
    </row>
    <row r="392" spans="2:5" x14ac:dyDescent="0.2">
      <c r="B392" s="116" t="s">
        <v>3690</v>
      </c>
      <c r="C392" s="117" t="s">
        <v>3691</v>
      </c>
      <c r="D392" s="118"/>
      <c r="E392" s="118"/>
    </row>
    <row r="393" spans="2:5" x14ac:dyDescent="0.2">
      <c r="B393" s="116" t="s">
        <v>822</v>
      </c>
      <c r="C393" s="117" t="s">
        <v>823</v>
      </c>
      <c r="D393" s="118"/>
      <c r="E393" s="118"/>
    </row>
    <row r="394" spans="2:5" x14ac:dyDescent="0.2">
      <c r="B394" s="116" t="s">
        <v>824</v>
      </c>
      <c r="C394" s="117" t="s">
        <v>825</v>
      </c>
      <c r="D394" s="118">
        <v>9.1999999999999993</v>
      </c>
      <c r="E394" s="118">
        <v>-0.11</v>
      </c>
    </row>
    <row r="395" spans="2:5" x14ac:dyDescent="0.2">
      <c r="B395" s="116" t="s">
        <v>3692</v>
      </c>
      <c r="C395" s="117" t="s">
        <v>3693</v>
      </c>
      <c r="D395" s="118">
        <v>7.26</v>
      </c>
      <c r="E395" s="118">
        <v>0.08</v>
      </c>
    </row>
    <row r="396" spans="2:5" x14ac:dyDescent="0.2">
      <c r="B396" s="116" t="s">
        <v>3694</v>
      </c>
      <c r="C396" s="117" t="s">
        <v>3695</v>
      </c>
      <c r="D396" s="118"/>
      <c r="E396" s="118"/>
    </row>
    <row r="397" spans="2:5" x14ac:dyDescent="0.2">
      <c r="B397" s="116" t="s">
        <v>827</v>
      </c>
      <c r="C397" s="117" t="s">
        <v>828</v>
      </c>
      <c r="D397" s="118">
        <v>82.3</v>
      </c>
      <c r="E397" s="118">
        <v>0.32</v>
      </c>
    </row>
    <row r="398" spans="2:5" x14ac:dyDescent="0.2">
      <c r="B398" s="116" t="s">
        <v>829</v>
      </c>
      <c r="C398" s="117" t="s">
        <v>830</v>
      </c>
      <c r="D398" s="118">
        <v>10.16</v>
      </c>
      <c r="E398" s="118">
        <v>0.05</v>
      </c>
    </row>
    <row r="399" spans="2:5" x14ac:dyDescent="0.2">
      <c r="B399" s="116" t="s">
        <v>3696</v>
      </c>
      <c r="C399" s="117" t="s">
        <v>3697</v>
      </c>
      <c r="D399" s="118">
        <v>26.2</v>
      </c>
      <c r="E399" s="118">
        <v>0.35</v>
      </c>
    </row>
    <row r="400" spans="2:5" x14ac:dyDescent="0.2">
      <c r="B400" s="116" t="s">
        <v>831</v>
      </c>
      <c r="C400" s="117" t="s">
        <v>832</v>
      </c>
      <c r="D400" s="118">
        <v>28.09</v>
      </c>
      <c r="E400" s="118">
        <v>0.14000000000000001</v>
      </c>
    </row>
    <row r="401" spans="2:5" x14ac:dyDescent="0.2">
      <c r="B401" s="116" t="s">
        <v>3698</v>
      </c>
      <c r="C401" s="117" t="s">
        <v>3699</v>
      </c>
      <c r="D401" s="118"/>
      <c r="E401" s="118">
        <v>7.0000000000000007E-2</v>
      </c>
    </row>
    <row r="402" spans="2:5" x14ac:dyDescent="0.2">
      <c r="B402" s="116" t="s">
        <v>833</v>
      </c>
      <c r="C402" s="117" t="s">
        <v>834</v>
      </c>
      <c r="D402" s="118">
        <v>23.67</v>
      </c>
      <c r="E402" s="118">
        <v>0.23</v>
      </c>
    </row>
    <row r="403" spans="2:5" x14ac:dyDescent="0.2">
      <c r="B403" s="116" t="s">
        <v>3700</v>
      </c>
      <c r="C403" s="117" t="s">
        <v>3701</v>
      </c>
      <c r="D403" s="118"/>
      <c r="E403" s="118">
        <v>0.14000000000000001</v>
      </c>
    </row>
    <row r="404" spans="2:5" x14ac:dyDescent="0.2">
      <c r="B404" s="116" t="s">
        <v>836</v>
      </c>
      <c r="C404" s="117" t="s">
        <v>837</v>
      </c>
      <c r="D404" s="118">
        <v>15.98</v>
      </c>
      <c r="E404" s="118">
        <v>0.15</v>
      </c>
    </row>
    <row r="405" spans="2:5" x14ac:dyDescent="0.2">
      <c r="B405" s="116" t="s">
        <v>838</v>
      </c>
      <c r="C405" s="117" t="s">
        <v>839</v>
      </c>
      <c r="D405" s="118">
        <v>11.62</v>
      </c>
      <c r="E405" s="118">
        <v>7.0000000000000007E-2</v>
      </c>
    </row>
    <row r="406" spans="2:5" x14ac:dyDescent="0.2">
      <c r="B406" s="116" t="s">
        <v>840</v>
      </c>
      <c r="C406" s="117" t="s">
        <v>841</v>
      </c>
      <c r="D406" s="118">
        <v>2.64</v>
      </c>
      <c r="E406" s="118">
        <v>0.02</v>
      </c>
    </row>
    <row r="407" spans="2:5" x14ac:dyDescent="0.2">
      <c r="B407" s="116" t="s">
        <v>3702</v>
      </c>
      <c r="C407" s="117" t="s">
        <v>3703</v>
      </c>
      <c r="D407" s="118">
        <v>33.04</v>
      </c>
      <c r="E407" s="118">
        <v>0.31</v>
      </c>
    </row>
    <row r="408" spans="2:5" x14ac:dyDescent="0.2">
      <c r="B408" s="116" t="s">
        <v>3704</v>
      </c>
      <c r="C408" s="117" t="s">
        <v>3705</v>
      </c>
      <c r="D408" s="118">
        <v>23.28</v>
      </c>
      <c r="E408" s="118">
        <v>0.23</v>
      </c>
    </row>
    <row r="409" spans="2:5" x14ac:dyDescent="0.2">
      <c r="B409" s="116" t="s">
        <v>843</v>
      </c>
      <c r="C409" s="117" t="s">
        <v>844</v>
      </c>
      <c r="D409" s="118"/>
      <c r="E409" s="118">
        <v>0.15</v>
      </c>
    </row>
    <row r="410" spans="2:5" x14ac:dyDescent="0.2">
      <c r="B410" s="116" t="s">
        <v>845</v>
      </c>
      <c r="C410" s="117" t="s">
        <v>846</v>
      </c>
      <c r="D410" s="118">
        <v>20.45</v>
      </c>
      <c r="E410" s="118">
        <v>0.21</v>
      </c>
    </row>
    <row r="411" spans="2:5" x14ac:dyDescent="0.2">
      <c r="B411" s="116" t="s">
        <v>847</v>
      </c>
      <c r="C411" s="117" t="s">
        <v>848</v>
      </c>
      <c r="D411" s="118">
        <v>13.2</v>
      </c>
      <c r="E411" s="118">
        <v>0.13</v>
      </c>
    </row>
    <row r="412" spans="2:5" x14ac:dyDescent="0.2">
      <c r="B412" s="116" t="s">
        <v>849</v>
      </c>
      <c r="C412" s="117" t="s">
        <v>850</v>
      </c>
      <c r="D412" s="118">
        <v>29.8</v>
      </c>
      <c r="E412" s="118">
        <v>0.21</v>
      </c>
    </row>
    <row r="413" spans="2:5" x14ac:dyDescent="0.2">
      <c r="B413" s="116" t="s">
        <v>851</v>
      </c>
      <c r="C413" s="117" t="s">
        <v>852</v>
      </c>
      <c r="D413" s="118">
        <v>37.01</v>
      </c>
      <c r="E413" s="118">
        <v>0.34</v>
      </c>
    </row>
    <row r="414" spans="2:5" x14ac:dyDescent="0.2">
      <c r="B414" s="116" t="s">
        <v>3706</v>
      </c>
      <c r="C414" s="117" t="s">
        <v>3707</v>
      </c>
      <c r="D414" s="118"/>
      <c r="E414" s="118"/>
    </row>
    <row r="415" spans="2:5" x14ac:dyDescent="0.2">
      <c r="B415" s="116" t="s">
        <v>853</v>
      </c>
      <c r="C415" s="117" t="s">
        <v>854</v>
      </c>
      <c r="D415" s="118">
        <v>12.59</v>
      </c>
      <c r="E415" s="118">
        <v>0.12</v>
      </c>
    </row>
    <row r="416" spans="2:5" x14ac:dyDescent="0.2">
      <c r="B416" s="116" t="s">
        <v>855</v>
      </c>
      <c r="C416" s="117" t="s">
        <v>856</v>
      </c>
      <c r="D416" s="118">
        <v>10.81</v>
      </c>
      <c r="E416" s="118"/>
    </row>
    <row r="417" spans="2:5" x14ac:dyDescent="0.2">
      <c r="B417" s="116" t="s">
        <v>857</v>
      </c>
      <c r="C417" s="117" t="s">
        <v>858</v>
      </c>
      <c r="D417" s="118">
        <v>50.74</v>
      </c>
      <c r="E417" s="118">
        <v>0.46</v>
      </c>
    </row>
    <row r="418" spans="2:5" x14ac:dyDescent="0.2">
      <c r="B418" s="116" t="s">
        <v>859</v>
      </c>
      <c r="C418" s="117" t="s">
        <v>860</v>
      </c>
      <c r="D418" s="118">
        <v>6.11</v>
      </c>
      <c r="E418" s="118">
        <v>0.04</v>
      </c>
    </row>
    <row r="419" spans="2:5" x14ac:dyDescent="0.2">
      <c r="B419" s="116" t="s">
        <v>3708</v>
      </c>
      <c r="C419" s="117" t="s">
        <v>3709</v>
      </c>
      <c r="D419" s="118"/>
      <c r="E419" s="118">
        <v>0.71</v>
      </c>
    </row>
    <row r="420" spans="2:5" x14ac:dyDescent="0.2">
      <c r="B420" s="116" t="s">
        <v>861</v>
      </c>
      <c r="C420" s="117" t="s">
        <v>862</v>
      </c>
      <c r="D420" s="118">
        <v>10.48</v>
      </c>
      <c r="E420" s="118">
        <v>0.09</v>
      </c>
    </row>
    <row r="421" spans="2:5" x14ac:dyDescent="0.2">
      <c r="B421" s="116" t="s">
        <v>864</v>
      </c>
      <c r="C421" s="117" t="s">
        <v>865</v>
      </c>
      <c r="D421" s="118"/>
      <c r="E421" s="118">
        <v>0.06</v>
      </c>
    </row>
    <row r="422" spans="2:5" x14ac:dyDescent="0.2">
      <c r="B422" s="116" t="s">
        <v>866</v>
      </c>
      <c r="C422" s="117" t="s">
        <v>867</v>
      </c>
      <c r="D422" s="118">
        <v>3.67</v>
      </c>
      <c r="E422" s="118">
        <v>0.03</v>
      </c>
    </row>
    <row r="423" spans="2:5" x14ac:dyDescent="0.2">
      <c r="B423" s="116" t="s">
        <v>869</v>
      </c>
      <c r="C423" s="117" t="s">
        <v>870</v>
      </c>
      <c r="D423" s="118">
        <v>8.4700000000000006</v>
      </c>
      <c r="E423" s="118">
        <v>0.1</v>
      </c>
    </row>
    <row r="424" spans="2:5" x14ac:dyDescent="0.2">
      <c r="B424" s="116" t="s">
        <v>3710</v>
      </c>
      <c r="C424" s="117" t="s">
        <v>3711</v>
      </c>
      <c r="D424" s="118"/>
      <c r="E424" s="118"/>
    </row>
    <row r="425" spans="2:5" x14ac:dyDescent="0.2">
      <c r="B425" s="116" t="s">
        <v>871</v>
      </c>
      <c r="C425" s="117" t="s">
        <v>872</v>
      </c>
      <c r="D425" s="118">
        <v>9.4700000000000006</v>
      </c>
      <c r="E425" s="118">
        <v>0.08</v>
      </c>
    </row>
    <row r="426" spans="2:5" x14ac:dyDescent="0.2">
      <c r="B426" s="116" t="s">
        <v>873</v>
      </c>
      <c r="C426" s="117" t="s">
        <v>874</v>
      </c>
      <c r="D426" s="118">
        <v>2.6</v>
      </c>
      <c r="E426" s="118">
        <v>0.01</v>
      </c>
    </row>
    <row r="427" spans="2:5" x14ac:dyDescent="0.2">
      <c r="B427" s="116" t="s">
        <v>875</v>
      </c>
      <c r="C427" s="117" t="s">
        <v>876</v>
      </c>
      <c r="D427" s="118">
        <v>4.04</v>
      </c>
      <c r="E427" s="118">
        <v>0.04</v>
      </c>
    </row>
    <row r="428" spans="2:5" x14ac:dyDescent="0.2">
      <c r="B428" s="116" t="s">
        <v>877</v>
      </c>
      <c r="C428" s="117" t="s">
        <v>878</v>
      </c>
      <c r="D428" s="118">
        <v>28.62</v>
      </c>
      <c r="E428" s="118">
        <v>0.31</v>
      </c>
    </row>
    <row r="429" spans="2:5" x14ac:dyDescent="0.2">
      <c r="B429" s="116" t="s">
        <v>879</v>
      </c>
      <c r="C429" s="117" t="s">
        <v>880</v>
      </c>
      <c r="D429" s="118">
        <v>6.31</v>
      </c>
      <c r="E429" s="118">
        <v>7.0000000000000007E-2</v>
      </c>
    </row>
    <row r="430" spans="2:5" x14ac:dyDescent="0.2">
      <c r="B430" s="116" t="s">
        <v>881</v>
      </c>
      <c r="C430" s="117" t="s">
        <v>882</v>
      </c>
      <c r="D430" s="118">
        <v>7.05</v>
      </c>
      <c r="E430" s="118">
        <v>0.03</v>
      </c>
    </row>
    <row r="431" spans="2:5" x14ac:dyDescent="0.2">
      <c r="B431" s="116" t="s">
        <v>883</v>
      </c>
      <c r="C431" s="117" t="s">
        <v>884</v>
      </c>
      <c r="D431" s="118">
        <v>13.1</v>
      </c>
      <c r="E431" s="118">
        <v>0.12</v>
      </c>
    </row>
    <row r="432" spans="2:5" x14ac:dyDescent="0.2">
      <c r="B432" s="116" t="s">
        <v>886</v>
      </c>
      <c r="C432" s="117" t="s">
        <v>887</v>
      </c>
      <c r="D432" s="118">
        <v>20.04</v>
      </c>
      <c r="E432" s="118">
        <v>0.19</v>
      </c>
    </row>
    <row r="433" spans="2:5" x14ac:dyDescent="0.2">
      <c r="B433" s="116" t="s">
        <v>888</v>
      </c>
      <c r="C433" s="117" t="s">
        <v>889</v>
      </c>
      <c r="D433" s="118">
        <v>32.950000000000003</v>
      </c>
      <c r="E433" s="118">
        <v>0.25</v>
      </c>
    </row>
    <row r="434" spans="2:5" x14ac:dyDescent="0.2">
      <c r="B434" s="116" t="s">
        <v>890</v>
      </c>
      <c r="C434" s="117" t="s">
        <v>891</v>
      </c>
      <c r="D434" s="118">
        <v>12.91</v>
      </c>
      <c r="E434" s="118">
        <v>0.13</v>
      </c>
    </row>
    <row r="435" spans="2:5" x14ac:dyDescent="0.2">
      <c r="B435" s="116" t="s">
        <v>893</v>
      </c>
      <c r="C435" s="117" t="s">
        <v>894</v>
      </c>
      <c r="D435" s="118"/>
      <c r="E435" s="118"/>
    </row>
    <row r="436" spans="2:5" x14ac:dyDescent="0.2">
      <c r="B436" s="116" t="s">
        <v>895</v>
      </c>
      <c r="C436" s="117" t="s">
        <v>896</v>
      </c>
      <c r="D436" s="118">
        <v>1.67</v>
      </c>
      <c r="E436" s="118">
        <v>0.03</v>
      </c>
    </row>
    <row r="437" spans="2:5" x14ac:dyDescent="0.2">
      <c r="B437" s="116" t="s">
        <v>897</v>
      </c>
      <c r="C437" s="117" t="s">
        <v>898</v>
      </c>
      <c r="D437" s="118">
        <v>10.64</v>
      </c>
      <c r="E437" s="118">
        <v>0.1</v>
      </c>
    </row>
    <row r="438" spans="2:5" x14ac:dyDescent="0.2">
      <c r="B438" s="116" t="s">
        <v>900</v>
      </c>
      <c r="C438" s="117" t="s">
        <v>901</v>
      </c>
      <c r="D438" s="118">
        <v>-6.29</v>
      </c>
      <c r="E438" s="118">
        <v>0</v>
      </c>
    </row>
    <row r="439" spans="2:5" x14ac:dyDescent="0.2">
      <c r="B439" s="116" t="s">
        <v>902</v>
      </c>
      <c r="C439" s="117" t="s">
        <v>903</v>
      </c>
      <c r="D439" s="118">
        <v>22.78</v>
      </c>
      <c r="E439" s="118">
        <v>0.06</v>
      </c>
    </row>
    <row r="440" spans="2:5" x14ac:dyDescent="0.2">
      <c r="B440" s="116" t="s">
        <v>904</v>
      </c>
      <c r="C440" s="117" t="s">
        <v>905</v>
      </c>
      <c r="D440" s="118">
        <v>13.33</v>
      </c>
      <c r="E440" s="118">
        <v>0.16</v>
      </c>
    </row>
    <row r="441" spans="2:5" x14ac:dyDescent="0.2">
      <c r="B441" s="116" t="s">
        <v>906</v>
      </c>
      <c r="C441" s="117" t="s">
        <v>907</v>
      </c>
      <c r="D441" s="118">
        <v>13.82</v>
      </c>
      <c r="E441" s="118">
        <v>0.14000000000000001</v>
      </c>
    </row>
    <row r="442" spans="2:5" x14ac:dyDescent="0.2">
      <c r="B442" s="116" t="s">
        <v>908</v>
      </c>
      <c r="C442" s="117" t="s">
        <v>909</v>
      </c>
      <c r="D442" s="118">
        <v>2.33</v>
      </c>
      <c r="E442" s="118"/>
    </row>
    <row r="443" spans="2:5" x14ac:dyDescent="0.2">
      <c r="B443" s="116" t="s">
        <v>910</v>
      </c>
      <c r="C443" s="117" t="s">
        <v>911</v>
      </c>
      <c r="D443" s="118">
        <v>5.64</v>
      </c>
      <c r="E443" s="118">
        <v>-0.44</v>
      </c>
    </row>
    <row r="444" spans="2:5" x14ac:dyDescent="0.2">
      <c r="B444" s="116" t="s">
        <v>913</v>
      </c>
      <c r="C444" s="117" t="s">
        <v>914</v>
      </c>
      <c r="D444" s="118">
        <v>5.0999999999999996</v>
      </c>
      <c r="E444" s="118">
        <v>-0.21</v>
      </c>
    </row>
    <row r="445" spans="2:5" x14ac:dyDescent="0.2">
      <c r="B445" s="116" t="s">
        <v>915</v>
      </c>
      <c r="C445" s="117" t="s">
        <v>916</v>
      </c>
      <c r="D445" s="118"/>
      <c r="E445" s="118">
        <v>0.12</v>
      </c>
    </row>
    <row r="446" spans="2:5" x14ac:dyDescent="0.2">
      <c r="B446" s="116" t="s">
        <v>918</v>
      </c>
      <c r="C446" s="117" t="s">
        <v>919</v>
      </c>
      <c r="D446" s="118">
        <v>29.18</v>
      </c>
      <c r="E446" s="118">
        <v>0.27</v>
      </c>
    </row>
    <row r="447" spans="2:5" x14ac:dyDescent="0.2">
      <c r="B447" s="116" t="s">
        <v>920</v>
      </c>
      <c r="C447" s="117" t="s">
        <v>921</v>
      </c>
      <c r="D447" s="118">
        <v>9.15</v>
      </c>
      <c r="E447" s="118">
        <v>0.03</v>
      </c>
    </row>
    <row r="448" spans="2:5" x14ac:dyDescent="0.2">
      <c r="B448" s="116" t="s">
        <v>922</v>
      </c>
      <c r="C448" s="117" t="s">
        <v>923</v>
      </c>
      <c r="D448" s="118">
        <v>8.43</v>
      </c>
      <c r="E448" s="118">
        <v>0.03</v>
      </c>
    </row>
    <row r="449" spans="2:5" x14ac:dyDescent="0.2">
      <c r="B449" s="116" t="s">
        <v>924</v>
      </c>
      <c r="C449" s="117" t="s">
        <v>925</v>
      </c>
      <c r="D449" s="118"/>
      <c r="E449" s="118">
        <v>0.02</v>
      </c>
    </row>
    <row r="450" spans="2:5" x14ac:dyDescent="0.2">
      <c r="B450" s="116" t="s">
        <v>3712</v>
      </c>
      <c r="C450" s="117" t="s">
        <v>3713</v>
      </c>
      <c r="D450" s="118">
        <v>8.4700000000000006</v>
      </c>
      <c r="E450" s="118">
        <v>7.0000000000000007E-2</v>
      </c>
    </row>
    <row r="451" spans="2:5" x14ac:dyDescent="0.2">
      <c r="B451" s="116" t="s">
        <v>926</v>
      </c>
      <c r="C451" s="117" t="s">
        <v>927</v>
      </c>
      <c r="D451" s="118">
        <v>12.95</v>
      </c>
      <c r="E451" s="118">
        <v>0.1</v>
      </c>
    </row>
    <row r="452" spans="2:5" x14ac:dyDescent="0.2">
      <c r="B452" s="116" t="s">
        <v>928</v>
      </c>
      <c r="C452" s="117" t="s">
        <v>929</v>
      </c>
      <c r="D452" s="118">
        <v>26.24</v>
      </c>
      <c r="E452" s="118">
        <v>0.28999999999999998</v>
      </c>
    </row>
    <row r="453" spans="2:5" x14ac:dyDescent="0.2">
      <c r="B453" s="116" t="s">
        <v>931</v>
      </c>
      <c r="C453" s="117" t="s">
        <v>932</v>
      </c>
      <c r="D453" s="118">
        <v>16.05</v>
      </c>
      <c r="E453" s="118">
        <v>0.16</v>
      </c>
    </row>
    <row r="454" spans="2:5" x14ac:dyDescent="0.2">
      <c r="B454" s="116" t="s">
        <v>933</v>
      </c>
      <c r="C454" s="117" t="s">
        <v>934</v>
      </c>
      <c r="D454" s="118"/>
      <c r="E454" s="118">
        <v>0.01</v>
      </c>
    </row>
    <row r="455" spans="2:5" x14ac:dyDescent="0.2">
      <c r="B455" s="116" t="s">
        <v>935</v>
      </c>
      <c r="C455" s="117" t="s">
        <v>936</v>
      </c>
      <c r="D455" s="118">
        <v>18.53</v>
      </c>
      <c r="E455" s="118">
        <v>0.2</v>
      </c>
    </row>
    <row r="456" spans="2:5" x14ac:dyDescent="0.2">
      <c r="B456" s="116" t="s">
        <v>938</v>
      </c>
      <c r="C456" s="117" t="s">
        <v>939</v>
      </c>
      <c r="D456" s="118">
        <v>11.38</v>
      </c>
      <c r="E456" s="118">
        <v>0.1</v>
      </c>
    </row>
    <row r="457" spans="2:5" x14ac:dyDescent="0.2">
      <c r="B457" s="116" t="s">
        <v>940</v>
      </c>
      <c r="C457" s="117" t="s">
        <v>941</v>
      </c>
      <c r="D457" s="118">
        <v>21.94</v>
      </c>
      <c r="E457" s="118">
        <v>0.22</v>
      </c>
    </row>
    <row r="458" spans="2:5" x14ac:dyDescent="0.2">
      <c r="B458" s="116" t="s">
        <v>942</v>
      </c>
      <c r="C458" s="117" t="s">
        <v>943</v>
      </c>
      <c r="D458" s="118">
        <v>5.72</v>
      </c>
      <c r="E458" s="118">
        <v>-0.35</v>
      </c>
    </row>
    <row r="459" spans="2:5" x14ac:dyDescent="0.2">
      <c r="B459" s="116" t="s">
        <v>3714</v>
      </c>
      <c r="C459" s="117" t="s">
        <v>3715</v>
      </c>
      <c r="D459" s="118"/>
      <c r="E459" s="118">
        <v>0.08</v>
      </c>
    </row>
    <row r="460" spans="2:5" x14ac:dyDescent="0.2">
      <c r="B460" s="116" t="s">
        <v>3716</v>
      </c>
      <c r="C460" s="117" t="s">
        <v>3717</v>
      </c>
      <c r="D460" s="118"/>
      <c r="E460" s="118">
        <v>0.03</v>
      </c>
    </row>
    <row r="461" spans="2:5" x14ac:dyDescent="0.2">
      <c r="B461" s="116" t="s">
        <v>945</v>
      </c>
      <c r="C461" s="117" t="s">
        <v>946</v>
      </c>
      <c r="D461" s="118">
        <v>8.3000000000000007</v>
      </c>
      <c r="E461" s="118">
        <v>0.08</v>
      </c>
    </row>
    <row r="462" spans="2:5" x14ac:dyDescent="0.2">
      <c r="B462" s="116" t="s">
        <v>947</v>
      </c>
      <c r="C462" s="117" t="s">
        <v>948</v>
      </c>
      <c r="D462" s="118">
        <v>12.21</v>
      </c>
      <c r="E462" s="118">
        <v>0.1</v>
      </c>
    </row>
    <row r="463" spans="2:5" x14ac:dyDescent="0.2">
      <c r="B463" s="116" t="s">
        <v>950</v>
      </c>
      <c r="C463" s="117" t="s">
        <v>951</v>
      </c>
      <c r="D463" s="118">
        <v>15.55</v>
      </c>
      <c r="E463" s="118">
        <v>0.08</v>
      </c>
    </row>
    <row r="464" spans="2:5" x14ac:dyDescent="0.2">
      <c r="B464" s="116" t="s">
        <v>952</v>
      </c>
      <c r="C464" s="117" t="s">
        <v>953</v>
      </c>
      <c r="D464" s="118">
        <v>1516.49</v>
      </c>
      <c r="E464" s="118">
        <v>-1.21</v>
      </c>
    </row>
    <row r="465" spans="2:5" x14ac:dyDescent="0.2">
      <c r="B465" s="116" t="s">
        <v>954</v>
      </c>
      <c r="C465" s="117" t="s">
        <v>955</v>
      </c>
      <c r="D465" s="118"/>
      <c r="E465" s="118">
        <v>0.05</v>
      </c>
    </row>
    <row r="466" spans="2:5" x14ac:dyDescent="0.2">
      <c r="B466" s="116" t="s">
        <v>956</v>
      </c>
      <c r="C466" s="117" t="s">
        <v>957</v>
      </c>
      <c r="D466" s="118"/>
      <c r="E466" s="118">
        <v>-0.01</v>
      </c>
    </row>
    <row r="467" spans="2:5" x14ac:dyDescent="0.2">
      <c r="B467" s="116" t="s">
        <v>958</v>
      </c>
      <c r="C467" s="117" t="s">
        <v>959</v>
      </c>
      <c r="D467" s="118">
        <v>14.17</v>
      </c>
      <c r="E467" s="118">
        <v>0.08</v>
      </c>
    </row>
    <row r="468" spans="2:5" x14ac:dyDescent="0.2">
      <c r="B468" s="116" t="s">
        <v>3718</v>
      </c>
      <c r="C468" s="117" t="s">
        <v>3719</v>
      </c>
      <c r="D468" s="118"/>
      <c r="E468" s="118"/>
    </row>
    <row r="469" spans="2:5" x14ac:dyDescent="0.2">
      <c r="B469" s="116" t="s">
        <v>3720</v>
      </c>
      <c r="C469" s="117" t="s">
        <v>3721</v>
      </c>
      <c r="D469" s="118"/>
      <c r="E469" s="118">
        <v>0.02</v>
      </c>
    </row>
    <row r="470" spans="2:5" x14ac:dyDescent="0.2">
      <c r="B470" s="116" t="s">
        <v>3722</v>
      </c>
      <c r="C470" s="117" t="s">
        <v>3723</v>
      </c>
      <c r="D470" s="118">
        <v>6.39</v>
      </c>
      <c r="E470" s="118">
        <v>7.0000000000000007E-2</v>
      </c>
    </row>
    <row r="471" spans="2:5" x14ac:dyDescent="0.2">
      <c r="B471" s="116" t="s">
        <v>960</v>
      </c>
      <c r="C471" s="117" t="s">
        <v>961</v>
      </c>
      <c r="D471" s="118">
        <v>11.61</v>
      </c>
      <c r="E471" s="118">
        <v>0.06</v>
      </c>
    </row>
    <row r="472" spans="2:5" x14ac:dyDescent="0.2">
      <c r="B472" s="116" t="s">
        <v>962</v>
      </c>
      <c r="C472" s="117" t="s">
        <v>963</v>
      </c>
      <c r="D472" s="118">
        <v>26.56</v>
      </c>
      <c r="E472" s="118">
        <v>0.22</v>
      </c>
    </row>
    <row r="473" spans="2:5" x14ac:dyDescent="0.2">
      <c r="B473" s="116" t="s">
        <v>965</v>
      </c>
      <c r="C473" s="117" t="s">
        <v>966</v>
      </c>
      <c r="D473" s="118">
        <v>30.68</v>
      </c>
      <c r="E473" s="118">
        <v>0.28000000000000003</v>
      </c>
    </row>
    <row r="474" spans="2:5" x14ac:dyDescent="0.2">
      <c r="B474" s="116" t="s">
        <v>967</v>
      </c>
      <c r="C474" s="117" t="s">
        <v>968</v>
      </c>
      <c r="D474" s="118">
        <v>27.46</v>
      </c>
      <c r="E474" s="118">
        <v>0.2</v>
      </c>
    </row>
    <row r="475" spans="2:5" x14ac:dyDescent="0.2">
      <c r="B475" s="116" t="s">
        <v>3724</v>
      </c>
      <c r="C475" s="117" t="s">
        <v>3725</v>
      </c>
      <c r="D475" s="118">
        <v>7.72</v>
      </c>
      <c r="E475" s="118">
        <v>7.0000000000000007E-2</v>
      </c>
    </row>
    <row r="476" spans="2:5" x14ac:dyDescent="0.2">
      <c r="B476" s="116" t="s">
        <v>969</v>
      </c>
      <c r="C476" s="117" t="s">
        <v>970</v>
      </c>
      <c r="D476" s="118">
        <v>9.26</v>
      </c>
      <c r="E476" s="118">
        <v>0.14000000000000001</v>
      </c>
    </row>
    <row r="477" spans="2:5" x14ac:dyDescent="0.2">
      <c r="B477" s="116" t="s">
        <v>971</v>
      </c>
      <c r="C477" s="117" t="s">
        <v>972</v>
      </c>
      <c r="D477" s="118"/>
      <c r="E477" s="118">
        <v>0.22</v>
      </c>
    </row>
    <row r="478" spans="2:5" x14ac:dyDescent="0.2">
      <c r="B478" s="116" t="s">
        <v>973</v>
      </c>
      <c r="C478" s="117" t="s">
        <v>974</v>
      </c>
      <c r="D478" s="118">
        <v>10.7</v>
      </c>
      <c r="E478" s="118">
        <v>-0.06</v>
      </c>
    </row>
    <row r="479" spans="2:5" x14ac:dyDescent="0.2">
      <c r="B479" s="116" t="s">
        <v>3726</v>
      </c>
      <c r="C479" s="117" t="s">
        <v>3727</v>
      </c>
      <c r="D479" s="118">
        <v>17.34</v>
      </c>
      <c r="E479" s="118">
        <v>0.17</v>
      </c>
    </row>
    <row r="480" spans="2:5" x14ac:dyDescent="0.2">
      <c r="B480" s="116" t="s">
        <v>975</v>
      </c>
      <c r="C480" s="117" t="s">
        <v>976</v>
      </c>
      <c r="D480" s="118">
        <v>27.87</v>
      </c>
      <c r="E480" s="118">
        <v>0.27</v>
      </c>
    </row>
    <row r="481" spans="2:5" x14ac:dyDescent="0.2">
      <c r="B481" s="116" t="s">
        <v>977</v>
      </c>
      <c r="C481" s="117" t="s">
        <v>978</v>
      </c>
      <c r="D481" s="118">
        <v>12.19</v>
      </c>
      <c r="E481" s="118">
        <v>0.13</v>
      </c>
    </row>
    <row r="482" spans="2:5" x14ac:dyDescent="0.2">
      <c r="B482" s="116" t="s">
        <v>980</v>
      </c>
      <c r="C482" s="117" t="s">
        <v>981</v>
      </c>
      <c r="D482" s="118">
        <v>6.35</v>
      </c>
      <c r="E482" s="118">
        <v>-7.0000000000000007E-2</v>
      </c>
    </row>
    <row r="483" spans="2:5" x14ac:dyDescent="0.2">
      <c r="B483" s="116" t="s">
        <v>983</v>
      </c>
      <c r="C483" s="117" t="s">
        <v>984</v>
      </c>
      <c r="D483" s="118">
        <v>11.12</v>
      </c>
      <c r="E483" s="118">
        <v>0.05</v>
      </c>
    </row>
    <row r="484" spans="2:5" x14ac:dyDescent="0.2">
      <c r="B484" s="116" t="s">
        <v>3728</v>
      </c>
      <c r="C484" s="117" t="s">
        <v>3729</v>
      </c>
      <c r="D484" s="118"/>
      <c r="E484" s="118">
        <v>0.09</v>
      </c>
    </row>
    <row r="485" spans="2:5" x14ac:dyDescent="0.2">
      <c r="B485" s="116" t="s">
        <v>986</v>
      </c>
      <c r="C485" s="117" t="s">
        <v>987</v>
      </c>
      <c r="D485" s="118">
        <v>15.76</v>
      </c>
      <c r="E485" s="118">
        <v>0.04</v>
      </c>
    </row>
    <row r="486" spans="2:5" x14ac:dyDescent="0.2">
      <c r="B486" s="116" t="s">
        <v>3730</v>
      </c>
      <c r="C486" s="117" t="s">
        <v>3731</v>
      </c>
      <c r="D486" s="118"/>
      <c r="E486" s="118">
        <v>0.09</v>
      </c>
    </row>
    <row r="487" spans="2:5" x14ac:dyDescent="0.2">
      <c r="B487" s="116" t="s">
        <v>988</v>
      </c>
      <c r="C487" s="117" t="s">
        <v>989</v>
      </c>
      <c r="D487" s="118">
        <v>14.6</v>
      </c>
      <c r="E487" s="118">
        <v>0.13</v>
      </c>
    </row>
    <row r="488" spans="2:5" x14ac:dyDescent="0.2">
      <c r="B488" s="116" t="s">
        <v>991</v>
      </c>
      <c r="C488" s="117" t="s">
        <v>992</v>
      </c>
      <c r="D488" s="118">
        <v>5.48</v>
      </c>
      <c r="E488" s="118">
        <v>7.0000000000000007E-2</v>
      </c>
    </row>
    <row r="489" spans="2:5" x14ac:dyDescent="0.2">
      <c r="B489" s="116" t="s">
        <v>3732</v>
      </c>
      <c r="C489" s="117" t="s">
        <v>3733</v>
      </c>
      <c r="D489" s="118"/>
      <c r="E489" s="118"/>
    </row>
    <row r="490" spans="2:5" x14ac:dyDescent="0.2">
      <c r="B490" s="116" t="s">
        <v>993</v>
      </c>
      <c r="C490" s="117" t="s">
        <v>994</v>
      </c>
      <c r="D490" s="118">
        <v>25.59</v>
      </c>
      <c r="E490" s="118">
        <v>0.19</v>
      </c>
    </row>
    <row r="491" spans="2:5" x14ac:dyDescent="0.2">
      <c r="B491" s="116" t="s">
        <v>995</v>
      </c>
      <c r="C491" s="117" t="s">
        <v>996</v>
      </c>
      <c r="D491" s="118">
        <v>29.33</v>
      </c>
      <c r="E491" s="118">
        <v>0.27</v>
      </c>
    </row>
    <row r="492" spans="2:5" x14ac:dyDescent="0.2">
      <c r="B492" s="116" t="s">
        <v>745</v>
      </c>
      <c r="C492" s="117" t="s">
        <v>3734</v>
      </c>
      <c r="D492" s="118">
        <v>14.95</v>
      </c>
      <c r="E492" s="118">
        <v>0.17</v>
      </c>
    </row>
    <row r="493" spans="2:5" x14ac:dyDescent="0.2">
      <c r="B493" s="116" t="s">
        <v>997</v>
      </c>
      <c r="C493" s="117" t="s">
        <v>998</v>
      </c>
      <c r="D493" s="118"/>
      <c r="E493" s="118">
        <v>0.04</v>
      </c>
    </row>
    <row r="494" spans="2:5" x14ac:dyDescent="0.2">
      <c r="B494" s="116" t="s">
        <v>999</v>
      </c>
      <c r="C494" s="117" t="s">
        <v>1000</v>
      </c>
      <c r="D494" s="118">
        <v>11.11</v>
      </c>
      <c r="E494" s="118">
        <v>0.17</v>
      </c>
    </row>
    <row r="495" spans="2:5" x14ac:dyDescent="0.2">
      <c r="B495" s="116" t="s">
        <v>1001</v>
      </c>
      <c r="C495" s="117" t="s">
        <v>1002</v>
      </c>
      <c r="D495" s="118">
        <v>38.99</v>
      </c>
      <c r="E495" s="118">
        <v>0.38</v>
      </c>
    </row>
    <row r="496" spans="2:5" x14ac:dyDescent="0.2">
      <c r="B496" s="116" t="s">
        <v>1003</v>
      </c>
      <c r="C496" s="117" t="s">
        <v>1004</v>
      </c>
      <c r="D496" s="118">
        <v>-7.27</v>
      </c>
      <c r="E496" s="118">
        <v>-0.13</v>
      </c>
    </row>
    <row r="497" spans="2:5" x14ac:dyDescent="0.2">
      <c r="B497" s="116" t="s">
        <v>3735</v>
      </c>
      <c r="C497" s="117" t="s">
        <v>3736</v>
      </c>
      <c r="D497" s="118">
        <v>5.7</v>
      </c>
      <c r="E497" s="118">
        <v>0.04</v>
      </c>
    </row>
    <row r="498" spans="2:5" x14ac:dyDescent="0.2">
      <c r="B498" s="116" t="s">
        <v>1006</v>
      </c>
      <c r="C498" s="117" t="s">
        <v>1007</v>
      </c>
      <c r="D498" s="118">
        <v>-2.82</v>
      </c>
      <c r="E498" s="118">
        <v>-0.03</v>
      </c>
    </row>
    <row r="499" spans="2:5" x14ac:dyDescent="0.2">
      <c r="B499" s="116" t="s">
        <v>1008</v>
      </c>
      <c r="C499" s="117" t="s">
        <v>1009</v>
      </c>
      <c r="D499" s="118">
        <v>3.86</v>
      </c>
      <c r="E499" s="118">
        <v>0</v>
      </c>
    </row>
    <row r="500" spans="2:5" x14ac:dyDescent="0.2">
      <c r="B500" s="116" t="s">
        <v>1011</v>
      </c>
      <c r="C500" s="117" t="s">
        <v>1012</v>
      </c>
      <c r="D500" s="118">
        <v>9.32</v>
      </c>
      <c r="E500" s="118">
        <v>0.09</v>
      </c>
    </row>
    <row r="501" spans="2:5" x14ac:dyDescent="0.2">
      <c r="B501" s="116" t="s">
        <v>1013</v>
      </c>
      <c r="C501" s="117" t="s">
        <v>1014</v>
      </c>
      <c r="D501" s="118">
        <v>12.03</v>
      </c>
      <c r="E501" s="118">
        <v>0.11</v>
      </c>
    </row>
    <row r="502" spans="2:5" x14ac:dyDescent="0.2">
      <c r="B502" s="116" t="s">
        <v>1015</v>
      </c>
      <c r="C502" s="117" t="s">
        <v>1016</v>
      </c>
      <c r="D502" s="118">
        <v>-8.9</v>
      </c>
      <c r="E502" s="118">
        <v>0.05</v>
      </c>
    </row>
    <row r="503" spans="2:5" x14ac:dyDescent="0.2">
      <c r="B503" s="116" t="s">
        <v>1018</v>
      </c>
      <c r="C503" s="117" t="s">
        <v>1019</v>
      </c>
      <c r="D503" s="118">
        <v>3.9</v>
      </c>
      <c r="E503" s="118">
        <v>-0.02</v>
      </c>
    </row>
    <row r="504" spans="2:5" x14ac:dyDescent="0.2">
      <c r="B504" s="116" t="s">
        <v>3737</v>
      </c>
      <c r="C504" s="117" t="s">
        <v>3738</v>
      </c>
      <c r="D504" s="118"/>
      <c r="E504" s="118">
        <v>0.02</v>
      </c>
    </row>
    <row r="505" spans="2:5" x14ac:dyDescent="0.2">
      <c r="B505" s="116" t="s">
        <v>3739</v>
      </c>
      <c r="C505" s="117" t="s">
        <v>3740</v>
      </c>
      <c r="D505" s="118">
        <v>44.95</v>
      </c>
      <c r="E505" s="118">
        <v>0.42</v>
      </c>
    </row>
    <row r="506" spans="2:5" x14ac:dyDescent="0.2">
      <c r="B506" s="116" t="s">
        <v>1020</v>
      </c>
      <c r="C506" s="117" t="s">
        <v>1021</v>
      </c>
      <c r="D506" s="118">
        <v>1.4</v>
      </c>
      <c r="E506" s="118">
        <v>0.04</v>
      </c>
    </row>
    <row r="507" spans="2:5" x14ac:dyDescent="0.2">
      <c r="B507" s="116" t="s">
        <v>1022</v>
      </c>
      <c r="C507" s="117" t="s">
        <v>1023</v>
      </c>
      <c r="D507" s="118">
        <v>16.5</v>
      </c>
      <c r="E507" s="118">
        <v>0.55000000000000004</v>
      </c>
    </row>
    <row r="508" spans="2:5" x14ac:dyDescent="0.2">
      <c r="B508" s="116" t="s">
        <v>1024</v>
      </c>
      <c r="C508" s="117" t="s">
        <v>1025</v>
      </c>
      <c r="D508" s="118">
        <v>20.57</v>
      </c>
      <c r="E508" s="118">
        <v>0.14000000000000001</v>
      </c>
    </row>
    <row r="509" spans="2:5" x14ac:dyDescent="0.2">
      <c r="B509" s="116" t="s">
        <v>3741</v>
      </c>
      <c r="C509" s="117" t="s">
        <v>3742</v>
      </c>
      <c r="D509" s="118"/>
      <c r="E509" s="118"/>
    </row>
    <row r="510" spans="2:5" x14ac:dyDescent="0.2">
      <c r="B510" s="116" t="s">
        <v>1027</v>
      </c>
      <c r="C510" s="117" t="s">
        <v>1028</v>
      </c>
      <c r="D510" s="118">
        <v>24.65</v>
      </c>
      <c r="E510" s="118">
        <v>0.14000000000000001</v>
      </c>
    </row>
    <row r="511" spans="2:5" x14ac:dyDescent="0.2">
      <c r="B511" s="116" t="s">
        <v>1029</v>
      </c>
      <c r="C511" s="117" t="s">
        <v>1030</v>
      </c>
      <c r="D511" s="118"/>
      <c r="E511" s="118"/>
    </row>
    <row r="512" spans="2:5" x14ac:dyDescent="0.2">
      <c r="B512" s="116" t="s">
        <v>1031</v>
      </c>
      <c r="C512" s="117" t="s">
        <v>1032</v>
      </c>
      <c r="D512" s="118">
        <v>-4.46</v>
      </c>
      <c r="E512" s="118">
        <v>0.04</v>
      </c>
    </row>
    <row r="513" spans="2:5" x14ac:dyDescent="0.2">
      <c r="B513" s="116" t="s">
        <v>1033</v>
      </c>
      <c r="C513" s="117" t="s">
        <v>1034</v>
      </c>
      <c r="D513" s="118">
        <v>7.34</v>
      </c>
      <c r="E513" s="118">
        <v>0.06</v>
      </c>
    </row>
    <row r="514" spans="2:5" x14ac:dyDescent="0.2">
      <c r="B514" s="116" t="s">
        <v>1035</v>
      </c>
      <c r="C514" s="117" t="s">
        <v>1036</v>
      </c>
      <c r="D514" s="118">
        <v>19.41</v>
      </c>
      <c r="E514" s="118">
        <v>0.18</v>
      </c>
    </row>
    <row r="515" spans="2:5" x14ac:dyDescent="0.2">
      <c r="B515" s="116" t="s">
        <v>1037</v>
      </c>
      <c r="C515" s="117" t="s">
        <v>1038</v>
      </c>
      <c r="D515" s="118">
        <v>9.4</v>
      </c>
      <c r="E515" s="118">
        <v>0.09</v>
      </c>
    </row>
    <row r="516" spans="2:5" x14ac:dyDescent="0.2">
      <c r="B516" s="116" t="s">
        <v>1039</v>
      </c>
      <c r="C516" s="117" t="s">
        <v>1040</v>
      </c>
      <c r="D516" s="118"/>
      <c r="E516" s="118">
        <v>0.1</v>
      </c>
    </row>
    <row r="517" spans="2:5" x14ac:dyDescent="0.2">
      <c r="B517" s="116" t="s">
        <v>1041</v>
      </c>
      <c r="C517" s="117" t="s">
        <v>1042</v>
      </c>
      <c r="D517" s="118">
        <v>2.37</v>
      </c>
      <c r="E517" s="118">
        <v>0.03</v>
      </c>
    </row>
    <row r="518" spans="2:5" x14ac:dyDescent="0.2">
      <c r="B518" s="116" t="s">
        <v>1043</v>
      </c>
      <c r="C518" s="117" t="s">
        <v>1044</v>
      </c>
      <c r="D518" s="118">
        <v>23.89</v>
      </c>
      <c r="E518" s="118">
        <v>0.16</v>
      </c>
    </row>
    <row r="519" spans="2:5" x14ac:dyDescent="0.2">
      <c r="B519" s="116" t="s">
        <v>1045</v>
      </c>
      <c r="C519" s="117" t="s">
        <v>1046</v>
      </c>
      <c r="D519" s="118">
        <v>-13.07</v>
      </c>
      <c r="E519" s="118">
        <v>0.01</v>
      </c>
    </row>
    <row r="520" spans="2:5" x14ac:dyDescent="0.2">
      <c r="B520" s="116" t="s">
        <v>3743</v>
      </c>
      <c r="C520" s="117" t="s">
        <v>3744</v>
      </c>
      <c r="D520" s="118">
        <v>33.299999999999997</v>
      </c>
      <c r="E520" s="118">
        <v>0.26</v>
      </c>
    </row>
    <row r="521" spans="2:5" x14ac:dyDescent="0.2">
      <c r="B521" s="116" t="s">
        <v>1047</v>
      </c>
      <c r="C521" s="117" t="s">
        <v>1048</v>
      </c>
      <c r="D521" s="118">
        <v>38.64</v>
      </c>
      <c r="E521" s="118">
        <v>0.31</v>
      </c>
    </row>
    <row r="522" spans="2:5" x14ac:dyDescent="0.2">
      <c r="B522" s="116" t="s">
        <v>1049</v>
      </c>
      <c r="C522" s="117" t="s">
        <v>1050</v>
      </c>
      <c r="D522" s="118">
        <v>11.23</v>
      </c>
      <c r="E522" s="118">
        <v>-0.35</v>
      </c>
    </row>
    <row r="523" spans="2:5" x14ac:dyDescent="0.2">
      <c r="B523" s="116" t="s">
        <v>1051</v>
      </c>
      <c r="C523" s="117" t="s">
        <v>1052</v>
      </c>
      <c r="D523" s="118"/>
      <c r="E523" s="118"/>
    </row>
    <row r="524" spans="2:5" x14ac:dyDescent="0.2">
      <c r="B524" s="116" t="s">
        <v>1054</v>
      </c>
      <c r="C524" s="117" t="s">
        <v>1055</v>
      </c>
      <c r="D524" s="118">
        <v>10.119999999999999</v>
      </c>
      <c r="E524" s="118">
        <v>0.09</v>
      </c>
    </row>
    <row r="525" spans="2:5" x14ac:dyDescent="0.2">
      <c r="B525" s="116" t="s">
        <v>3745</v>
      </c>
      <c r="C525" s="117" t="s">
        <v>3746</v>
      </c>
      <c r="D525" s="118">
        <v>13.21</v>
      </c>
      <c r="E525" s="118">
        <v>0.14000000000000001</v>
      </c>
    </row>
    <row r="526" spans="2:5" x14ac:dyDescent="0.2">
      <c r="B526" s="116" t="s">
        <v>1057</v>
      </c>
      <c r="C526" s="117" t="s">
        <v>1058</v>
      </c>
      <c r="D526" s="118">
        <v>5.37</v>
      </c>
      <c r="E526" s="118">
        <v>0.03</v>
      </c>
    </row>
    <row r="527" spans="2:5" x14ac:dyDescent="0.2">
      <c r="B527" s="116" t="s">
        <v>1059</v>
      </c>
      <c r="C527" s="117" t="s">
        <v>1060</v>
      </c>
      <c r="D527" s="118">
        <v>9.7200000000000006</v>
      </c>
      <c r="E527" s="118">
        <v>0.04</v>
      </c>
    </row>
    <row r="528" spans="2:5" x14ac:dyDescent="0.2">
      <c r="B528" s="116" t="s">
        <v>1061</v>
      </c>
      <c r="C528" s="117" t="s">
        <v>1062</v>
      </c>
      <c r="D528" s="118">
        <v>4.38</v>
      </c>
      <c r="E528" s="118">
        <v>0.04</v>
      </c>
    </row>
    <row r="529" spans="2:5" x14ac:dyDescent="0.2">
      <c r="B529" s="116" t="s">
        <v>1063</v>
      </c>
      <c r="C529" s="117" t="s">
        <v>1064</v>
      </c>
      <c r="D529" s="118">
        <v>9.41</v>
      </c>
      <c r="E529" s="118">
        <v>0.06</v>
      </c>
    </row>
    <row r="530" spans="2:5" x14ac:dyDescent="0.2">
      <c r="B530" s="116" t="s">
        <v>1065</v>
      </c>
      <c r="C530" s="117" t="s">
        <v>1066</v>
      </c>
      <c r="D530" s="118">
        <v>13.23</v>
      </c>
      <c r="E530" s="118">
        <v>0.13</v>
      </c>
    </row>
    <row r="531" spans="2:5" x14ac:dyDescent="0.2">
      <c r="B531" s="116" t="s">
        <v>1067</v>
      </c>
      <c r="C531" s="117" t="s">
        <v>1068</v>
      </c>
      <c r="D531" s="118">
        <v>13.54</v>
      </c>
      <c r="E531" s="118">
        <v>0.13</v>
      </c>
    </row>
    <row r="532" spans="2:5" x14ac:dyDescent="0.2">
      <c r="B532" s="116" t="s">
        <v>1069</v>
      </c>
      <c r="C532" s="117" t="s">
        <v>1070</v>
      </c>
      <c r="D532" s="118">
        <v>6.02</v>
      </c>
      <c r="E532" s="118">
        <v>-0.03</v>
      </c>
    </row>
    <row r="533" spans="2:5" x14ac:dyDescent="0.2">
      <c r="B533" s="116" t="s">
        <v>1071</v>
      </c>
      <c r="C533" s="117" t="s">
        <v>1072</v>
      </c>
      <c r="D533" s="118"/>
      <c r="E533" s="118">
        <v>0.25</v>
      </c>
    </row>
    <row r="534" spans="2:5" x14ac:dyDescent="0.2">
      <c r="B534" s="116" t="s">
        <v>3747</v>
      </c>
      <c r="C534" s="117" t="s">
        <v>3748</v>
      </c>
      <c r="D534" s="118"/>
      <c r="E534" s="118">
        <v>0.01</v>
      </c>
    </row>
    <row r="535" spans="2:5" x14ac:dyDescent="0.2">
      <c r="B535" s="116" t="s">
        <v>1073</v>
      </c>
      <c r="C535" s="117" t="s">
        <v>1074</v>
      </c>
      <c r="D535" s="118">
        <v>25.6</v>
      </c>
      <c r="E535" s="118">
        <v>0.21</v>
      </c>
    </row>
    <row r="536" spans="2:5" x14ac:dyDescent="0.2">
      <c r="B536" s="116" t="s">
        <v>1075</v>
      </c>
      <c r="C536" s="117" t="s">
        <v>1076</v>
      </c>
      <c r="D536" s="118">
        <v>6.2</v>
      </c>
      <c r="E536" s="118">
        <v>0.06</v>
      </c>
    </row>
    <row r="537" spans="2:5" x14ac:dyDescent="0.2">
      <c r="B537" s="116" t="s">
        <v>1077</v>
      </c>
      <c r="C537" s="117" t="s">
        <v>1078</v>
      </c>
      <c r="D537" s="118">
        <v>10.67</v>
      </c>
      <c r="E537" s="118">
        <v>0.1</v>
      </c>
    </row>
    <row r="538" spans="2:5" x14ac:dyDescent="0.2">
      <c r="B538" s="116" t="s">
        <v>1079</v>
      </c>
      <c r="C538" s="117" t="s">
        <v>1080</v>
      </c>
      <c r="D538" s="118">
        <v>9.3000000000000007</v>
      </c>
      <c r="E538" s="118">
        <v>0.09</v>
      </c>
    </row>
    <row r="539" spans="2:5" x14ac:dyDescent="0.2">
      <c r="B539" s="116" t="s">
        <v>1082</v>
      </c>
      <c r="C539" s="117" t="s">
        <v>1083</v>
      </c>
      <c r="D539" s="118">
        <v>16.579999999999998</v>
      </c>
      <c r="E539" s="118">
        <v>0.13</v>
      </c>
    </row>
    <row r="540" spans="2:5" x14ac:dyDescent="0.2">
      <c r="B540" s="116" t="s">
        <v>3749</v>
      </c>
      <c r="C540" s="117" t="s">
        <v>3750</v>
      </c>
      <c r="D540" s="118"/>
      <c r="E540" s="118"/>
    </row>
    <row r="541" spans="2:5" x14ac:dyDescent="0.2">
      <c r="B541" s="116" t="s">
        <v>3751</v>
      </c>
      <c r="C541" s="117" t="s">
        <v>3752</v>
      </c>
      <c r="D541" s="118"/>
      <c r="E541" s="118"/>
    </row>
    <row r="542" spans="2:5" x14ac:dyDescent="0.2">
      <c r="B542" s="116" t="s">
        <v>3753</v>
      </c>
      <c r="C542" s="117" t="s">
        <v>3754</v>
      </c>
      <c r="D542" s="118">
        <v>1.03</v>
      </c>
      <c r="E542" s="118">
        <v>0.01</v>
      </c>
    </row>
    <row r="543" spans="2:5" x14ac:dyDescent="0.2">
      <c r="B543" s="116" t="s">
        <v>1084</v>
      </c>
      <c r="C543" s="117" t="s">
        <v>1085</v>
      </c>
      <c r="D543" s="118">
        <v>15.55</v>
      </c>
      <c r="E543" s="118">
        <v>0.21</v>
      </c>
    </row>
    <row r="544" spans="2:5" x14ac:dyDescent="0.2">
      <c r="B544" s="116" t="s">
        <v>1087</v>
      </c>
      <c r="C544" s="117" t="s">
        <v>1088</v>
      </c>
      <c r="D544" s="118">
        <v>20.29</v>
      </c>
      <c r="E544" s="118">
        <v>0.06</v>
      </c>
    </row>
    <row r="545" spans="2:5" x14ac:dyDescent="0.2">
      <c r="B545" s="116" t="s">
        <v>3755</v>
      </c>
      <c r="C545" s="117" t="s">
        <v>3756</v>
      </c>
      <c r="D545" s="118">
        <v>20.29</v>
      </c>
      <c r="E545" s="118">
        <v>0.06</v>
      </c>
    </row>
    <row r="546" spans="2:5" x14ac:dyDescent="0.2">
      <c r="B546" s="116" t="s">
        <v>3755</v>
      </c>
      <c r="C546" s="117" t="s">
        <v>3757</v>
      </c>
      <c r="D546" s="118">
        <v>20.29</v>
      </c>
      <c r="E546" s="118">
        <v>0.06</v>
      </c>
    </row>
    <row r="547" spans="2:5" x14ac:dyDescent="0.2">
      <c r="B547" s="116" t="s">
        <v>1089</v>
      </c>
      <c r="C547" s="117" t="s">
        <v>1090</v>
      </c>
      <c r="D547" s="118">
        <v>10.88</v>
      </c>
      <c r="E547" s="118">
        <v>0.12</v>
      </c>
    </row>
    <row r="548" spans="2:5" x14ac:dyDescent="0.2">
      <c r="B548" s="116" t="s">
        <v>1091</v>
      </c>
      <c r="C548" s="117" t="s">
        <v>1092</v>
      </c>
      <c r="D548" s="118"/>
      <c r="E548" s="118"/>
    </row>
    <row r="549" spans="2:5" x14ac:dyDescent="0.2">
      <c r="B549" s="116" t="s">
        <v>1094</v>
      </c>
      <c r="C549" s="117" t="s">
        <v>1095</v>
      </c>
      <c r="D549" s="118"/>
      <c r="E549" s="118">
        <v>0.08</v>
      </c>
    </row>
    <row r="550" spans="2:5" x14ac:dyDescent="0.2">
      <c r="B550" s="116" t="s">
        <v>1097</v>
      </c>
      <c r="C550" s="117" t="s">
        <v>1098</v>
      </c>
      <c r="D550" s="118">
        <v>3.65</v>
      </c>
      <c r="E550" s="118">
        <v>0.04</v>
      </c>
    </row>
    <row r="551" spans="2:5" x14ac:dyDescent="0.2">
      <c r="B551" s="116" t="s">
        <v>3758</v>
      </c>
      <c r="C551" s="117" t="s">
        <v>3759</v>
      </c>
      <c r="D551" s="118">
        <v>3.82</v>
      </c>
      <c r="E551" s="118">
        <v>0.06</v>
      </c>
    </row>
    <row r="552" spans="2:5" x14ac:dyDescent="0.2">
      <c r="B552" s="116" t="s">
        <v>1100</v>
      </c>
      <c r="C552" s="117" t="s">
        <v>1101</v>
      </c>
      <c r="D552" s="118">
        <v>22.69</v>
      </c>
      <c r="E552" s="118">
        <v>0.1</v>
      </c>
    </row>
    <row r="553" spans="2:5" x14ac:dyDescent="0.2">
      <c r="B553" s="116" t="s">
        <v>3760</v>
      </c>
      <c r="C553" s="117" t="s">
        <v>3761</v>
      </c>
      <c r="D553" s="118">
        <v>15.85</v>
      </c>
      <c r="E553" s="118">
        <v>0.1</v>
      </c>
    </row>
    <row r="554" spans="2:5" x14ac:dyDescent="0.2">
      <c r="B554" s="116" t="s">
        <v>1103</v>
      </c>
      <c r="C554" s="117" t="s">
        <v>1104</v>
      </c>
      <c r="D554" s="118">
        <v>9.06</v>
      </c>
      <c r="E554" s="118">
        <v>0.11</v>
      </c>
    </row>
    <row r="555" spans="2:5" x14ac:dyDescent="0.2">
      <c r="B555" s="116" t="s">
        <v>1105</v>
      </c>
      <c r="C555" s="117" t="s">
        <v>1106</v>
      </c>
      <c r="D555" s="118">
        <v>5.14</v>
      </c>
      <c r="E555" s="118">
        <v>-7.0000000000000007E-2</v>
      </c>
    </row>
    <row r="556" spans="2:5" x14ac:dyDescent="0.2">
      <c r="B556" s="116" t="s">
        <v>1107</v>
      </c>
      <c r="C556" s="117" t="s">
        <v>1108</v>
      </c>
      <c r="D556" s="118"/>
      <c r="E556" s="118"/>
    </row>
    <row r="557" spans="2:5" x14ac:dyDescent="0.2">
      <c r="B557" s="116" t="s">
        <v>3762</v>
      </c>
      <c r="C557" s="117" t="s">
        <v>3763</v>
      </c>
      <c r="D557" s="118">
        <v>48.06</v>
      </c>
      <c r="E557" s="118">
        <v>0.34</v>
      </c>
    </row>
    <row r="558" spans="2:5" x14ac:dyDescent="0.2">
      <c r="B558" s="116" t="s">
        <v>3764</v>
      </c>
      <c r="C558" s="117" t="s">
        <v>3765</v>
      </c>
      <c r="D558" s="118">
        <v>27.36</v>
      </c>
      <c r="E558" s="118">
        <v>0.33</v>
      </c>
    </row>
    <row r="559" spans="2:5" x14ac:dyDescent="0.2">
      <c r="B559" s="116" t="s">
        <v>1109</v>
      </c>
      <c r="C559" s="117" t="s">
        <v>1110</v>
      </c>
      <c r="D559" s="118">
        <v>18.940000000000001</v>
      </c>
      <c r="E559" s="118">
        <v>0.17</v>
      </c>
    </row>
    <row r="560" spans="2:5" x14ac:dyDescent="0.2">
      <c r="B560" s="116" t="s">
        <v>3766</v>
      </c>
      <c r="C560" s="117" t="s">
        <v>3767</v>
      </c>
      <c r="D560" s="118"/>
      <c r="E560" s="118"/>
    </row>
    <row r="561" spans="2:5" x14ac:dyDescent="0.2">
      <c r="B561" s="116" t="s">
        <v>3768</v>
      </c>
      <c r="C561" s="117" t="s">
        <v>3769</v>
      </c>
      <c r="D561" s="118">
        <v>2.94</v>
      </c>
      <c r="E561" s="118">
        <v>-0.03</v>
      </c>
    </row>
    <row r="562" spans="2:5" x14ac:dyDescent="0.2">
      <c r="B562" s="116" t="s">
        <v>1111</v>
      </c>
      <c r="C562" s="117" t="s">
        <v>1112</v>
      </c>
      <c r="D562" s="118">
        <v>4.8499999999999996</v>
      </c>
      <c r="E562" s="118"/>
    </row>
    <row r="563" spans="2:5" x14ac:dyDescent="0.2">
      <c r="B563" s="116" t="s">
        <v>1113</v>
      </c>
      <c r="C563" s="117" t="s">
        <v>1114</v>
      </c>
      <c r="D563" s="118">
        <v>12.61</v>
      </c>
      <c r="E563" s="118">
        <v>0.13</v>
      </c>
    </row>
    <row r="564" spans="2:5" x14ac:dyDescent="0.2">
      <c r="B564" s="116" t="s">
        <v>1115</v>
      </c>
      <c r="C564" s="117" t="s">
        <v>1116</v>
      </c>
      <c r="D564" s="118">
        <v>3.17</v>
      </c>
      <c r="E564" s="118">
        <v>-0.61</v>
      </c>
    </row>
    <row r="565" spans="2:5" x14ac:dyDescent="0.2">
      <c r="B565" s="116" t="s">
        <v>1117</v>
      </c>
      <c r="C565" s="117" t="s">
        <v>1118</v>
      </c>
      <c r="D565" s="118">
        <v>5.46</v>
      </c>
      <c r="E565" s="118">
        <v>0.04</v>
      </c>
    </row>
    <row r="566" spans="2:5" x14ac:dyDescent="0.2">
      <c r="B566" s="116" t="s">
        <v>1119</v>
      </c>
      <c r="C566" s="117" t="s">
        <v>1120</v>
      </c>
      <c r="D566" s="118">
        <v>11.65</v>
      </c>
      <c r="E566" s="118">
        <v>0.08</v>
      </c>
    </row>
    <row r="567" spans="2:5" x14ac:dyDescent="0.2">
      <c r="B567" s="116" t="s">
        <v>3770</v>
      </c>
      <c r="C567" s="117" t="s">
        <v>3771</v>
      </c>
      <c r="D567" s="118"/>
      <c r="E567" s="118">
        <v>7.0000000000000007E-2</v>
      </c>
    </row>
    <row r="568" spans="2:5" x14ac:dyDescent="0.2">
      <c r="B568" s="116" t="s">
        <v>1121</v>
      </c>
      <c r="C568" s="117" t="s">
        <v>1122</v>
      </c>
      <c r="D568" s="118">
        <v>14.48</v>
      </c>
      <c r="E568" s="118">
        <v>0.09</v>
      </c>
    </row>
    <row r="569" spans="2:5" x14ac:dyDescent="0.2">
      <c r="B569" s="116" t="s">
        <v>3772</v>
      </c>
      <c r="C569" s="117" t="s">
        <v>3773</v>
      </c>
      <c r="D569" s="118"/>
      <c r="E569" s="118"/>
    </row>
    <row r="570" spans="2:5" x14ac:dyDescent="0.2">
      <c r="B570" s="116" t="s">
        <v>1123</v>
      </c>
      <c r="C570" s="117" t="s">
        <v>1124</v>
      </c>
      <c r="D570" s="118">
        <v>3.44</v>
      </c>
      <c r="E570" s="118">
        <v>0.03</v>
      </c>
    </row>
    <row r="571" spans="2:5" x14ac:dyDescent="0.2">
      <c r="B571" s="116" t="s">
        <v>1125</v>
      </c>
      <c r="C571" s="117" t="s">
        <v>1126</v>
      </c>
      <c r="D571" s="118">
        <v>10.83</v>
      </c>
      <c r="E571" s="118">
        <v>0.11</v>
      </c>
    </row>
    <row r="572" spans="2:5" x14ac:dyDescent="0.2">
      <c r="B572" s="116" t="s">
        <v>1127</v>
      </c>
      <c r="C572" s="117" t="s">
        <v>1128</v>
      </c>
      <c r="D572" s="118">
        <v>27.57</v>
      </c>
      <c r="E572" s="118">
        <v>0.4</v>
      </c>
    </row>
    <row r="573" spans="2:5" x14ac:dyDescent="0.2">
      <c r="B573" s="116" t="s">
        <v>1129</v>
      </c>
      <c r="C573" s="117" t="s">
        <v>1130</v>
      </c>
      <c r="D573" s="118">
        <v>8.5299999999999994</v>
      </c>
      <c r="E573" s="118">
        <v>0.08</v>
      </c>
    </row>
    <row r="574" spans="2:5" x14ac:dyDescent="0.2">
      <c r="B574" s="116" t="s">
        <v>1131</v>
      </c>
      <c r="C574" s="117" t="s">
        <v>1132</v>
      </c>
      <c r="D574" s="118">
        <v>20.03</v>
      </c>
      <c r="E574" s="118">
        <v>0.19</v>
      </c>
    </row>
    <row r="575" spans="2:5" x14ac:dyDescent="0.2">
      <c r="B575" s="116" t="s">
        <v>1134</v>
      </c>
      <c r="C575" s="117" t="s">
        <v>1135</v>
      </c>
      <c r="D575" s="118">
        <v>5.27</v>
      </c>
      <c r="E575" s="118">
        <v>0.05</v>
      </c>
    </row>
    <row r="576" spans="2:5" x14ac:dyDescent="0.2">
      <c r="B576" s="116" t="s">
        <v>3774</v>
      </c>
      <c r="C576" s="117" t="s">
        <v>3775</v>
      </c>
      <c r="D576" s="118">
        <v>6.7</v>
      </c>
      <c r="E576" s="118">
        <v>0.09</v>
      </c>
    </row>
    <row r="577" spans="2:5" x14ac:dyDescent="0.2">
      <c r="B577" s="116" t="s">
        <v>1136</v>
      </c>
      <c r="C577" s="117" t="s">
        <v>1137</v>
      </c>
      <c r="D577" s="118">
        <v>10.58</v>
      </c>
      <c r="E577" s="118">
        <v>0.11</v>
      </c>
    </row>
    <row r="578" spans="2:5" x14ac:dyDescent="0.2">
      <c r="B578" s="116" t="s">
        <v>3776</v>
      </c>
      <c r="C578" s="117" t="s">
        <v>3777</v>
      </c>
      <c r="D578" s="118"/>
      <c r="E578" s="118"/>
    </row>
    <row r="579" spans="2:5" x14ac:dyDescent="0.2">
      <c r="B579" s="116" t="s">
        <v>3778</v>
      </c>
      <c r="C579" s="117" t="s">
        <v>3779</v>
      </c>
      <c r="D579" s="118"/>
      <c r="E579" s="118"/>
    </row>
    <row r="580" spans="2:5" x14ac:dyDescent="0.2">
      <c r="B580" s="116" t="s">
        <v>1138</v>
      </c>
      <c r="C580" s="117" t="s">
        <v>1139</v>
      </c>
      <c r="D580" s="118">
        <v>8.1</v>
      </c>
      <c r="E580" s="118">
        <v>0.08</v>
      </c>
    </row>
    <row r="581" spans="2:5" x14ac:dyDescent="0.2">
      <c r="B581" s="116" t="s">
        <v>1140</v>
      </c>
      <c r="C581" s="117" t="s">
        <v>1141</v>
      </c>
      <c r="D581" s="118">
        <v>5.9</v>
      </c>
      <c r="E581" s="118">
        <v>0.03</v>
      </c>
    </row>
    <row r="582" spans="2:5" x14ac:dyDescent="0.2">
      <c r="B582" s="116" t="s">
        <v>3780</v>
      </c>
      <c r="C582" s="117" t="s">
        <v>3781</v>
      </c>
      <c r="D582" s="118">
        <v>4.51</v>
      </c>
      <c r="E582" s="118">
        <v>0.01</v>
      </c>
    </row>
    <row r="583" spans="2:5" x14ac:dyDescent="0.2">
      <c r="B583" s="116" t="s">
        <v>1142</v>
      </c>
      <c r="C583" s="117" t="s">
        <v>1143</v>
      </c>
      <c r="D583" s="118">
        <v>14.19</v>
      </c>
      <c r="E583" s="118">
        <v>0.11</v>
      </c>
    </row>
    <row r="584" spans="2:5" x14ac:dyDescent="0.2">
      <c r="B584" s="116" t="s">
        <v>1144</v>
      </c>
      <c r="C584" s="117" t="s">
        <v>1145</v>
      </c>
      <c r="D584" s="118">
        <v>5.3</v>
      </c>
      <c r="E584" s="118">
        <v>0.01</v>
      </c>
    </row>
    <row r="585" spans="2:5" x14ac:dyDescent="0.2">
      <c r="B585" s="116" t="s">
        <v>1146</v>
      </c>
      <c r="C585" s="117" t="s">
        <v>1147</v>
      </c>
      <c r="D585" s="118"/>
      <c r="E585" s="118">
        <v>0.17</v>
      </c>
    </row>
    <row r="586" spans="2:5" x14ac:dyDescent="0.2">
      <c r="B586" s="116" t="s">
        <v>1148</v>
      </c>
      <c r="C586" s="117" t="s">
        <v>1149</v>
      </c>
      <c r="D586" s="118">
        <v>7.14</v>
      </c>
      <c r="E586" s="118">
        <v>0.28999999999999998</v>
      </c>
    </row>
    <row r="587" spans="2:5" x14ac:dyDescent="0.2">
      <c r="B587" s="116" t="s">
        <v>3782</v>
      </c>
      <c r="C587" s="117" t="s">
        <v>3783</v>
      </c>
      <c r="D587" s="118"/>
      <c r="E587" s="118"/>
    </row>
    <row r="588" spans="2:5" x14ac:dyDescent="0.2">
      <c r="B588" s="116" t="s">
        <v>3784</v>
      </c>
      <c r="C588" s="117" t="s">
        <v>3785</v>
      </c>
      <c r="D588" s="118"/>
      <c r="E588" s="118"/>
    </row>
    <row r="589" spans="2:5" x14ac:dyDescent="0.2">
      <c r="B589" s="116" t="s">
        <v>1150</v>
      </c>
      <c r="C589" s="117" t="s">
        <v>1151</v>
      </c>
      <c r="D589" s="118"/>
      <c r="E589" s="118"/>
    </row>
    <row r="590" spans="2:5" x14ac:dyDescent="0.2">
      <c r="B590" s="116" t="s">
        <v>1152</v>
      </c>
      <c r="C590" s="117" t="s">
        <v>1153</v>
      </c>
      <c r="D590" s="118">
        <v>11.09</v>
      </c>
      <c r="E590" s="118">
        <v>0.06</v>
      </c>
    </row>
    <row r="591" spans="2:5" x14ac:dyDescent="0.2">
      <c r="B591" s="116" t="s">
        <v>1154</v>
      </c>
      <c r="C591" s="117" t="s">
        <v>1155</v>
      </c>
      <c r="D591" s="118">
        <v>5.5</v>
      </c>
      <c r="E591" s="118">
        <v>-0.12</v>
      </c>
    </row>
    <row r="592" spans="2:5" x14ac:dyDescent="0.2">
      <c r="B592" s="116" t="s">
        <v>1156</v>
      </c>
      <c r="C592" s="117" t="s">
        <v>1157</v>
      </c>
      <c r="D592" s="118">
        <v>5.69</v>
      </c>
      <c r="E592" s="118">
        <v>0.05</v>
      </c>
    </row>
    <row r="593" spans="2:5" x14ac:dyDescent="0.2">
      <c r="B593" s="116" t="s">
        <v>1158</v>
      </c>
      <c r="C593" s="117" t="s">
        <v>1159</v>
      </c>
      <c r="D593" s="118">
        <v>27.37</v>
      </c>
      <c r="E593" s="118">
        <v>0.21</v>
      </c>
    </row>
    <row r="594" spans="2:5" x14ac:dyDescent="0.2">
      <c r="B594" s="116" t="s">
        <v>3786</v>
      </c>
      <c r="C594" s="117" t="s">
        <v>3787</v>
      </c>
      <c r="D594" s="118">
        <v>5.1100000000000003</v>
      </c>
      <c r="E594" s="118">
        <v>0.05</v>
      </c>
    </row>
    <row r="595" spans="2:5" x14ac:dyDescent="0.2">
      <c r="B595" s="116" t="s">
        <v>1160</v>
      </c>
      <c r="C595" s="117" t="s">
        <v>1161</v>
      </c>
      <c r="D595" s="118">
        <v>42.4</v>
      </c>
      <c r="E595" s="118">
        <v>0.45</v>
      </c>
    </row>
    <row r="596" spans="2:5" x14ac:dyDescent="0.2">
      <c r="B596" s="116" t="s">
        <v>1163</v>
      </c>
      <c r="C596" s="117" t="s">
        <v>1164</v>
      </c>
      <c r="D596" s="118">
        <v>23.4</v>
      </c>
      <c r="E596" s="118">
        <v>0.24</v>
      </c>
    </row>
    <row r="597" spans="2:5" x14ac:dyDescent="0.2">
      <c r="B597" s="116" t="s">
        <v>1165</v>
      </c>
      <c r="C597" s="117" t="s">
        <v>1166</v>
      </c>
      <c r="D597" s="118">
        <v>22.99</v>
      </c>
      <c r="E597" s="118">
        <v>0.23</v>
      </c>
    </row>
    <row r="598" spans="2:5" x14ac:dyDescent="0.2">
      <c r="B598" s="116" t="s">
        <v>3788</v>
      </c>
      <c r="C598" s="117" t="s">
        <v>3789</v>
      </c>
      <c r="D598" s="118"/>
      <c r="E598" s="118">
        <v>0.48</v>
      </c>
    </row>
    <row r="599" spans="2:5" x14ac:dyDescent="0.2">
      <c r="B599" s="116" t="s">
        <v>3790</v>
      </c>
      <c r="C599" s="117" t="s">
        <v>3791</v>
      </c>
      <c r="D599" s="118"/>
      <c r="E599" s="118">
        <v>0.48</v>
      </c>
    </row>
    <row r="600" spans="2:5" x14ac:dyDescent="0.2">
      <c r="B600" s="116" t="s">
        <v>1167</v>
      </c>
      <c r="C600" s="117" t="s">
        <v>1168</v>
      </c>
      <c r="D600" s="118">
        <v>16.440000000000001</v>
      </c>
      <c r="E600" s="118">
        <v>0.84</v>
      </c>
    </row>
    <row r="601" spans="2:5" x14ac:dyDescent="0.2">
      <c r="B601" s="116" t="s">
        <v>1169</v>
      </c>
      <c r="C601" s="117" t="s">
        <v>1170</v>
      </c>
      <c r="D601" s="118">
        <v>13.31</v>
      </c>
      <c r="E601" s="118">
        <v>0.18</v>
      </c>
    </row>
    <row r="602" spans="2:5" x14ac:dyDescent="0.2">
      <c r="B602" s="116" t="s">
        <v>1171</v>
      </c>
      <c r="C602" s="117" t="s">
        <v>1172</v>
      </c>
      <c r="D602" s="118"/>
      <c r="E602" s="118">
        <v>0.02</v>
      </c>
    </row>
    <row r="603" spans="2:5" x14ac:dyDescent="0.2">
      <c r="B603" s="116" t="s">
        <v>1173</v>
      </c>
      <c r="C603" s="117" t="s">
        <v>1174</v>
      </c>
      <c r="D603" s="118">
        <v>10.92</v>
      </c>
      <c r="E603" s="118">
        <v>0.1</v>
      </c>
    </row>
    <row r="604" spans="2:5" x14ac:dyDescent="0.2">
      <c r="B604" s="116" t="s">
        <v>1175</v>
      </c>
      <c r="C604" s="117" t="s">
        <v>1176</v>
      </c>
      <c r="D604" s="118">
        <v>10.92</v>
      </c>
      <c r="E604" s="118">
        <v>0.11</v>
      </c>
    </row>
    <row r="605" spans="2:5" x14ac:dyDescent="0.2">
      <c r="B605" s="116" t="s">
        <v>3792</v>
      </c>
      <c r="C605" s="117" t="s">
        <v>3793</v>
      </c>
      <c r="D605" s="118"/>
      <c r="E605" s="118">
        <v>0.19</v>
      </c>
    </row>
    <row r="606" spans="2:5" x14ac:dyDescent="0.2">
      <c r="B606" s="116" t="s">
        <v>3794</v>
      </c>
      <c r="C606" s="117" t="s">
        <v>3795</v>
      </c>
      <c r="D606" s="118">
        <v>4.72</v>
      </c>
      <c r="E606" s="118">
        <v>0.03</v>
      </c>
    </row>
    <row r="607" spans="2:5" x14ac:dyDescent="0.2">
      <c r="B607" s="116" t="s">
        <v>1177</v>
      </c>
      <c r="C607" s="117" t="s">
        <v>1178</v>
      </c>
      <c r="D607" s="118">
        <v>11.7</v>
      </c>
      <c r="E607" s="118">
        <v>0.08</v>
      </c>
    </row>
    <row r="608" spans="2:5" x14ac:dyDescent="0.2">
      <c r="B608" s="116" t="s">
        <v>1179</v>
      </c>
      <c r="C608" s="117" t="s">
        <v>1180</v>
      </c>
      <c r="D608" s="118">
        <v>12.73</v>
      </c>
      <c r="E608" s="118">
        <v>0.09</v>
      </c>
    </row>
    <row r="609" spans="2:5" x14ac:dyDescent="0.2">
      <c r="B609" s="116" t="s">
        <v>3796</v>
      </c>
      <c r="C609" s="117" t="s">
        <v>3797</v>
      </c>
      <c r="D609" s="118"/>
      <c r="E609" s="118"/>
    </row>
    <row r="610" spans="2:5" x14ac:dyDescent="0.2">
      <c r="B610" s="116" t="s">
        <v>3798</v>
      </c>
      <c r="C610" s="117" t="s">
        <v>3799</v>
      </c>
      <c r="D610" s="118"/>
      <c r="E610" s="118"/>
    </row>
    <row r="611" spans="2:5" x14ac:dyDescent="0.2">
      <c r="B611" s="116" t="s">
        <v>1181</v>
      </c>
      <c r="C611" s="117" t="s">
        <v>1182</v>
      </c>
      <c r="D611" s="118">
        <v>19.32</v>
      </c>
      <c r="E611" s="118">
        <v>0.09</v>
      </c>
    </row>
    <row r="612" spans="2:5" x14ac:dyDescent="0.2">
      <c r="B612" s="116" t="s">
        <v>3800</v>
      </c>
      <c r="C612" s="117" t="s">
        <v>3801</v>
      </c>
      <c r="D612" s="118">
        <v>25.87</v>
      </c>
      <c r="E612" s="118">
        <v>0.26</v>
      </c>
    </row>
    <row r="613" spans="2:5" x14ac:dyDescent="0.2">
      <c r="B613" s="116" t="s">
        <v>1183</v>
      </c>
      <c r="C613" s="117" t="s">
        <v>1184</v>
      </c>
      <c r="D613" s="118">
        <v>28.9</v>
      </c>
      <c r="E613" s="118">
        <v>0.28999999999999998</v>
      </c>
    </row>
    <row r="614" spans="2:5" x14ac:dyDescent="0.2">
      <c r="B614" s="116" t="s">
        <v>1185</v>
      </c>
      <c r="C614" s="117" t="s">
        <v>1186</v>
      </c>
      <c r="D614" s="118">
        <v>8.64</v>
      </c>
      <c r="E614" s="118">
        <v>7.0000000000000007E-2</v>
      </c>
    </row>
    <row r="615" spans="2:5" x14ac:dyDescent="0.2">
      <c r="B615" s="116" t="s">
        <v>1187</v>
      </c>
      <c r="C615" s="117" t="s">
        <v>1188</v>
      </c>
      <c r="D615" s="118">
        <v>12.37</v>
      </c>
      <c r="E615" s="118">
        <v>-0.02</v>
      </c>
    </row>
    <row r="616" spans="2:5" x14ac:dyDescent="0.2">
      <c r="B616" s="116" t="s">
        <v>1189</v>
      </c>
      <c r="C616" s="117" t="s">
        <v>1190</v>
      </c>
      <c r="D616" s="118"/>
      <c r="E616" s="118">
        <v>0.06</v>
      </c>
    </row>
    <row r="617" spans="2:5" x14ac:dyDescent="0.2">
      <c r="B617" s="116" t="s">
        <v>1191</v>
      </c>
      <c r="C617" s="117" t="s">
        <v>1192</v>
      </c>
      <c r="D617" s="118">
        <v>8.77</v>
      </c>
      <c r="E617" s="118">
        <v>0.09</v>
      </c>
    </row>
    <row r="618" spans="2:5" x14ac:dyDescent="0.2">
      <c r="B618" s="116" t="s">
        <v>1193</v>
      </c>
      <c r="C618" s="117" t="s">
        <v>1194</v>
      </c>
      <c r="D618" s="118">
        <v>13.29</v>
      </c>
      <c r="E618" s="118">
        <v>0.12</v>
      </c>
    </row>
    <row r="619" spans="2:5" x14ac:dyDescent="0.2">
      <c r="B619" s="116" t="s">
        <v>1195</v>
      </c>
      <c r="C619" s="117" t="s">
        <v>1196</v>
      </c>
      <c r="D619" s="118">
        <v>13.25</v>
      </c>
      <c r="E619" s="118">
        <v>0.03</v>
      </c>
    </row>
    <row r="620" spans="2:5" x14ac:dyDescent="0.2">
      <c r="B620" s="116" t="s">
        <v>3802</v>
      </c>
      <c r="C620" s="117" t="s">
        <v>3803</v>
      </c>
      <c r="D620" s="118">
        <v>10.16</v>
      </c>
      <c r="E620" s="118">
        <v>0.1</v>
      </c>
    </row>
    <row r="621" spans="2:5" x14ac:dyDescent="0.2">
      <c r="B621" s="116" t="s">
        <v>3804</v>
      </c>
      <c r="C621" s="117" t="s">
        <v>3805</v>
      </c>
      <c r="D621" s="118"/>
      <c r="E621" s="118">
        <v>0.1</v>
      </c>
    </row>
    <row r="622" spans="2:5" x14ac:dyDescent="0.2">
      <c r="B622" s="116" t="s">
        <v>1197</v>
      </c>
      <c r="C622" s="117" t="s">
        <v>1198</v>
      </c>
      <c r="D622" s="118">
        <v>27.02</v>
      </c>
      <c r="E622" s="118">
        <v>0.22</v>
      </c>
    </row>
    <row r="623" spans="2:5" x14ac:dyDescent="0.2">
      <c r="B623" s="116" t="s">
        <v>1199</v>
      </c>
      <c r="C623" s="117" t="s">
        <v>1200</v>
      </c>
      <c r="D623" s="118">
        <v>3.13</v>
      </c>
      <c r="E623" s="118">
        <v>0.03</v>
      </c>
    </row>
    <row r="624" spans="2:5" x14ac:dyDescent="0.2">
      <c r="B624" s="116" t="s">
        <v>3806</v>
      </c>
      <c r="C624" s="117" t="s">
        <v>3807</v>
      </c>
      <c r="D624" s="118"/>
      <c r="E624" s="118"/>
    </row>
    <row r="625" spans="2:5" x14ac:dyDescent="0.2">
      <c r="B625" s="116" t="s">
        <v>1202</v>
      </c>
      <c r="C625" s="117" t="s">
        <v>1203</v>
      </c>
      <c r="D625" s="118">
        <v>3.6</v>
      </c>
      <c r="E625" s="118">
        <v>0.03</v>
      </c>
    </row>
    <row r="626" spans="2:5" x14ac:dyDescent="0.2">
      <c r="B626" s="116" t="s">
        <v>1204</v>
      </c>
      <c r="C626" s="117" t="s">
        <v>1205</v>
      </c>
      <c r="D626" s="118">
        <v>10.9</v>
      </c>
      <c r="E626" s="118">
        <v>0.11</v>
      </c>
    </row>
    <row r="627" spans="2:5" x14ac:dyDescent="0.2">
      <c r="B627" s="116" t="s">
        <v>1206</v>
      </c>
      <c r="C627" s="117" t="s">
        <v>1207</v>
      </c>
      <c r="D627" s="118">
        <v>11.68</v>
      </c>
      <c r="E627" s="118">
        <v>0.13</v>
      </c>
    </row>
    <row r="628" spans="2:5" x14ac:dyDescent="0.2">
      <c r="B628" s="116" t="s">
        <v>1208</v>
      </c>
      <c r="C628" s="117" t="s">
        <v>1209</v>
      </c>
      <c r="D628" s="118">
        <v>10.76</v>
      </c>
      <c r="E628" s="118">
        <v>0.06</v>
      </c>
    </row>
    <row r="629" spans="2:5" x14ac:dyDescent="0.2">
      <c r="B629" s="116" t="s">
        <v>1210</v>
      </c>
      <c r="C629" s="117" t="s">
        <v>1211</v>
      </c>
      <c r="D629" s="118">
        <v>16.37</v>
      </c>
      <c r="E629" s="118">
        <v>0.15</v>
      </c>
    </row>
    <row r="630" spans="2:5" x14ac:dyDescent="0.2">
      <c r="B630" s="116" t="s">
        <v>3808</v>
      </c>
      <c r="C630" s="117" t="s">
        <v>3809</v>
      </c>
      <c r="D630" s="118"/>
      <c r="E630" s="118">
        <v>0.34</v>
      </c>
    </row>
    <row r="631" spans="2:5" x14ac:dyDescent="0.2">
      <c r="B631" s="116" t="s">
        <v>3810</v>
      </c>
      <c r="C631" s="117" t="s">
        <v>3811</v>
      </c>
      <c r="D631" s="118"/>
      <c r="E631" s="118">
        <v>0.02</v>
      </c>
    </row>
    <row r="632" spans="2:5" x14ac:dyDescent="0.2">
      <c r="B632" s="116" t="s">
        <v>1212</v>
      </c>
      <c r="C632" s="117" t="s">
        <v>1213</v>
      </c>
      <c r="D632" s="118">
        <v>9.2799999999999994</v>
      </c>
      <c r="E632" s="118">
        <v>0.09</v>
      </c>
    </row>
    <row r="633" spans="2:5" x14ac:dyDescent="0.2">
      <c r="B633" s="116" t="s">
        <v>3812</v>
      </c>
      <c r="C633" s="117" t="s">
        <v>3813</v>
      </c>
      <c r="D633" s="118">
        <v>17.34</v>
      </c>
      <c r="E633" s="118">
        <v>0.15</v>
      </c>
    </row>
    <row r="634" spans="2:5" x14ac:dyDescent="0.2">
      <c r="B634" s="116" t="s">
        <v>3814</v>
      </c>
      <c r="C634" s="117" t="s">
        <v>3815</v>
      </c>
      <c r="D634" s="118">
        <v>6.29</v>
      </c>
      <c r="E634" s="118">
        <v>0.06</v>
      </c>
    </row>
    <row r="635" spans="2:5" x14ac:dyDescent="0.2">
      <c r="B635" s="116" t="s">
        <v>1214</v>
      </c>
      <c r="C635" s="117" t="s">
        <v>1215</v>
      </c>
      <c r="D635" s="118">
        <v>-0.11</v>
      </c>
      <c r="E635" s="118">
        <v>0</v>
      </c>
    </row>
    <row r="636" spans="2:5" x14ac:dyDescent="0.2">
      <c r="B636" s="116" t="s">
        <v>1217</v>
      </c>
      <c r="C636" s="117" t="s">
        <v>1218</v>
      </c>
      <c r="D636" s="118">
        <v>10.49</v>
      </c>
      <c r="E636" s="118">
        <v>-0.04</v>
      </c>
    </row>
    <row r="637" spans="2:5" x14ac:dyDescent="0.2">
      <c r="B637" s="116" t="s">
        <v>1220</v>
      </c>
      <c r="C637" s="117" t="s">
        <v>1221</v>
      </c>
      <c r="D637" s="118">
        <v>16.13</v>
      </c>
      <c r="E637" s="118">
        <v>0.16</v>
      </c>
    </row>
    <row r="638" spans="2:5" x14ac:dyDescent="0.2">
      <c r="B638" s="116" t="s">
        <v>3816</v>
      </c>
      <c r="C638" s="117" t="s">
        <v>3817</v>
      </c>
      <c r="D638" s="118"/>
      <c r="E638" s="118"/>
    </row>
    <row r="639" spans="2:5" x14ac:dyDescent="0.2">
      <c r="B639" s="116" t="s">
        <v>1223</v>
      </c>
      <c r="C639" s="117" t="s">
        <v>1224</v>
      </c>
      <c r="D639" s="118">
        <v>11.71</v>
      </c>
      <c r="E639" s="118">
        <v>0.01</v>
      </c>
    </row>
    <row r="640" spans="2:5" x14ac:dyDescent="0.2">
      <c r="B640" s="116" t="s">
        <v>3818</v>
      </c>
      <c r="C640" s="117" t="s">
        <v>3819</v>
      </c>
      <c r="D640" s="118">
        <v>23.57</v>
      </c>
      <c r="E640" s="118">
        <v>0.2</v>
      </c>
    </row>
    <row r="641" spans="2:5" x14ac:dyDescent="0.2">
      <c r="B641" s="116" t="s">
        <v>1225</v>
      </c>
      <c r="C641" s="117" t="s">
        <v>1226</v>
      </c>
      <c r="D641" s="118">
        <v>17.59</v>
      </c>
      <c r="E641" s="118">
        <v>0.2</v>
      </c>
    </row>
    <row r="642" spans="2:5" x14ac:dyDescent="0.2">
      <c r="B642" s="116" t="s">
        <v>1227</v>
      </c>
      <c r="C642" s="117" t="s">
        <v>1228</v>
      </c>
      <c r="D642" s="118">
        <v>3.76</v>
      </c>
      <c r="E642" s="118">
        <v>0.11</v>
      </c>
    </row>
    <row r="643" spans="2:5" x14ac:dyDescent="0.2">
      <c r="B643" s="116" t="s">
        <v>1229</v>
      </c>
      <c r="C643" s="117" t="s">
        <v>1230</v>
      </c>
      <c r="D643" s="118">
        <v>13.88</v>
      </c>
      <c r="E643" s="118">
        <v>0.13</v>
      </c>
    </row>
    <row r="644" spans="2:5" x14ac:dyDescent="0.2">
      <c r="B644" s="116" t="s">
        <v>1231</v>
      </c>
      <c r="C644" s="117" t="s">
        <v>1232</v>
      </c>
      <c r="D644" s="118">
        <v>13.68</v>
      </c>
      <c r="E644" s="118">
        <v>0.11</v>
      </c>
    </row>
    <row r="645" spans="2:5" x14ac:dyDescent="0.2">
      <c r="B645" s="116" t="s">
        <v>1233</v>
      </c>
      <c r="C645" s="117" t="s">
        <v>1234</v>
      </c>
      <c r="D645" s="118">
        <v>48.33</v>
      </c>
      <c r="E645" s="118">
        <v>0.38</v>
      </c>
    </row>
    <row r="646" spans="2:5" x14ac:dyDescent="0.2">
      <c r="B646" s="116" t="s">
        <v>1235</v>
      </c>
      <c r="C646" s="117" t="s">
        <v>1236</v>
      </c>
      <c r="D646" s="118">
        <v>303.77999999999997</v>
      </c>
      <c r="E646" s="118">
        <v>1.38</v>
      </c>
    </row>
    <row r="647" spans="2:5" x14ac:dyDescent="0.2">
      <c r="B647" s="116" t="s">
        <v>1237</v>
      </c>
      <c r="C647" s="117" t="s">
        <v>1238</v>
      </c>
      <c r="D647" s="118">
        <v>20.38</v>
      </c>
      <c r="E647" s="118"/>
    </row>
    <row r="648" spans="2:5" x14ac:dyDescent="0.2">
      <c r="B648" s="116" t="s">
        <v>1239</v>
      </c>
      <c r="C648" s="117" t="s">
        <v>1240</v>
      </c>
      <c r="D648" s="118">
        <v>9.2899999999999991</v>
      </c>
      <c r="E648" s="118">
        <v>7.0000000000000007E-2</v>
      </c>
    </row>
    <row r="649" spans="2:5" x14ac:dyDescent="0.2">
      <c r="B649" s="116" t="s">
        <v>1241</v>
      </c>
      <c r="C649" s="117" t="s">
        <v>1242</v>
      </c>
      <c r="D649" s="118">
        <v>53.83</v>
      </c>
      <c r="E649" s="118">
        <v>0.45</v>
      </c>
    </row>
    <row r="650" spans="2:5" x14ac:dyDescent="0.2">
      <c r="B650" s="116" t="s">
        <v>1243</v>
      </c>
      <c r="C650" s="117" t="s">
        <v>1244</v>
      </c>
      <c r="D650" s="118">
        <v>8.24</v>
      </c>
      <c r="E650" s="118">
        <v>0.09</v>
      </c>
    </row>
    <row r="651" spans="2:5" x14ac:dyDescent="0.2">
      <c r="B651" s="116" t="s">
        <v>1245</v>
      </c>
      <c r="C651" s="117" t="s">
        <v>1246</v>
      </c>
      <c r="D651" s="118">
        <v>28.27</v>
      </c>
      <c r="E651" s="118">
        <v>0.26</v>
      </c>
    </row>
    <row r="652" spans="2:5" x14ac:dyDescent="0.2">
      <c r="B652" s="116" t="s">
        <v>3820</v>
      </c>
      <c r="C652" s="117" t="s">
        <v>3821</v>
      </c>
      <c r="D652" s="118"/>
      <c r="E652" s="118">
        <v>0.06</v>
      </c>
    </row>
    <row r="653" spans="2:5" x14ac:dyDescent="0.2">
      <c r="B653" s="116" t="s">
        <v>1249</v>
      </c>
      <c r="C653" s="117" t="s">
        <v>1250</v>
      </c>
      <c r="D653" s="118">
        <v>4.0999999999999996</v>
      </c>
      <c r="E653" s="118">
        <v>0.05</v>
      </c>
    </row>
    <row r="654" spans="2:5" x14ac:dyDescent="0.2">
      <c r="B654" s="116" t="s">
        <v>1251</v>
      </c>
      <c r="C654" s="117" t="s">
        <v>1252</v>
      </c>
      <c r="D654" s="118">
        <v>2.5299999999999998</v>
      </c>
      <c r="E654" s="118">
        <v>-0.03</v>
      </c>
    </row>
    <row r="655" spans="2:5" x14ac:dyDescent="0.2">
      <c r="B655" s="116" t="s">
        <v>3822</v>
      </c>
      <c r="C655" s="117" t="s">
        <v>3823</v>
      </c>
      <c r="D655" s="118">
        <v>12.58</v>
      </c>
      <c r="E655" s="118">
        <v>0.12</v>
      </c>
    </row>
    <row r="656" spans="2:5" x14ac:dyDescent="0.2">
      <c r="B656" s="116" t="s">
        <v>1254</v>
      </c>
      <c r="C656" s="117" t="s">
        <v>1255</v>
      </c>
      <c r="D656" s="118">
        <v>-1.8</v>
      </c>
      <c r="E656" s="118">
        <v>-0.04</v>
      </c>
    </row>
    <row r="657" spans="2:5" x14ac:dyDescent="0.2">
      <c r="B657" s="116" t="s">
        <v>1256</v>
      </c>
      <c r="C657" s="117" t="s">
        <v>1257</v>
      </c>
      <c r="D657" s="118">
        <v>12.47</v>
      </c>
      <c r="E657" s="118">
        <v>0.12</v>
      </c>
    </row>
    <row r="658" spans="2:5" x14ac:dyDescent="0.2">
      <c r="B658" s="116" t="s">
        <v>1258</v>
      </c>
      <c r="C658" s="117" t="s">
        <v>1259</v>
      </c>
      <c r="D658" s="118">
        <v>10.19</v>
      </c>
      <c r="E658" s="118">
        <v>0.1</v>
      </c>
    </row>
    <row r="659" spans="2:5" x14ac:dyDescent="0.2">
      <c r="B659" s="116" t="s">
        <v>3824</v>
      </c>
      <c r="C659" s="117" t="s">
        <v>3825</v>
      </c>
      <c r="D659" s="118">
        <v>8.23</v>
      </c>
      <c r="E659" s="118">
        <v>-0.18</v>
      </c>
    </row>
    <row r="660" spans="2:5" x14ac:dyDescent="0.2">
      <c r="B660" s="116" t="s">
        <v>3826</v>
      </c>
      <c r="C660" s="117" t="s">
        <v>3827</v>
      </c>
      <c r="D660" s="118"/>
      <c r="E660" s="118">
        <v>0.1</v>
      </c>
    </row>
    <row r="661" spans="2:5" x14ac:dyDescent="0.2">
      <c r="B661" s="116" t="s">
        <v>3828</v>
      </c>
      <c r="C661" s="117" t="s">
        <v>3829</v>
      </c>
      <c r="D661" s="118">
        <v>6.94</v>
      </c>
      <c r="E661" s="118">
        <v>0.06</v>
      </c>
    </row>
    <row r="662" spans="2:5" x14ac:dyDescent="0.2">
      <c r="B662" s="116" t="s">
        <v>1260</v>
      </c>
      <c r="C662" s="117" t="s">
        <v>1261</v>
      </c>
      <c r="D662" s="118">
        <v>65.33</v>
      </c>
      <c r="E662" s="118">
        <v>0.65</v>
      </c>
    </row>
    <row r="663" spans="2:5" x14ac:dyDescent="0.2">
      <c r="B663" s="116" t="s">
        <v>1263</v>
      </c>
      <c r="C663" s="117" t="s">
        <v>1264</v>
      </c>
      <c r="D663" s="118">
        <v>28.83</v>
      </c>
      <c r="E663" s="118">
        <v>0.28000000000000003</v>
      </c>
    </row>
    <row r="664" spans="2:5" x14ac:dyDescent="0.2">
      <c r="B664" s="116" t="s">
        <v>1265</v>
      </c>
      <c r="C664" s="117" t="s">
        <v>1266</v>
      </c>
      <c r="D664" s="118">
        <v>-39.590000000000003</v>
      </c>
      <c r="E664" s="118">
        <v>-0.38</v>
      </c>
    </row>
    <row r="665" spans="2:5" x14ac:dyDescent="0.2">
      <c r="B665" s="116" t="s">
        <v>1267</v>
      </c>
      <c r="C665" s="117" t="s">
        <v>1268</v>
      </c>
      <c r="D665" s="118">
        <v>5.16</v>
      </c>
      <c r="E665" s="118">
        <v>0.03</v>
      </c>
    </row>
    <row r="666" spans="2:5" x14ac:dyDescent="0.2">
      <c r="B666" s="116" t="s">
        <v>1269</v>
      </c>
      <c r="C666" s="117" t="s">
        <v>1270</v>
      </c>
      <c r="D666" s="118">
        <v>38.58</v>
      </c>
      <c r="E666" s="118">
        <v>0.37</v>
      </c>
    </row>
    <row r="667" spans="2:5" x14ac:dyDescent="0.2">
      <c r="B667" s="116" t="s">
        <v>1271</v>
      </c>
      <c r="C667" s="117" t="s">
        <v>1272</v>
      </c>
      <c r="D667" s="118">
        <v>11.24</v>
      </c>
      <c r="E667" s="118">
        <v>0.1</v>
      </c>
    </row>
    <row r="668" spans="2:5" x14ac:dyDescent="0.2">
      <c r="B668" s="116" t="s">
        <v>1273</v>
      </c>
      <c r="C668" s="117" t="s">
        <v>1274</v>
      </c>
      <c r="D668" s="118">
        <v>11.37</v>
      </c>
      <c r="E668" s="118">
        <v>0.08</v>
      </c>
    </row>
    <row r="669" spans="2:5" x14ac:dyDescent="0.2">
      <c r="B669" s="116" t="s">
        <v>1275</v>
      </c>
      <c r="C669" s="117" t="s">
        <v>1276</v>
      </c>
      <c r="D669" s="118">
        <v>35.4</v>
      </c>
      <c r="E669" s="118">
        <v>0.15</v>
      </c>
    </row>
    <row r="670" spans="2:5" x14ac:dyDescent="0.2">
      <c r="B670" s="116" t="s">
        <v>1277</v>
      </c>
      <c r="C670" s="117" t="s">
        <v>1278</v>
      </c>
      <c r="D670" s="118">
        <v>15.83</v>
      </c>
      <c r="E670" s="118">
        <v>0.13</v>
      </c>
    </row>
    <row r="671" spans="2:5" x14ac:dyDescent="0.2">
      <c r="B671" s="116" t="s">
        <v>1279</v>
      </c>
      <c r="C671" s="117" t="s">
        <v>1280</v>
      </c>
      <c r="D671" s="118"/>
      <c r="E671" s="118">
        <v>0.26</v>
      </c>
    </row>
    <row r="672" spans="2:5" x14ac:dyDescent="0.2">
      <c r="B672" s="116" t="s">
        <v>1282</v>
      </c>
      <c r="C672" s="117" t="s">
        <v>1283</v>
      </c>
      <c r="D672" s="118">
        <v>23.1</v>
      </c>
      <c r="E672" s="118">
        <v>0.22</v>
      </c>
    </row>
    <row r="673" spans="2:5" x14ac:dyDescent="0.2">
      <c r="B673" s="116" t="s">
        <v>1284</v>
      </c>
      <c r="C673" s="117" t="s">
        <v>1285</v>
      </c>
      <c r="D673" s="118">
        <v>20.82</v>
      </c>
      <c r="E673" s="118">
        <v>0.18</v>
      </c>
    </row>
    <row r="674" spans="2:5" x14ac:dyDescent="0.2">
      <c r="B674" s="116" t="s">
        <v>1286</v>
      </c>
      <c r="C674" s="117" t="s">
        <v>1287</v>
      </c>
      <c r="D674" s="118">
        <v>12</v>
      </c>
      <c r="E674" s="118">
        <v>0.13</v>
      </c>
    </row>
    <row r="675" spans="2:5" x14ac:dyDescent="0.2">
      <c r="B675" s="116" t="s">
        <v>3830</v>
      </c>
      <c r="C675" s="117" t="s">
        <v>3831</v>
      </c>
      <c r="D675" s="118"/>
      <c r="E675" s="118"/>
    </row>
    <row r="676" spans="2:5" x14ac:dyDescent="0.2">
      <c r="B676" s="116" t="s">
        <v>1288</v>
      </c>
      <c r="C676" s="117" t="s">
        <v>1289</v>
      </c>
      <c r="D676" s="118">
        <v>15.96</v>
      </c>
      <c r="E676" s="118">
        <v>0.22</v>
      </c>
    </row>
    <row r="677" spans="2:5" x14ac:dyDescent="0.2">
      <c r="B677" s="116" t="s">
        <v>1290</v>
      </c>
      <c r="C677" s="117" t="s">
        <v>1291</v>
      </c>
      <c r="D677" s="118">
        <v>26.51</v>
      </c>
      <c r="E677" s="118">
        <v>0.19</v>
      </c>
    </row>
    <row r="678" spans="2:5" x14ac:dyDescent="0.2">
      <c r="B678" s="116" t="s">
        <v>1292</v>
      </c>
      <c r="C678" s="117" t="s">
        <v>1293</v>
      </c>
      <c r="D678" s="118">
        <v>42.53</v>
      </c>
      <c r="E678" s="118">
        <v>0.38</v>
      </c>
    </row>
    <row r="679" spans="2:5" x14ac:dyDescent="0.2">
      <c r="B679" s="116" t="s">
        <v>3832</v>
      </c>
      <c r="C679" s="117" t="s">
        <v>3833</v>
      </c>
      <c r="D679" s="118"/>
      <c r="E679" s="118"/>
    </row>
    <row r="680" spans="2:5" x14ac:dyDescent="0.2">
      <c r="B680" s="116" t="s">
        <v>3834</v>
      </c>
      <c r="C680" s="117" t="s">
        <v>3835</v>
      </c>
      <c r="D680" s="118"/>
      <c r="E680" s="118"/>
    </row>
    <row r="681" spans="2:5" x14ac:dyDescent="0.2">
      <c r="B681" s="116" t="s">
        <v>3836</v>
      </c>
      <c r="C681" s="117" t="s">
        <v>3837</v>
      </c>
      <c r="D681" s="118"/>
      <c r="E681" s="118"/>
    </row>
    <row r="682" spans="2:5" x14ac:dyDescent="0.2">
      <c r="B682" s="116" t="s">
        <v>1294</v>
      </c>
      <c r="C682" s="117" t="s">
        <v>1295</v>
      </c>
      <c r="D682" s="118">
        <v>-34.090000000000003</v>
      </c>
      <c r="E682" s="118">
        <v>-0.39</v>
      </c>
    </row>
    <row r="683" spans="2:5" x14ac:dyDescent="0.2">
      <c r="B683" s="116" t="s">
        <v>1296</v>
      </c>
      <c r="C683" s="117" t="s">
        <v>1297</v>
      </c>
      <c r="D683" s="118">
        <v>8.02</v>
      </c>
      <c r="E683" s="118">
        <v>0.06</v>
      </c>
    </row>
    <row r="684" spans="2:5" x14ac:dyDescent="0.2">
      <c r="B684" s="116" t="s">
        <v>1298</v>
      </c>
      <c r="C684" s="117" t="s">
        <v>1299</v>
      </c>
      <c r="D684" s="118">
        <v>44.75</v>
      </c>
      <c r="E684" s="118">
        <v>0.81</v>
      </c>
    </row>
    <row r="685" spans="2:5" x14ac:dyDescent="0.2">
      <c r="B685" s="116" t="s">
        <v>1300</v>
      </c>
      <c r="C685" s="117" t="s">
        <v>1301</v>
      </c>
      <c r="D685" s="118">
        <v>16.07</v>
      </c>
      <c r="E685" s="118">
        <v>0.05</v>
      </c>
    </row>
    <row r="686" spans="2:5" x14ac:dyDescent="0.2">
      <c r="B686" s="116" t="s">
        <v>1302</v>
      </c>
      <c r="C686" s="117" t="s">
        <v>1303</v>
      </c>
      <c r="D686" s="118">
        <v>7.57</v>
      </c>
      <c r="E686" s="118">
        <v>0.08</v>
      </c>
    </row>
    <row r="687" spans="2:5" x14ac:dyDescent="0.2">
      <c r="B687" s="116" t="s">
        <v>1304</v>
      </c>
      <c r="C687" s="117" t="s">
        <v>1305</v>
      </c>
      <c r="D687" s="118">
        <v>8.57</v>
      </c>
      <c r="E687" s="118">
        <v>0.04</v>
      </c>
    </row>
    <row r="688" spans="2:5" x14ac:dyDescent="0.2">
      <c r="B688" s="116" t="s">
        <v>1306</v>
      </c>
      <c r="C688" s="117" t="s">
        <v>1307</v>
      </c>
      <c r="D688" s="118"/>
      <c r="E688" s="118">
        <v>0.14000000000000001</v>
      </c>
    </row>
    <row r="689" spans="2:5" x14ac:dyDescent="0.2">
      <c r="B689" s="116" t="s">
        <v>1308</v>
      </c>
      <c r="C689" s="117" t="s">
        <v>1309</v>
      </c>
      <c r="D689" s="118">
        <v>21</v>
      </c>
      <c r="E689" s="118">
        <v>0.19</v>
      </c>
    </row>
    <row r="690" spans="2:5" x14ac:dyDescent="0.2">
      <c r="B690" s="116" t="s">
        <v>1310</v>
      </c>
      <c r="C690" s="117" t="s">
        <v>1311</v>
      </c>
      <c r="D690" s="118">
        <v>37.299999999999997</v>
      </c>
      <c r="E690" s="118">
        <v>0.35</v>
      </c>
    </row>
    <row r="691" spans="2:5" x14ac:dyDescent="0.2">
      <c r="B691" s="116" t="s">
        <v>3838</v>
      </c>
      <c r="C691" s="117" t="s">
        <v>3839</v>
      </c>
      <c r="D691" s="118"/>
      <c r="E691" s="118">
        <v>0.28000000000000003</v>
      </c>
    </row>
    <row r="692" spans="2:5" x14ac:dyDescent="0.2">
      <c r="B692" s="116" t="s">
        <v>3840</v>
      </c>
      <c r="C692" s="117" t="s">
        <v>3841</v>
      </c>
      <c r="D692" s="118"/>
      <c r="E692" s="118"/>
    </row>
    <row r="693" spans="2:5" x14ac:dyDescent="0.2">
      <c r="B693" s="116" t="s">
        <v>1312</v>
      </c>
      <c r="C693" s="117" t="s">
        <v>1313</v>
      </c>
      <c r="D693" s="118">
        <v>3.7</v>
      </c>
      <c r="E693" s="118">
        <v>0.02</v>
      </c>
    </row>
    <row r="694" spans="2:5" x14ac:dyDescent="0.2">
      <c r="B694" s="116" t="s">
        <v>1315</v>
      </c>
      <c r="C694" s="117" t="s">
        <v>1316</v>
      </c>
      <c r="D694" s="118">
        <v>9.86</v>
      </c>
      <c r="E694" s="118">
        <v>0.08</v>
      </c>
    </row>
    <row r="695" spans="2:5" x14ac:dyDescent="0.2">
      <c r="B695" s="116" t="s">
        <v>1317</v>
      </c>
      <c r="C695" s="117" t="s">
        <v>1318</v>
      </c>
      <c r="D695" s="118">
        <v>26.9</v>
      </c>
      <c r="E695" s="118">
        <v>0.39</v>
      </c>
    </row>
    <row r="696" spans="2:5" x14ac:dyDescent="0.2">
      <c r="B696" s="116" t="s">
        <v>1319</v>
      </c>
      <c r="C696" s="117" t="s">
        <v>1320</v>
      </c>
      <c r="D696" s="118">
        <v>20.350000000000001</v>
      </c>
      <c r="E696" s="118">
        <v>0.24</v>
      </c>
    </row>
    <row r="697" spans="2:5" x14ac:dyDescent="0.2">
      <c r="B697" s="116" t="s">
        <v>1322</v>
      </c>
      <c r="C697" s="117" t="s">
        <v>1323</v>
      </c>
      <c r="D697" s="118">
        <v>14.8</v>
      </c>
      <c r="E697" s="118">
        <v>0.15</v>
      </c>
    </row>
    <row r="698" spans="2:5" x14ac:dyDescent="0.2">
      <c r="B698" s="116" t="s">
        <v>1325</v>
      </c>
      <c r="C698" s="117" t="s">
        <v>1326</v>
      </c>
      <c r="D698" s="118">
        <v>27.26</v>
      </c>
      <c r="E698" s="118">
        <v>0.4</v>
      </c>
    </row>
    <row r="699" spans="2:5" x14ac:dyDescent="0.2">
      <c r="B699" s="116" t="s">
        <v>1327</v>
      </c>
      <c r="C699" s="117" t="s">
        <v>1328</v>
      </c>
      <c r="D699" s="118">
        <v>8.7100000000000009</v>
      </c>
      <c r="E699" s="118">
        <v>7.0000000000000007E-2</v>
      </c>
    </row>
    <row r="700" spans="2:5" x14ac:dyDescent="0.2">
      <c r="B700" s="116" t="s">
        <v>1329</v>
      </c>
      <c r="C700" s="117" t="s">
        <v>1330</v>
      </c>
      <c r="D700" s="118">
        <v>3.93</v>
      </c>
      <c r="E700" s="118">
        <v>0.03</v>
      </c>
    </row>
    <row r="701" spans="2:5" x14ac:dyDescent="0.2">
      <c r="B701" s="116" t="s">
        <v>1331</v>
      </c>
      <c r="C701" s="117" t="s">
        <v>1332</v>
      </c>
      <c r="D701" s="118">
        <v>8.91</v>
      </c>
      <c r="E701" s="118">
        <v>0.09</v>
      </c>
    </row>
    <row r="702" spans="2:5" x14ac:dyDescent="0.2">
      <c r="B702" s="116" t="s">
        <v>1333</v>
      </c>
      <c r="C702" s="117" t="s">
        <v>1334</v>
      </c>
      <c r="D702" s="118">
        <v>9.15</v>
      </c>
      <c r="E702" s="118">
        <v>7.0000000000000007E-2</v>
      </c>
    </row>
    <row r="703" spans="2:5" x14ac:dyDescent="0.2">
      <c r="B703" s="116" t="s">
        <v>3842</v>
      </c>
      <c r="C703" s="117" t="s">
        <v>3843</v>
      </c>
      <c r="D703" s="118">
        <v>26.31</v>
      </c>
      <c r="E703" s="118">
        <v>0.24</v>
      </c>
    </row>
    <row r="704" spans="2:5" x14ac:dyDescent="0.2">
      <c r="B704" s="116" t="s">
        <v>1335</v>
      </c>
      <c r="C704" s="117" t="s">
        <v>1336</v>
      </c>
      <c r="D704" s="118">
        <v>4.29</v>
      </c>
      <c r="E704" s="118">
        <v>0.14000000000000001</v>
      </c>
    </row>
    <row r="705" spans="2:5" x14ac:dyDescent="0.2">
      <c r="B705" s="116" t="s">
        <v>3844</v>
      </c>
      <c r="C705" s="117" t="s">
        <v>3845</v>
      </c>
      <c r="D705" s="118"/>
      <c r="E705" s="118"/>
    </row>
    <row r="706" spans="2:5" x14ac:dyDescent="0.2">
      <c r="B706" s="116" t="s">
        <v>1337</v>
      </c>
      <c r="C706" s="117" t="s">
        <v>1338</v>
      </c>
      <c r="D706" s="118">
        <v>26.29</v>
      </c>
      <c r="E706" s="118"/>
    </row>
    <row r="707" spans="2:5" x14ac:dyDescent="0.2">
      <c r="B707" s="116" t="s">
        <v>1339</v>
      </c>
      <c r="C707" s="117" t="s">
        <v>1340</v>
      </c>
      <c r="D707" s="118">
        <v>5.7</v>
      </c>
      <c r="E707" s="118">
        <v>0.01</v>
      </c>
    </row>
    <row r="708" spans="2:5" x14ac:dyDescent="0.2">
      <c r="B708" s="116" t="s">
        <v>1342</v>
      </c>
      <c r="C708" s="117" t="s">
        <v>1343</v>
      </c>
      <c r="D708" s="118">
        <v>12.58</v>
      </c>
      <c r="E708" s="118">
        <v>0.12</v>
      </c>
    </row>
    <row r="709" spans="2:5" x14ac:dyDescent="0.2">
      <c r="B709" s="116" t="s">
        <v>1344</v>
      </c>
      <c r="C709" s="117" t="s">
        <v>1345</v>
      </c>
      <c r="D709" s="118"/>
      <c r="E709" s="118"/>
    </row>
    <row r="710" spans="2:5" x14ac:dyDescent="0.2">
      <c r="B710" s="116" t="s">
        <v>1346</v>
      </c>
      <c r="C710" s="117" t="s">
        <v>1347</v>
      </c>
      <c r="D710" s="118">
        <v>1.84</v>
      </c>
      <c r="E710" s="118">
        <v>-0.28999999999999998</v>
      </c>
    </row>
    <row r="711" spans="2:5" x14ac:dyDescent="0.2">
      <c r="B711" s="116" t="s">
        <v>1348</v>
      </c>
      <c r="C711" s="117" t="s">
        <v>1349</v>
      </c>
      <c r="D711" s="118">
        <v>40.75</v>
      </c>
      <c r="E711" s="118">
        <v>0.38</v>
      </c>
    </row>
    <row r="712" spans="2:5" x14ac:dyDescent="0.2">
      <c r="B712" s="116" t="s">
        <v>1350</v>
      </c>
      <c r="C712" s="117" t="s">
        <v>1351</v>
      </c>
      <c r="D712" s="118">
        <v>29.19</v>
      </c>
      <c r="E712" s="118">
        <v>0.21</v>
      </c>
    </row>
    <row r="713" spans="2:5" x14ac:dyDescent="0.2">
      <c r="B713" s="116" t="s">
        <v>1352</v>
      </c>
      <c r="C713" s="117" t="s">
        <v>1353</v>
      </c>
      <c r="D713" s="118">
        <v>13.9</v>
      </c>
      <c r="E713" s="118">
        <v>-0.41</v>
      </c>
    </row>
    <row r="714" spans="2:5" x14ac:dyDescent="0.2">
      <c r="B714" s="116" t="s">
        <v>1354</v>
      </c>
      <c r="C714" s="117" t="s">
        <v>1355</v>
      </c>
      <c r="D714" s="118">
        <v>38.979999999999997</v>
      </c>
      <c r="E714" s="118">
        <v>0.32</v>
      </c>
    </row>
    <row r="715" spans="2:5" x14ac:dyDescent="0.2">
      <c r="B715" s="116" t="s">
        <v>1356</v>
      </c>
      <c r="C715" s="117" t="s">
        <v>1357</v>
      </c>
      <c r="D715" s="118">
        <v>27.37</v>
      </c>
      <c r="E715" s="118">
        <v>0.24</v>
      </c>
    </row>
    <row r="716" spans="2:5" x14ac:dyDescent="0.2">
      <c r="B716" s="116" t="s">
        <v>1358</v>
      </c>
      <c r="C716" s="117" t="s">
        <v>1359</v>
      </c>
      <c r="D716" s="118">
        <v>19.809999999999999</v>
      </c>
      <c r="E716" s="118">
        <v>0.14000000000000001</v>
      </c>
    </row>
    <row r="717" spans="2:5" x14ac:dyDescent="0.2">
      <c r="B717" s="116" t="s">
        <v>1360</v>
      </c>
      <c r="C717" s="117" t="s">
        <v>1361</v>
      </c>
      <c r="D717" s="118">
        <v>19.16</v>
      </c>
      <c r="E717" s="118">
        <v>0.19</v>
      </c>
    </row>
    <row r="718" spans="2:5" x14ac:dyDescent="0.2">
      <c r="B718" s="116" t="s">
        <v>3846</v>
      </c>
      <c r="C718" s="117" t="s">
        <v>3847</v>
      </c>
      <c r="D718" s="118"/>
      <c r="E718" s="118">
        <v>0.04</v>
      </c>
    </row>
    <row r="719" spans="2:5" x14ac:dyDescent="0.2">
      <c r="B719" s="116" t="s">
        <v>1362</v>
      </c>
      <c r="C719" s="117" t="s">
        <v>1363</v>
      </c>
      <c r="D719" s="118">
        <v>24.72</v>
      </c>
      <c r="E719" s="118">
        <v>0.1</v>
      </c>
    </row>
    <row r="720" spans="2:5" x14ac:dyDescent="0.2">
      <c r="B720" s="116" t="s">
        <v>1364</v>
      </c>
      <c r="C720" s="117" t="s">
        <v>1365</v>
      </c>
      <c r="D720" s="118">
        <v>21.97</v>
      </c>
      <c r="E720" s="118">
        <v>0.2</v>
      </c>
    </row>
    <row r="721" spans="2:5" x14ac:dyDescent="0.2">
      <c r="B721" s="116" t="s">
        <v>1366</v>
      </c>
      <c r="C721" s="117" t="s">
        <v>1367</v>
      </c>
      <c r="D721" s="118">
        <v>26.35</v>
      </c>
      <c r="E721" s="118">
        <v>0.28000000000000003</v>
      </c>
    </row>
    <row r="722" spans="2:5" x14ac:dyDescent="0.2">
      <c r="B722" s="116" t="s">
        <v>1368</v>
      </c>
      <c r="C722" s="117" t="s">
        <v>1369</v>
      </c>
      <c r="D722" s="118">
        <v>8.77</v>
      </c>
      <c r="E722" s="118">
        <v>0.1</v>
      </c>
    </row>
    <row r="723" spans="2:5" x14ac:dyDescent="0.2">
      <c r="B723" s="116" t="s">
        <v>1370</v>
      </c>
      <c r="C723" s="117" t="s">
        <v>1371</v>
      </c>
      <c r="D723" s="118">
        <v>16.77</v>
      </c>
      <c r="E723" s="118">
        <v>0</v>
      </c>
    </row>
    <row r="724" spans="2:5" x14ac:dyDescent="0.2">
      <c r="B724" s="116" t="s">
        <v>1372</v>
      </c>
      <c r="C724" s="117" t="s">
        <v>1373</v>
      </c>
      <c r="D724" s="118">
        <v>0.97</v>
      </c>
      <c r="E724" s="118">
        <v>0.03</v>
      </c>
    </row>
    <row r="725" spans="2:5" x14ac:dyDescent="0.2">
      <c r="B725" s="116" t="s">
        <v>1374</v>
      </c>
      <c r="C725" s="117" t="s">
        <v>1375</v>
      </c>
      <c r="D725" s="118">
        <v>6.64</v>
      </c>
      <c r="E725" s="118">
        <v>7.0000000000000007E-2</v>
      </c>
    </row>
    <row r="726" spans="2:5" x14ac:dyDescent="0.2">
      <c r="B726" s="116" t="s">
        <v>1376</v>
      </c>
      <c r="C726" s="117" t="s">
        <v>1377</v>
      </c>
      <c r="D726" s="118">
        <v>2.35</v>
      </c>
      <c r="E726" s="118">
        <v>0</v>
      </c>
    </row>
    <row r="727" spans="2:5" x14ac:dyDescent="0.2">
      <c r="B727" s="116" t="s">
        <v>1378</v>
      </c>
      <c r="C727" s="117" t="s">
        <v>1379</v>
      </c>
      <c r="D727" s="118">
        <v>17.45</v>
      </c>
      <c r="E727" s="118">
        <v>0.16</v>
      </c>
    </row>
    <row r="728" spans="2:5" x14ac:dyDescent="0.2">
      <c r="B728" s="116" t="s">
        <v>1381</v>
      </c>
      <c r="C728" s="117" t="s">
        <v>1382</v>
      </c>
      <c r="D728" s="118">
        <v>5.03</v>
      </c>
      <c r="E728" s="118">
        <v>0.04</v>
      </c>
    </row>
    <row r="729" spans="2:5" x14ac:dyDescent="0.2">
      <c r="B729" s="116" t="s">
        <v>1383</v>
      </c>
      <c r="C729" s="117" t="s">
        <v>1384</v>
      </c>
      <c r="D729" s="118">
        <v>6.96</v>
      </c>
      <c r="E729" s="118">
        <v>0.03</v>
      </c>
    </row>
    <row r="730" spans="2:5" x14ac:dyDescent="0.2">
      <c r="B730" s="116" t="s">
        <v>1385</v>
      </c>
      <c r="C730" s="117" t="s">
        <v>1386</v>
      </c>
      <c r="D730" s="118">
        <v>39.24</v>
      </c>
      <c r="E730" s="118">
        <v>0.33</v>
      </c>
    </row>
    <row r="731" spans="2:5" x14ac:dyDescent="0.2">
      <c r="B731" s="116" t="s">
        <v>1387</v>
      </c>
      <c r="C731" s="117" t="s">
        <v>1388</v>
      </c>
      <c r="D731" s="118">
        <v>17.440000000000001</v>
      </c>
      <c r="E731" s="118">
        <v>0.11</v>
      </c>
    </row>
    <row r="732" spans="2:5" x14ac:dyDescent="0.2">
      <c r="B732" s="116" t="s">
        <v>1389</v>
      </c>
      <c r="C732" s="117" t="s">
        <v>1390</v>
      </c>
      <c r="D732" s="118">
        <v>7.82</v>
      </c>
      <c r="E732" s="118">
        <v>0.12</v>
      </c>
    </row>
    <row r="733" spans="2:5" x14ac:dyDescent="0.2">
      <c r="B733" s="116" t="s">
        <v>1391</v>
      </c>
      <c r="C733" s="117" t="s">
        <v>1392</v>
      </c>
      <c r="D733" s="118">
        <v>4.63</v>
      </c>
      <c r="E733" s="118">
        <v>0.05</v>
      </c>
    </row>
    <row r="734" spans="2:5" x14ac:dyDescent="0.2">
      <c r="B734" s="116" t="s">
        <v>1393</v>
      </c>
      <c r="C734" s="117" t="s">
        <v>1394</v>
      </c>
      <c r="D734" s="118">
        <v>32</v>
      </c>
      <c r="E734" s="118">
        <v>0.26</v>
      </c>
    </row>
    <row r="735" spans="2:5" x14ac:dyDescent="0.2">
      <c r="B735" s="116" t="s">
        <v>1395</v>
      </c>
      <c r="C735" s="117" t="s">
        <v>1396</v>
      </c>
      <c r="D735" s="118">
        <v>5.97</v>
      </c>
      <c r="E735" s="118">
        <v>7.0000000000000007E-2</v>
      </c>
    </row>
    <row r="736" spans="2:5" x14ac:dyDescent="0.2">
      <c r="B736" s="116" t="s">
        <v>1398</v>
      </c>
      <c r="C736" s="117" t="s">
        <v>1399</v>
      </c>
      <c r="D736" s="118">
        <v>10.02</v>
      </c>
      <c r="E736" s="118">
        <v>0.08</v>
      </c>
    </row>
    <row r="737" spans="2:5" x14ac:dyDescent="0.2">
      <c r="B737" s="116" t="s">
        <v>1400</v>
      </c>
      <c r="C737" s="117" t="s">
        <v>1401</v>
      </c>
      <c r="D737" s="118"/>
      <c r="E737" s="118">
        <v>0.17</v>
      </c>
    </row>
    <row r="738" spans="2:5" x14ac:dyDescent="0.2">
      <c r="B738" s="116" t="s">
        <v>3848</v>
      </c>
      <c r="C738" s="117" t="s">
        <v>3849</v>
      </c>
      <c r="D738" s="118">
        <v>64.09</v>
      </c>
      <c r="E738" s="118">
        <v>0.13</v>
      </c>
    </row>
    <row r="739" spans="2:5" x14ac:dyDescent="0.2">
      <c r="B739" s="116" t="s">
        <v>1402</v>
      </c>
      <c r="C739" s="117" t="s">
        <v>1403</v>
      </c>
      <c r="D739" s="118">
        <v>34.15</v>
      </c>
      <c r="E739" s="118">
        <v>0.21</v>
      </c>
    </row>
    <row r="740" spans="2:5" x14ac:dyDescent="0.2">
      <c r="B740" s="116" t="s">
        <v>1404</v>
      </c>
      <c r="C740" s="117" t="s">
        <v>3850</v>
      </c>
      <c r="D740" s="118"/>
      <c r="E740" s="118">
        <v>0.14000000000000001</v>
      </c>
    </row>
    <row r="741" spans="2:5" x14ac:dyDescent="0.2">
      <c r="B741" s="116" t="s">
        <v>1404</v>
      </c>
      <c r="C741" s="117" t="s">
        <v>1405</v>
      </c>
      <c r="D741" s="118"/>
      <c r="E741" s="118">
        <v>0.14000000000000001</v>
      </c>
    </row>
    <row r="742" spans="2:5" x14ac:dyDescent="0.2">
      <c r="B742" s="116" t="s">
        <v>3851</v>
      </c>
      <c r="C742" s="117" t="s">
        <v>3852</v>
      </c>
      <c r="D742" s="118">
        <v>12.85</v>
      </c>
      <c r="E742" s="118">
        <v>0.11</v>
      </c>
    </row>
    <row r="743" spans="2:5" x14ac:dyDescent="0.2">
      <c r="B743" s="116" t="s">
        <v>1406</v>
      </c>
      <c r="C743" s="117" t="s">
        <v>1407</v>
      </c>
      <c r="D743" s="118">
        <v>35.11</v>
      </c>
      <c r="E743" s="118">
        <v>0.4</v>
      </c>
    </row>
    <row r="744" spans="2:5" x14ac:dyDescent="0.2">
      <c r="B744" s="116" t="s">
        <v>1408</v>
      </c>
      <c r="C744" s="117" t="s">
        <v>1409</v>
      </c>
      <c r="D744" s="118">
        <v>27.89</v>
      </c>
      <c r="E744" s="118">
        <v>0.24</v>
      </c>
    </row>
    <row r="745" spans="2:5" x14ac:dyDescent="0.2">
      <c r="B745" s="116" t="s">
        <v>3853</v>
      </c>
      <c r="C745" s="117" t="s">
        <v>3854</v>
      </c>
      <c r="D745" s="118">
        <v>3.82</v>
      </c>
      <c r="E745" s="118">
        <v>0.02</v>
      </c>
    </row>
    <row r="746" spans="2:5" x14ac:dyDescent="0.2">
      <c r="B746" s="116" t="s">
        <v>3855</v>
      </c>
      <c r="C746" s="117" t="s">
        <v>3856</v>
      </c>
      <c r="D746" s="118"/>
      <c r="E746" s="118">
        <v>-0.08</v>
      </c>
    </row>
    <row r="747" spans="2:5" x14ac:dyDescent="0.2">
      <c r="B747" s="116" t="s">
        <v>1410</v>
      </c>
      <c r="C747" s="117" t="s">
        <v>1411</v>
      </c>
      <c r="D747" s="118">
        <v>27.82</v>
      </c>
      <c r="E747" s="118">
        <v>0.26</v>
      </c>
    </row>
    <row r="748" spans="2:5" x14ac:dyDescent="0.2">
      <c r="B748" s="116" t="s">
        <v>3857</v>
      </c>
      <c r="C748" s="117" t="s">
        <v>3858</v>
      </c>
      <c r="D748" s="118">
        <v>52.92</v>
      </c>
      <c r="E748" s="118">
        <v>1.44</v>
      </c>
    </row>
    <row r="749" spans="2:5" x14ac:dyDescent="0.2">
      <c r="B749" s="116" t="s">
        <v>1412</v>
      </c>
      <c r="C749" s="117" t="s">
        <v>1413</v>
      </c>
      <c r="D749" s="118">
        <v>0.95</v>
      </c>
      <c r="E749" s="118">
        <v>0.06</v>
      </c>
    </row>
    <row r="750" spans="2:5" x14ac:dyDescent="0.2">
      <c r="B750" s="116" t="s">
        <v>3859</v>
      </c>
      <c r="C750" s="117" t="s">
        <v>3860</v>
      </c>
      <c r="D750" s="118">
        <v>5.98</v>
      </c>
      <c r="E750" s="118">
        <v>0.06</v>
      </c>
    </row>
    <row r="751" spans="2:5" x14ac:dyDescent="0.2">
      <c r="B751" s="116" t="s">
        <v>1414</v>
      </c>
      <c r="C751" s="117" t="s">
        <v>1415</v>
      </c>
      <c r="D751" s="118"/>
      <c r="E751" s="118"/>
    </row>
    <row r="752" spans="2:5" x14ac:dyDescent="0.2">
      <c r="B752" s="116" t="s">
        <v>1417</v>
      </c>
      <c r="C752" s="117" t="s">
        <v>1418</v>
      </c>
      <c r="D752" s="118">
        <v>5.23</v>
      </c>
      <c r="E752" s="118">
        <v>0.03</v>
      </c>
    </row>
    <row r="753" spans="2:5" x14ac:dyDescent="0.2">
      <c r="B753" s="116" t="s">
        <v>1419</v>
      </c>
      <c r="C753" s="117" t="s">
        <v>1420</v>
      </c>
      <c r="D753" s="118">
        <v>11.64</v>
      </c>
      <c r="E753" s="118">
        <v>0.1</v>
      </c>
    </row>
    <row r="754" spans="2:5" x14ac:dyDescent="0.2">
      <c r="B754" s="116" t="s">
        <v>1421</v>
      </c>
      <c r="C754" s="117" t="s">
        <v>1422</v>
      </c>
      <c r="D754" s="118">
        <v>2.37</v>
      </c>
      <c r="E754" s="118">
        <v>-0.15</v>
      </c>
    </row>
    <row r="755" spans="2:5" x14ac:dyDescent="0.2">
      <c r="B755" s="116" t="s">
        <v>1423</v>
      </c>
      <c r="C755" s="117" t="s">
        <v>1424</v>
      </c>
      <c r="D755" s="118">
        <v>18.63</v>
      </c>
      <c r="E755" s="118">
        <v>0.18</v>
      </c>
    </row>
    <row r="756" spans="2:5" x14ac:dyDescent="0.2">
      <c r="B756" s="116" t="s">
        <v>1425</v>
      </c>
      <c r="C756" s="117" t="s">
        <v>1426</v>
      </c>
      <c r="D756" s="118">
        <v>12.61</v>
      </c>
      <c r="E756" s="118">
        <v>0.14000000000000001</v>
      </c>
    </row>
    <row r="757" spans="2:5" x14ac:dyDescent="0.2">
      <c r="B757" s="116" t="s">
        <v>1427</v>
      </c>
      <c r="C757" s="117" t="s">
        <v>1428</v>
      </c>
      <c r="D757" s="118">
        <v>17.21</v>
      </c>
      <c r="E757" s="118">
        <v>0.45</v>
      </c>
    </row>
    <row r="758" spans="2:5" x14ac:dyDescent="0.2">
      <c r="B758" s="116" t="s">
        <v>1429</v>
      </c>
      <c r="C758" s="117" t="s">
        <v>1430</v>
      </c>
      <c r="D758" s="118">
        <v>5.1100000000000003</v>
      </c>
      <c r="E758" s="118">
        <v>0.05</v>
      </c>
    </row>
    <row r="759" spans="2:5" x14ac:dyDescent="0.2">
      <c r="B759" s="116" t="s">
        <v>1431</v>
      </c>
      <c r="C759" s="117" t="s">
        <v>1432</v>
      </c>
      <c r="D759" s="118">
        <v>5.34</v>
      </c>
      <c r="E759" s="118">
        <v>0.06</v>
      </c>
    </row>
    <row r="760" spans="2:5" x14ac:dyDescent="0.2">
      <c r="B760" s="116" t="s">
        <v>1434</v>
      </c>
      <c r="C760" s="117" t="s">
        <v>1435</v>
      </c>
      <c r="D760" s="118">
        <v>14.22</v>
      </c>
      <c r="E760" s="118">
        <v>0.09</v>
      </c>
    </row>
    <row r="761" spans="2:5" x14ac:dyDescent="0.2">
      <c r="B761" s="116" t="s">
        <v>3861</v>
      </c>
      <c r="C761" s="117" t="s">
        <v>3862</v>
      </c>
      <c r="D761" s="118"/>
      <c r="E761" s="118"/>
    </row>
    <row r="762" spans="2:5" x14ac:dyDescent="0.2">
      <c r="B762" s="116" t="s">
        <v>1436</v>
      </c>
      <c r="C762" s="117" t="s">
        <v>3863</v>
      </c>
      <c r="D762" s="118">
        <v>-18.41</v>
      </c>
      <c r="E762" s="118">
        <v>0.28999999999999998</v>
      </c>
    </row>
    <row r="763" spans="2:5" x14ac:dyDescent="0.2">
      <c r="B763" s="116" t="s">
        <v>3864</v>
      </c>
      <c r="C763" s="117" t="s">
        <v>3865</v>
      </c>
      <c r="D763" s="118">
        <v>-18.41</v>
      </c>
      <c r="E763" s="118">
        <v>0.28999999999999998</v>
      </c>
    </row>
    <row r="764" spans="2:5" x14ac:dyDescent="0.2">
      <c r="B764" s="116" t="s">
        <v>1436</v>
      </c>
      <c r="C764" s="117" t="s">
        <v>1437</v>
      </c>
      <c r="D764" s="118">
        <v>-18.41</v>
      </c>
      <c r="E764" s="118">
        <v>0.28999999999999998</v>
      </c>
    </row>
    <row r="765" spans="2:5" x14ac:dyDescent="0.2">
      <c r="B765" s="116" t="s">
        <v>3866</v>
      </c>
      <c r="C765" s="117" t="s">
        <v>3867</v>
      </c>
      <c r="D765" s="118"/>
      <c r="E765" s="118"/>
    </row>
    <row r="766" spans="2:5" x14ac:dyDescent="0.2">
      <c r="B766" s="116" t="s">
        <v>1438</v>
      </c>
      <c r="C766" s="117" t="s">
        <v>1439</v>
      </c>
      <c r="D766" s="118">
        <v>11.32</v>
      </c>
      <c r="E766" s="118">
        <v>0.09</v>
      </c>
    </row>
    <row r="767" spans="2:5" x14ac:dyDescent="0.2">
      <c r="B767" s="116" t="s">
        <v>1440</v>
      </c>
      <c r="C767" s="117" t="s">
        <v>1441</v>
      </c>
      <c r="D767" s="118">
        <v>34.74</v>
      </c>
      <c r="E767" s="118">
        <v>0.31</v>
      </c>
    </row>
    <row r="768" spans="2:5" x14ac:dyDescent="0.2">
      <c r="B768" s="116" t="s">
        <v>3868</v>
      </c>
      <c r="C768" s="117" t="s">
        <v>3869</v>
      </c>
      <c r="D768" s="118">
        <v>34.4</v>
      </c>
      <c r="E768" s="118">
        <v>0.19</v>
      </c>
    </row>
    <row r="769" spans="2:5" x14ac:dyDescent="0.2">
      <c r="B769" s="116" t="s">
        <v>1442</v>
      </c>
      <c r="C769" s="117" t="s">
        <v>1443</v>
      </c>
      <c r="D769" s="118"/>
      <c r="E769" s="118"/>
    </row>
    <row r="770" spans="2:5" x14ac:dyDescent="0.2">
      <c r="B770" s="116" t="s">
        <v>3870</v>
      </c>
      <c r="C770" s="117" t="s">
        <v>3871</v>
      </c>
      <c r="D770" s="118"/>
      <c r="E770" s="118"/>
    </row>
    <row r="771" spans="2:5" x14ac:dyDescent="0.2">
      <c r="B771" s="116" t="s">
        <v>1444</v>
      </c>
      <c r="C771" s="117" t="s">
        <v>1445</v>
      </c>
      <c r="D771" s="118">
        <v>8.68</v>
      </c>
      <c r="E771" s="118">
        <v>0.09</v>
      </c>
    </row>
    <row r="772" spans="2:5" x14ac:dyDescent="0.2">
      <c r="B772" s="116" t="s">
        <v>1446</v>
      </c>
      <c r="C772" s="117" t="s">
        <v>1447</v>
      </c>
      <c r="D772" s="118">
        <v>3.48</v>
      </c>
      <c r="E772" s="118">
        <v>0.03</v>
      </c>
    </row>
    <row r="773" spans="2:5" x14ac:dyDescent="0.2">
      <c r="B773" s="116" t="s">
        <v>1449</v>
      </c>
      <c r="C773" s="117" t="s">
        <v>1450</v>
      </c>
      <c r="D773" s="118">
        <v>14.74</v>
      </c>
      <c r="E773" s="118">
        <v>0.1</v>
      </c>
    </row>
    <row r="774" spans="2:5" x14ac:dyDescent="0.2">
      <c r="B774" s="116" t="s">
        <v>1451</v>
      </c>
      <c r="C774" s="117" t="s">
        <v>1452</v>
      </c>
      <c r="D774" s="118">
        <v>-13.62</v>
      </c>
      <c r="E774" s="118">
        <v>-0.16</v>
      </c>
    </row>
    <row r="775" spans="2:5" x14ac:dyDescent="0.2">
      <c r="B775" s="116" t="s">
        <v>1453</v>
      </c>
      <c r="C775" s="117" t="s">
        <v>1454</v>
      </c>
      <c r="D775" s="118">
        <v>4.72</v>
      </c>
      <c r="E775" s="118">
        <v>-0.18</v>
      </c>
    </row>
    <row r="776" spans="2:5" x14ac:dyDescent="0.2">
      <c r="B776" s="116" t="s">
        <v>1455</v>
      </c>
      <c r="C776" s="117" t="s">
        <v>1456</v>
      </c>
      <c r="D776" s="118">
        <v>2.61</v>
      </c>
      <c r="E776" s="118">
        <v>0.02</v>
      </c>
    </row>
    <row r="777" spans="2:5" x14ac:dyDescent="0.2">
      <c r="B777" s="116" t="s">
        <v>1457</v>
      </c>
      <c r="C777" s="117" t="s">
        <v>1458</v>
      </c>
      <c r="D777" s="118"/>
      <c r="E777" s="118"/>
    </row>
    <row r="778" spans="2:5" x14ac:dyDescent="0.2">
      <c r="B778" s="116" t="s">
        <v>1459</v>
      </c>
      <c r="C778" s="117" t="s">
        <v>1460</v>
      </c>
      <c r="D778" s="118"/>
      <c r="E778" s="118">
        <v>0.12</v>
      </c>
    </row>
    <row r="779" spans="2:5" x14ac:dyDescent="0.2">
      <c r="B779" s="116" t="s">
        <v>3872</v>
      </c>
      <c r="C779" s="117" t="s">
        <v>3873</v>
      </c>
      <c r="D779" s="118">
        <v>20.51</v>
      </c>
      <c r="E779" s="118">
        <v>0.2</v>
      </c>
    </row>
    <row r="780" spans="2:5" x14ac:dyDescent="0.2">
      <c r="B780" s="116" t="s">
        <v>1461</v>
      </c>
      <c r="C780" s="117" t="s">
        <v>1462</v>
      </c>
      <c r="D780" s="118"/>
      <c r="E780" s="118">
        <v>-0.14000000000000001</v>
      </c>
    </row>
    <row r="781" spans="2:5" x14ac:dyDescent="0.2">
      <c r="B781" s="116" t="s">
        <v>1463</v>
      </c>
      <c r="C781" s="117" t="s">
        <v>1464</v>
      </c>
      <c r="D781" s="118"/>
      <c r="E781" s="118">
        <v>0.01</v>
      </c>
    </row>
    <row r="782" spans="2:5" x14ac:dyDescent="0.2">
      <c r="B782" s="116" t="s">
        <v>1465</v>
      </c>
      <c r="C782" s="117" t="s">
        <v>1466</v>
      </c>
      <c r="D782" s="118">
        <v>4.8099999999999996</v>
      </c>
      <c r="E782" s="118">
        <v>0.05</v>
      </c>
    </row>
    <row r="783" spans="2:5" x14ac:dyDescent="0.2">
      <c r="B783" s="116" t="s">
        <v>1468</v>
      </c>
      <c r="C783" s="117" t="s">
        <v>1469</v>
      </c>
      <c r="D783" s="118">
        <v>19.649999999999999</v>
      </c>
      <c r="E783" s="118">
        <v>0.21</v>
      </c>
    </row>
    <row r="784" spans="2:5" x14ac:dyDescent="0.2">
      <c r="B784" s="116" t="s">
        <v>1470</v>
      </c>
      <c r="C784" s="117" t="s">
        <v>1471</v>
      </c>
      <c r="D784" s="118">
        <v>-60.08</v>
      </c>
      <c r="E784" s="118">
        <v>-0.94</v>
      </c>
    </row>
    <row r="785" spans="2:5" x14ac:dyDescent="0.2">
      <c r="B785" s="116" t="s">
        <v>3874</v>
      </c>
      <c r="C785" s="117" t="s">
        <v>3875</v>
      </c>
      <c r="D785" s="118">
        <v>8.42</v>
      </c>
      <c r="E785" s="118">
        <v>0.1</v>
      </c>
    </row>
    <row r="786" spans="2:5" x14ac:dyDescent="0.2">
      <c r="B786" s="116" t="s">
        <v>1472</v>
      </c>
      <c r="C786" s="117" t="s">
        <v>1473</v>
      </c>
      <c r="D786" s="118">
        <v>10.76</v>
      </c>
      <c r="E786" s="118">
        <v>0.1</v>
      </c>
    </row>
    <row r="787" spans="2:5" x14ac:dyDescent="0.2">
      <c r="B787" s="116" t="s">
        <v>1474</v>
      </c>
      <c r="C787" s="117" t="s">
        <v>1475</v>
      </c>
      <c r="D787" s="118">
        <v>12.14</v>
      </c>
      <c r="E787" s="118">
        <v>0.12</v>
      </c>
    </row>
    <row r="788" spans="2:5" x14ac:dyDescent="0.2">
      <c r="B788" s="116" t="s">
        <v>1476</v>
      </c>
      <c r="C788" s="117" t="s">
        <v>1477</v>
      </c>
      <c r="D788" s="118">
        <v>39.65</v>
      </c>
      <c r="E788" s="118">
        <v>0.25</v>
      </c>
    </row>
    <row r="789" spans="2:5" x14ac:dyDescent="0.2">
      <c r="B789" s="116" t="s">
        <v>1478</v>
      </c>
      <c r="C789" s="117" t="s">
        <v>1479</v>
      </c>
      <c r="D789" s="118">
        <v>11.95</v>
      </c>
      <c r="E789" s="118">
        <v>0.1</v>
      </c>
    </row>
    <row r="790" spans="2:5" x14ac:dyDescent="0.2">
      <c r="B790" s="116" t="s">
        <v>1480</v>
      </c>
      <c r="C790" s="117" t="s">
        <v>1481</v>
      </c>
      <c r="D790" s="118"/>
      <c r="E790" s="118">
        <v>0.05</v>
      </c>
    </row>
    <row r="791" spans="2:5" x14ac:dyDescent="0.2">
      <c r="B791" s="116" t="s">
        <v>1482</v>
      </c>
      <c r="C791" s="117" t="s">
        <v>1483</v>
      </c>
      <c r="D791" s="118">
        <v>16.59</v>
      </c>
      <c r="E791" s="118">
        <v>0.16</v>
      </c>
    </row>
    <row r="792" spans="2:5" x14ac:dyDescent="0.2">
      <c r="B792" s="116" t="s">
        <v>1484</v>
      </c>
      <c r="C792" s="117" t="s">
        <v>1485</v>
      </c>
      <c r="D792" s="118"/>
      <c r="E792" s="118">
        <v>0.1</v>
      </c>
    </row>
    <row r="793" spans="2:5" x14ac:dyDescent="0.2">
      <c r="B793" s="116" t="s">
        <v>3876</v>
      </c>
      <c r="C793" s="117" t="s">
        <v>3877</v>
      </c>
      <c r="D793" s="118"/>
      <c r="E793" s="118"/>
    </row>
    <row r="794" spans="2:5" x14ac:dyDescent="0.2">
      <c r="B794" s="116" t="s">
        <v>1487</v>
      </c>
      <c r="C794" s="117" t="s">
        <v>1488</v>
      </c>
      <c r="D794" s="118">
        <v>-32.75</v>
      </c>
      <c r="E794" s="118">
        <v>-1.18</v>
      </c>
    </row>
    <row r="795" spans="2:5" x14ac:dyDescent="0.2">
      <c r="B795" s="116" t="s">
        <v>1489</v>
      </c>
      <c r="C795" s="117" t="s">
        <v>1490</v>
      </c>
      <c r="D795" s="118"/>
      <c r="E795" s="118">
        <v>0.02</v>
      </c>
    </row>
    <row r="796" spans="2:5" x14ac:dyDescent="0.2">
      <c r="B796" s="116" t="s">
        <v>1491</v>
      </c>
      <c r="C796" s="117" t="s">
        <v>1492</v>
      </c>
      <c r="D796" s="118">
        <v>12.76</v>
      </c>
      <c r="E796" s="118">
        <v>0.1</v>
      </c>
    </row>
    <row r="797" spans="2:5" x14ac:dyDescent="0.2">
      <c r="B797" s="116" t="s">
        <v>1494</v>
      </c>
      <c r="C797" s="117" t="s">
        <v>1495</v>
      </c>
      <c r="D797" s="118">
        <v>3.22</v>
      </c>
      <c r="E797" s="118">
        <v>0.04</v>
      </c>
    </row>
    <row r="798" spans="2:5" x14ac:dyDescent="0.2">
      <c r="B798" s="116" t="s">
        <v>1496</v>
      </c>
      <c r="C798" s="117" t="s">
        <v>1497</v>
      </c>
      <c r="D798" s="118">
        <v>-19.95</v>
      </c>
      <c r="E798" s="118">
        <v>-0.09</v>
      </c>
    </row>
    <row r="799" spans="2:5" x14ac:dyDescent="0.2">
      <c r="B799" s="116" t="s">
        <v>1498</v>
      </c>
      <c r="C799" s="117" t="s">
        <v>1499</v>
      </c>
      <c r="D799" s="118">
        <v>29.69</v>
      </c>
      <c r="E799" s="118">
        <v>0.32</v>
      </c>
    </row>
    <row r="800" spans="2:5" x14ac:dyDescent="0.2">
      <c r="B800" s="116" t="s">
        <v>1500</v>
      </c>
      <c r="C800" s="117" t="s">
        <v>1501</v>
      </c>
      <c r="D800" s="118">
        <v>14.97</v>
      </c>
      <c r="E800" s="118">
        <v>0.09</v>
      </c>
    </row>
    <row r="801" spans="2:5" x14ac:dyDescent="0.2">
      <c r="B801" s="116" t="s">
        <v>1502</v>
      </c>
      <c r="C801" s="117" t="s">
        <v>1503</v>
      </c>
      <c r="D801" s="118">
        <v>6.37</v>
      </c>
      <c r="E801" s="118">
        <v>0.05</v>
      </c>
    </row>
    <row r="802" spans="2:5" x14ac:dyDescent="0.2">
      <c r="B802" s="116" t="s">
        <v>1504</v>
      </c>
      <c r="C802" s="117" t="s">
        <v>1505</v>
      </c>
      <c r="D802" s="118">
        <v>21.7</v>
      </c>
      <c r="E802" s="118">
        <v>0.22</v>
      </c>
    </row>
    <row r="803" spans="2:5" x14ac:dyDescent="0.2">
      <c r="B803" s="116" t="s">
        <v>3878</v>
      </c>
      <c r="C803" s="117" t="s">
        <v>3879</v>
      </c>
      <c r="D803" s="118">
        <v>6.58</v>
      </c>
      <c r="E803" s="118">
        <v>-0.04</v>
      </c>
    </row>
    <row r="804" spans="2:5" x14ac:dyDescent="0.2">
      <c r="B804" s="116" t="s">
        <v>3880</v>
      </c>
      <c r="C804" s="117" t="s">
        <v>3881</v>
      </c>
      <c r="D804" s="118">
        <v>36.67</v>
      </c>
      <c r="E804" s="118">
        <v>0.49</v>
      </c>
    </row>
    <row r="805" spans="2:5" x14ac:dyDescent="0.2">
      <c r="B805" s="116" t="s">
        <v>1506</v>
      </c>
      <c r="C805" s="117" t="s">
        <v>1507</v>
      </c>
      <c r="D805" s="118">
        <v>11.53</v>
      </c>
      <c r="E805" s="118">
        <v>0.12</v>
      </c>
    </row>
    <row r="806" spans="2:5" x14ac:dyDescent="0.2">
      <c r="B806" s="116" t="s">
        <v>1508</v>
      </c>
      <c r="C806" s="117" t="s">
        <v>1509</v>
      </c>
      <c r="D806" s="118">
        <v>14.34</v>
      </c>
      <c r="E806" s="118">
        <v>0.11</v>
      </c>
    </row>
    <row r="807" spans="2:5" x14ac:dyDescent="0.2">
      <c r="B807" s="116" t="s">
        <v>1511</v>
      </c>
      <c r="C807" s="117" t="s">
        <v>1512</v>
      </c>
      <c r="D807" s="118">
        <v>23.28</v>
      </c>
      <c r="E807" s="118">
        <v>0.24</v>
      </c>
    </row>
    <row r="808" spans="2:5" x14ac:dyDescent="0.2">
      <c r="B808" s="116" t="s">
        <v>3882</v>
      </c>
      <c r="C808" s="117" t="s">
        <v>3883</v>
      </c>
      <c r="D808" s="118"/>
      <c r="E808" s="118"/>
    </row>
    <row r="809" spans="2:5" x14ac:dyDescent="0.2">
      <c r="B809" s="116" t="s">
        <v>1513</v>
      </c>
      <c r="C809" s="117" t="s">
        <v>1514</v>
      </c>
      <c r="D809" s="118">
        <v>6.28</v>
      </c>
      <c r="E809" s="118">
        <v>-0.21</v>
      </c>
    </row>
    <row r="810" spans="2:5" x14ac:dyDescent="0.2">
      <c r="B810" s="116" t="s">
        <v>1515</v>
      </c>
      <c r="C810" s="117" t="s">
        <v>3884</v>
      </c>
      <c r="D810" s="118">
        <v>30.31</v>
      </c>
      <c r="E810" s="118">
        <v>0.22</v>
      </c>
    </row>
    <row r="811" spans="2:5" x14ac:dyDescent="0.2">
      <c r="B811" s="116" t="s">
        <v>1515</v>
      </c>
      <c r="C811" s="117" t="s">
        <v>1516</v>
      </c>
      <c r="D811" s="118">
        <v>30.31</v>
      </c>
      <c r="E811" s="118">
        <v>0.22</v>
      </c>
    </row>
    <row r="812" spans="2:5" x14ac:dyDescent="0.2">
      <c r="B812" s="116" t="s">
        <v>1517</v>
      </c>
      <c r="C812" s="117" t="s">
        <v>1518</v>
      </c>
      <c r="D812" s="118">
        <v>17.05</v>
      </c>
      <c r="E812" s="118">
        <v>0.17</v>
      </c>
    </row>
    <row r="813" spans="2:5" x14ac:dyDescent="0.2">
      <c r="B813" s="116" t="s">
        <v>1519</v>
      </c>
      <c r="C813" s="117" t="s">
        <v>1520</v>
      </c>
      <c r="D813" s="118">
        <v>4.3899999999999997</v>
      </c>
      <c r="E813" s="118">
        <v>0.04</v>
      </c>
    </row>
    <row r="814" spans="2:5" x14ac:dyDescent="0.2">
      <c r="B814" s="116" t="s">
        <v>3885</v>
      </c>
      <c r="C814" s="117" t="s">
        <v>3886</v>
      </c>
      <c r="D814" s="118"/>
      <c r="E814" s="118"/>
    </row>
    <row r="815" spans="2:5" x14ac:dyDescent="0.2">
      <c r="B815" s="116" t="s">
        <v>1521</v>
      </c>
      <c r="C815" s="117" t="s">
        <v>1522</v>
      </c>
      <c r="D815" s="118">
        <v>4.43</v>
      </c>
      <c r="E815" s="118">
        <v>0.04</v>
      </c>
    </row>
    <row r="816" spans="2:5" x14ac:dyDescent="0.2">
      <c r="B816" s="116" t="s">
        <v>1523</v>
      </c>
      <c r="C816" s="117" t="s">
        <v>1524</v>
      </c>
      <c r="D816" s="118">
        <v>22.2</v>
      </c>
      <c r="E816" s="118">
        <v>0.13</v>
      </c>
    </row>
    <row r="817" spans="2:5" x14ac:dyDescent="0.2">
      <c r="B817" s="116" t="s">
        <v>3887</v>
      </c>
      <c r="C817" s="117" t="s">
        <v>3888</v>
      </c>
      <c r="D817" s="118">
        <v>9.94</v>
      </c>
      <c r="E817" s="118">
        <v>0.09</v>
      </c>
    </row>
    <row r="818" spans="2:5" x14ac:dyDescent="0.2">
      <c r="B818" s="116" t="s">
        <v>1525</v>
      </c>
      <c r="C818" s="117" t="s">
        <v>1526</v>
      </c>
      <c r="D818" s="118">
        <v>5.3</v>
      </c>
      <c r="E818" s="118">
        <v>0.06</v>
      </c>
    </row>
    <row r="819" spans="2:5" x14ac:dyDescent="0.2">
      <c r="B819" s="116" t="s">
        <v>1527</v>
      </c>
      <c r="C819" s="117" t="s">
        <v>1528</v>
      </c>
      <c r="D819" s="118">
        <v>14.52</v>
      </c>
      <c r="E819" s="118">
        <v>0.09</v>
      </c>
    </row>
    <row r="820" spans="2:5" x14ac:dyDescent="0.2">
      <c r="B820" s="116" t="s">
        <v>1529</v>
      </c>
      <c r="C820" s="117" t="s">
        <v>1530</v>
      </c>
      <c r="D820" s="118">
        <v>14.15</v>
      </c>
      <c r="E820" s="118">
        <v>0.13</v>
      </c>
    </row>
    <row r="821" spans="2:5" x14ac:dyDescent="0.2">
      <c r="B821" s="116" t="s">
        <v>1531</v>
      </c>
      <c r="C821" s="117" t="s">
        <v>1532</v>
      </c>
      <c r="D821" s="118">
        <v>21.51</v>
      </c>
      <c r="E821" s="118">
        <v>0.21</v>
      </c>
    </row>
    <row r="822" spans="2:5" x14ac:dyDescent="0.2">
      <c r="B822" s="116" t="s">
        <v>1533</v>
      </c>
      <c r="C822" s="117" t="s">
        <v>1534</v>
      </c>
      <c r="D822" s="118">
        <v>9.52</v>
      </c>
      <c r="E822" s="118">
        <v>0.08</v>
      </c>
    </row>
    <row r="823" spans="2:5" x14ac:dyDescent="0.2">
      <c r="B823" s="116" t="s">
        <v>1535</v>
      </c>
      <c r="C823" s="117" t="s">
        <v>1536</v>
      </c>
      <c r="D823" s="118">
        <v>27.82</v>
      </c>
      <c r="E823" s="118">
        <v>0.28999999999999998</v>
      </c>
    </row>
    <row r="824" spans="2:5" x14ac:dyDescent="0.2">
      <c r="B824" s="116" t="s">
        <v>1537</v>
      </c>
      <c r="C824" s="117" t="s">
        <v>1538</v>
      </c>
      <c r="D824" s="118">
        <v>19.71</v>
      </c>
      <c r="E824" s="118">
        <v>0.12</v>
      </c>
    </row>
    <row r="825" spans="2:5" x14ac:dyDescent="0.2">
      <c r="B825" s="116" t="s">
        <v>3889</v>
      </c>
      <c r="C825" s="117" t="s">
        <v>3890</v>
      </c>
      <c r="D825" s="118"/>
      <c r="E825" s="118"/>
    </row>
    <row r="826" spans="2:5" x14ac:dyDescent="0.2">
      <c r="B826" s="116" t="s">
        <v>1539</v>
      </c>
      <c r="C826" s="117" t="s">
        <v>1540</v>
      </c>
      <c r="D826" s="118">
        <v>2.57</v>
      </c>
      <c r="E826" s="118">
        <v>0.04</v>
      </c>
    </row>
    <row r="827" spans="2:5" x14ac:dyDescent="0.2">
      <c r="B827" s="116" t="s">
        <v>3891</v>
      </c>
      <c r="C827" s="117" t="s">
        <v>3892</v>
      </c>
      <c r="D827" s="118"/>
      <c r="E827" s="118">
        <v>0.02</v>
      </c>
    </row>
    <row r="828" spans="2:5" x14ac:dyDescent="0.2">
      <c r="B828" s="116" t="s">
        <v>1541</v>
      </c>
      <c r="C828" s="117" t="s">
        <v>1542</v>
      </c>
      <c r="D828" s="118">
        <v>-101.45</v>
      </c>
      <c r="E828" s="118">
        <v>-23.17</v>
      </c>
    </row>
    <row r="829" spans="2:5" x14ac:dyDescent="0.2">
      <c r="B829" s="116" t="s">
        <v>1543</v>
      </c>
      <c r="C829" s="117" t="s">
        <v>1544</v>
      </c>
      <c r="D829" s="118">
        <v>10.24</v>
      </c>
      <c r="E829" s="118">
        <v>0.1</v>
      </c>
    </row>
    <row r="830" spans="2:5" x14ac:dyDescent="0.2">
      <c r="B830" s="116" t="s">
        <v>1545</v>
      </c>
      <c r="C830" s="117" t="s">
        <v>1546</v>
      </c>
      <c r="D830" s="118">
        <v>16.579999999999998</v>
      </c>
      <c r="E830" s="118">
        <v>0.03</v>
      </c>
    </row>
    <row r="831" spans="2:5" x14ac:dyDescent="0.2">
      <c r="B831" s="116" t="s">
        <v>1547</v>
      </c>
      <c r="C831" s="117" t="s">
        <v>1548</v>
      </c>
      <c r="D831" s="118">
        <v>8.67</v>
      </c>
      <c r="E831" s="118">
        <v>7.0000000000000007E-2</v>
      </c>
    </row>
    <row r="832" spans="2:5" x14ac:dyDescent="0.2">
      <c r="B832" s="116" t="s">
        <v>3893</v>
      </c>
      <c r="C832" s="117" t="s">
        <v>3894</v>
      </c>
      <c r="D832" s="118">
        <v>16.43</v>
      </c>
      <c r="E832" s="118">
        <v>0.16</v>
      </c>
    </row>
    <row r="833" spans="2:5" x14ac:dyDescent="0.2">
      <c r="B833" s="116" t="s">
        <v>1549</v>
      </c>
      <c r="C833" s="117" t="s">
        <v>1550</v>
      </c>
      <c r="D833" s="118">
        <v>4.9800000000000004</v>
      </c>
      <c r="E833" s="118">
        <v>0.17</v>
      </c>
    </row>
    <row r="834" spans="2:5" x14ac:dyDescent="0.2">
      <c r="B834" s="116" t="s">
        <v>1551</v>
      </c>
      <c r="C834" s="117" t="s">
        <v>1552</v>
      </c>
      <c r="D834" s="118">
        <v>14.04</v>
      </c>
      <c r="E834" s="118">
        <v>0.06</v>
      </c>
    </row>
    <row r="835" spans="2:5" x14ac:dyDescent="0.2">
      <c r="B835" s="116" t="s">
        <v>1553</v>
      </c>
      <c r="C835" s="117" t="s">
        <v>1554</v>
      </c>
      <c r="D835" s="118">
        <v>5.46</v>
      </c>
      <c r="E835" s="118">
        <v>7.0000000000000007E-2</v>
      </c>
    </row>
    <row r="836" spans="2:5" x14ac:dyDescent="0.2">
      <c r="B836" s="116" t="s">
        <v>1555</v>
      </c>
      <c r="C836" s="117" t="s">
        <v>1556</v>
      </c>
      <c r="D836" s="118">
        <v>11.59</v>
      </c>
      <c r="E836" s="118">
        <v>0.05</v>
      </c>
    </row>
    <row r="837" spans="2:5" x14ac:dyDescent="0.2">
      <c r="B837" s="116" t="s">
        <v>3895</v>
      </c>
      <c r="C837" s="117" t="s">
        <v>3896</v>
      </c>
      <c r="D837" s="118"/>
      <c r="E837" s="118"/>
    </row>
    <row r="838" spans="2:5" x14ac:dyDescent="0.2">
      <c r="B838" s="116" t="s">
        <v>1557</v>
      </c>
      <c r="C838" s="117" t="s">
        <v>1558</v>
      </c>
      <c r="D838" s="118">
        <v>30.9</v>
      </c>
      <c r="E838" s="118">
        <v>0.26</v>
      </c>
    </row>
    <row r="839" spans="2:5" x14ac:dyDescent="0.2">
      <c r="B839" s="116" t="s">
        <v>1559</v>
      </c>
      <c r="C839" s="117" t="s">
        <v>1560</v>
      </c>
      <c r="D839" s="118">
        <v>9.16</v>
      </c>
      <c r="E839" s="118">
        <v>0.08</v>
      </c>
    </row>
    <row r="840" spans="2:5" x14ac:dyDescent="0.2">
      <c r="B840" s="116" t="s">
        <v>1561</v>
      </c>
      <c r="C840" s="117" t="s">
        <v>1562</v>
      </c>
      <c r="D840" s="118">
        <v>7.42</v>
      </c>
      <c r="E840" s="118">
        <v>0.08</v>
      </c>
    </row>
    <row r="841" spans="2:5" x14ac:dyDescent="0.2">
      <c r="B841" s="116" t="s">
        <v>1564</v>
      </c>
      <c r="C841" s="117" t="s">
        <v>1565</v>
      </c>
      <c r="D841" s="118">
        <v>3.85</v>
      </c>
      <c r="E841" s="118">
        <v>0.04</v>
      </c>
    </row>
    <row r="842" spans="2:5" x14ac:dyDescent="0.2">
      <c r="B842" s="116" t="s">
        <v>3897</v>
      </c>
      <c r="C842" s="117" t="s">
        <v>3898</v>
      </c>
      <c r="D842" s="118"/>
      <c r="E842" s="118">
        <v>0.05</v>
      </c>
    </row>
    <row r="843" spans="2:5" x14ac:dyDescent="0.2">
      <c r="B843" s="116" t="s">
        <v>1566</v>
      </c>
      <c r="C843" s="117" t="s">
        <v>1567</v>
      </c>
      <c r="D843" s="118">
        <v>53.57</v>
      </c>
      <c r="E843" s="118">
        <v>0.56999999999999995</v>
      </c>
    </row>
    <row r="844" spans="2:5" x14ac:dyDescent="0.2">
      <c r="B844" s="116" t="s">
        <v>1568</v>
      </c>
      <c r="C844" s="117" t="s">
        <v>1569</v>
      </c>
      <c r="D844" s="118">
        <v>10.35</v>
      </c>
      <c r="E844" s="118">
        <v>0.1</v>
      </c>
    </row>
    <row r="845" spans="2:5" x14ac:dyDescent="0.2">
      <c r="B845" s="116" t="s">
        <v>1570</v>
      </c>
      <c r="C845" s="117" t="s">
        <v>1571</v>
      </c>
      <c r="D845" s="118">
        <v>17.98</v>
      </c>
      <c r="E845" s="118">
        <v>0.19</v>
      </c>
    </row>
    <row r="846" spans="2:5" x14ac:dyDescent="0.2">
      <c r="B846" s="116" t="s">
        <v>3899</v>
      </c>
      <c r="C846" s="117" t="s">
        <v>3900</v>
      </c>
      <c r="D846" s="118">
        <v>6.56</v>
      </c>
      <c r="E846" s="118">
        <v>0.06</v>
      </c>
    </row>
    <row r="847" spans="2:5" x14ac:dyDescent="0.2">
      <c r="B847" s="116" t="s">
        <v>1572</v>
      </c>
      <c r="C847" s="117" t="s">
        <v>1573</v>
      </c>
      <c r="D847" s="118">
        <v>10.25</v>
      </c>
      <c r="E847" s="118">
        <v>7.0000000000000007E-2</v>
      </c>
    </row>
    <row r="848" spans="2:5" x14ac:dyDescent="0.2">
      <c r="B848" s="116" t="s">
        <v>1574</v>
      </c>
      <c r="C848" s="117" t="s">
        <v>1575</v>
      </c>
      <c r="D848" s="118">
        <v>7.07</v>
      </c>
      <c r="E848" s="118">
        <v>7.0000000000000007E-2</v>
      </c>
    </row>
    <row r="849" spans="2:5" x14ac:dyDescent="0.2">
      <c r="B849" s="116" t="s">
        <v>1576</v>
      </c>
      <c r="C849" s="117" t="s">
        <v>1577</v>
      </c>
      <c r="D849" s="118"/>
      <c r="E849" s="118">
        <v>0.19</v>
      </c>
    </row>
    <row r="850" spans="2:5" x14ac:dyDescent="0.2">
      <c r="B850" s="116" t="s">
        <v>1578</v>
      </c>
      <c r="C850" s="117" t="s">
        <v>1579</v>
      </c>
      <c r="D850" s="118">
        <v>14.95</v>
      </c>
      <c r="E850" s="118">
        <v>0.15</v>
      </c>
    </row>
    <row r="851" spans="2:5" x14ac:dyDescent="0.2">
      <c r="B851" s="116" t="s">
        <v>1578</v>
      </c>
      <c r="C851" s="117" t="s">
        <v>3901</v>
      </c>
      <c r="D851" s="118">
        <v>14.95</v>
      </c>
      <c r="E851" s="118">
        <v>0.15</v>
      </c>
    </row>
    <row r="852" spans="2:5" x14ac:dyDescent="0.2">
      <c r="B852" s="116" t="s">
        <v>1580</v>
      </c>
      <c r="C852" s="117" t="s">
        <v>1581</v>
      </c>
      <c r="D852" s="118"/>
      <c r="E852" s="118">
        <v>0.04</v>
      </c>
    </row>
    <row r="853" spans="2:5" x14ac:dyDescent="0.2">
      <c r="B853" s="116" t="s">
        <v>1582</v>
      </c>
      <c r="C853" s="117" t="s">
        <v>1583</v>
      </c>
      <c r="D853" s="118">
        <v>13.52</v>
      </c>
      <c r="E853" s="118">
        <v>0.11</v>
      </c>
    </row>
    <row r="854" spans="2:5" x14ac:dyDescent="0.2">
      <c r="B854" s="116" t="s">
        <v>1584</v>
      </c>
      <c r="C854" s="117" t="s">
        <v>1585</v>
      </c>
      <c r="D854" s="118">
        <v>12.09</v>
      </c>
      <c r="E854" s="118">
        <v>0.12</v>
      </c>
    </row>
    <row r="855" spans="2:5" x14ac:dyDescent="0.2">
      <c r="B855" s="116" t="s">
        <v>1586</v>
      </c>
      <c r="C855" s="117" t="s">
        <v>1587</v>
      </c>
      <c r="D855" s="118">
        <v>0.73</v>
      </c>
      <c r="E855" s="118">
        <v>-0.04</v>
      </c>
    </row>
    <row r="856" spans="2:5" x14ac:dyDescent="0.2">
      <c r="B856" s="116" t="s">
        <v>1588</v>
      </c>
      <c r="C856" s="117" t="s">
        <v>1589</v>
      </c>
      <c r="D856" s="118">
        <v>6.8</v>
      </c>
      <c r="E856" s="118">
        <v>0.06</v>
      </c>
    </row>
    <row r="857" spans="2:5" x14ac:dyDescent="0.2">
      <c r="B857" s="116" t="s">
        <v>3902</v>
      </c>
      <c r="C857" s="117" t="s">
        <v>3903</v>
      </c>
      <c r="D857" s="118"/>
      <c r="E857" s="118">
        <v>4.91</v>
      </c>
    </row>
    <row r="858" spans="2:5" x14ac:dyDescent="0.2">
      <c r="B858" s="116" t="s">
        <v>1590</v>
      </c>
      <c r="C858" s="117" t="s">
        <v>1591</v>
      </c>
      <c r="D858" s="118">
        <v>7.03</v>
      </c>
      <c r="E858" s="118">
        <v>0.05</v>
      </c>
    </row>
    <row r="859" spans="2:5" x14ac:dyDescent="0.2">
      <c r="B859" s="116" t="s">
        <v>1592</v>
      </c>
      <c r="C859" s="117" t="s">
        <v>1593</v>
      </c>
      <c r="D859" s="118">
        <v>8.73</v>
      </c>
      <c r="E859" s="118">
        <v>0.1</v>
      </c>
    </row>
    <row r="860" spans="2:5" x14ac:dyDescent="0.2">
      <c r="B860" s="116" t="s">
        <v>1594</v>
      </c>
      <c r="C860" s="117" t="s">
        <v>1595</v>
      </c>
      <c r="D860" s="118">
        <v>8.0399999999999991</v>
      </c>
      <c r="E860" s="118">
        <v>0.1</v>
      </c>
    </row>
    <row r="861" spans="2:5" x14ac:dyDescent="0.2">
      <c r="B861" s="116" t="s">
        <v>1596</v>
      </c>
      <c r="C861" s="117" t="s">
        <v>1597</v>
      </c>
      <c r="D861" s="118">
        <v>2.56</v>
      </c>
      <c r="E861" s="118">
        <v>0.03</v>
      </c>
    </row>
    <row r="862" spans="2:5" x14ac:dyDescent="0.2">
      <c r="B862" s="116" t="s">
        <v>1598</v>
      </c>
      <c r="C862" s="117" t="s">
        <v>1599</v>
      </c>
      <c r="D862" s="118">
        <v>18.79</v>
      </c>
      <c r="E862" s="118">
        <v>0.24</v>
      </c>
    </row>
    <row r="863" spans="2:5" x14ac:dyDescent="0.2">
      <c r="B863" s="116" t="s">
        <v>1600</v>
      </c>
      <c r="C863" s="117" t="s">
        <v>1601</v>
      </c>
      <c r="D863" s="118"/>
      <c r="E863" s="118">
        <v>0.14000000000000001</v>
      </c>
    </row>
    <row r="864" spans="2:5" x14ac:dyDescent="0.2">
      <c r="B864" s="116" t="s">
        <v>1602</v>
      </c>
      <c r="C864" s="117" t="s">
        <v>1603</v>
      </c>
      <c r="D864" s="118"/>
      <c r="E864" s="118">
        <v>1.42</v>
      </c>
    </row>
    <row r="865" spans="2:5" x14ac:dyDescent="0.2">
      <c r="B865" s="116" t="s">
        <v>1604</v>
      </c>
      <c r="C865" s="117" t="s">
        <v>1605</v>
      </c>
      <c r="D865" s="118">
        <v>7.99</v>
      </c>
      <c r="E865" s="118">
        <v>0.06</v>
      </c>
    </row>
    <row r="866" spans="2:5" x14ac:dyDescent="0.2">
      <c r="B866" s="116" t="s">
        <v>1606</v>
      </c>
      <c r="C866" s="117" t="s">
        <v>1607</v>
      </c>
      <c r="D866" s="118">
        <v>17.670000000000002</v>
      </c>
      <c r="E866" s="118">
        <v>0.15</v>
      </c>
    </row>
    <row r="867" spans="2:5" x14ac:dyDescent="0.2">
      <c r="B867" s="116" t="s">
        <v>1608</v>
      </c>
      <c r="C867" s="117" t="s">
        <v>1609</v>
      </c>
      <c r="D867" s="118"/>
      <c r="E867" s="118">
        <v>0.14000000000000001</v>
      </c>
    </row>
    <row r="868" spans="2:5" x14ac:dyDescent="0.2">
      <c r="B868" s="116" t="s">
        <v>1610</v>
      </c>
      <c r="C868" s="117" t="s">
        <v>1611</v>
      </c>
      <c r="D868" s="118">
        <v>41.71</v>
      </c>
      <c r="E868" s="118">
        <v>0.13</v>
      </c>
    </row>
    <row r="869" spans="2:5" x14ac:dyDescent="0.2">
      <c r="B869" s="116" t="s">
        <v>3904</v>
      </c>
      <c r="C869" s="117" t="s">
        <v>3905</v>
      </c>
      <c r="D869" s="118"/>
      <c r="E869" s="118">
        <v>0.86</v>
      </c>
    </row>
    <row r="870" spans="2:5" x14ac:dyDescent="0.2">
      <c r="B870" s="116" t="s">
        <v>1612</v>
      </c>
      <c r="C870" s="117" t="s">
        <v>1613</v>
      </c>
      <c r="D870" s="118">
        <v>10.95</v>
      </c>
      <c r="E870" s="118">
        <v>0.09</v>
      </c>
    </row>
    <row r="871" spans="2:5" x14ac:dyDescent="0.2">
      <c r="B871" s="116" t="s">
        <v>3906</v>
      </c>
      <c r="C871" s="117" t="s">
        <v>3907</v>
      </c>
      <c r="D871" s="118">
        <v>7.02</v>
      </c>
      <c r="E871" s="118">
        <v>0.05</v>
      </c>
    </row>
    <row r="872" spans="2:5" x14ac:dyDescent="0.2">
      <c r="B872" s="116" t="s">
        <v>1614</v>
      </c>
      <c r="C872" s="117" t="s">
        <v>1615</v>
      </c>
      <c r="D872" s="118">
        <v>25.1</v>
      </c>
      <c r="E872" s="118">
        <v>0.22</v>
      </c>
    </row>
    <row r="873" spans="2:5" x14ac:dyDescent="0.2">
      <c r="B873" s="116" t="s">
        <v>1616</v>
      </c>
      <c r="C873" s="117" t="s">
        <v>1617</v>
      </c>
      <c r="D873" s="118">
        <v>3.38</v>
      </c>
      <c r="E873" s="118">
        <v>0.04</v>
      </c>
    </row>
    <row r="874" spans="2:5" x14ac:dyDescent="0.2">
      <c r="B874" s="116" t="s">
        <v>1618</v>
      </c>
      <c r="C874" s="117" t="s">
        <v>1619</v>
      </c>
      <c r="D874" s="118">
        <v>20.64</v>
      </c>
      <c r="E874" s="118">
        <v>0.09</v>
      </c>
    </row>
    <row r="875" spans="2:5" x14ac:dyDescent="0.2">
      <c r="B875" s="116" t="s">
        <v>3908</v>
      </c>
      <c r="C875" s="117" t="s">
        <v>3909</v>
      </c>
      <c r="D875" s="118"/>
      <c r="E875" s="118">
        <v>0.92</v>
      </c>
    </row>
    <row r="876" spans="2:5" x14ac:dyDescent="0.2">
      <c r="B876" s="116" t="s">
        <v>3910</v>
      </c>
      <c r="C876" s="117" t="s">
        <v>3911</v>
      </c>
      <c r="D876" s="118"/>
      <c r="E876" s="118">
        <v>0.53</v>
      </c>
    </row>
    <row r="877" spans="2:5" x14ac:dyDescent="0.2">
      <c r="B877" s="116" t="s">
        <v>3912</v>
      </c>
      <c r="C877" s="117" t="s">
        <v>3913</v>
      </c>
      <c r="D877" s="118">
        <v>5.42</v>
      </c>
      <c r="E877" s="118">
        <v>0.06</v>
      </c>
    </row>
    <row r="878" spans="2:5" x14ac:dyDescent="0.2">
      <c r="B878" s="116" t="s">
        <v>1620</v>
      </c>
      <c r="C878" s="117" t="s">
        <v>1621</v>
      </c>
      <c r="D878" s="118">
        <v>1.75</v>
      </c>
      <c r="E878" s="118">
        <v>0</v>
      </c>
    </row>
    <row r="879" spans="2:5" x14ac:dyDescent="0.2">
      <c r="B879" s="116" t="s">
        <v>1622</v>
      </c>
      <c r="C879" s="117" t="s">
        <v>1623</v>
      </c>
      <c r="D879" s="118">
        <v>21.36</v>
      </c>
      <c r="E879" s="118">
        <v>0.21</v>
      </c>
    </row>
    <row r="880" spans="2:5" x14ac:dyDescent="0.2">
      <c r="B880" s="116" t="s">
        <v>1624</v>
      </c>
      <c r="C880" s="117" t="s">
        <v>1625</v>
      </c>
      <c r="D880" s="118">
        <v>9.3000000000000007</v>
      </c>
      <c r="E880" s="118">
        <v>0.09</v>
      </c>
    </row>
    <row r="881" spans="2:5" x14ac:dyDescent="0.2">
      <c r="B881" s="116" t="s">
        <v>3914</v>
      </c>
      <c r="C881" s="117" t="s">
        <v>3915</v>
      </c>
      <c r="D881" s="118"/>
      <c r="E881" s="118">
        <v>0.24</v>
      </c>
    </row>
    <row r="882" spans="2:5" x14ac:dyDescent="0.2">
      <c r="B882" s="116" t="s">
        <v>1626</v>
      </c>
      <c r="C882" s="117" t="s">
        <v>1627</v>
      </c>
      <c r="D882" s="118">
        <v>19.39</v>
      </c>
      <c r="E882" s="118">
        <v>-0.03</v>
      </c>
    </row>
    <row r="883" spans="2:5" x14ac:dyDescent="0.2">
      <c r="B883" s="116" t="s">
        <v>1628</v>
      </c>
      <c r="C883" s="117" t="s">
        <v>1629</v>
      </c>
      <c r="D883" s="118">
        <v>45.17</v>
      </c>
      <c r="E883" s="118">
        <v>0.38</v>
      </c>
    </row>
    <row r="884" spans="2:5" x14ac:dyDescent="0.2">
      <c r="B884" s="116" t="s">
        <v>1630</v>
      </c>
      <c r="C884" s="117" t="s">
        <v>1631</v>
      </c>
      <c r="D884" s="118">
        <v>15.29</v>
      </c>
      <c r="E884" s="118">
        <v>0.16</v>
      </c>
    </row>
    <row r="885" spans="2:5" x14ac:dyDescent="0.2">
      <c r="B885" s="116" t="s">
        <v>1632</v>
      </c>
      <c r="C885" s="117" t="s">
        <v>1633</v>
      </c>
      <c r="D885" s="118">
        <v>6.11</v>
      </c>
      <c r="E885" s="118">
        <v>0.19</v>
      </c>
    </row>
    <row r="886" spans="2:5" x14ac:dyDescent="0.2">
      <c r="B886" s="116" t="s">
        <v>1635</v>
      </c>
      <c r="C886" s="117" t="s">
        <v>1636</v>
      </c>
      <c r="D886" s="118">
        <v>8.16</v>
      </c>
      <c r="E886" s="118">
        <v>0.06</v>
      </c>
    </row>
    <row r="887" spans="2:5" x14ac:dyDescent="0.2">
      <c r="B887" s="116" t="s">
        <v>1638</v>
      </c>
      <c r="C887" s="117" t="s">
        <v>1639</v>
      </c>
      <c r="D887" s="118">
        <v>0.8</v>
      </c>
      <c r="E887" s="118">
        <v>0.14000000000000001</v>
      </c>
    </row>
    <row r="888" spans="2:5" x14ac:dyDescent="0.2">
      <c r="B888" s="116" t="s">
        <v>1640</v>
      </c>
      <c r="C888" s="117" t="s">
        <v>1641</v>
      </c>
      <c r="D888" s="118">
        <v>5.75</v>
      </c>
      <c r="E888" s="118">
        <v>0.09</v>
      </c>
    </row>
    <row r="889" spans="2:5" x14ac:dyDescent="0.2">
      <c r="B889" s="116" t="s">
        <v>1642</v>
      </c>
      <c r="C889" s="117" t="s">
        <v>1643</v>
      </c>
      <c r="D889" s="118">
        <v>-9.1199999999999992</v>
      </c>
      <c r="E889" s="118">
        <v>0.08</v>
      </c>
    </row>
    <row r="890" spans="2:5" x14ac:dyDescent="0.2">
      <c r="B890" s="116" t="s">
        <v>1644</v>
      </c>
      <c r="C890" s="117" t="s">
        <v>1645</v>
      </c>
      <c r="D890" s="118">
        <v>28.18</v>
      </c>
      <c r="E890" s="118">
        <v>0.26</v>
      </c>
    </row>
    <row r="891" spans="2:5" x14ac:dyDescent="0.2">
      <c r="B891" s="116" t="s">
        <v>3916</v>
      </c>
      <c r="C891" s="117" t="s">
        <v>3917</v>
      </c>
      <c r="D891" s="118">
        <v>7.08</v>
      </c>
      <c r="E891" s="118">
        <v>0.15</v>
      </c>
    </row>
    <row r="892" spans="2:5" x14ac:dyDescent="0.2">
      <c r="B892" s="116" t="s">
        <v>1646</v>
      </c>
      <c r="C892" s="117" t="s">
        <v>1647</v>
      </c>
      <c r="D892" s="118">
        <v>14.46</v>
      </c>
      <c r="E892" s="118">
        <v>0.14000000000000001</v>
      </c>
    </row>
    <row r="893" spans="2:5" x14ac:dyDescent="0.2">
      <c r="B893" s="116" t="s">
        <v>1648</v>
      </c>
      <c r="C893" s="117" t="s">
        <v>1649</v>
      </c>
      <c r="D893" s="118">
        <v>11.78</v>
      </c>
      <c r="E893" s="118">
        <v>0.1</v>
      </c>
    </row>
    <row r="894" spans="2:5" x14ac:dyDescent="0.2">
      <c r="B894" s="116" t="s">
        <v>3918</v>
      </c>
      <c r="C894" s="117" t="s">
        <v>3919</v>
      </c>
      <c r="D894" s="118"/>
      <c r="E894" s="118">
        <v>0.05</v>
      </c>
    </row>
    <row r="895" spans="2:5" x14ac:dyDescent="0.2">
      <c r="B895" s="116" t="s">
        <v>1650</v>
      </c>
      <c r="C895" s="117" t="s">
        <v>1651</v>
      </c>
      <c r="D895" s="118"/>
      <c r="E895" s="118">
        <v>0.59</v>
      </c>
    </row>
    <row r="896" spans="2:5" x14ac:dyDescent="0.2">
      <c r="B896" s="116" t="s">
        <v>1652</v>
      </c>
      <c r="C896" s="117" t="s">
        <v>1653</v>
      </c>
      <c r="D896" s="118">
        <v>10.16</v>
      </c>
      <c r="E896" s="118">
        <v>0.11</v>
      </c>
    </row>
    <row r="897" spans="2:5" x14ac:dyDescent="0.2">
      <c r="B897" s="116" t="s">
        <v>1655</v>
      </c>
      <c r="C897" s="117" t="s">
        <v>1656</v>
      </c>
      <c r="D897" s="118">
        <v>25.59</v>
      </c>
      <c r="E897" s="118">
        <v>0.24</v>
      </c>
    </row>
    <row r="898" spans="2:5" x14ac:dyDescent="0.2">
      <c r="B898" s="116" t="s">
        <v>1657</v>
      </c>
      <c r="C898" s="117" t="s">
        <v>1658</v>
      </c>
      <c r="D898" s="118">
        <v>5.0199999999999996</v>
      </c>
      <c r="E898" s="118">
        <v>0.04</v>
      </c>
    </row>
    <row r="899" spans="2:5" x14ac:dyDescent="0.2">
      <c r="B899" s="116" t="s">
        <v>1659</v>
      </c>
      <c r="C899" s="117" t="s">
        <v>1660</v>
      </c>
      <c r="D899" s="118"/>
      <c r="E899" s="118">
        <v>0.26</v>
      </c>
    </row>
    <row r="900" spans="2:5" x14ac:dyDescent="0.2">
      <c r="B900" s="116" t="s">
        <v>1661</v>
      </c>
      <c r="C900" s="117" t="s">
        <v>1662</v>
      </c>
      <c r="D900" s="118">
        <v>19.829999999999998</v>
      </c>
      <c r="E900" s="118">
        <v>0.2</v>
      </c>
    </row>
    <row r="901" spans="2:5" x14ac:dyDescent="0.2">
      <c r="B901" s="116" t="s">
        <v>1663</v>
      </c>
      <c r="C901" s="117" t="s">
        <v>1664</v>
      </c>
      <c r="D901" s="118">
        <v>15.29</v>
      </c>
      <c r="E901" s="118">
        <v>0.15</v>
      </c>
    </row>
    <row r="902" spans="2:5" x14ac:dyDescent="0.2">
      <c r="B902" s="116" t="s">
        <v>1666</v>
      </c>
      <c r="C902" s="117" t="s">
        <v>1667</v>
      </c>
      <c r="D902" s="118">
        <v>32.46</v>
      </c>
      <c r="E902" s="118">
        <v>0.31</v>
      </c>
    </row>
    <row r="903" spans="2:5" x14ac:dyDescent="0.2">
      <c r="B903" s="116" t="s">
        <v>3920</v>
      </c>
      <c r="C903" s="117" t="s">
        <v>3921</v>
      </c>
      <c r="D903" s="118">
        <v>6.71</v>
      </c>
      <c r="E903" s="118">
        <v>7.0000000000000007E-2</v>
      </c>
    </row>
    <row r="904" spans="2:5" x14ac:dyDescent="0.2">
      <c r="B904" s="116" t="s">
        <v>1668</v>
      </c>
      <c r="C904" s="117" t="s">
        <v>1669</v>
      </c>
      <c r="D904" s="118">
        <v>3.43</v>
      </c>
      <c r="E904" s="118">
        <v>0.02</v>
      </c>
    </row>
    <row r="905" spans="2:5" x14ac:dyDescent="0.2">
      <c r="B905" s="116" t="s">
        <v>1670</v>
      </c>
      <c r="C905" s="117" t="s">
        <v>1671</v>
      </c>
      <c r="D905" s="118">
        <v>14.82</v>
      </c>
      <c r="E905" s="118">
        <v>7.0000000000000007E-2</v>
      </c>
    </row>
    <row r="906" spans="2:5" x14ac:dyDescent="0.2">
      <c r="B906" s="116" t="s">
        <v>1672</v>
      </c>
      <c r="C906" s="117" t="s">
        <v>1673</v>
      </c>
      <c r="D906" s="118">
        <v>9.3000000000000007</v>
      </c>
      <c r="E906" s="118">
        <v>0.08</v>
      </c>
    </row>
    <row r="907" spans="2:5" x14ac:dyDescent="0.2">
      <c r="B907" s="116" t="s">
        <v>1675</v>
      </c>
      <c r="C907" s="117" t="s">
        <v>1676</v>
      </c>
      <c r="D907" s="118">
        <v>9.6300000000000008</v>
      </c>
      <c r="E907" s="118">
        <v>-0.12</v>
      </c>
    </row>
    <row r="908" spans="2:5" x14ac:dyDescent="0.2">
      <c r="B908" s="116" t="s">
        <v>1677</v>
      </c>
      <c r="C908" s="117" t="s">
        <v>1678</v>
      </c>
      <c r="D908" s="118">
        <v>4.0199999999999996</v>
      </c>
      <c r="E908" s="118">
        <v>0.03</v>
      </c>
    </row>
    <row r="909" spans="2:5" x14ac:dyDescent="0.2">
      <c r="B909" s="116" t="s">
        <v>1679</v>
      </c>
      <c r="C909" s="117" t="s">
        <v>1680</v>
      </c>
      <c r="D909" s="118">
        <v>6.5</v>
      </c>
      <c r="E909" s="118">
        <v>0.04</v>
      </c>
    </row>
    <row r="910" spans="2:5" x14ac:dyDescent="0.2">
      <c r="B910" s="116" t="s">
        <v>3922</v>
      </c>
      <c r="C910" s="117" t="s">
        <v>3923</v>
      </c>
      <c r="D910" s="118">
        <v>9.17</v>
      </c>
      <c r="E910" s="118">
        <v>-0.42</v>
      </c>
    </row>
    <row r="911" spans="2:5" x14ac:dyDescent="0.2">
      <c r="B911" s="116" t="s">
        <v>1681</v>
      </c>
      <c r="C911" s="117" t="s">
        <v>1682</v>
      </c>
      <c r="D911" s="118">
        <v>5.94</v>
      </c>
      <c r="E911" s="118">
        <v>0.06</v>
      </c>
    </row>
    <row r="912" spans="2:5" x14ac:dyDescent="0.2">
      <c r="B912" s="116" t="s">
        <v>3924</v>
      </c>
      <c r="C912" s="117" t="s">
        <v>3925</v>
      </c>
      <c r="D912" s="118">
        <v>30.82</v>
      </c>
      <c r="E912" s="118">
        <v>0.25</v>
      </c>
    </row>
    <row r="913" spans="2:5" x14ac:dyDescent="0.2">
      <c r="B913" s="116" t="s">
        <v>1683</v>
      </c>
      <c r="C913" s="117" t="s">
        <v>1684</v>
      </c>
      <c r="D913" s="118"/>
      <c r="E913" s="118"/>
    </row>
    <row r="914" spans="2:5" x14ac:dyDescent="0.2">
      <c r="B914" s="116" t="s">
        <v>1685</v>
      </c>
      <c r="C914" s="117" t="s">
        <v>1686</v>
      </c>
      <c r="D914" s="118">
        <v>12.72</v>
      </c>
      <c r="E914" s="118">
        <v>0.13</v>
      </c>
    </row>
    <row r="915" spans="2:5" x14ac:dyDescent="0.2">
      <c r="B915" s="116" t="s">
        <v>3926</v>
      </c>
      <c r="C915" s="117" t="s">
        <v>3927</v>
      </c>
      <c r="D915" s="118"/>
      <c r="E915" s="118"/>
    </row>
    <row r="916" spans="2:5" x14ac:dyDescent="0.2">
      <c r="B916" s="116" t="s">
        <v>3928</v>
      </c>
      <c r="C916" s="117" t="s">
        <v>3929</v>
      </c>
      <c r="D916" s="118"/>
      <c r="E916" s="118"/>
    </row>
    <row r="917" spans="2:5" x14ac:dyDescent="0.2">
      <c r="B917" s="116" t="s">
        <v>3930</v>
      </c>
      <c r="C917" s="117" t="s">
        <v>3931</v>
      </c>
      <c r="D917" s="118">
        <v>37.229999999999997</v>
      </c>
      <c r="E917" s="118">
        <v>0.32</v>
      </c>
    </row>
    <row r="918" spans="2:5" x14ac:dyDescent="0.2">
      <c r="B918" s="116" t="s">
        <v>1687</v>
      </c>
      <c r="C918" s="117" t="s">
        <v>1688</v>
      </c>
      <c r="D918" s="118">
        <v>29.56</v>
      </c>
      <c r="E918" s="118">
        <v>-0.06</v>
      </c>
    </row>
    <row r="919" spans="2:5" x14ac:dyDescent="0.2">
      <c r="B919" s="116" t="s">
        <v>1689</v>
      </c>
      <c r="C919" s="117" t="s">
        <v>1690</v>
      </c>
      <c r="D919" s="118">
        <v>-21.58</v>
      </c>
      <c r="E919" s="118">
        <v>-0.28000000000000003</v>
      </c>
    </row>
    <row r="920" spans="2:5" x14ac:dyDescent="0.2">
      <c r="B920" s="116" t="s">
        <v>3932</v>
      </c>
      <c r="C920" s="117" t="s">
        <v>3933</v>
      </c>
      <c r="D920" s="118"/>
      <c r="E920" s="118"/>
    </row>
    <row r="921" spans="2:5" x14ac:dyDescent="0.2">
      <c r="B921" s="116" t="s">
        <v>1691</v>
      </c>
      <c r="C921" s="117" t="s">
        <v>1692</v>
      </c>
      <c r="D921" s="118">
        <v>9.8699999999999992</v>
      </c>
      <c r="E921" s="118">
        <v>0.15</v>
      </c>
    </row>
    <row r="922" spans="2:5" x14ac:dyDescent="0.2">
      <c r="B922" s="116" t="s">
        <v>1693</v>
      </c>
      <c r="C922" s="117" t="s">
        <v>1694</v>
      </c>
      <c r="D922" s="118">
        <v>15.18</v>
      </c>
      <c r="E922" s="118">
        <v>0.04</v>
      </c>
    </row>
    <row r="923" spans="2:5" x14ac:dyDescent="0.2">
      <c r="B923" s="116" t="s">
        <v>3934</v>
      </c>
      <c r="C923" s="117" t="s">
        <v>3935</v>
      </c>
      <c r="D923" s="118"/>
      <c r="E923" s="118"/>
    </row>
    <row r="924" spans="2:5" x14ac:dyDescent="0.2">
      <c r="B924" s="116" t="s">
        <v>3936</v>
      </c>
      <c r="C924" s="117" t="s">
        <v>3937</v>
      </c>
      <c r="D924" s="118"/>
      <c r="E924" s="118"/>
    </row>
    <row r="925" spans="2:5" x14ac:dyDescent="0.2">
      <c r="B925" s="116" t="s">
        <v>3938</v>
      </c>
      <c r="C925" s="117" t="s">
        <v>3939</v>
      </c>
      <c r="D925" s="118">
        <v>9.61</v>
      </c>
      <c r="E925" s="118">
        <v>0.09</v>
      </c>
    </row>
    <row r="926" spans="2:5" x14ac:dyDescent="0.2">
      <c r="B926" s="116" t="s">
        <v>1695</v>
      </c>
      <c r="C926" s="117" t="s">
        <v>1696</v>
      </c>
      <c r="D926" s="118">
        <v>34.020000000000003</v>
      </c>
      <c r="E926" s="118">
        <v>0.27</v>
      </c>
    </row>
    <row r="927" spans="2:5" x14ac:dyDescent="0.2">
      <c r="B927" s="116" t="s">
        <v>1697</v>
      </c>
      <c r="C927" s="117" t="s">
        <v>1698</v>
      </c>
      <c r="D927" s="118">
        <v>8.57</v>
      </c>
      <c r="E927" s="118">
        <v>7.0000000000000007E-2</v>
      </c>
    </row>
    <row r="928" spans="2:5" x14ac:dyDescent="0.2">
      <c r="B928" s="116" t="s">
        <v>1699</v>
      </c>
      <c r="C928" s="117" t="s">
        <v>1700</v>
      </c>
      <c r="D928" s="118">
        <v>15.91</v>
      </c>
      <c r="E928" s="118">
        <v>0.11</v>
      </c>
    </row>
    <row r="929" spans="2:5" x14ac:dyDescent="0.2">
      <c r="B929" s="116" t="s">
        <v>1701</v>
      </c>
      <c r="C929" s="117" t="s">
        <v>1702</v>
      </c>
      <c r="D929" s="118">
        <v>12.64</v>
      </c>
      <c r="E929" s="118">
        <v>0.05</v>
      </c>
    </row>
    <row r="930" spans="2:5" x14ac:dyDescent="0.2">
      <c r="B930" s="116" t="s">
        <v>3940</v>
      </c>
      <c r="C930" s="117" t="s">
        <v>3941</v>
      </c>
      <c r="D930" s="118">
        <v>9.68</v>
      </c>
      <c r="E930" s="118">
        <v>0.12</v>
      </c>
    </row>
    <row r="931" spans="2:5" x14ac:dyDescent="0.2">
      <c r="B931" s="116" t="s">
        <v>1703</v>
      </c>
      <c r="C931" s="117" t="s">
        <v>1704</v>
      </c>
      <c r="D931" s="118">
        <v>41.13</v>
      </c>
      <c r="E931" s="118">
        <v>0.32</v>
      </c>
    </row>
    <row r="932" spans="2:5" x14ac:dyDescent="0.2">
      <c r="B932" s="116" t="s">
        <v>1705</v>
      </c>
      <c r="C932" s="117" t="s">
        <v>1706</v>
      </c>
      <c r="D932" s="118">
        <v>9.94</v>
      </c>
      <c r="E932" s="118">
        <v>0.22</v>
      </c>
    </row>
    <row r="933" spans="2:5" x14ac:dyDescent="0.2">
      <c r="B933" s="116" t="s">
        <v>1707</v>
      </c>
      <c r="C933" s="117" t="s">
        <v>1708</v>
      </c>
      <c r="D933" s="118">
        <v>13.05</v>
      </c>
      <c r="E933" s="118">
        <v>0.12</v>
      </c>
    </row>
    <row r="934" spans="2:5" x14ac:dyDescent="0.2">
      <c r="B934" s="116" t="s">
        <v>1709</v>
      </c>
      <c r="C934" s="117" t="s">
        <v>1710</v>
      </c>
      <c r="D934" s="118">
        <v>13.81</v>
      </c>
      <c r="E934" s="118">
        <v>0.02</v>
      </c>
    </row>
    <row r="935" spans="2:5" x14ac:dyDescent="0.2">
      <c r="B935" s="116" t="s">
        <v>1711</v>
      </c>
      <c r="C935" s="117" t="s">
        <v>1712</v>
      </c>
      <c r="D935" s="118">
        <v>16.16</v>
      </c>
      <c r="E935" s="118">
        <v>0.17</v>
      </c>
    </row>
    <row r="936" spans="2:5" x14ac:dyDescent="0.2">
      <c r="B936" s="116" t="s">
        <v>3942</v>
      </c>
      <c r="C936" s="117" t="s">
        <v>3943</v>
      </c>
      <c r="D936" s="118">
        <v>40.51</v>
      </c>
      <c r="E936" s="118">
        <v>0.28000000000000003</v>
      </c>
    </row>
    <row r="937" spans="2:5" x14ac:dyDescent="0.2">
      <c r="B937" s="116" t="s">
        <v>1713</v>
      </c>
      <c r="C937" s="117" t="s">
        <v>1714</v>
      </c>
      <c r="D937" s="118">
        <v>13.32</v>
      </c>
      <c r="E937" s="118">
        <v>0.13</v>
      </c>
    </row>
    <row r="938" spans="2:5" x14ac:dyDescent="0.2">
      <c r="B938" s="116" t="s">
        <v>3944</v>
      </c>
      <c r="C938" s="117" t="s">
        <v>3945</v>
      </c>
      <c r="D938" s="118"/>
      <c r="E938" s="118"/>
    </row>
    <row r="939" spans="2:5" x14ac:dyDescent="0.2">
      <c r="B939" s="116" t="s">
        <v>1715</v>
      </c>
      <c r="C939" s="117" t="s">
        <v>1716</v>
      </c>
      <c r="D939" s="118">
        <v>17.78</v>
      </c>
      <c r="E939" s="118">
        <v>0.17</v>
      </c>
    </row>
    <row r="940" spans="2:5" x14ac:dyDescent="0.2">
      <c r="B940" s="116" t="s">
        <v>3946</v>
      </c>
      <c r="C940" s="117" t="s">
        <v>3947</v>
      </c>
      <c r="D940" s="118"/>
      <c r="E940" s="118"/>
    </row>
    <row r="941" spans="2:5" x14ac:dyDescent="0.2">
      <c r="B941" s="116" t="s">
        <v>3948</v>
      </c>
      <c r="C941" s="117" t="s">
        <v>3949</v>
      </c>
      <c r="D941" s="118">
        <v>-13.87</v>
      </c>
      <c r="E941" s="118">
        <v>0.13</v>
      </c>
    </row>
    <row r="942" spans="2:5" x14ac:dyDescent="0.2">
      <c r="B942" s="116" t="s">
        <v>1717</v>
      </c>
      <c r="C942" s="117" t="s">
        <v>1718</v>
      </c>
      <c r="D942" s="118">
        <v>17.420000000000002</v>
      </c>
      <c r="E942" s="118">
        <v>0.17</v>
      </c>
    </row>
    <row r="943" spans="2:5" x14ac:dyDescent="0.2">
      <c r="B943" s="116" t="s">
        <v>1719</v>
      </c>
      <c r="C943" s="117" t="s">
        <v>1720</v>
      </c>
      <c r="D943" s="118">
        <v>12.47</v>
      </c>
      <c r="E943" s="118">
        <v>0.08</v>
      </c>
    </row>
    <row r="944" spans="2:5" x14ac:dyDescent="0.2">
      <c r="B944" s="116" t="s">
        <v>1721</v>
      </c>
      <c r="C944" s="117" t="s">
        <v>1722</v>
      </c>
      <c r="D944" s="118">
        <v>14.32</v>
      </c>
      <c r="E944" s="118">
        <v>0.14000000000000001</v>
      </c>
    </row>
    <row r="945" spans="2:5" x14ac:dyDescent="0.2">
      <c r="B945" s="116" t="s">
        <v>3950</v>
      </c>
      <c r="C945" s="117" t="s">
        <v>3951</v>
      </c>
      <c r="D945" s="118"/>
      <c r="E945" s="118"/>
    </row>
    <row r="946" spans="2:5" x14ac:dyDescent="0.2">
      <c r="B946" s="116" t="s">
        <v>3952</v>
      </c>
      <c r="C946" s="117" t="s">
        <v>3953</v>
      </c>
      <c r="D946" s="118"/>
      <c r="E946" s="118"/>
    </row>
    <row r="947" spans="2:5" x14ac:dyDescent="0.2">
      <c r="B947" s="116" t="s">
        <v>1723</v>
      </c>
      <c r="C947" s="117" t="s">
        <v>1724</v>
      </c>
      <c r="D947" s="118"/>
      <c r="E947" s="118">
        <v>0.18</v>
      </c>
    </row>
    <row r="948" spans="2:5" x14ac:dyDescent="0.2">
      <c r="B948" s="116" t="s">
        <v>1725</v>
      </c>
      <c r="C948" s="117" t="s">
        <v>1726</v>
      </c>
      <c r="D948" s="118">
        <v>2.44</v>
      </c>
      <c r="E948" s="118">
        <v>0.03</v>
      </c>
    </row>
    <row r="949" spans="2:5" x14ac:dyDescent="0.2">
      <c r="B949" s="116" t="s">
        <v>3954</v>
      </c>
      <c r="C949" s="117" t="s">
        <v>3955</v>
      </c>
      <c r="D949" s="118"/>
      <c r="E949" s="118"/>
    </row>
    <row r="950" spans="2:5" x14ac:dyDescent="0.2">
      <c r="B950" s="116" t="s">
        <v>3956</v>
      </c>
      <c r="C950" s="117" t="s">
        <v>3957</v>
      </c>
      <c r="D950" s="118"/>
      <c r="E950" s="118"/>
    </row>
    <row r="951" spans="2:5" x14ac:dyDescent="0.2">
      <c r="B951" s="116" t="s">
        <v>3958</v>
      </c>
      <c r="C951" s="117" t="s">
        <v>3959</v>
      </c>
      <c r="D951" s="118"/>
      <c r="E951" s="118"/>
    </row>
    <row r="952" spans="2:5" x14ac:dyDescent="0.2">
      <c r="B952" s="116" t="s">
        <v>3960</v>
      </c>
      <c r="C952" s="117" t="s">
        <v>3961</v>
      </c>
      <c r="D952" s="118"/>
      <c r="E952" s="118"/>
    </row>
    <row r="953" spans="2:5" x14ac:dyDescent="0.2">
      <c r="B953" s="116" t="s">
        <v>3962</v>
      </c>
      <c r="C953" s="117" t="s">
        <v>3963</v>
      </c>
      <c r="D953" s="118"/>
      <c r="E953" s="118"/>
    </row>
    <row r="954" spans="2:5" x14ac:dyDescent="0.2">
      <c r="B954" s="116" t="s">
        <v>3964</v>
      </c>
      <c r="C954" s="117" t="s">
        <v>3965</v>
      </c>
      <c r="D954" s="118"/>
      <c r="E954" s="118"/>
    </row>
    <row r="955" spans="2:5" x14ac:dyDescent="0.2">
      <c r="B955" s="116" t="s">
        <v>1727</v>
      </c>
      <c r="C955" s="117" t="s">
        <v>1728</v>
      </c>
      <c r="D955" s="118"/>
      <c r="E955" s="118">
        <v>0.1</v>
      </c>
    </row>
    <row r="956" spans="2:5" x14ac:dyDescent="0.2">
      <c r="B956" s="116" t="s">
        <v>1729</v>
      </c>
      <c r="C956" s="117" t="s">
        <v>1730</v>
      </c>
      <c r="D956" s="118">
        <v>25.28</v>
      </c>
      <c r="E956" s="118">
        <v>0.25</v>
      </c>
    </row>
    <row r="957" spans="2:5" x14ac:dyDescent="0.2">
      <c r="B957" s="116" t="s">
        <v>3966</v>
      </c>
      <c r="C957" s="117" t="s">
        <v>3967</v>
      </c>
      <c r="D957" s="118">
        <v>6.25</v>
      </c>
      <c r="E957" s="118">
        <v>0.08</v>
      </c>
    </row>
    <row r="958" spans="2:5" x14ac:dyDescent="0.2">
      <c r="B958" s="116" t="s">
        <v>1731</v>
      </c>
      <c r="C958" s="117" t="s">
        <v>1732</v>
      </c>
      <c r="D958" s="118"/>
      <c r="E958" s="118">
        <v>0.05</v>
      </c>
    </row>
    <row r="959" spans="2:5" x14ac:dyDescent="0.2">
      <c r="B959" s="116" t="s">
        <v>1733</v>
      </c>
      <c r="C959" s="117" t="s">
        <v>1734</v>
      </c>
      <c r="D959" s="118"/>
      <c r="E959" s="118"/>
    </row>
    <row r="960" spans="2:5" x14ac:dyDescent="0.2">
      <c r="B960" s="116" t="s">
        <v>1735</v>
      </c>
      <c r="C960" s="117" t="s">
        <v>1736</v>
      </c>
      <c r="D960" s="118">
        <v>-78995.34</v>
      </c>
      <c r="E960" s="118">
        <v>-127.01</v>
      </c>
    </row>
    <row r="961" spans="2:5" x14ac:dyDescent="0.2">
      <c r="B961" s="116" t="s">
        <v>1737</v>
      </c>
      <c r="C961" s="117" t="s">
        <v>1738</v>
      </c>
      <c r="D961" s="118">
        <v>7.51</v>
      </c>
      <c r="E961" s="118">
        <v>7.0000000000000007E-2</v>
      </c>
    </row>
    <row r="962" spans="2:5" x14ac:dyDescent="0.2">
      <c r="B962" s="116" t="s">
        <v>1739</v>
      </c>
      <c r="C962" s="117" t="s">
        <v>1740</v>
      </c>
      <c r="D962" s="118"/>
      <c r="E962" s="118">
        <v>0.03</v>
      </c>
    </row>
    <row r="963" spans="2:5" x14ac:dyDescent="0.2">
      <c r="B963" s="116" t="s">
        <v>1741</v>
      </c>
      <c r="C963" s="117" t="s">
        <v>1742</v>
      </c>
      <c r="D963" s="118">
        <v>24.24</v>
      </c>
      <c r="E963" s="118">
        <v>0.06</v>
      </c>
    </row>
    <row r="964" spans="2:5" x14ac:dyDescent="0.2">
      <c r="B964" s="116" t="s">
        <v>1743</v>
      </c>
      <c r="C964" s="117" t="s">
        <v>1744</v>
      </c>
      <c r="D964" s="118">
        <v>23.52</v>
      </c>
      <c r="E964" s="118">
        <v>0.14000000000000001</v>
      </c>
    </row>
    <row r="965" spans="2:5" x14ac:dyDescent="0.2">
      <c r="B965" s="116" t="s">
        <v>1745</v>
      </c>
      <c r="C965" s="117" t="s">
        <v>1746</v>
      </c>
      <c r="D965" s="118">
        <v>18.98</v>
      </c>
      <c r="E965" s="118">
        <v>0.19</v>
      </c>
    </row>
    <row r="966" spans="2:5" x14ac:dyDescent="0.2">
      <c r="B966" s="116" t="s">
        <v>1747</v>
      </c>
      <c r="C966" s="117" t="s">
        <v>1748</v>
      </c>
      <c r="D966" s="118">
        <v>24.8</v>
      </c>
      <c r="E966" s="118">
        <v>0.26</v>
      </c>
    </row>
    <row r="967" spans="2:5" x14ac:dyDescent="0.2">
      <c r="B967" s="116" t="s">
        <v>3968</v>
      </c>
      <c r="C967" s="117" t="s">
        <v>3969</v>
      </c>
      <c r="D967" s="118"/>
      <c r="E967" s="118">
        <v>7.0000000000000007E-2</v>
      </c>
    </row>
    <row r="968" spans="2:5" x14ac:dyDescent="0.2">
      <c r="B968" s="116" t="s">
        <v>1749</v>
      </c>
      <c r="C968" s="117" t="s">
        <v>1750</v>
      </c>
      <c r="D968" s="118">
        <v>7.84</v>
      </c>
      <c r="E968" s="118">
        <v>7.0000000000000007E-2</v>
      </c>
    </row>
    <row r="969" spans="2:5" x14ac:dyDescent="0.2">
      <c r="B969" s="116" t="s">
        <v>1751</v>
      </c>
      <c r="C969" s="117" t="s">
        <v>1752</v>
      </c>
      <c r="D969" s="118">
        <v>30.18</v>
      </c>
      <c r="E969" s="118">
        <v>0.3</v>
      </c>
    </row>
    <row r="970" spans="2:5" x14ac:dyDescent="0.2">
      <c r="B970" s="116" t="s">
        <v>1754</v>
      </c>
      <c r="C970" s="117" t="s">
        <v>1755</v>
      </c>
      <c r="D970" s="118">
        <v>26.27</v>
      </c>
      <c r="E970" s="118">
        <v>0.23</v>
      </c>
    </row>
    <row r="971" spans="2:5" x14ac:dyDescent="0.2">
      <c r="B971" s="116" t="s">
        <v>1756</v>
      </c>
      <c r="C971" s="117" t="s">
        <v>1757</v>
      </c>
      <c r="D971" s="118">
        <v>6.74</v>
      </c>
      <c r="E971" s="118">
        <v>0</v>
      </c>
    </row>
    <row r="972" spans="2:5" x14ac:dyDescent="0.2">
      <c r="B972" s="116" t="s">
        <v>3970</v>
      </c>
      <c r="C972" s="117" t="s">
        <v>3971</v>
      </c>
      <c r="D972" s="118">
        <v>5.73</v>
      </c>
      <c r="E972" s="118">
        <v>0.06</v>
      </c>
    </row>
    <row r="973" spans="2:5" x14ac:dyDescent="0.2">
      <c r="B973" s="116" t="s">
        <v>1758</v>
      </c>
      <c r="C973" s="117" t="s">
        <v>1759</v>
      </c>
      <c r="D973" s="118">
        <v>59.03</v>
      </c>
      <c r="E973" s="118">
        <v>0.46</v>
      </c>
    </row>
    <row r="974" spans="2:5" x14ac:dyDescent="0.2">
      <c r="B974" s="116" t="s">
        <v>1760</v>
      </c>
      <c r="C974" s="117" t="s">
        <v>1761</v>
      </c>
      <c r="D974" s="118">
        <v>9.57</v>
      </c>
      <c r="E974" s="118">
        <v>0.09</v>
      </c>
    </row>
    <row r="975" spans="2:5" x14ac:dyDescent="0.2">
      <c r="B975" s="116" t="s">
        <v>1762</v>
      </c>
      <c r="C975" s="117" t="s">
        <v>1763</v>
      </c>
      <c r="D975" s="118">
        <v>8.5299999999999994</v>
      </c>
      <c r="E975" s="118">
        <v>0.06</v>
      </c>
    </row>
    <row r="976" spans="2:5" x14ac:dyDescent="0.2">
      <c r="B976" s="116" t="s">
        <v>1765</v>
      </c>
      <c r="C976" s="117" t="s">
        <v>1766</v>
      </c>
      <c r="D976" s="118">
        <v>22.67</v>
      </c>
      <c r="E976" s="118">
        <v>0.28000000000000003</v>
      </c>
    </row>
    <row r="977" spans="2:5" x14ac:dyDescent="0.2">
      <c r="B977" s="116" t="s">
        <v>1768</v>
      </c>
      <c r="C977" s="117" t="s">
        <v>1769</v>
      </c>
      <c r="D977" s="118"/>
      <c r="E977" s="118">
        <v>0.17</v>
      </c>
    </row>
    <row r="978" spans="2:5" x14ac:dyDescent="0.2">
      <c r="B978" s="116" t="s">
        <v>3972</v>
      </c>
      <c r="C978" s="117" t="s">
        <v>3973</v>
      </c>
      <c r="D978" s="118">
        <v>12.5</v>
      </c>
      <c r="E978" s="118">
        <v>0.1</v>
      </c>
    </row>
    <row r="979" spans="2:5" x14ac:dyDescent="0.2">
      <c r="B979" s="116" t="s">
        <v>1770</v>
      </c>
      <c r="C979" s="117" t="s">
        <v>1771</v>
      </c>
      <c r="D979" s="118">
        <v>-38.28</v>
      </c>
      <c r="E979" s="118">
        <v>-0.37</v>
      </c>
    </row>
    <row r="980" spans="2:5" x14ac:dyDescent="0.2">
      <c r="B980" s="116" t="s">
        <v>1773</v>
      </c>
      <c r="C980" s="117" t="s">
        <v>1774</v>
      </c>
      <c r="D980" s="118">
        <v>11.36</v>
      </c>
      <c r="E980" s="118">
        <v>0.02</v>
      </c>
    </row>
    <row r="981" spans="2:5" x14ac:dyDescent="0.2">
      <c r="B981" s="116" t="s">
        <v>1775</v>
      </c>
      <c r="C981" s="117" t="s">
        <v>1776</v>
      </c>
      <c r="D981" s="118">
        <v>9.32</v>
      </c>
      <c r="E981" s="118">
        <v>0.09</v>
      </c>
    </row>
    <row r="982" spans="2:5" x14ac:dyDescent="0.2">
      <c r="B982" s="116" t="s">
        <v>1779</v>
      </c>
      <c r="C982" s="117" t="s">
        <v>1780</v>
      </c>
      <c r="D982" s="118">
        <v>8.39</v>
      </c>
      <c r="E982" s="118">
        <v>0.09</v>
      </c>
    </row>
    <row r="983" spans="2:5" x14ac:dyDescent="0.2">
      <c r="B983" s="116" t="s">
        <v>1781</v>
      </c>
      <c r="C983" s="117" t="s">
        <v>1782</v>
      </c>
      <c r="D983" s="118">
        <v>31.56</v>
      </c>
      <c r="E983" s="118">
        <v>0.21</v>
      </c>
    </row>
    <row r="984" spans="2:5" x14ac:dyDescent="0.2">
      <c r="B984" s="116" t="s">
        <v>1783</v>
      </c>
      <c r="C984" s="117" t="s">
        <v>1784</v>
      </c>
      <c r="D984" s="118"/>
      <c r="E984" s="118"/>
    </row>
    <row r="985" spans="2:5" x14ac:dyDescent="0.2">
      <c r="B985" s="116" t="s">
        <v>1785</v>
      </c>
      <c r="C985" s="117" t="s">
        <v>1786</v>
      </c>
      <c r="D985" s="118">
        <v>34.4</v>
      </c>
      <c r="E985" s="118">
        <v>0.3</v>
      </c>
    </row>
    <row r="986" spans="2:5" x14ac:dyDescent="0.2">
      <c r="B986" s="116" t="s">
        <v>3974</v>
      </c>
      <c r="C986" s="117" t="s">
        <v>3975</v>
      </c>
      <c r="D986" s="118">
        <v>4.8</v>
      </c>
      <c r="E986" s="118">
        <v>0.05</v>
      </c>
    </row>
    <row r="987" spans="2:5" x14ac:dyDescent="0.2">
      <c r="B987" s="116" t="s">
        <v>1787</v>
      </c>
      <c r="C987" s="117" t="s">
        <v>1788</v>
      </c>
      <c r="D987" s="118">
        <v>9.1999999999999993</v>
      </c>
      <c r="E987" s="118">
        <v>0.03</v>
      </c>
    </row>
    <row r="988" spans="2:5" x14ac:dyDescent="0.2">
      <c r="B988" s="116" t="s">
        <v>3976</v>
      </c>
      <c r="C988" s="117" t="s">
        <v>3977</v>
      </c>
      <c r="D988" s="118">
        <v>13.41</v>
      </c>
      <c r="E988" s="118">
        <v>0.09</v>
      </c>
    </row>
    <row r="989" spans="2:5" x14ac:dyDescent="0.2">
      <c r="B989" s="116" t="s">
        <v>3978</v>
      </c>
      <c r="C989" s="117" t="s">
        <v>3979</v>
      </c>
      <c r="D989" s="118">
        <v>4.01</v>
      </c>
      <c r="E989" s="118">
        <v>0.04</v>
      </c>
    </row>
    <row r="990" spans="2:5" x14ac:dyDescent="0.2">
      <c r="B990" s="116" t="s">
        <v>1789</v>
      </c>
      <c r="C990" s="117" t="s">
        <v>1790</v>
      </c>
      <c r="D990" s="118">
        <v>5.86</v>
      </c>
      <c r="E990" s="118">
        <v>-0.04</v>
      </c>
    </row>
    <row r="991" spans="2:5" x14ac:dyDescent="0.2">
      <c r="B991" s="116" t="s">
        <v>1791</v>
      </c>
      <c r="C991" s="117" t="s">
        <v>1792</v>
      </c>
      <c r="D991" s="118">
        <v>11.15</v>
      </c>
      <c r="E991" s="118">
        <v>0.12</v>
      </c>
    </row>
    <row r="992" spans="2:5" x14ac:dyDescent="0.2">
      <c r="B992" s="116" t="s">
        <v>1793</v>
      </c>
      <c r="C992" s="117" t="s">
        <v>1794</v>
      </c>
      <c r="D992" s="118">
        <v>16.18</v>
      </c>
      <c r="E992" s="118">
        <v>0.15</v>
      </c>
    </row>
    <row r="993" spans="2:5" x14ac:dyDescent="0.2">
      <c r="B993" s="116" t="s">
        <v>3980</v>
      </c>
      <c r="C993" s="117" t="s">
        <v>3981</v>
      </c>
      <c r="D993" s="118"/>
      <c r="E993" s="118">
        <v>0.15</v>
      </c>
    </row>
    <row r="994" spans="2:5" x14ac:dyDescent="0.2">
      <c r="B994" s="116" t="s">
        <v>1795</v>
      </c>
      <c r="C994" s="117" t="s">
        <v>1796</v>
      </c>
      <c r="D994" s="118">
        <v>17.38</v>
      </c>
      <c r="E994" s="118">
        <v>0.17</v>
      </c>
    </row>
    <row r="995" spans="2:5" x14ac:dyDescent="0.2">
      <c r="B995" s="116" t="s">
        <v>3982</v>
      </c>
      <c r="C995" s="117" t="s">
        <v>3983</v>
      </c>
      <c r="D995" s="118"/>
      <c r="E995" s="118"/>
    </row>
    <row r="996" spans="2:5" x14ac:dyDescent="0.2">
      <c r="B996" s="116" t="s">
        <v>1797</v>
      </c>
      <c r="C996" s="117" t="s">
        <v>1798</v>
      </c>
      <c r="D996" s="118">
        <v>18.3</v>
      </c>
      <c r="E996" s="118">
        <v>0.17</v>
      </c>
    </row>
    <row r="997" spans="2:5" x14ac:dyDescent="0.2">
      <c r="B997" s="116" t="s">
        <v>3984</v>
      </c>
      <c r="C997" s="117" t="s">
        <v>3985</v>
      </c>
      <c r="D997" s="118"/>
      <c r="E997" s="118"/>
    </row>
    <row r="998" spans="2:5" x14ac:dyDescent="0.2">
      <c r="B998" s="116" t="s">
        <v>3986</v>
      </c>
      <c r="C998" s="117" t="s">
        <v>3987</v>
      </c>
      <c r="D998" s="118"/>
      <c r="E998" s="118"/>
    </row>
    <row r="999" spans="2:5" x14ac:dyDescent="0.2">
      <c r="B999" s="116" t="s">
        <v>3988</v>
      </c>
      <c r="C999" s="117" t="s">
        <v>3989</v>
      </c>
      <c r="D999" s="118"/>
      <c r="E999" s="118"/>
    </row>
    <row r="1000" spans="2:5" x14ac:dyDescent="0.2">
      <c r="B1000" s="116" t="s">
        <v>3990</v>
      </c>
      <c r="C1000" s="117" t="s">
        <v>3991</v>
      </c>
      <c r="D1000" s="118"/>
      <c r="E1000" s="118"/>
    </row>
    <row r="1001" spans="2:5" x14ac:dyDescent="0.2">
      <c r="B1001" s="116" t="s">
        <v>3992</v>
      </c>
      <c r="C1001" s="117" t="s">
        <v>3993</v>
      </c>
      <c r="D1001" s="118"/>
      <c r="E1001" s="118"/>
    </row>
    <row r="1002" spans="2:5" x14ac:dyDescent="0.2">
      <c r="B1002" s="116" t="s">
        <v>3994</v>
      </c>
      <c r="C1002" s="117" t="s">
        <v>3995</v>
      </c>
      <c r="D1002" s="118"/>
      <c r="E1002" s="118"/>
    </row>
    <row r="1003" spans="2:5" x14ac:dyDescent="0.2">
      <c r="B1003" s="116" t="s">
        <v>3996</v>
      </c>
      <c r="C1003" s="117" t="s">
        <v>3997</v>
      </c>
      <c r="D1003" s="118"/>
      <c r="E1003" s="118"/>
    </row>
    <row r="1004" spans="2:5" x14ac:dyDescent="0.2">
      <c r="B1004" s="116" t="s">
        <v>3998</v>
      </c>
      <c r="C1004" s="117" t="s">
        <v>3999</v>
      </c>
      <c r="D1004" s="118"/>
      <c r="E1004" s="118"/>
    </row>
    <row r="1005" spans="2:5" x14ac:dyDescent="0.2">
      <c r="B1005" s="116" t="s">
        <v>1799</v>
      </c>
      <c r="C1005" s="117" t="s">
        <v>1800</v>
      </c>
      <c r="D1005" s="118">
        <v>13.21</v>
      </c>
      <c r="E1005" s="118">
        <v>0.13</v>
      </c>
    </row>
    <row r="1006" spans="2:5" x14ac:dyDescent="0.2">
      <c r="B1006" s="116" t="s">
        <v>4000</v>
      </c>
      <c r="C1006" s="117" t="s">
        <v>4001</v>
      </c>
      <c r="D1006" s="118"/>
      <c r="E1006" s="118"/>
    </row>
    <row r="1007" spans="2:5" x14ac:dyDescent="0.2">
      <c r="B1007" s="116" t="s">
        <v>4002</v>
      </c>
      <c r="C1007" s="117" t="s">
        <v>4003</v>
      </c>
      <c r="D1007" s="118"/>
      <c r="E1007" s="118"/>
    </row>
    <row r="1008" spans="2:5" x14ac:dyDescent="0.2">
      <c r="B1008" s="116" t="s">
        <v>1801</v>
      </c>
      <c r="C1008" s="117" t="s">
        <v>1802</v>
      </c>
      <c r="D1008" s="118">
        <v>18.3</v>
      </c>
      <c r="E1008" s="118">
        <v>0.17</v>
      </c>
    </row>
    <row r="1009" spans="2:5" x14ac:dyDescent="0.2">
      <c r="B1009" s="116" t="s">
        <v>4004</v>
      </c>
      <c r="C1009" s="117" t="s">
        <v>4005</v>
      </c>
      <c r="D1009" s="118">
        <v>19.75</v>
      </c>
      <c r="E1009" s="118">
        <v>0.1</v>
      </c>
    </row>
    <row r="1010" spans="2:5" x14ac:dyDescent="0.2">
      <c r="B1010" s="116" t="s">
        <v>1803</v>
      </c>
      <c r="C1010" s="117" t="s">
        <v>1804</v>
      </c>
      <c r="D1010" s="118">
        <v>44.63</v>
      </c>
      <c r="E1010" s="118">
        <v>0.24</v>
      </c>
    </row>
    <row r="1011" spans="2:5" x14ac:dyDescent="0.2">
      <c r="B1011" s="116" t="s">
        <v>1805</v>
      </c>
      <c r="C1011" s="117" t="s">
        <v>1806</v>
      </c>
      <c r="D1011" s="118">
        <v>7.12</v>
      </c>
      <c r="E1011" s="118">
        <v>0.06</v>
      </c>
    </row>
    <row r="1012" spans="2:5" x14ac:dyDescent="0.2">
      <c r="B1012" s="116" t="s">
        <v>1807</v>
      </c>
      <c r="C1012" s="117" t="s">
        <v>1808</v>
      </c>
      <c r="D1012" s="118">
        <v>7.04</v>
      </c>
      <c r="E1012" s="118">
        <v>0.06</v>
      </c>
    </row>
    <row r="1013" spans="2:5" x14ac:dyDescent="0.2">
      <c r="B1013" s="116" t="s">
        <v>1810</v>
      </c>
      <c r="C1013" s="117" t="s">
        <v>1811</v>
      </c>
      <c r="D1013" s="118">
        <v>1.85</v>
      </c>
      <c r="E1013" s="118"/>
    </row>
    <row r="1014" spans="2:5" x14ac:dyDescent="0.2">
      <c r="B1014" s="116" t="s">
        <v>1813</v>
      </c>
      <c r="C1014" s="117" t="s">
        <v>1814</v>
      </c>
      <c r="D1014" s="118">
        <v>6.54</v>
      </c>
      <c r="E1014" s="118">
        <v>0.02</v>
      </c>
    </row>
    <row r="1015" spans="2:5" x14ac:dyDescent="0.2">
      <c r="B1015" s="116" t="s">
        <v>4006</v>
      </c>
      <c r="C1015" s="117" t="s">
        <v>4007</v>
      </c>
      <c r="D1015" s="118">
        <v>0.28000000000000003</v>
      </c>
      <c r="E1015" s="118">
        <v>0</v>
      </c>
    </row>
    <row r="1016" spans="2:5" x14ac:dyDescent="0.2">
      <c r="B1016" s="116" t="s">
        <v>1815</v>
      </c>
      <c r="C1016" s="117" t="s">
        <v>1816</v>
      </c>
      <c r="D1016" s="118">
        <v>8.14</v>
      </c>
      <c r="E1016" s="118">
        <v>0.05</v>
      </c>
    </row>
    <row r="1017" spans="2:5" x14ac:dyDescent="0.2">
      <c r="B1017" s="116" t="s">
        <v>4008</v>
      </c>
      <c r="C1017" s="117" t="s">
        <v>4009</v>
      </c>
      <c r="D1017" s="118"/>
      <c r="E1017" s="118">
        <v>7.0000000000000007E-2</v>
      </c>
    </row>
    <row r="1018" spans="2:5" x14ac:dyDescent="0.2">
      <c r="B1018" s="116" t="s">
        <v>1818</v>
      </c>
      <c r="C1018" s="117" t="s">
        <v>1819</v>
      </c>
      <c r="D1018" s="118">
        <v>7.49</v>
      </c>
      <c r="E1018" s="118">
        <v>7.0000000000000007E-2</v>
      </c>
    </row>
    <row r="1019" spans="2:5" x14ac:dyDescent="0.2">
      <c r="B1019" s="116" t="s">
        <v>1820</v>
      </c>
      <c r="C1019" s="117" t="s">
        <v>1821</v>
      </c>
      <c r="D1019" s="118">
        <v>25.77</v>
      </c>
      <c r="E1019" s="118">
        <v>0.11</v>
      </c>
    </row>
    <row r="1020" spans="2:5" x14ac:dyDescent="0.2">
      <c r="B1020" s="116" t="s">
        <v>1822</v>
      </c>
      <c r="C1020" s="117" t="s">
        <v>1823</v>
      </c>
      <c r="D1020" s="118">
        <v>1.73</v>
      </c>
      <c r="E1020" s="118">
        <v>-0.01</v>
      </c>
    </row>
    <row r="1021" spans="2:5" x14ac:dyDescent="0.2">
      <c r="B1021" s="116" t="s">
        <v>1824</v>
      </c>
      <c r="C1021" s="117" t="s">
        <v>1825</v>
      </c>
      <c r="D1021" s="118">
        <v>4.83</v>
      </c>
      <c r="E1021" s="118">
        <v>0.01</v>
      </c>
    </row>
    <row r="1022" spans="2:5" x14ac:dyDescent="0.2">
      <c r="B1022" s="116" t="s">
        <v>4010</v>
      </c>
      <c r="C1022" s="117" t="s">
        <v>4011</v>
      </c>
      <c r="D1022" s="118"/>
      <c r="E1022" s="118">
        <v>0.2</v>
      </c>
    </row>
    <row r="1023" spans="2:5" x14ac:dyDescent="0.2">
      <c r="B1023" s="116" t="s">
        <v>4012</v>
      </c>
      <c r="C1023" s="117" t="s">
        <v>4013</v>
      </c>
      <c r="D1023" s="118"/>
      <c r="E1023" s="118"/>
    </row>
    <row r="1024" spans="2:5" x14ac:dyDescent="0.2">
      <c r="B1024" s="116" t="s">
        <v>1826</v>
      </c>
      <c r="C1024" s="117" t="s">
        <v>1827</v>
      </c>
      <c r="D1024" s="118">
        <v>4.21</v>
      </c>
      <c r="E1024" s="118"/>
    </row>
    <row r="1025" spans="2:5" x14ac:dyDescent="0.2">
      <c r="B1025" s="116" t="s">
        <v>1828</v>
      </c>
      <c r="C1025" s="117" t="s">
        <v>1829</v>
      </c>
      <c r="D1025" s="118">
        <v>22.24</v>
      </c>
      <c r="E1025" s="118">
        <v>0.23</v>
      </c>
    </row>
    <row r="1026" spans="2:5" x14ac:dyDescent="0.2">
      <c r="B1026" s="116" t="s">
        <v>4014</v>
      </c>
      <c r="C1026" s="117" t="s">
        <v>4015</v>
      </c>
      <c r="D1026" s="118">
        <v>9.36</v>
      </c>
      <c r="E1026" s="118">
        <v>0.09</v>
      </c>
    </row>
    <row r="1027" spans="2:5" x14ac:dyDescent="0.2">
      <c r="B1027" s="116" t="s">
        <v>1830</v>
      </c>
      <c r="C1027" s="117" t="s">
        <v>1831</v>
      </c>
      <c r="D1027" s="118">
        <v>7.74</v>
      </c>
      <c r="E1027" s="118">
        <v>0.09</v>
      </c>
    </row>
    <row r="1028" spans="2:5" x14ac:dyDescent="0.2">
      <c r="B1028" s="116" t="s">
        <v>1832</v>
      </c>
      <c r="C1028" s="117" t="s">
        <v>1833</v>
      </c>
      <c r="D1028" s="118">
        <v>17.510000000000002</v>
      </c>
      <c r="E1028" s="118">
        <v>0.18</v>
      </c>
    </row>
    <row r="1029" spans="2:5" x14ac:dyDescent="0.2">
      <c r="B1029" s="116" t="s">
        <v>1835</v>
      </c>
      <c r="C1029" s="117" t="s">
        <v>1836</v>
      </c>
      <c r="D1029" s="118">
        <v>3.49</v>
      </c>
      <c r="E1029" s="118">
        <v>0.03</v>
      </c>
    </row>
    <row r="1030" spans="2:5" x14ac:dyDescent="0.2">
      <c r="B1030" s="116" t="s">
        <v>4016</v>
      </c>
      <c r="C1030" s="117" t="s">
        <v>4017</v>
      </c>
      <c r="D1030" s="118"/>
      <c r="E1030" s="118">
        <v>0.04</v>
      </c>
    </row>
    <row r="1031" spans="2:5" x14ac:dyDescent="0.2">
      <c r="B1031" s="116" t="s">
        <v>1837</v>
      </c>
      <c r="C1031" s="117" t="s">
        <v>1838</v>
      </c>
      <c r="D1031" s="118"/>
      <c r="E1031" s="118">
        <v>0.04</v>
      </c>
    </row>
    <row r="1032" spans="2:5" x14ac:dyDescent="0.2">
      <c r="B1032" s="116" t="s">
        <v>1839</v>
      </c>
      <c r="C1032" s="117" t="s">
        <v>1840</v>
      </c>
      <c r="D1032" s="118">
        <v>28.99</v>
      </c>
      <c r="E1032" s="118">
        <v>0.19</v>
      </c>
    </row>
    <row r="1033" spans="2:5" x14ac:dyDescent="0.2">
      <c r="B1033" s="116" t="s">
        <v>4018</v>
      </c>
      <c r="C1033" s="117" t="s">
        <v>4019</v>
      </c>
      <c r="D1033" s="118"/>
      <c r="E1033" s="118"/>
    </row>
    <row r="1034" spans="2:5" x14ac:dyDescent="0.2">
      <c r="B1034" s="116" t="s">
        <v>1841</v>
      </c>
      <c r="C1034" s="117" t="s">
        <v>1842</v>
      </c>
      <c r="D1034" s="118">
        <v>14.08</v>
      </c>
      <c r="E1034" s="118">
        <v>0.12</v>
      </c>
    </row>
    <row r="1035" spans="2:5" x14ac:dyDescent="0.2">
      <c r="B1035" s="116" t="s">
        <v>4020</v>
      </c>
      <c r="C1035" s="117" t="s">
        <v>4021</v>
      </c>
      <c r="D1035" s="118">
        <v>38.44</v>
      </c>
      <c r="E1035" s="118">
        <v>0.33</v>
      </c>
    </row>
    <row r="1036" spans="2:5" x14ac:dyDescent="0.2">
      <c r="B1036" s="116" t="s">
        <v>1843</v>
      </c>
      <c r="C1036" s="117" t="s">
        <v>1844</v>
      </c>
      <c r="D1036" s="118">
        <v>30.1</v>
      </c>
      <c r="E1036" s="118">
        <v>0.25</v>
      </c>
    </row>
    <row r="1037" spans="2:5" x14ac:dyDescent="0.2">
      <c r="B1037" s="116" t="s">
        <v>1845</v>
      </c>
      <c r="C1037" s="117" t="s">
        <v>1846</v>
      </c>
      <c r="D1037" s="118">
        <v>2.19</v>
      </c>
      <c r="E1037" s="118">
        <v>0.02</v>
      </c>
    </row>
    <row r="1038" spans="2:5" x14ac:dyDescent="0.2">
      <c r="B1038" s="116" t="s">
        <v>1847</v>
      </c>
      <c r="C1038" s="117" t="s">
        <v>1848</v>
      </c>
      <c r="D1038" s="118"/>
      <c r="E1038" s="118">
        <v>0.01</v>
      </c>
    </row>
    <row r="1039" spans="2:5" x14ac:dyDescent="0.2">
      <c r="B1039" s="116" t="s">
        <v>1849</v>
      </c>
      <c r="C1039" s="117" t="s">
        <v>1850</v>
      </c>
      <c r="D1039" s="118">
        <v>5.95</v>
      </c>
      <c r="E1039" s="118">
        <v>0.06</v>
      </c>
    </row>
    <row r="1040" spans="2:5" x14ac:dyDescent="0.2">
      <c r="B1040" s="116" t="s">
        <v>4022</v>
      </c>
      <c r="C1040" s="117" t="s">
        <v>4023</v>
      </c>
      <c r="D1040" s="118"/>
      <c r="E1040" s="118">
        <v>0.05</v>
      </c>
    </row>
    <row r="1041" spans="2:5" x14ac:dyDescent="0.2">
      <c r="B1041" s="116" t="s">
        <v>1851</v>
      </c>
      <c r="C1041" s="117" t="s">
        <v>1852</v>
      </c>
      <c r="D1041" s="118">
        <v>3.48</v>
      </c>
      <c r="E1041" s="118">
        <v>0.04</v>
      </c>
    </row>
    <row r="1042" spans="2:5" x14ac:dyDescent="0.2">
      <c r="B1042" s="116" t="s">
        <v>1853</v>
      </c>
      <c r="C1042" s="117" t="s">
        <v>1854</v>
      </c>
      <c r="D1042" s="118">
        <v>9.9600000000000009</v>
      </c>
      <c r="E1042" s="118">
        <v>0.1</v>
      </c>
    </row>
    <row r="1043" spans="2:5" x14ac:dyDescent="0.2">
      <c r="B1043" s="116" t="s">
        <v>1855</v>
      </c>
      <c r="C1043" s="117" t="s">
        <v>1856</v>
      </c>
      <c r="D1043" s="118">
        <v>8.6199999999999992</v>
      </c>
      <c r="E1043" s="118">
        <v>0.09</v>
      </c>
    </row>
    <row r="1044" spans="2:5" x14ac:dyDescent="0.2">
      <c r="B1044" s="116" t="s">
        <v>1857</v>
      </c>
      <c r="C1044" s="117" t="s">
        <v>1858</v>
      </c>
      <c r="D1044" s="118">
        <v>26.31</v>
      </c>
      <c r="E1044" s="118">
        <v>0.19</v>
      </c>
    </row>
    <row r="1045" spans="2:5" x14ac:dyDescent="0.2">
      <c r="B1045" s="116" t="s">
        <v>1859</v>
      </c>
      <c r="C1045" s="117" t="s">
        <v>1860</v>
      </c>
      <c r="D1045" s="118">
        <v>35.06</v>
      </c>
      <c r="E1045" s="118">
        <v>0.26</v>
      </c>
    </row>
    <row r="1046" spans="2:5" x14ac:dyDescent="0.2">
      <c r="B1046" s="116" t="s">
        <v>1861</v>
      </c>
      <c r="C1046" s="117" t="s">
        <v>1862</v>
      </c>
      <c r="D1046" s="118">
        <v>4.26</v>
      </c>
      <c r="E1046" s="118">
        <v>0.06</v>
      </c>
    </row>
    <row r="1047" spans="2:5" x14ac:dyDescent="0.2">
      <c r="B1047" s="116" t="s">
        <v>4024</v>
      </c>
      <c r="C1047" s="117" t="s">
        <v>4025</v>
      </c>
      <c r="D1047" s="118">
        <v>9.99</v>
      </c>
      <c r="E1047" s="118">
        <v>0.1</v>
      </c>
    </row>
    <row r="1048" spans="2:5" x14ac:dyDescent="0.2">
      <c r="B1048" s="116" t="s">
        <v>4026</v>
      </c>
      <c r="C1048" s="117" t="s">
        <v>4027</v>
      </c>
      <c r="D1048" s="118">
        <v>11.61</v>
      </c>
      <c r="E1048" s="118"/>
    </row>
    <row r="1049" spans="2:5" x14ac:dyDescent="0.2">
      <c r="B1049" s="116" t="s">
        <v>1863</v>
      </c>
      <c r="C1049" s="117" t="s">
        <v>1864</v>
      </c>
      <c r="D1049" s="118">
        <v>14.71</v>
      </c>
      <c r="E1049" s="118">
        <v>0.08</v>
      </c>
    </row>
    <row r="1050" spans="2:5" x14ac:dyDescent="0.2">
      <c r="B1050" s="116" t="s">
        <v>1865</v>
      </c>
      <c r="C1050" s="117" t="s">
        <v>1866</v>
      </c>
      <c r="D1050" s="118">
        <v>-2.0699999999999998</v>
      </c>
      <c r="E1050" s="118">
        <v>-0.02</v>
      </c>
    </row>
    <row r="1051" spans="2:5" x14ac:dyDescent="0.2">
      <c r="B1051" s="116" t="s">
        <v>1867</v>
      </c>
      <c r="C1051" s="117" t="s">
        <v>1868</v>
      </c>
      <c r="D1051" s="118">
        <v>6.06</v>
      </c>
      <c r="E1051" s="118">
        <v>0.03</v>
      </c>
    </row>
    <row r="1052" spans="2:5" x14ac:dyDescent="0.2">
      <c r="B1052" s="116" t="s">
        <v>1869</v>
      </c>
      <c r="C1052" s="117" t="s">
        <v>1870</v>
      </c>
      <c r="D1052" s="118">
        <v>28.97</v>
      </c>
      <c r="E1052" s="118">
        <v>0.25</v>
      </c>
    </row>
    <row r="1053" spans="2:5" x14ac:dyDescent="0.2">
      <c r="B1053" s="116" t="s">
        <v>1871</v>
      </c>
      <c r="C1053" s="117" t="s">
        <v>1872</v>
      </c>
      <c r="D1053" s="118">
        <v>19.899999999999999</v>
      </c>
      <c r="E1053" s="118">
        <v>0.04</v>
      </c>
    </row>
    <row r="1054" spans="2:5" x14ac:dyDescent="0.2">
      <c r="B1054" s="116" t="s">
        <v>1873</v>
      </c>
      <c r="C1054" s="117" t="s">
        <v>1874</v>
      </c>
      <c r="D1054" s="118">
        <v>4.05</v>
      </c>
      <c r="E1054" s="118">
        <v>-0.01</v>
      </c>
    </row>
    <row r="1055" spans="2:5" x14ac:dyDescent="0.2">
      <c r="B1055" s="116" t="s">
        <v>1875</v>
      </c>
      <c r="C1055" s="117" t="s">
        <v>1876</v>
      </c>
      <c r="D1055" s="118"/>
      <c r="E1055" s="118">
        <v>0.15</v>
      </c>
    </row>
    <row r="1056" spans="2:5" x14ac:dyDescent="0.2">
      <c r="B1056" s="116" t="s">
        <v>1877</v>
      </c>
      <c r="C1056" s="117" t="s">
        <v>1878</v>
      </c>
      <c r="D1056" s="118"/>
      <c r="E1056" s="118">
        <v>0.02</v>
      </c>
    </row>
    <row r="1057" spans="2:5" x14ac:dyDescent="0.2">
      <c r="B1057" s="116" t="s">
        <v>1879</v>
      </c>
      <c r="C1057" s="117" t="s">
        <v>1880</v>
      </c>
      <c r="D1057" s="118">
        <v>13.05</v>
      </c>
      <c r="E1057" s="118">
        <v>-0.39</v>
      </c>
    </row>
    <row r="1058" spans="2:5" x14ac:dyDescent="0.2">
      <c r="B1058" s="116" t="s">
        <v>1881</v>
      </c>
      <c r="C1058" s="117" t="s">
        <v>1882</v>
      </c>
      <c r="D1058" s="118">
        <v>3.59</v>
      </c>
      <c r="E1058" s="118">
        <v>0.04</v>
      </c>
    </row>
    <row r="1059" spans="2:5" x14ac:dyDescent="0.2">
      <c r="B1059" s="116" t="s">
        <v>1883</v>
      </c>
      <c r="C1059" s="117" t="s">
        <v>1884</v>
      </c>
      <c r="D1059" s="118">
        <v>5.14</v>
      </c>
      <c r="E1059" s="118">
        <v>0.05</v>
      </c>
    </row>
    <row r="1060" spans="2:5" x14ac:dyDescent="0.2">
      <c r="B1060" s="116" t="s">
        <v>4028</v>
      </c>
      <c r="C1060" s="117" t="s">
        <v>4029</v>
      </c>
      <c r="D1060" s="118">
        <v>34.08</v>
      </c>
      <c r="E1060" s="118">
        <v>0.43</v>
      </c>
    </row>
    <row r="1061" spans="2:5" x14ac:dyDescent="0.2">
      <c r="B1061" s="116" t="s">
        <v>4030</v>
      </c>
      <c r="C1061" s="117" t="s">
        <v>4031</v>
      </c>
      <c r="D1061" s="118"/>
      <c r="E1061" s="118">
        <v>0.21</v>
      </c>
    </row>
    <row r="1062" spans="2:5" x14ac:dyDescent="0.2">
      <c r="B1062" s="116" t="s">
        <v>1885</v>
      </c>
      <c r="C1062" s="117" t="s">
        <v>1886</v>
      </c>
      <c r="D1062" s="118"/>
      <c r="E1062" s="118"/>
    </row>
    <row r="1063" spans="2:5" x14ac:dyDescent="0.2">
      <c r="B1063" s="116" t="s">
        <v>1885</v>
      </c>
      <c r="C1063" s="117" t="s">
        <v>4032</v>
      </c>
      <c r="D1063" s="118"/>
      <c r="E1063" s="118">
        <v>0.05</v>
      </c>
    </row>
    <row r="1064" spans="2:5" x14ac:dyDescent="0.2">
      <c r="B1064" s="116" t="s">
        <v>1887</v>
      </c>
      <c r="C1064" s="117" t="s">
        <v>1888</v>
      </c>
      <c r="D1064" s="118">
        <v>69.78</v>
      </c>
      <c r="E1064" s="118">
        <v>0.47</v>
      </c>
    </row>
    <row r="1065" spans="2:5" x14ac:dyDescent="0.2">
      <c r="B1065" s="116" t="s">
        <v>1889</v>
      </c>
      <c r="C1065" s="117" t="s">
        <v>1890</v>
      </c>
      <c r="D1065" s="118">
        <v>35.61</v>
      </c>
      <c r="E1065" s="118">
        <v>0.3</v>
      </c>
    </row>
    <row r="1066" spans="2:5" x14ac:dyDescent="0.2">
      <c r="B1066" s="116" t="s">
        <v>1891</v>
      </c>
      <c r="C1066" s="117" t="s">
        <v>1892</v>
      </c>
      <c r="D1066" s="118">
        <v>29.07</v>
      </c>
      <c r="E1066" s="118">
        <v>0.26</v>
      </c>
    </row>
    <row r="1067" spans="2:5" x14ac:dyDescent="0.2">
      <c r="B1067" s="116" t="s">
        <v>4033</v>
      </c>
      <c r="C1067" s="117" t="s">
        <v>4034</v>
      </c>
      <c r="D1067" s="118">
        <v>-2.42</v>
      </c>
      <c r="E1067" s="118">
        <v>0.01</v>
      </c>
    </row>
    <row r="1068" spans="2:5" x14ac:dyDescent="0.2">
      <c r="B1068" s="116" t="s">
        <v>1893</v>
      </c>
      <c r="C1068" s="117" t="s">
        <v>1894</v>
      </c>
      <c r="D1068" s="118"/>
      <c r="E1068" s="118">
        <v>0.75</v>
      </c>
    </row>
    <row r="1069" spans="2:5" x14ac:dyDescent="0.2">
      <c r="B1069" s="116" t="s">
        <v>1895</v>
      </c>
      <c r="C1069" s="117" t="s">
        <v>1896</v>
      </c>
      <c r="D1069" s="118"/>
      <c r="E1069" s="118">
        <v>0.05</v>
      </c>
    </row>
    <row r="1070" spans="2:5" x14ac:dyDescent="0.2">
      <c r="B1070" s="116" t="s">
        <v>1898</v>
      </c>
      <c r="C1070" s="117" t="s">
        <v>1899</v>
      </c>
      <c r="D1070" s="118">
        <v>12.53</v>
      </c>
      <c r="E1070" s="118">
        <v>0.08</v>
      </c>
    </row>
    <row r="1071" spans="2:5" x14ac:dyDescent="0.2">
      <c r="B1071" s="116" t="s">
        <v>1900</v>
      </c>
      <c r="C1071" s="117" t="s">
        <v>1901</v>
      </c>
      <c r="D1071" s="118">
        <v>15.49</v>
      </c>
      <c r="E1071" s="118">
        <v>0.11</v>
      </c>
    </row>
    <row r="1072" spans="2:5" x14ac:dyDescent="0.2">
      <c r="B1072" s="116" t="s">
        <v>1902</v>
      </c>
      <c r="C1072" s="117" t="s">
        <v>1903</v>
      </c>
      <c r="D1072" s="118">
        <v>7.46</v>
      </c>
      <c r="E1072" s="118">
        <v>0.05</v>
      </c>
    </row>
    <row r="1073" spans="2:5" x14ac:dyDescent="0.2">
      <c r="B1073" s="116" t="s">
        <v>1904</v>
      </c>
      <c r="C1073" s="117" t="s">
        <v>1905</v>
      </c>
      <c r="D1073" s="118">
        <v>9.42</v>
      </c>
      <c r="E1073" s="118">
        <v>0.09</v>
      </c>
    </row>
    <row r="1074" spans="2:5" x14ac:dyDescent="0.2">
      <c r="B1074" s="116" t="s">
        <v>1906</v>
      </c>
      <c r="C1074" s="117" t="s">
        <v>1907</v>
      </c>
      <c r="D1074" s="118">
        <v>4.6399999999999997</v>
      </c>
      <c r="E1074" s="118">
        <v>0.05</v>
      </c>
    </row>
    <row r="1075" spans="2:5" x14ac:dyDescent="0.2">
      <c r="B1075" s="116" t="s">
        <v>4035</v>
      </c>
      <c r="C1075" s="117" t="s">
        <v>4036</v>
      </c>
      <c r="D1075" s="118"/>
      <c r="E1075" s="118">
        <v>0.08</v>
      </c>
    </row>
    <row r="1076" spans="2:5" x14ac:dyDescent="0.2">
      <c r="B1076" s="116" t="s">
        <v>1908</v>
      </c>
      <c r="C1076" s="117" t="s">
        <v>1909</v>
      </c>
      <c r="D1076" s="118">
        <v>4.21</v>
      </c>
      <c r="E1076" s="118">
        <v>0.04</v>
      </c>
    </row>
    <row r="1077" spans="2:5" x14ac:dyDescent="0.2">
      <c r="B1077" s="116" t="s">
        <v>1910</v>
      </c>
      <c r="C1077" s="117" t="s">
        <v>1911</v>
      </c>
      <c r="D1077" s="118">
        <v>13.02</v>
      </c>
      <c r="E1077" s="118">
        <v>0.13</v>
      </c>
    </row>
    <row r="1078" spans="2:5" x14ac:dyDescent="0.2">
      <c r="B1078" s="116" t="s">
        <v>4037</v>
      </c>
      <c r="C1078" s="117" t="s">
        <v>4038</v>
      </c>
      <c r="D1078" s="118"/>
      <c r="E1078" s="118"/>
    </row>
    <row r="1079" spans="2:5" x14ac:dyDescent="0.2">
      <c r="B1079" s="116" t="s">
        <v>1912</v>
      </c>
      <c r="C1079" s="117" t="s">
        <v>1913</v>
      </c>
      <c r="D1079" s="118">
        <v>9.15</v>
      </c>
      <c r="E1079" s="118">
        <v>0.08</v>
      </c>
    </row>
    <row r="1080" spans="2:5" x14ac:dyDescent="0.2">
      <c r="B1080" s="116" t="s">
        <v>1914</v>
      </c>
      <c r="C1080" s="117" t="s">
        <v>1915</v>
      </c>
      <c r="D1080" s="118">
        <v>27.18</v>
      </c>
      <c r="E1080" s="118">
        <v>0.2</v>
      </c>
    </row>
    <row r="1081" spans="2:5" x14ac:dyDescent="0.2">
      <c r="B1081" s="116" t="s">
        <v>1916</v>
      </c>
      <c r="C1081" s="117" t="s">
        <v>1917</v>
      </c>
      <c r="D1081" s="118">
        <v>6.21</v>
      </c>
      <c r="E1081" s="118">
        <v>7.0000000000000007E-2</v>
      </c>
    </row>
    <row r="1082" spans="2:5" x14ac:dyDescent="0.2">
      <c r="B1082" s="116" t="s">
        <v>4039</v>
      </c>
      <c r="C1082" s="117" t="s">
        <v>4040</v>
      </c>
      <c r="D1082" s="118">
        <v>11.4</v>
      </c>
      <c r="E1082" s="118">
        <v>0.16</v>
      </c>
    </row>
    <row r="1083" spans="2:5" x14ac:dyDescent="0.2">
      <c r="B1083" s="116" t="s">
        <v>1918</v>
      </c>
      <c r="C1083" s="117" t="s">
        <v>1919</v>
      </c>
      <c r="D1083" s="118">
        <v>1.43</v>
      </c>
      <c r="E1083" s="118">
        <v>0.03</v>
      </c>
    </row>
    <row r="1084" spans="2:5" x14ac:dyDescent="0.2">
      <c r="B1084" s="116" t="s">
        <v>1920</v>
      </c>
      <c r="C1084" s="117" t="s">
        <v>1921</v>
      </c>
      <c r="D1084" s="118">
        <v>35.130000000000003</v>
      </c>
      <c r="E1084" s="118">
        <v>0.35</v>
      </c>
    </row>
    <row r="1085" spans="2:5" x14ac:dyDescent="0.2">
      <c r="B1085" s="116" t="s">
        <v>4041</v>
      </c>
      <c r="C1085" s="117" t="s">
        <v>4042</v>
      </c>
      <c r="D1085" s="118"/>
      <c r="E1085" s="118"/>
    </row>
    <row r="1086" spans="2:5" x14ac:dyDescent="0.2">
      <c r="B1086" s="116" t="s">
        <v>4043</v>
      </c>
      <c r="C1086" s="117" t="s">
        <v>4044</v>
      </c>
      <c r="D1086" s="118"/>
      <c r="E1086" s="118">
        <v>0.08</v>
      </c>
    </row>
    <row r="1087" spans="2:5" x14ac:dyDescent="0.2">
      <c r="B1087" s="116" t="s">
        <v>1922</v>
      </c>
      <c r="C1087" s="117" t="s">
        <v>1923</v>
      </c>
      <c r="D1087" s="118">
        <v>4.37</v>
      </c>
      <c r="E1087" s="118">
        <v>0.04</v>
      </c>
    </row>
    <row r="1088" spans="2:5" x14ac:dyDescent="0.2">
      <c r="B1088" s="116" t="s">
        <v>1925</v>
      </c>
      <c r="C1088" s="117" t="s">
        <v>1926</v>
      </c>
      <c r="D1088" s="118">
        <v>22.94</v>
      </c>
      <c r="E1088" s="118">
        <v>0.23</v>
      </c>
    </row>
    <row r="1089" spans="2:5" x14ac:dyDescent="0.2">
      <c r="B1089" s="116" t="s">
        <v>1927</v>
      </c>
      <c r="C1089" s="117" t="s">
        <v>1928</v>
      </c>
      <c r="D1089" s="118"/>
      <c r="E1089" s="118">
        <v>0.03</v>
      </c>
    </row>
    <row r="1090" spans="2:5" x14ac:dyDescent="0.2">
      <c r="B1090" s="116" t="s">
        <v>1929</v>
      </c>
      <c r="C1090" s="117" t="s">
        <v>1930</v>
      </c>
      <c r="D1090" s="118"/>
      <c r="E1090" s="118"/>
    </row>
    <row r="1091" spans="2:5" x14ac:dyDescent="0.2">
      <c r="B1091" s="116" t="s">
        <v>1931</v>
      </c>
      <c r="C1091" s="117" t="s">
        <v>1932</v>
      </c>
      <c r="D1091" s="118">
        <v>6.16</v>
      </c>
      <c r="E1091" s="118">
        <v>0.06</v>
      </c>
    </row>
    <row r="1092" spans="2:5" x14ac:dyDescent="0.2">
      <c r="B1092" s="116" t="s">
        <v>4045</v>
      </c>
      <c r="C1092" s="117" t="s">
        <v>4046</v>
      </c>
      <c r="D1092" s="118">
        <v>49.61</v>
      </c>
      <c r="E1092" s="118">
        <v>0.19</v>
      </c>
    </row>
    <row r="1093" spans="2:5" x14ac:dyDescent="0.2">
      <c r="B1093" s="116" t="s">
        <v>1933</v>
      </c>
      <c r="C1093" s="117" t="s">
        <v>1934</v>
      </c>
      <c r="D1093" s="118">
        <v>1.03</v>
      </c>
      <c r="E1093" s="118">
        <v>0.02</v>
      </c>
    </row>
    <row r="1094" spans="2:5" x14ac:dyDescent="0.2">
      <c r="B1094" s="116" t="s">
        <v>1935</v>
      </c>
      <c r="C1094" s="117" t="s">
        <v>1936</v>
      </c>
      <c r="D1094" s="118">
        <v>5.76</v>
      </c>
      <c r="E1094" s="118">
        <v>0.06</v>
      </c>
    </row>
    <row r="1095" spans="2:5" x14ac:dyDescent="0.2">
      <c r="B1095" s="116" t="s">
        <v>1937</v>
      </c>
      <c r="C1095" s="117" t="s">
        <v>1938</v>
      </c>
      <c r="D1095" s="118">
        <v>7.24</v>
      </c>
      <c r="E1095" s="118">
        <v>0.05</v>
      </c>
    </row>
    <row r="1096" spans="2:5" x14ac:dyDescent="0.2">
      <c r="B1096" s="116" t="s">
        <v>1939</v>
      </c>
      <c r="C1096" s="117" t="s">
        <v>1940</v>
      </c>
      <c r="D1096" s="118">
        <v>2.1</v>
      </c>
      <c r="E1096" s="118">
        <v>0.02</v>
      </c>
    </row>
    <row r="1097" spans="2:5" x14ac:dyDescent="0.2">
      <c r="B1097" s="116" t="s">
        <v>1941</v>
      </c>
      <c r="C1097" s="117" t="s">
        <v>1942</v>
      </c>
      <c r="D1097" s="118">
        <v>21.39</v>
      </c>
      <c r="E1097" s="118">
        <v>0.19</v>
      </c>
    </row>
    <row r="1098" spans="2:5" x14ac:dyDescent="0.2">
      <c r="B1098" s="116" t="s">
        <v>4047</v>
      </c>
      <c r="C1098" s="117" t="s">
        <v>4048</v>
      </c>
      <c r="D1098" s="118">
        <v>10.72</v>
      </c>
      <c r="E1098" s="118">
        <v>0.12</v>
      </c>
    </row>
    <row r="1099" spans="2:5" x14ac:dyDescent="0.2">
      <c r="B1099" s="116" t="s">
        <v>1943</v>
      </c>
      <c r="C1099" s="117" t="s">
        <v>1944</v>
      </c>
      <c r="D1099" s="118">
        <v>-0.61</v>
      </c>
      <c r="E1099" s="118">
        <v>0.11</v>
      </c>
    </row>
    <row r="1100" spans="2:5" x14ac:dyDescent="0.2">
      <c r="B1100" s="116" t="s">
        <v>1945</v>
      </c>
      <c r="C1100" s="117" t="s">
        <v>1946</v>
      </c>
      <c r="D1100" s="118">
        <v>16.600000000000001</v>
      </c>
      <c r="E1100" s="118">
        <v>0.18</v>
      </c>
    </row>
    <row r="1101" spans="2:5" x14ac:dyDescent="0.2">
      <c r="B1101" s="116" t="s">
        <v>1947</v>
      </c>
      <c r="C1101" s="117" t="s">
        <v>1948</v>
      </c>
      <c r="D1101" s="118">
        <v>5.69</v>
      </c>
      <c r="E1101" s="118">
        <v>0.05</v>
      </c>
    </row>
    <row r="1102" spans="2:5" x14ac:dyDescent="0.2">
      <c r="B1102" s="116" t="s">
        <v>1949</v>
      </c>
      <c r="C1102" s="117" t="s">
        <v>4049</v>
      </c>
      <c r="D1102" s="118">
        <v>504.89</v>
      </c>
      <c r="E1102" s="118">
        <v>3.14</v>
      </c>
    </row>
    <row r="1103" spans="2:5" x14ac:dyDescent="0.2">
      <c r="B1103" s="116" t="s">
        <v>1949</v>
      </c>
      <c r="C1103" s="117" t="s">
        <v>1950</v>
      </c>
      <c r="D1103" s="118">
        <v>504.89</v>
      </c>
      <c r="E1103" s="118">
        <v>3.14</v>
      </c>
    </row>
    <row r="1104" spans="2:5" x14ac:dyDescent="0.2">
      <c r="B1104" s="116" t="s">
        <v>1951</v>
      </c>
      <c r="C1104" s="117" t="s">
        <v>1952</v>
      </c>
      <c r="D1104" s="118">
        <v>-9.5299999999999994</v>
      </c>
      <c r="E1104" s="118">
        <v>0.06</v>
      </c>
    </row>
    <row r="1105" spans="2:5" x14ac:dyDescent="0.2">
      <c r="B1105" s="116" t="s">
        <v>1951</v>
      </c>
      <c r="C1105" s="117" t="s">
        <v>4050</v>
      </c>
      <c r="D1105" s="118">
        <v>-9.5299999999999994</v>
      </c>
      <c r="E1105" s="118">
        <v>0.06</v>
      </c>
    </row>
    <row r="1106" spans="2:5" x14ac:dyDescent="0.2">
      <c r="B1106" s="116" t="s">
        <v>1951</v>
      </c>
      <c r="C1106" s="117" t="s">
        <v>4051</v>
      </c>
      <c r="D1106" s="118">
        <v>-9.5299999999999994</v>
      </c>
      <c r="E1106" s="118">
        <v>0.06</v>
      </c>
    </row>
    <row r="1107" spans="2:5" x14ac:dyDescent="0.2">
      <c r="B1107" s="116" t="s">
        <v>1953</v>
      </c>
      <c r="C1107" s="117" t="s">
        <v>1954</v>
      </c>
      <c r="D1107" s="118">
        <v>6.41</v>
      </c>
      <c r="E1107" s="118">
        <v>0.06</v>
      </c>
    </row>
    <row r="1108" spans="2:5" x14ac:dyDescent="0.2">
      <c r="B1108" s="116" t="s">
        <v>1955</v>
      </c>
      <c r="C1108" s="117" t="s">
        <v>1956</v>
      </c>
      <c r="D1108" s="118">
        <v>5.0999999999999996</v>
      </c>
      <c r="E1108" s="118">
        <v>0.05</v>
      </c>
    </row>
    <row r="1109" spans="2:5" x14ac:dyDescent="0.2">
      <c r="B1109" s="116" t="s">
        <v>1957</v>
      </c>
      <c r="C1109" s="117" t="s">
        <v>1958</v>
      </c>
      <c r="D1109" s="118">
        <v>10.57</v>
      </c>
      <c r="E1109" s="118">
        <v>0.09</v>
      </c>
    </row>
    <row r="1110" spans="2:5" x14ac:dyDescent="0.2">
      <c r="B1110" s="116" t="s">
        <v>1960</v>
      </c>
      <c r="C1110" s="117" t="s">
        <v>1961</v>
      </c>
      <c r="D1110" s="118">
        <v>7.25</v>
      </c>
      <c r="E1110" s="118">
        <v>7.0000000000000007E-2</v>
      </c>
    </row>
    <row r="1111" spans="2:5" x14ac:dyDescent="0.2">
      <c r="B1111" s="116" t="s">
        <v>4052</v>
      </c>
      <c r="C1111" s="117" t="s">
        <v>4053</v>
      </c>
      <c r="D1111" s="118"/>
      <c r="E1111" s="118"/>
    </row>
    <row r="1112" spans="2:5" x14ac:dyDescent="0.2">
      <c r="B1112" s="116" t="s">
        <v>1963</v>
      </c>
      <c r="C1112" s="117" t="s">
        <v>1964</v>
      </c>
      <c r="D1112" s="118">
        <v>8.2200000000000006</v>
      </c>
      <c r="E1112" s="118">
        <v>0.08</v>
      </c>
    </row>
    <row r="1113" spans="2:5" x14ac:dyDescent="0.2">
      <c r="B1113" s="116" t="s">
        <v>1963</v>
      </c>
      <c r="C1113" s="117" t="s">
        <v>4054</v>
      </c>
      <c r="D1113" s="118">
        <v>8.2200000000000006</v>
      </c>
      <c r="E1113" s="118">
        <v>0.08</v>
      </c>
    </row>
    <row r="1114" spans="2:5" x14ac:dyDescent="0.2">
      <c r="B1114" s="116" t="s">
        <v>4055</v>
      </c>
      <c r="C1114" s="117" t="s">
        <v>4056</v>
      </c>
      <c r="D1114" s="118">
        <v>7.8</v>
      </c>
      <c r="E1114" s="118">
        <v>0.05</v>
      </c>
    </row>
    <row r="1115" spans="2:5" x14ac:dyDescent="0.2">
      <c r="B1115" s="116" t="s">
        <v>1965</v>
      </c>
      <c r="C1115" s="117" t="s">
        <v>1966</v>
      </c>
      <c r="D1115" s="118">
        <v>4.76</v>
      </c>
      <c r="E1115" s="118">
        <v>0.02</v>
      </c>
    </row>
    <row r="1116" spans="2:5" x14ac:dyDescent="0.2">
      <c r="B1116" s="116" t="s">
        <v>1967</v>
      </c>
      <c r="C1116" s="117" t="s">
        <v>1968</v>
      </c>
      <c r="D1116" s="118">
        <v>12.63</v>
      </c>
      <c r="E1116" s="118">
        <v>0.1</v>
      </c>
    </row>
    <row r="1117" spans="2:5" x14ac:dyDescent="0.2">
      <c r="B1117" s="116" t="s">
        <v>4057</v>
      </c>
      <c r="C1117" s="117" t="s">
        <v>4058</v>
      </c>
      <c r="D1117" s="118"/>
      <c r="E1117" s="118">
        <v>1.5</v>
      </c>
    </row>
    <row r="1118" spans="2:5" x14ac:dyDescent="0.2">
      <c r="B1118" s="116" t="s">
        <v>4059</v>
      </c>
      <c r="C1118" s="117" t="s">
        <v>4060</v>
      </c>
      <c r="D1118" s="118">
        <v>12.91</v>
      </c>
      <c r="E1118" s="118">
        <v>0.13</v>
      </c>
    </row>
    <row r="1119" spans="2:5" x14ac:dyDescent="0.2">
      <c r="B1119" s="116" t="s">
        <v>1969</v>
      </c>
      <c r="C1119" s="117" t="s">
        <v>1970</v>
      </c>
      <c r="D1119" s="118">
        <v>10.27</v>
      </c>
      <c r="E1119" s="118">
        <v>0.08</v>
      </c>
    </row>
    <row r="1120" spans="2:5" x14ac:dyDescent="0.2">
      <c r="B1120" s="116" t="s">
        <v>1971</v>
      </c>
      <c r="C1120" s="117" t="s">
        <v>1972</v>
      </c>
      <c r="D1120" s="118">
        <v>6.16</v>
      </c>
      <c r="E1120" s="118">
        <v>0.04</v>
      </c>
    </row>
    <row r="1121" spans="2:5" x14ac:dyDescent="0.2">
      <c r="B1121" s="116" t="s">
        <v>1973</v>
      </c>
      <c r="C1121" s="117" t="s">
        <v>1974</v>
      </c>
      <c r="D1121" s="118">
        <v>14.72</v>
      </c>
      <c r="E1121" s="118">
        <v>0.03</v>
      </c>
    </row>
    <row r="1122" spans="2:5" x14ac:dyDescent="0.2">
      <c r="B1122" s="116" t="s">
        <v>1975</v>
      </c>
      <c r="C1122" s="117" t="s">
        <v>1976</v>
      </c>
      <c r="D1122" s="118">
        <v>10.83</v>
      </c>
      <c r="E1122" s="118">
        <v>0.09</v>
      </c>
    </row>
    <row r="1123" spans="2:5" x14ac:dyDescent="0.2">
      <c r="B1123" s="116" t="s">
        <v>1951</v>
      </c>
      <c r="C1123" s="117" t="s">
        <v>1978</v>
      </c>
      <c r="D1123" s="118">
        <v>-10.96</v>
      </c>
      <c r="E1123" s="118"/>
    </row>
    <row r="1124" spans="2:5" x14ac:dyDescent="0.2">
      <c r="B1124" s="116" t="s">
        <v>1951</v>
      </c>
      <c r="C1124" s="117" t="s">
        <v>4061</v>
      </c>
      <c r="D1124" s="118">
        <v>-10.96</v>
      </c>
      <c r="E1124" s="118"/>
    </row>
    <row r="1125" spans="2:5" x14ac:dyDescent="0.2">
      <c r="B1125" s="116" t="s">
        <v>1979</v>
      </c>
      <c r="C1125" s="117" t="s">
        <v>1980</v>
      </c>
      <c r="D1125" s="118">
        <v>22.78</v>
      </c>
      <c r="E1125" s="118">
        <v>0.28999999999999998</v>
      </c>
    </row>
    <row r="1126" spans="2:5" x14ac:dyDescent="0.2">
      <c r="B1126" s="116" t="s">
        <v>1981</v>
      </c>
      <c r="C1126" s="117" t="s">
        <v>1982</v>
      </c>
      <c r="D1126" s="118">
        <v>7.45</v>
      </c>
      <c r="E1126" s="118">
        <v>7.0000000000000007E-2</v>
      </c>
    </row>
    <row r="1127" spans="2:5" x14ac:dyDescent="0.2">
      <c r="B1127" s="116" t="s">
        <v>1983</v>
      </c>
      <c r="C1127" s="117" t="s">
        <v>1984</v>
      </c>
      <c r="D1127" s="118">
        <v>20.28</v>
      </c>
      <c r="E1127" s="118">
        <v>-0.02</v>
      </c>
    </row>
    <row r="1128" spans="2:5" x14ac:dyDescent="0.2">
      <c r="B1128" s="116" t="s">
        <v>1985</v>
      </c>
      <c r="C1128" s="117" t="s">
        <v>1986</v>
      </c>
      <c r="D1128" s="118">
        <v>14.13</v>
      </c>
      <c r="E1128" s="118">
        <v>-0.17</v>
      </c>
    </row>
    <row r="1129" spans="2:5" x14ac:dyDescent="0.2">
      <c r="B1129" s="116" t="s">
        <v>4062</v>
      </c>
      <c r="C1129" s="117" t="s">
        <v>4063</v>
      </c>
      <c r="D1129" s="118"/>
      <c r="E1129" s="118">
        <v>-1.93</v>
      </c>
    </row>
    <row r="1130" spans="2:5" x14ac:dyDescent="0.2">
      <c r="B1130" s="116" t="s">
        <v>1987</v>
      </c>
      <c r="C1130" s="117" t="s">
        <v>1988</v>
      </c>
      <c r="D1130" s="118">
        <v>5.68</v>
      </c>
      <c r="E1130" s="118">
        <v>0.04</v>
      </c>
    </row>
    <row r="1131" spans="2:5" x14ac:dyDescent="0.2">
      <c r="B1131" s="116" t="s">
        <v>1989</v>
      </c>
      <c r="C1131" s="117" t="s">
        <v>1990</v>
      </c>
      <c r="D1131" s="118">
        <v>23.25</v>
      </c>
      <c r="E1131" s="118">
        <v>0.13</v>
      </c>
    </row>
    <row r="1132" spans="2:5" x14ac:dyDescent="0.2">
      <c r="B1132" s="116" t="s">
        <v>1991</v>
      </c>
      <c r="C1132" s="117" t="s">
        <v>1992</v>
      </c>
      <c r="D1132" s="118">
        <v>9.48</v>
      </c>
      <c r="E1132" s="118">
        <v>-0.01</v>
      </c>
    </row>
    <row r="1133" spans="2:5" x14ac:dyDescent="0.2">
      <c r="B1133" s="116" t="s">
        <v>1993</v>
      </c>
      <c r="C1133" s="117" t="s">
        <v>1994</v>
      </c>
      <c r="D1133" s="118">
        <v>10.18</v>
      </c>
      <c r="E1133" s="118">
        <v>0.09</v>
      </c>
    </row>
    <row r="1134" spans="2:5" x14ac:dyDescent="0.2">
      <c r="B1134" s="116" t="s">
        <v>1995</v>
      </c>
      <c r="C1134" s="117" t="s">
        <v>1996</v>
      </c>
      <c r="D1134" s="118">
        <v>-11.25</v>
      </c>
      <c r="E1134" s="118">
        <v>-0.02</v>
      </c>
    </row>
    <row r="1135" spans="2:5" x14ac:dyDescent="0.2">
      <c r="B1135" s="116" t="s">
        <v>1997</v>
      </c>
      <c r="C1135" s="117" t="s">
        <v>1998</v>
      </c>
      <c r="D1135" s="118">
        <v>11.05</v>
      </c>
      <c r="E1135" s="118">
        <v>0.1</v>
      </c>
    </row>
    <row r="1136" spans="2:5" x14ac:dyDescent="0.2">
      <c r="B1136" s="116" t="s">
        <v>1999</v>
      </c>
      <c r="C1136" s="117" t="s">
        <v>2000</v>
      </c>
      <c r="D1136" s="118">
        <v>1.82</v>
      </c>
      <c r="E1136" s="118">
        <v>0.06</v>
      </c>
    </row>
    <row r="1137" spans="2:5" x14ac:dyDescent="0.2">
      <c r="B1137" s="116" t="s">
        <v>4064</v>
      </c>
      <c r="C1137" s="117" t="s">
        <v>4065</v>
      </c>
      <c r="D1137" s="118"/>
      <c r="E1137" s="118">
        <v>7.0000000000000007E-2</v>
      </c>
    </row>
    <row r="1138" spans="2:5" x14ac:dyDescent="0.2">
      <c r="B1138" s="116" t="s">
        <v>2001</v>
      </c>
      <c r="C1138" s="117" t="s">
        <v>2002</v>
      </c>
      <c r="D1138" s="118">
        <v>14.39</v>
      </c>
      <c r="E1138" s="118">
        <v>0.15</v>
      </c>
    </row>
    <row r="1139" spans="2:5" x14ac:dyDescent="0.2">
      <c r="B1139" s="116" t="s">
        <v>2003</v>
      </c>
      <c r="C1139" s="117" t="s">
        <v>2004</v>
      </c>
      <c r="D1139" s="118">
        <v>1.32</v>
      </c>
      <c r="E1139" s="118">
        <v>0.01</v>
      </c>
    </row>
    <row r="1140" spans="2:5" x14ac:dyDescent="0.2">
      <c r="B1140" s="116" t="s">
        <v>2005</v>
      </c>
      <c r="C1140" s="117" t="s">
        <v>2006</v>
      </c>
      <c r="D1140" s="118">
        <v>12.29</v>
      </c>
      <c r="E1140" s="118">
        <v>0.09</v>
      </c>
    </row>
    <row r="1141" spans="2:5" x14ac:dyDescent="0.2">
      <c r="B1141" s="116" t="s">
        <v>2007</v>
      </c>
      <c r="C1141" s="117" t="s">
        <v>2008</v>
      </c>
      <c r="D1141" s="118">
        <v>21.41</v>
      </c>
      <c r="E1141" s="118">
        <v>0.06</v>
      </c>
    </row>
    <row r="1142" spans="2:5" x14ac:dyDescent="0.2">
      <c r="B1142" s="116" t="s">
        <v>2009</v>
      </c>
      <c r="C1142" s="117" t="s">
        <v>2010</v>
      </c>
      <c r="D1142" s="118">
        <v>36.97</v>
      </c>
      <c r="E1142" s="118">
        <v>0.27</v>
      </c>
    </row>
    <row r="1143" spans="2:5" x14ac:dyDescent="0.2">
      <c r="B1143" s="116" t="s">
        <v>2011</v>
      </c>
      <c r="C1143" s="117" t="s">
        <v>2012</v>
      </c>
      <c r="D1143" s="118">
        <v>5.77</v>
      </c>
      <c r="E1143" s="118">
        <v>0.03</v>
      </c>
    </row>
    <row r="1144" spans="2:5" x14ac:dyDescent="0.2">
      <c r="B1144" s="116" t="s">
        <v>2013</v>
      </c>
      <c r="C1144" s="117" t="s">
        <v>2014</v>
      </c>
      <c r="D1144" s="118">
        <v>-1.79</v>
      </c>
      <c r="E1144" s="118">
        <v>-0.01</v>
      </c>
    </row>
    <row r="1145" spans="2:5" x14ac:dyDescent="0.2">
      <c r="B1145" s="116" t="s">
        <v>2015</v>
      </c>
      <c r="C1145" s="117" t="s">
        <v>2016</v>
      </c>
      <c r="D1145" s="118">
        <v>10.62</v>
      </c>
      <c r="E1145" s="118">
        <v>0.08</v>
      </c>
    </row>
    <row r="1146" spans="2:5" x14ac:dyDescent="0.2">
      <c r="B1146" s="116" t="s">
        <v>2017</v>
      </c>
      <c r="C1146" s="117" t="s">
        <v>2018</v>
      </c>
      <c r="D1146" s="118">
        <v>28.68</v>
      </c>
      <c r="E1146" s="118">
        <v>0.68</v>
      </c>
    </row>
    <row r="1147" spans="2:5" x14ac:dyDescent="0.2">
      <c r="B1147" s="116" t="s">
        <v>2019</v>
      </c>
      <c r="C1147" s="117" t="s">
        <v>2020</v>
      </c>
      <c r="D1147" s="118">
        <v>7.11</v>
      </c>
      <c r="E1147" s="118">
        <v>0.14000000000000001</v>
      </c>
    </row>
    <row r="1148" spans="2:5" x14ac:dyDescent="0.2">
      <c r="B1148" s="116" t="s">
        <v>4066</v>
      </c>
      <c r="C1148" s="117" t="s">
        <v>4067</v>
      </c>
      <c r="D1148" s="118"/>
      <c r="E1148" s="118"/>
    </row>
    <row r="1149" spans="2:5" x14ac:dyDescent="0.2">
      <c r="B1149" s="116" t="s">
        <v>2021</v>
      </c>
      <c r="C1149" s="117" t="s">
        <v>2022</v>
      </c>
      <c r="D1149" s="118">
        <v>24.1</v>
      </c>
      <c r="E1149" s="118">
        <v>0.23</v>
      </c>
    </row>
    <row r="1150" spans="2:5" x14ac:dyDescent="0.2">
      <c r="B1150" s="116" t="s">
        <v>2023</v>
      </c>
      <c r="C1150" s="117" t="s">
        <v>2024</v>
      </c>
      <c r="D1150" s="118"/>
      <c r="E1150" s="118">
        <v>0.14000000000000001</v>
      </c>
    </row>
    <row r="1151" spans="2:5" x14ac:dyDescent="0.2">
      <c r="B1151" s="116" t="s">
        <v>2025</v>
      </c>
      <c r="C1151" s="117" t="s">
        <v>2026</v>
      </c>
      <c r="D1151" s="118">
        <v>37.08</v>
      </c>
      <c r="E1151" s="118">
        <v>0.38</v>
      </c>
    </row>
    <row r="1152" spans="2:5" x14ac:dyDescent="0.2">
      <c r="B1152" s="116" t="s">
        <v>2027</v>
      </c>
      <c r="C1152" s="117" t="s">
        <v>2028</v>
      </c>
      <c r="D1152" s="118">
        <v>5.82</v>
      </c>
      <c r="E1152" s="118">
        <v>0.06</v>
      </c>
    </row>
    <row r="1153" spans="2:5" x14ac:dyDescent="0.2">
      <c r="B1153" s="116" t="s">
        <v>1436</v>
      </c>
      <c r="C1153" s="117" t="s">
        <v>4068</v>
      </c>
      <c r="D1153" s="118">
        <v>8.06</v>
      </c>
      <c r="E1153" s="118">
        <v>0.12</v>
      </c>
    </row>
    <row r="1154" spans="2:5" x14ac:dyDescent="0.2">
      <c r="B1154" s="116" t="s">
        <v>1436</v>
      </c>
      <c r="C1154" s="117" t="s">
        <v>4069</v>
      </c>
      <c r="D1154" s="118">
        <v>8.06</v>
      </c>
      <c r="E1154" s="118"/>
    </row>
    <row r="1155" spans="2:5" x14ac:dyDescent="0.2">
      <c r="B1155" s="116" t="s">
        <v>1436</v>
      </c>
      <c r="C1155" s="117" t="s">
        <v>2029</v>
      </c>
      <c r="D1155" s="118">
        <v>8.06</v>
      </c>
      <c r="E1155" s="118"/>
    </row>
    <row r="1156" spans="2:5" x14ac:dyDescent="0.2">
      <c r="B1156" s="116" t="s">
        <v>2030</v>
      </c>
      <c r="C1156" s="117" t="s">
        <v>2031</v>
      </c>
      <c r="D1156" s="118">
        <v>0.81</v>
      </c>
      <c r="E1156" s="118">
        <v>0.02</v>
      </c>
    </row>
    <row r="1157" spans="2:5" x14ac:dyDescent="0.2">
      <c r="B1157" s="116" t="s">
        <v>4070</v>
      </c>
      <c r="C1157" s="117" t="s">
        <v>4071</v>
      </c>
      <c r="D1157" s="118">
        <v>7.99</v>
      </c>
      <c r="E1157" s="118">
        <v>0.08</v>
      </c>
    </row>
    <row r="1158" spans="2:5" x14ac:dyDescent="0.2">
      <c r="B1158" s="116" t="s">
        <v>2032</v>
      </c>
      <c r="C1158" s="117" t="s">
        <v>2033</v>
      </c>
      <c r="D1158" s="118">
        <v>15.81</v>
      </c>
      <c r="E1158" s="118">
        <v>0.15</v>
      </c>
    </row>
    <row r="1159" spans="2:5" x14ac:dyDescent="0.2">
      <c r="B1159" s="116" t="s">
        <v>4072</v>
      </c>
      <c r="C1159" s="117" t="s">
        <v>4073</v>
      </c>
      <c r="D1159" s="118">
        <v>5.07</v>
      </c>
      <c r="E1159" s="118">
        <v>0.11</v>
      </c>
    </row>
    <row r="1160" spans="2:5" x14ac:dyDescent="0.2">
      <c r="B1160" s="116" t="s">
        <v>2034</v>
      </c>
      <c r="C1160" s="117" t="s">
        <v>2035</v>
      </c>
      <c r="D1160" s="118">
        <v>10.72</v>
      </c>
      <c r="E1160" s="118">
        <v>0.11</v>
      </c>
    </row>
    <row r="1161" spans="2:5" x14ac:dyDescent="0.2">
      <c r="B1161" s="116" t="s">
        <v>2036</v>
      </c>
      <c r="C1161" s="117" t="s">
        <v>2037</v>
      </c>
      <c r="D1161" s="118"/>
      <c r="E1161" s="118">
        <v>0.14000000000000001</v>
      </c>
    </row>
    <row r="1162" spans="2:5" x14ac:dyDescent="0.2">
      <c r="B1162" s="116" t="s">
        <v>2038</v>
      </c>
      <c r="C1162" s="117" t="s">
        <v>2039</v>
      </c>
      <c r="D1162" s="118">
        <v>17.829999999999998</v>
      </c>
      <c r="E1162" s="118">
        <v>0.18</v>
      </c>
    </row>
    <row r="1163" spans="2:5" x14ac:dyDescent="0.2">
      <c r="B1163" s="116" t="s">
        <v>2040</v>
      </c>
      <c r="C1163" s="117" t="s">
        <v>2041</v>
      </c>
      <c r="D1163" s="118">
        <v>12.66</v>
      </c>
      <c r="E1163" s="118">
        <v>0.12</v>
      </c>
    </row>
    <row r="1164" spans="2:5" x14ac:dyDescent="0.2">
      <c r="B1164" s="116" t="s">
        <v>2042</v>
      </c>
      <c r="C1164" s="117" t="s">
        <v>2043</v>
      </c>
      <c r="D1164" s="118">
        <v>10.09</v>
      </c>
      <c r="E1164" s="118">
        <v>0.12</v>
      </c>
    </row>
    <row r="1165" spans="2:5" x14ac:dyDescent="0.2">
      <c r="B1165" s="116" t="s">
        <v>4074</v>
      </c>
      <c r="C1165" s="117" t="s">
        <v>4075</v>
      </c>
      <c r="D1165" s="118"/>
      <c r="E1165" s="118">
        <v>-0.42</v>
      </c>
    </row>
    <row r="1166" spans="2:5" x14ac:dyDescent="0.2">
      <c r="B1166" s="116" t="s">
        <v>2044</v>
      </c>
      <c r="C1166" s="117" t="s">
        <v>2045</v>
      </c>
      <c r="D1166" s="118">
        <v>43.4</v>
      </c>
      <c r="E1166" s="118">
        <v>0.23</v>
      </c>
    </row>
    <row r="1167" spans="2:5" x14ac:dyDescent="0.2">
      <c r="B1167" s="116" t="s">
        <v>4076</v>
      </c>
      <c r="C1167" s="117" t="s">
        <v>4077</v>
      </c>
      <c r="D1167" s="118">
        <v>0.55000000000000004</v>
      </c>
      <c r="E1167" s="118">
        <v>0</v>
      </c>
    </row>
    <row r="1168" spans="2:5" x14ac:dyDescent="0.2">
      <c r="B1168" s="116" t="s">
        <v>2046</v>
      </c>
      <c r="C1168" s="117" t="s">
        <v>2047</v>
      </c>
      <c r="D1168" s="118"/>
      <c r="E1168" s="118">
        <v>0.1</v>
      </c>
    </row>
    <row r="1169" spans="2:5" x14ac:dyDescent="0.2">
      <c r="B1169" s="116" t="s">
        <v>2048</v>
      </c>
      <c r="C1169" s="117" t="s">
        <v>2049</v>
      </c>
      <c r="D1169" s="118">
        <v>4.6500000000000004</v>
      </c>
      <c r="E1169" s="118">
        <v>0.04</v>
      </c>
    </row>
    <row r="1170" spans="2:5" x14ac:dyDescent="0.2">
      <c r="B1170" s="116" t="s">
        <v>2050</v>
      </c>
      <c r="C1170" s="117" t="s">
        <v>2051</v>
      </c>
      <c r="D1170" s="118">
        <v>46.08</v>
      </c>
      <c r="E1170" s="118">
        <v>0.39</v>
      </c>
    </row>
    <row r="1171" spans="2:5" x14ac:dyDescent="0.2">
      <c r="B1171" s="116" t="s">
        <v>2052</v>
      </c>
      <c r="C1171" s="117" t="s">
        <v>2053</v>
      </c>
      <c r="D1171" s="118">
        <v>14.89</v>
      </c>
      <c r="E1171" s="118">
        <v>0.14000000000000001</v>
      </c>
    </row>
    <row r="1172" spans="2:5" x14ac:dyDescent="0.2">
      <c r="B1172" s="116" t="s">
        <v>2054</v>
      </c>
      <c r="C1172" s="117" t="s">
        <v>2055</v>
      </c>
      <c r="D1172" s="118">
        <v>12.78</v>
      </c>
      <c r="E1172" s="118">
        <v>0.06</v>
      </c>
    </row>
    <row r="1173" spans="2:5" x14ac:dyDescent="0.2">
      <c r="B1173" s="116" t="s">
        <v>4078</v>
      </c>
      <c r="C1173" s="117" t="s">
        <v>4079</v>
      </c>
      <c r="D1173" s="118"/>
      <c r="E1173" s="118">
        <v>0</v>
      </c>
    </row>
    <row r="1174" spans="2:5" x14ac:dyDescent="0.2">
      <c r="B1174" s="116" t="s">
        <v>2056</v>
      </c>
      <c r="C1174" s="117" t="s">
        <v>2057</v>
      </c>
      <c r="D1174" s="118">
        <v>2.4500000000000002</v>
      </c>
      <c r="E1174" s="118">
        <v>0.03</v>
      </c>
    </row>
    <row r="1175" spans="2:5" x14ac:dyDescent="0.2">
      <c r="B1175" s="116" t="s">
        <v>2059</v>
      </c>
      <c r="C1175" s="117" t="s">
        <v>2060</v>
      </c>
      <c r="D1175" s="118">
        <v>19.79</v>
      </c>
      <c r="E1175" s="118">
        <v>0.19</v>
      </c>
    </row>
    <row r="1176" spans="2:5" x14ac:dyDescent="0.2">
      <c r="B1176" s="116" t="s">
        <v>2061</v>
      </c>
      <c r="C1176" s="117" t="s">
        <v>2062</v>
      </c>
      <c r="D1176" s="118">
        <v>10.18</v>
      </c>
      <c r="E1176" s="118">
        <v>0.09</v>
      </c>
    </row>
    <row r="1177" spans="2:5" x14ac:dyDescent="0.2">
      <c r="B1177" s="116" t="s">
        <v>4080</v>
      </c>
      <c r="C1177" s="117" t="s">
        <v>4081</v>
      </c>
      <c r="D1177" s="118">
        <v>3.55</v>
      </c>
      <c r="E1177" s="118"/>
    </row>
    <row r="1178" spans="2:5" x14ac:dyDescent="0.2">
      <c r="B1178" s="116" t="s">
        <v>2063</v>
      </c>
      <c r="C1178" s="117" t="s">
        <v>2064</v>
      </c>
      <c r="D1178" s="118">
        <v>9.26</v>
      </c>
      <c r="E1178" s="118">
        <v>0.09</v>
      </c>
    </row>
    <row r="1179" spans="2:5" x14ac:dyDescent="0.2">
      <c r="B1179" s="116" t="s">
        <v>2065</v>
      </c>
      <c r="C1179" s="117" t="s">
        <v>2066</v>
      </c>
      <c r="D1179" s="118">
        <v>19.54</v>
      </c>
      <c r="E1179" s="118">
        <v>0.23</v>
      </c>
    </row>
    <row r="1180" spans="2:5" x14ac:dyDescent="0.2">
      <c r="B1180" s="116" t="s">
        <v>2067</v>
      </c>
      <c r="C1180" s="117" t="s">
        <v>2068</v>
      </c>
      <c r="D1180" s="118">
        <v>-3.62</v>
      </c>
      <c r="E1180" s="118">
        <v>-0.12</v>
      </c>
    </row>
    <row r="1181" spans="2:5" x14ac:dyDescent="0.2">
      <c r="B1181" s="116" t="s">
        <v>4082</v>
      </c>
      <c r="C1181" s="117" t="s">
        <v>4083</v>
      </c>
      <c r="D1181" s="118"/>
      <c r="E1181" s="118"/>
    </row>
    <row r="1182" spans="2:5" x14ac:dyDescent="0.2">
      <c r="B1182" s="116" t="s">
        <v>4084</v>
      </c>
      <c r="C1182" s="117" t="s">
        <v>4085</v>
      </c>
      <c r="D1182" s="118"/>
      <c r="E1182" s="118"/>
    </row>
    <row r="1183" spans="2:5" x14ac:dyDescent="0.2">
      <c r="B1183" s="116" t="s">
        <v>2069</v>
      </c>
      <c r="C1183" s="117" t="s">
        <v>2070</v>
      </c>
      <c r="D1183" s="118">
        <v>12.57</v>
      </c>
      <c r="E1183" s="118">
        <v>0.02</v>
      </c>
    </row>
    <row r="1184" spans="2:5" x14ac:dyDescent="0.2">
      <c r="B1184" s="116" t="s">
        <v>2071</v>
      </c>
      <c r="C1184" s="117" t="s">
        <v>2072</v>
      </c>
      <c r="D1184" s="118">
        <v>29.17</v>
      </c>
      <c r="E1184" s="118">
        <v>0.28000000000000003</v>
      </c>
    </row>
    <row r="1185" spans="2:5" x14ac:dyDescent="0.2">
      <c r="B1185" s="116" t="s">
        <v>2073</v>
      </c>
      <c r="C1185" s="117" t="s">
        <v>2074</v>
      </c>
      <c r="D1185" s="118">
        <v>28.45</v>
      </c>
      <c r="E1185" s="118">
        <v>7.0000000000000007E-2</v>
      </c>
    </row>
    <row r="1186" spans="2:5" x14ac:dyDescent="0.2">
      <c r="B1186" s="116" t="s">
        <v>2075</v>
      </c>
      <c r="C1186" s="117" t="s">
        <v>2076</v>
      </c>
      <c r="D1186" s="118">
        <v>1.25</v>
      </c>
      <c r="E1186" s="118">
        <v>0</v>
      </c>
    </row>
    <row r="1187" spans="2:5" x14ac:dyDescent="0.2">
      <c r="B1187" s="116" t="s">
        <v>2077</v>
      </c>
      <c r="C1187" s="117" t="s">
        <v>2078</v>
      </c>
      <c r="D1187" s="118">
        <v>32.03</v>
      </c>
      <c r="E1187" s="118">
        <v>0.28999999999999998</v>
      </c>
    </row>
    <row r="1188" spans="2:5" x14ac:dyDescent="0.2">
      <c r="B1188" s="116" t="s">
        <v>2079</v>
      </c>
      <c r="C1188" s="117" t="s">
        <v>2080</v>
      </c>
      <c r="D1188" s="118">
        <v>3.75</v>
      </c>
      <c r="E1188" s="118">
        <v>0</v>
      </c>
    </row>
    <row r="1189" spans="2:5" x14ac:dyDescent="0.2">
      <c r="B1189" s="116" t="s">
        <v>2081</v>
      </c>
      <c r="C1189" s="117" t="s">
        <v>2082</v>
      </c>
      <c r="D1189" s="118">
        <v>-15.27</v>
      </c>
      <c r="E1189" s="118">
        <v>-0.37</v>
      </c>
    </row>
    <row r="1190" spans="2:5" x14ac:dyDescent="0.2">
      <c r="B1190" s="116" t="s">
        <v>2083</v>
      </c>
      <c r="C1190" s="117" t="s">
        <v>2084</v>
      </c>
      <c r="D1190" s="118">
        <v>5773.79</v>
      </c>
      <c r="E1190" s="118">
        <v>-20.059999999999999</v>
      </c>
    </row>
    <row r="1191" spans="2:5" x14ac:dyDescent="0.2">
      <c r="B1191" s="116" t="s">
        <v>4086</v>
      </c>
      <c r="C1191" s="117" t="s">
        <v>4087</v>
      </c>
      <c r="D1191" s="118"/>
      <c r="E1191" s="118"/>
    </row>
    <row r="1192" spans="2:5" x14ac:dyDescent="0.2">
      <c r="B1192" s="116" t="s">
        <v>4088</v>
      </c>
      <c r="C1192" s="117" t="s">
        <v>4089</v>
      </c>
      <c r="D1192" s="118"/>
      <c r="E1192" s="118">
        <v>0.14000000000000001</v>
      </c>
    </row>
    <row r="1193" spans="2:5" x14ac:dyDescent="0.2">
      <c r="B1193" s="116" t="s">
        <v>4090</v>
      </c>
      <c r="C1193" s="117" t="s">
        <v>4091</v>
      </c>
      <c r="D1193" s="118"/>
      <c r="E1193" s="118"/>
    </row>
    <row r="1194" spans="2:5" x14ac:dyDescent="0.2">
      <c r="B1194" s="116" t="s">
        <v>2085</v>
      </c>
      <c r="C1194" s="117" t="s">
        <v>2086</v>
      </c>
      <c r="D1194" s="118">
        <v>14.16</v>
      </c>
      <c r="E1194" s="118">
        <v>0.13</v>
      </c>
    </row>
    <row r="1195" spans="2:5" x14ac:dyDescent="0.2">
      <c r="B1195" s="116" t="s">
        <v>2087</v>
      </c>
      <c r="C1195" s="117" t="s">
        <v>2088</v>
      </c>
      <c r="D1195" s="118">
        <v>16.36</v>
      </c>
      <c r="E1195" s="118">
        <v>0.08</v>
      </c>
    </row>
    <row r="1196" spans="2:5" x14ac:dyDescent="0.2">
      <c r="B1196" s="116" t="s">
        <v>2089</v>
      </c>
      <c r="C1196" s="117" t="s">
        <v>2090</v>
      </c>
      <c r="D1196" s="118">
        <v>23.45</v>
      </c>
      <c r="E1196" s="118">
        <v>0.15</v>
      </c>
    </row>
    <row r="1197" spans="2:5" x14ac:dyDescent="0.2">
      <c r="B1197" s="116" t="s">
        <v>2091</v>
      </c>
      <c r="C1197" s="117" t="s">
        <v>2092</v>
      </c>
      <c r="D1197" s="118">
        <v>5.89</v>
      </c>
      <c r="E1197" s="118">
        <v>0.06</v>
      </c>
    </row>
    <row r="1198" spans="2:5" x14ac:dyDescent="0.2">
      <c r="B1198" s="116" t="s">
        <v>2093</v>
      </c>
      <c r="C1198" s="117" t="s">
        <v>2094</v>
      </c>
      <c r="D1198" s="118">
        <v>13.64</v>
      </c>
      <c r="E1198" s="118">
        <v>0.1</v>
      </c>
    </row>
    <row r="1199" spans="2:5" x14ac:dyDescent="0.2">
      <c r="B1199" s="116" t="s">
        <v>4092</v>
      </c>
      <c r="C1199" s="117" t="s">
        <v>4093</v>
      </c>
      <c r="D1199" s="118"/>
      <c r="E1199" s="118"/>
    </row>
    <row r="1200" spans="2:5" x14ac:dyDescent="0.2">
      <c r="B1200" s="116" t="s">
        <v>2095</v>
      </c>
      <c r="C1200" s="117" t="s">
        <v>2096</v>
      </c>
      <c r="D1200" s="118">
        <v>0.87</v>
      </c>
      <c r="E1200" s="118">
        <v>-0.03</v>
      </c>
    </row>
    <row r="1201" spans="2:5" x14ac:dyDescent="0.2">
      <c r="B1201" s="116" t="s">
        <v>4094</v>
      </c>
      <c r="C1201" s="117" t="s">
        <v>4095</v>
      </c>
      <c r="D1201" s="118"/>
      <c r="E1201" s="118">
        <v>0.14000000000000001</v>
      </c>
    </row>
    <row r="1202" spans="2:5" x14ac:dyDescent="0.2">
      <c r="B1202" s="116" t="s">
        <v>2097</v>
      </c>
      <c r="C1202" s="117" t="s">
        <v>2098</v>
      </c>
      <c r="D1202" s="118">
        <v>8.75</v>
      </c>
      <c r="E1202" s="118">
        <v>0.08</v>
      </c>
    </row>
    <row r="1203" spans="2:5" x14ac:dyDescent="0.2">
      <c r="B1203" s="116" t="s">
        <v>2099</v>
      </c>
      <c r="C1203" s="117" t="s">
        <v>2100</v>
      </c>
      <c r="D1203" s="118">
        <v>133.58000000000001</v>
      </c>
      <c r="E1203" s="118">
        <v>0.66</v>
      </c>
    </row>
    <row r="1204" spans="2:5" x14ac:dyDescent="0.2">
      <c r="B1204" s="116" t="s">
        <v>2101</v>
      </c>
      <c r="C1204" s="117" t="s">
        <v>2102</v>
      </c>
      <c r="D1204" s="118">
        <v>9.4600000000000009</v>
      </c>
      <c r="E1204" s="118">
        <v>0.12</v>
      </c>
    </row>
    <row r="1205" spans="2:5" x14ac:dyDescent="0.2">
      <c r="B1205" s="116" t="s">
        <v>2103</v>
      </c>
      <c r="C1205" s="117" t="s">
        <v>2104</v>
      </c>
      <c r="D1205" s="118">
        <v>14.6</v>
      </c>
      <c r="E1205" s="118">
        <v>0.02</v>
      </c>
    </row>
    <row r="1206" spans="2:5" x14ac:dyDescent="0.2">
      <c r="B1206" s="116" t="s">
        <v>4096</v>
      </c>
      <c r="C1206" s="117" t="s">
        <v>4097</v>
      </c>
      <c r="D1206" s="118"/>
      <c r="E1206" s="118"/>
    </row>
    <row r="1207" spans="2:5" x14ac:dyDescent="0.2">
      <c r="B1207" s="116" t="s">
        <v>2105</v>
      </c>
      <c r="C1207" s="117" t="s">
        <v>2106</v>
      </c>
      <c r="D1207" s="118">
        <v>5.23</v>
      </c>
      <c r="E1207" s="118">
        <v>0.06</v>
      </c>
    </row>
    <row r="1208" spans="2:5" x14ac:dyDescent="0.2">
      <c r="B1208" s="116" t="s">
        <v>2107</v>
      </c>
      <c r="C1208" s="117" t="s">
        <v>2108</v>
      </c>
      <c r="D1208" s="118"/>
      <c r="E1208" s="118">
        <v>0.08</v>
      </c>
    </row>
    <row r="1209" spans="2:5" x14ac:dyDescent="0.2">
      <c r="B1209" s="116" t="s">
        <v>2109</v>
      </c>
      <c r="C1209" s="117" t="s">
        <v>2110</v>
      </c>
      <c r="D1209" s="118">
        <v>3.28</v>
      </c>
      <c r="E1209" s="118">
        <v>0.04</v>
      </c>
    </row>
    <row r="1210" spans="2:5" x14ac:dyDescent="0.2">
      <c r="B1210" s="116" t="s">
        <v>2111</v>
      </c>
      <c r="C1210" s="117" t="s">
        <v>2112</v>
      </c>
      <c r="D1210" s="118">
        <v>14.28</v>
      </c>
      <c r="E1210" s="118">
        <v>0.28999999999999998</v>
      </c>
    </row>
    <row r="1211" spans="2:5" x14ac:dyDescent="0.2">
      <c r="B1211" s="116" t="s">
        <v>4098</v>
      </c>
      <c r="C1211" s="117" t="s">
        <v>4099</v>
      </c>
      <c r="D1211" s="118">
        <v>14.46</v>
      </c>
      <c r="E1211" s="118">
        <v>0.15</v>
      </c>
    </row>
    <row r="1212" spans="2:5" x14ac:dyDescent="0.2">
      <c r="B1212" s="116" t="s">
        <v>2113</v>
      </c>
      <c r="C1212" s="117" t="s">
        <v>2114</v>
      </c>
      <c r="D1212" s="118">
        <v>7.96</v>
      </c>
      <c r="E1212" s="118">
        <v>0.09</v>
      </c>
    </row>
    <row r="1213" spans="2:5" x14ac:dyDescent="0.2">
      <c r="B1213" s="116" t="s">
        <v>2116</v>
      </c>
      <c r="C1213" s="117" t="s">
        <v>2117</v>
      </c>
      <c r="D1213" s="118">
        <v>2.52</v>
      </c>
      <c r="E1213" s="118">
        <v>0.02</v>
      </c>
    </row>
    <row r="1214" spans="2:5" x14ac:dyDescent="0.2">
      <c r="B1214" s="116" t="s">
        <v>2118</v>
      </c>
      <c r="C1214" s="117" t="s">
        <v>2119</v>
      </c>
      <c r="D1214" s="118">
        <v>17.940000000000001</v>
      </c>
      <c r="E1214" s="118">
        <v>0.08</v>
      </c>
    </row>
    <row r="1215" spans="2:5" x14ac:dyDescent="0.2">
      <c r="B1215" s="116" t="s">
        <v>2120</v>
      </c>
      <c r="C1215" s="117" t="s">
        <v>2121</v>
      </c>
      <c r="D1215" s="118">
        <v>12.27</v>
      </c>
      <c r="E1215" s="118">
        <v>0.12</v>
      </c>
    </row>
    <row r="1216" spans="2:5" x14ac:dyDescent="0.2">
      <c r="B1216" s="116" t="s">
        <v>4100</v>
      </c>
      <c r="C1216" s="117" t="s">
        <v>4101</v>
      </c>
      <c r="D1216" s="118">
        <v>4.91</v>
      </c>
      <c r="E1216" s="118">
        <v>0.05</v>
      </c>
    </row>
    <row r="1217" spans="2:5" x14ac:dyDescent="0.2">
      <c r="B1217" s="116" t="s">
        <v>4102</v>
      </c>
      <c r="C1217" s="117" t="s">
        <v>4103</v>
      </c>
      <c r="D1217" s="118">
        <v>10.79</v>
      </c>
      <c r="E1217" s="118">
        <v>0.11</v>
      </c>
    </row>
    <row r="1218" spans="2:5" x14ac:dyDescent="0.2">
      <c r="B1218" s="116" t="s">
        <v>4104</v>
      </c>
      <c r="C1218" s="117" t="s">
        <v>4105</v>
      </c>
      <c r="D1218" s="118">
        <v>6.26</v>
      </c>
      <c r="E1218" s="118"/>
    </row>
    <row r="1219" spans="2:5" x14ac:dyDescent="0.2">
      <c r="B1219" s="116" t="s">
        <v>2122</v>
      </c>
      <c r="C1219" s="117" t="s">
        <v>2123</v>
      </c>
      <c r="D1219" s="118">
        <v>12.97</v>
      </c>
      <c r="E1219" s="118">
        <v>0.17</v>
      </c>
    </row>
    <row r="1220" spans="2:5" x14ac:dyDescent="0.2">
      <c r="B1220" s="116" t="s">
        <v>4106</v>
      </c>
      <c r="C1220" s="117" t="s">
        <v>4107</v>
      </c>
      <c r="D1220" s="118">
        <v>14.01</v>
      </c>
      <c r="E1220" s="118">
        <v>0.23</v>
      </c>
    </row>
    <row r="1221" spans="2:5" x14ac:dyDescent="0.2">
      <c r="B1221" s="116" t="s">
        <v>2124</v>
      </c>
      <c r="C1221" s="117" t="s">
        <v>2125</v>
      </c>
      <c r="D1221" s="118">
        <v>9.5299999999999994</v>
      </c>
      <c r="E1221" s="118">
        <v>-0.02</v>
      </c>
    </row>
    <row r="1222" spans="2:5" x14ac:dyDescent="0.2">
      <c r="B1222" s="116" t="s">
        <v>2126</v>
      </c>
      <c r="C1222" s="117" t="s">
        <v>2127</v>
      </c>
      <c r="D1222" s="118">
        <v>16.36</v>
      </c>
      <c r="E1222" s="118">
        <v>0.19</v>
      </c>
    </row>
    <row r="1223" spans="2:5" x14ac:dyDescent="0.2">
      <c r="B1223" s="116" t="s">
        <v>4108</v>
      </c>
      <c r="C1223" s="117" t="s">
        <v>4109</v>
      </c>
      <c r="D1223" s="118">
        <v>11.37</v>
      </c>
      <c r="E1223" s="118">
        <v>0.11</v>
      </c>
    </row>
    <row r="1224" spans="2:5" x14ac:dyDescent="0.2">
      <c r="B1224" s="116" t="s">
        <v>2128</v>
      </c>
      <c r="C1224" s="117" t="s">
        <v>2129</v>
      </c>
      <c r="D1224" s="118">
        <v>39.89</v>
      </c>
      <c r="E1224" s="118">
        <v>0.4</v>
      </c>
    </row>
    <row r="1225" spans="2:5" x14ac:dyDescent="0.2">
      <c r="B1225" s="116" t="s">
        <v>2130</v>
      </c>
      <c r="C1225" s="117" t="s">
        <v>2131</v>
      </c>
      <c r="D1225" s="118">
        <v>7.57</v>
      </c>
      <c r="E1225" s="118">
        <v>7.0000000000000007E-2</v>
      </c>
    </row>
    <row r="1226" spans="2:5" x14ac:dyDescent="0.2">
      <c r="B1226" s="116" t="s">
        <v>4110</v>
      </c>
      <c r="C1226" s="117" t="s">
        <v>4111</v>
      </c>
      <c r="D1226" s="118">
        <v>2.17</v>
      </c>
      <c r="E1226" s="118">
        <v>0.02</v>
      </c>
    </row>
    <row r="1227" spans="2:5" x14ac:dyDescent="0.2">
      <c r="B1227" s="116" t="s">
        <v>2132</v>
      </c>
      <c r="C1227" s="117" t="s">
        <v>2133</v>
      </c>
      <c r="D1227" s="118">
        <v>12.39</v>
      </c>
      <c r="E1227" s="118">
        <v>0.11</v>
      </c>
    </row>
    <row r="1228" spans="2:5" x14ac:dyDescent="0.2">
      <c r="B1228" s="116" t="s">
        <v>2134</v>
      </c>
      <c r="C1228" s="117" t="s">
        <v>2135</v>
      </c>
      <c r="D1228" s="118">
        <v>26.91</v>
      </c>
      <c r="E1228" s="118">
        <v>0.12</v>
      </c>
    </row>
    <row r="1229" spans="2:5" x14ac:dyDescent="0.2">
      <c r="B1229" s="116" t="s">
        <v>4112</v>
      </c>
      <c r="C1229" s="117" t="s">
        <v>4113</v>
      </c>
      <c r="D1229" s="118"/>
      <c r="E1229" s="118"/>
    </row>
    <row r="1230" spans="2:5" x14ac:dyDescent="0.2">
      <c r="B1230" s="116" t="s">
        <v>2136</v>
      </c>
      <c r="C1230" s="117" t="s">
        <v>2137</v>
      </c>
      <c r="D1230" s="118">
        <v>14.94</v>
      </c>
      <c r="E1230" s="118">
        <v>0.11</v>
      </c>
    </row>
    <row r="1231" spans="2:5" x14ac:dyDescent="0.2">
      <c r="B1231" s="116" t="s">
        <v>2138</v>
      </c>
      <c r="C1231" s="117" t="s">
        <v>2139</v>
      </c>
      <c r="D1231" s="118">
        <v>17.16</v>
      </c>
      <c r="E1231" s="118">
        <v>0.16</v>
      </c>
    </row>
    <row r="1232" spans="2:5" x14ac:dyDescent="0.2">
      <c r="B1232" s="116" t="s">
        <v>2140</v>
      </c>
      <c r="C1232" s="117" t="s">
        <v>2141</v>
      </c>
      <c r="D1232" s="118">
        <v>35.450000000000003</v>
      </c>
      <c r="E1232" s="118">
        <v>0.47</v>
      </c>
    </row>
    <row r="1233" spans="2:5" x14ac:dyDescent="0.2">
      <c r="B1233" s="116" t="s">
        <v>2142</v>
      </c>
      <c r="C1233" s="117" t="s">
        <v>2143</v>
      </c>
      <c r="D1233" s="118">
        <v>8.83</v>
      </c>
      <c r="E1233" s="118">
        <v>0.09</v>
      </c>
    </row>
    <row r="1234" spans="2:5" x14ac:dyDescent="0.2">
      <c r="B1234" s="116" t="s">
        <v>4114</v>
      </c>
      <c r="C1234" s="117" t="s">
        <v>4115</v>
      </c>
      <c r="D1234" s="118">
        <v>7.08</v>
      </c>
      <c r="E1234" s="118"/>
    </row>
    <row r="1235" spans="2:5" x14ac:dyDescent="0.2">
      <c r="B1235" s="116" t="s">
        <v>2144</v>
      </c>
      <c r="C1235" s="117" t="s">
        <v>2145</v>
      </c>
      <c r="D1235" s="118">
        <v>26.86</v>
      </c>
      <c r="E1235" s="118">
        <v>0.26</v>
      </c>
    </row>
    <row r="1236" spans="2:5" x14ac:dyDescent="0.2">
      <c r="B1236" s="116" t="s">
        <v>2146</v>
      </c>
      <c r="C1236" s="117" t="s">
        <v>2147</v>
      </c>
      <c r="D1236" s="118">
        <v>38.549999999999997</v>
      </c>
      <c r="E1236" s="118">
        <v>0.27</v>
      </c>
    </row>
    <row r="1237" spans="2:5" x14ac:dyDescent="0.2">
      <c r="B1237" s="116" t="s">
        <v>2148</v>
      </c>
      <c r="C1237" s="117" t="s">
        <v>4116</v>
      </c>
      <c r="D1237" s="118">
        <v>6.32</v>
      </c>
      <c r="E1237" s="118">
        <v>0.04</v>
      </c>
    </row>
    <row r="1238" spans="2:5" x14ac:dyDescent="0.2">
      <c r="B1238" s="116" t="s">
        <v>2150</v>
      </c>
      <c r="C1238" s="117" t="s">
        <v>2151</v>
      </c>
      <c r="D1238" s="118">
        <v>4.9400000000000004</v>
      </c>
      <c r="E1238" s="118">
        <v>0.04</v>
      </c>
    </row>
    <row r="1239" spans="2:5" x14ac:dyDescent="0.2">
      <c r="B1239" s="116" t="s">
        <v>2152</v>
      </c>
      <c r="C1239" s="117" t="s">
        <v>2153</v>
      </c>
      <c r="D1239" s="118">
        <v>24.59</v>
      </c>
      <c r="E1239" s="118">
        <v>0.21</v>
      </c>
    </row>
    <row r="1240" spans="2:5" x14ac:dyDescent="0.2">
      <c r="B1240" s="116" t="s">
        <v>2154</v>
      </c>
      <c r="C1240" s="117" t="s">
        <v>2155</v>
      </c>
      <c r="D1240" s="118"/>
      <c r="E1240" s="118">
        <v>0.11</v>
      </c>
    </row>
    <row r="1241" spans="2:5" x14ac:dyDescent="0.2">
      <c r="B1241" s="116" t="s">
        <v>2156</v>
      </c>
      <c r="C1241" s="117" t="s">
        <v>2157</v>
      </c>
      <c r="D1241" s="118"/>
      <c r="E1241" s="118">
        <v>0.09</v>
      </c>
    </row>
    <row r="1242" spans="2:5" x14ac:dyDescent="0.2">
      <c r="B1242" s="116" t="s">
        <v>4117</v>
      </c>
      <c r="C1242" s="117" t="s">
        <v>4118</v>
      </c>
      <c r="D1242" s="118">
        <v>-35.86</v>
      </c>
      <c r="E1242" s="118">
        <v>-0.74</v>
      </c>
    </row>
    <row r="1243" spans="2:5" x14ac:dyDescent="0.2">
      <c r="B1243" s="116" t="s">
        <v>4119</v>
      </c>
      <c r="C1243" s="117" t="s">
        <v>4120</v>
      </c>
      <c r="D1243" s="118">
        <v>15.75</v>
      </c>
      <c r="E1243" s="118">
        <v>0.18</v>
      </c>
    </row>
    <row r="1244" spans="2:5" x14ac:dyDescent="0.2">
      <c r="B1244" s="116" t="s">
        <v>2158</v>
      </c>
      <c r="C1244" s="117" t="s">
        <v>2159</v>
      </c>
      <c r="D1244" s="118">
        <v>7.71</v>
      </c>
      <c r="E1244" s="118">
        <v>0.05</v>
      </c>
    </row>
    <row r="1245" spans="2:5" x14ac:dyDescent="0.2">
      <c r="B1245" s="116" t="s">
        <v>2160</v>
      </c>
      <c r="C1245" s="117" t="s">
        <v>2161</v>
      </c>
      <c r="D1245" s="118">
        <v>3.01</v>
      </c>
      <c r="E1245" s="118">
        <v>0.03</v>
      </c>
    </row>
    <row r="1246" spans="2:5" x14ac:dyDescent="0.2">
      <c r="B1246" s="116" t="s">
        <v>2162</v>
      </c>
      <c r="C1246" s="117" t="s">
        <v>2163</v>
      </c>
      <c r="D1246" s="118">
        <v>28.78</v>
      </c>
      <c r="E1246" s="118">
        <v>0.28000000000000003</v>
      </c>
    </row>
    <row r="1247" spans="2:5" x14ac:dyDescent="0.2">
      <c r="B1247" s="116" t="s">
        <v>2164</v>
      </c>
      <c r="C1247" s="117" t="s">
        <v>2165</v>
      </c>
      <c r="D1247" s="118">
        <v>42.98</v>
      </c>
      <c r="E1247" s="118">
        <v>1.3</v>
      </c>
    </row>
    <row r="1248" spans="2:5" x14ac:dyDescent="0.2">
      <c r="B1248" s="116" t="s">
        <v>2166</v>
      </c>
      <c r="C1248" s="117" t="s">
        <v>2167</v>
      </c>
      <c r="D1248" s="118">
        <v>28.34</v>
      </c>
      <c r="E1248" s="118">
        <v>0.18</v>
      </c>
    </row>
    <row r="1249" spans="2:5" x14ac:dyDescent="0.2">
      <c r="B1249" s="116" t="s">
        <v>4121</v>
      </c>
      <c r="C1249" s="117" t="s">
        <v>4122</v>
      </c>
      <c r="D1249" s="118">
        <v>12.44</v>
      </c>
      <c r="E1249" s="118">
        <v>0.13</v>
      </c>
    </row>
    <row r="1250" spans="2:5" x14ac:dyDescent="0.2">
      <c r="B1250" s="116" t="s">
        <v>2168</v>
      </c>
      <c r="C1250" s="117" t="s">
        <v>2169</v>
      </c>
      <c r="D1250" s="118">
        <v>13.59</v>
      </c>
      <c r="E1250" s="118">
        <v>7.0000000000000007E-2</v>
      </c>
    </row>
    <row r="1251" spans="2:5" x14ac:dyDescent="0.2">
      <c r="B1251" s="116" t="s">
        <v>2170</v>
      </c>
      <c r="C1251" s="117" t="s">
        <v>2171</v>
      </c>
      <c r="D1251" s="118">
        <v>28.07</v>
      </c>
      <c r="E1251" s="118">
        <v>0.15</v>
      </c>
    </row>
    <row r="1252" spans="2:5" x14ac:dyDescent="0.2">
      <c r="B1252" s="116" t="s">
        <v>2172</v>
      </c>
      <c r="C1252" s="117" t="s">
        <v>2173</v>
      </c>
      <c r="D1252" s="118"/>
      <c r="E1252" s="118">
        <v>-2.85</v>
      </c>
    </row>
    <row r="1253" spans="2:5" x14ac:dyDescent="0.2">
      <c r="B1253" s="116" t="s">
        <v>2174</v>
      </c>
      <c r="C1253" s="117" t="s">
        <v>2175</v>
      </c>
      <c r="D1253" s="118">
        <v>12.64</v>
      </c>
      <c r="E1253" s="118">
        <v>0.17</v>
      </c>
    </row>
    <row r="1254" spans="2:5" x14ac:dyDescent="0.2">
      <c r="B1254" s="116" t="s">
        <v>2176</v>
      </c>
      <c r="C1254" s="117" t="s">
        <v>2177</v>
      </c>
      <c r="D1254" s="118">
        <v>-2697.86</v>
      </c>
      <c r="E1254" s="118">
        <v>-7.61</v>
      </c>
    </row>
    <row r="1255" spans="2:5" x14ac:dyDescent="0.2">
      <c r="B1255" s="116" t="s">
        <v>2178</v>
      </c>
      <c r="C1255" s="117" t="s">
        <v>2179</v>
      </c>
      <c r="D1255" s="118">
        <v>20.75</v>
      </c>
      <c r="E1255" s="118">
        <v>-0.06</v>
      </c>
    </row>
    <row r="1256" spans="2:5" x14ac:dyDescent="0.2">
      <c r="B1256" s="116" t="s">
        <v>2180</v>
      </c>
      <c r="C1256" s="117" t="s">
        <v>2181</v>
      </c>
      <c r="D1256" s="118"/>
      <c r="E1256" s="118">
        <v>0.01</v>
      </c>
    </row>
    <row r="1257" spans="2:5" x14ac:dyDescent="0.2">
      <c r="B1257" s="116" t="s">
        <v>2183</v>
      </c>
      <c r="C1257" s="117" t="s">
        <v>2184</v>
      </c>
      <c r="D1257" s="118">
        <v>20.7</v>
      </c>
      <c r="E1257" s="118">
        <v>0.17</v>
      </c>
    </row>
    <row r="1258" spans="2:5" x14ac:dyDescent="0.2">
      <c r="B1258" s="116" t="s">
        <v>2185</v>
      </c>
      <c r="C1258" s="117" t="s">
        <v>2186</v>
      </c>
      <c r="D1258" s="118">
        <v>13.67</v>
      </c>
      <c r="E1258" s="118">
        <v>0.09</v>
      </c>
    </row>
    <row r="1259" spans="2:5" x14ac:dyDescent="0.2">
      <c r="B1259" s="116" t="s">
        <v>2187</v>
      </c>
      <c r="C1259" s="117" t="s">
        <v>2188</v>
      </c>
      <c r="D1259" s="118">
        <v>3.62</v>
      </c>
      <c r="E1259" s="118"/>
    </row>
    <row r="1260" spans="2:5" x14ac:dyDescent="0.2">
      <c r="B1260" s="116" t="s">
        <v>4123</v>
      </c>
      <c r="C1260" s="117" t="s">
        <v>4124</v>
      </c>
      <c r="D1260" s="118">
        <v>3.39</v>
      </c>
      <c r="E1260" s="118">
        <v>0.04</v>
      </c>
    </row>
    <row r="1261" spans="2:5" x14ac:dyDescent="0.2">
      <c r="B1261" s="116" t="s">
        <v>2189</v>
      </c>
      <c r="C1261" s="117" t="s">
        <v>2190</v>
      </c>
      <c r="D1261" s="118">
        <v>34.17</v>
      </c>
      <c r="E1261" s="118">
        <v>0.35</v>
      </c>
    </row>
    <row r="1262" spans="2:5" x14ac:dyDescent="0.2">
      <c r="B1262" s="116" t="s">
        <v>2191</v>
      </c>
      <c r="C1262" s="117" t="s">
        <v>2192</v>
      </c>
      <c r="D1262" s="118">
        <v>29.27</v>
      </c>
      <c r="E1262" s="118">
        <v>0.31</v>
      </c>
    </row>
    <row r="1263" spans="2:5" x14ac:dyDescent="0.2">
      <c r="B1263" s="116" t="s">
        <v>2193</v>
      </c>
      <c r="C1263" s="117" t="s">
        <v>2194</v>
      </c>
      <c r="D1263" s="118">
        <v>0.7</v>
      </c>
      <c r="E1263" s="118">
        <v>0.01</v>
      </c>
    </row>
    <row r="1264" spans="2:5" x14ac:dyDescent="0.2">
      <c r="B1264" s="116" t="s">
        <v>2195</v>
      </c>
      <c r="C1264" s="117" t="s">
        <v>2196</v>
      </c>
      <c r="D1264" s="118">
        <v>17.22</v>
      </c>
      <c r="E1264" s="118">
        <v>0.13</v>
      </c>
    </row>
    <row r="1265" spans="2:5" x14ac:dyDescent="0.2">
      <c r="B1265" s="116" t="s">
        <v>2197</v>
      </c>
      <c r="C1265" s="117" t="s">
        <v>2198</v>
      </c>
      <c r="D1265" s="118">
        <v>8.82</v>
      </c>
      <c r="E1265" s="118"/>
    </row>
    <row r="1266" spans="2:5" x14ac:dyDescent="0.2">
      <c r="B1266" s="116" t="s">
        <v>2199</v>
      </c>
      <c r="C1266" s="117" t="s">
        <v>2200</v>
      </c>
      <c r="D1266" s="118">
        <v>4.88</v>
      </c>
      <c r="E1266" s="118">
        <v>7.0000000000000007E-2</v>
      </c>
    </row>
    <row r="1267" spans="2:5" x14ac:dyDescent="0.2">
      <c r="B1267" s="116" t="s">
        <v>2201</v>
      </c>
      <c r="C1267" s="117" t="s">
        <v>2202</v>
      </c>
      <c r="D1267" s="118">
        <v>33.270000000000003</v>
      </c>
      <c r="E1267" s="118">
        <v>0.3</v>
      </c>
    </row>
    <row r="1268" spans="2:5" x14ac:dyDescent="0.2">
      <c r="B1268" s="116" t="s">
        <v>2203</v>
      </c>
      <c r="C1268" s="117" t="s">
        <v>2204</v>
      </c>
      <c r="D1268" s="118">
        <v>28.79</v>
      </c>
      <c r="E1268" s="118">
        <v>0.28000000000000003</v>
      </c>
    </row>
    <row r="1269" spans="2:5" x14ac:dyDescent="0.2">
      <c r="B1269" s="116" t="s">
        <v>2205</v>
      </c>
      <c r="C1269" s="117" t="s">
        <v>2206</v>
      </c>
      <c r="D1269" s="118">
        <v>18.2</v>
      </c>
      <c r="E1269" s="118">
        <v>0.17</v>
      </c>
    </row>
    <row r="1270" spans="2:5" x14ac:dyDescent="0.2">
      <c r="B1270" s="116" t="s">
        <v>2207</v>
      </c>
      <c r="C1270" s="117" t="s">
        <v>2208</v>
      </c>
      <c r="D1270" s="118">
        <v>56.49</v>
      </c>
      <c r="E1270" s="118">
        <v>0.6</v>
      </c>
    </row>
    <row r="1271" spans="2:5" x14ac:dyDescent="0.2">
      <c r="B1271" s="116" t="s">
        <v>2209</v>
      </c>
      <c r="C1271" s="117" t="s">
        <v>2210</v>
      </c>
      <c r="D1271" s="118">
        <v>5.36</v>
      </c>
      <c r="E1271" s="118"/>
    </row>
    <row r="1272" spans="2:5" x14ac:dyDescent="0.2">
      <c r="B1272" s="116" t="s">
        <v>2211</v>
      </c>
      <c r="C1272" s="117" t="s">
        <v>2212</v>
      </c>
      <c r="D1272" s="118">
        <v>14.14</v>
      </c>
      <c r="E1272" s="118"/>
    </row>
    <row r="1273" spans="2:5" x14ac:dyDescent="0.2">
      <c r="B1273" s="116" t="s">
        <v>4125</v>
      </c>
      <c r="C1273" s="117" t="s">
        <v>4126</v>
      </c>
      <c r="D1273" s="118"/>
      <c r="E1273" s="118">
        <v>0.06</v>
      </c>
    </row>
    <row r="1274" spans="2:5" x14ac:dyDescent="0.2">
      <c r="B1274" s="116" t="s">
        <v>4127</v>
      </c>
      <c r="C1274" s="117" t="s">
        <v>4128</v>
      </c>
      <c r="D1274" s="118">
        <v>10.51</v>
      </c>
      <c r="E1274" s="118">
        <v>0.1</v>
      </c>
    </row>
    <row r="1275" spans="2:5" x14ac:dyDescent="0.2">
      <c r="B1275" s="116" t="s">
        <v>2213</v>
      </c>
      <c r="C1275" s="117" t="s">
        <v>2214</v>
      </c>
      <c r="D1275" s="118">
        <v>4.8099999999999996</v>
      </c>
      <c r="E1275" s="118">
        <v>0.04</v>
      </c>
    </row>
    <row r="1276" spans="2:5" x14ac:dyDescent="0.2">
      <c r="B1276" s="116" t="s">
        <v>2215</v>
      </c>
      <c r="C1276" s="117" t="s">
        <v>2216</v>
      </c>
      <c r="D1276" s="118">
        <v>40.74</v>
      </c>
      <c r="E1276" s="118"/>
    </row>
    <row r="1277" spans="2:5" x14ac:dyDescent="0.2">
      <c r="B1277" s="116" t="s">
        <v>4129</v>
      </c>
      <c r="C1277" s="117" t="s">
        <v>4130</v>
      </c>
      <c r="D1277" s="118"/>
      <c r="E1277" s="118"/>
    </row>
    <row r="1278" spans="2:5" x14ac:dyDescent="0.2">
      <c r="B1278" s="116" t="s">
        <v>2218</v>
      </c>
      <c r="C1278" s="117" t="s">
        <v>2219</v>
      </c>
      <c r="D1278" s="118">
        <v>16.38</v>
      </c>
      <c r="E1278" s="118">
        <v>0.13</v>
      </c>
    </row>
    <row r="1279" spans="2:5" x14ac:dyDescent="0.2">
      <c r="B1279" s="116" t="s">
        <v>2220</v>
      </c>
      <c r="C1279" s="117" t="s">
        <v>2221</v>
      </c>
      <c r="D1279" s="118">
        <v>6.65</v>
      </c>
      <c r="E1279" s="118">
        <v>0.16</v>
      </c>
    </row>
    <row r="1280" spans="2:5" x14ac:dyDescent="0.2">
      <c r="B1280" s="116" t="s">
        <v>4131</v>
      </c>
      <c r="C1280" s="117" t="s">
        <v>4132</v>
      </c>
      <c r="D1280" s="118">
        <v>4.6399999999999997</v>
      </c>
      <c r="E1280" s="118">
        <v>0.05</v>
      </c>
    </row>
    <row r="1281" spans="2:5" x14ac:dyDescent="0.2">
      <c r="B1281" s="116" t="s">
        <v>4133</v>
      </c>
      <c r="C1281" s="117" t="s">
        <v>4134</v>
      </c>
      <c r="D1281" s="118">
        <v>4.99</v>
      </c>
      <c r="E1281" s="118">
        <v>0.05</v>
      </c>
    </row>
    <row r="1282" spans="2:5" x14ac:dyDescent="0.2">
      <c r="B1282" s="116" t="s">
        <v>2222</v>
      </c>
      <c r="C1282" s="117" t="s">
        <v>2223</v>
      </c>
      <c r="D1282" s="118">
        <v>8.0500000000000007</v>
      </c>
      <c r="E1282" s="118">
        <v>7.0000000000000007E-2</v>
      </c>
    </row>
    <row r="1283" spans="2:5" x14ac:dyDescent="0.2">
      <c r="B1283" s="116" t="s">
        <v>2224</v>
      </c>
      <c r="C1283" s="117" t="s">
        <v>2225</v>
      </c>
      <c r="D1283" s="118">
        <v>29.26</v>
      </c>
      <c r="E1283" s="118">
        <v>0.36</v>
      </c>
    </row>
    <row r="1284" spans="2:5" x14ac:dyDescent="0.2">
      <c r="B1284" s="116" t="s">
        <v>2226</v>
      </c>
      <c r="C1284" s="117" t="s">
        <v>2227</v>
      </c>
      <c r="D1284" s="118">
        <v>20.13</v>
      </c>
      <c r="E1284" s="118">
        <v>0.03</v>
      </c>
    </row>
    <row r="1285" spans="2:5" x14ac:dyDescent="0.2">
      <c r="B1285" s="116" t="s">
        <v>2228</v>
      </c>
      <c r="C1285" s="117" t="s">
        <v>2229</v>
      </c>
      <c r="D1285" s="118">
        <v>2.0299999999999998</v>
      </c>
      <c r="E1285" s="118">
        <v>0.02</v>
      </c>
    </row>
    <row r="1286" spans="2:5" x14ac:dyDescent="0.2">
      <c r="B1286" s="116" t="s">
        <v>2230</v>
      </c>
      <c r="C1286" s="117" t="s">
        <v>2231</v>
      </c>
      <c r="D1286" s="118"/>
      <c r="E1286" s="118">
        <v>0.17</v>
      </c>
    </row>
    <row r="1287" spans="2:5" x14ac:dyDescent="0.2">
      <c r="B1287" s="116" t="s">
        <v>4135</v>
      </c>
      <c r="C1287" s="117" t="s">
        <v>4136</v>
      </c>
      <c r="D1287" s="118">
        <v>16</v>
      </c>
      <c r="E1287" s="118">
        <v>0.11</v>
      </c>
    </row>
    <row r="1288" spans="2:5" x14ac:dyDescent="0.2">
      <c r="B1288" s="116" t="s">
        <v>2232</v>
      </c>
      <c r="C1288" s="117" t="s">
        <v>2233</v>
      </c>
      <c r="D1288" s="118">
        <v>49.62</v>
      </c>
      <c r="E1288" s="118">
        <v>7.0000000000000007E-2</v>
      </c>
    </row>
    <row r="1289" spans="2:5" x14ac:dyDescent="0.2">
      <c r="B1289" s="116" t="s">
        <v>2234</v>
      </c>
      <c r="C1289" s="117" t="s">
        <v>2235</v>
      </c>
      <c r="D1289" s="118">
        <v>0.35</v>
      </c>
      <c r="E1289" s="118">
        <v>0.05</v>
      </c>
    </row>
    <row r="1290" spans="2:5" x14ac:dyDescent="0.2">
      <c r="B1290" s="116" t="s">
        <v>2236</v>
      </c>
      <c r="C1290" s="117" t="s">
        <v>2237</v>
      </c>
      <c r="D1290" s="118">
        <v>1.99</v>
      </c>
      <c r="E1290" s="118">
        <v>-0.01</v>
      </c>
    </row>
    <row r="1291" spans="2:5" x14ac:dyDescent="0.2">
      <c r="B1291" s="116" t="s">
        <v>2238</v>
      </c>
      <c r="C1291" s="117" t="s">
        <v>2239</v>
      </c>
      <c r="D1291" s="118">
        <v>18.38</v>
      </c>
      <c r="E1291" s="118">
        <v>0.16</v>
      </c>
    </row>
    <row r="1292" spans="2:5" x14ac:dyDescent="0.2">
      <c r="B1292" s="116" t="s">
        <v>4137</v>
      </c>
      <c r="C1292" s="117" t="s">
        <v>4138</v>
      </c>
      <c r="D1292" s="118"/>
      <c r="E1292" s="118">
        <v>0.15</v>
      </c>
    </row>
    <row r="1293" spans="2:5" x14ac:dyDescent="0.2">
      <c r="B1293" s="116" t="s">
        <v>2240</v>
      </c>
      <c r="C1293" s="117" t="s">
        <v>2241</v>
      </c>
      <c r="D1293" s="118">
        <v>6.08</v>
      </c>
      <c r="E1293" s="118">
        <v>-0.01</v>
      </c>
    </row>
    <row r="1294" spans="2:5" x14ac:dyDescent="0.2">
      <c r="B1294" s="116" t="s">
        <v>2242</v>
      </c>
      <c r="C1294" s="117" t="s">
        <v>2243</v>
      </c>
      <c r="D1294" s="118"/>
      <c r="E1294" s="118"/>
    </row>
    <row r="1295" spans="2:5" x14ac:dyDescent="0.2">
      <c r="B1295" s="116" t="s">
        <v>2244</v>
      </c>
      <c r="C1295" s="117" t="s">
        <v>2245</v>
      </c>
      <c r="D1295" s="118">
        <v>32.409999999999997</v>
      </c>
      <c r="E1295" s="118">
        <v>0.11</v>
      </c>
    </row>
    <row r="1296" spans="2:5" x14ac:dyDescent="0.2">
      <c r="B1296" s="116" t="s">
        <v>4139</v>
      </c>
      <c r="C1296" s="117" t="s">
        <v>4140</v>
      </c>
      <c r="D1296" s="118">
        <v>8.24</v>
      </c>
      <c r="E1296" s="118">
        <v>0.08</v>
      </c>
    </row>
    <row r="1297" spans="2:5" x14ac:dyDescent="0.2">
      <c r="B1297" s="116" t="s">
        <v>4141</v>
      </c>
      <c r="C1297" s="117" t="s">
        <v>4142</v>
      </c>
      <c r="D1297" s="118"/>
      <c r="E1297" s="118"/>
    </row>
    <row r="1298" spans="2:5" x14ac:dyDescent="0.2">
      <c r="B1298" s="116" t="s">
        <v>2246</v>
      </c>
      <c r="C1298" s="117" t="s">
        <v>2247</v>
      </c>
      <c r="D1298" s="118">
        <v>14.8</v>
      </c>
      <c r="E1298" s="118">
        <v>0.17</v>
      </c>
    </row>
    <row r="1299" spans="2:5" x14ac:dyDescent="0.2">
      <c r="B1299" s="116" t="s">
        <v>4143</v>
      </c>
      <c r="C1299" s="117" t="s">
        <v>4144</v>
      </c>
      <c r="D1299" s="118"/>
      <c r="E1299" s="118"/>
    </row>
    <row r="1300" spans="2:5" x14ac:dyDescent="0.2">
      <c r="B1300" s="116" t="s">
        <v>2248</v>
      </c>
      <c r="C1300" s="117" t="s">
        <v>2249</v>
      </c>
      <c r="D1300" s="118">
        <v>22.13</v>
      </c>
      <c r="E1300" s="118">
        <v>0.4</v>
      </c>
    </row>
    <row r="1301" spans="2:5" x14ac:dyDescent="0.2">
      <c r="B1301" s="116" t="s">
        <v>2250</v>
      </c>
      <c r="C1301" s="117" t="s">
        <v>2251</v>
      </c>
      <c r="D1301" s="118">
        <v>8.39</v>
      </c>
      <c r="E1301" s="118">
        <v>0.05</v>
      </c>
    </row>
    <row r="1302" spans="2:5" x14ac:dyDescent="0.2">
      <c r="B1302" s="116" t="s">
        <v>2252</v>
      </c>
      <c r="C1302" s="117" t="s">
        <v>2253</v>
      </c>
      <c r="D1302" s="118">
        <v>14.53</v>
      </c>
      <c r="E1302" s="118">
        <v>0.15</v>
      </c>
    </row>
    <row r="1303" spans="2:5" x14ac:dyDescent="0.2">
      <c r="B1303" s="116" t="s">
        <v>4145</v>
      </c>
      <c r="C1303" s="117" t="s">
        <v>4146</v>
      </c>
      <c r="D1303" s="118">
        <v>11.7</v>
      </c>
      <c r="E1303" s="118">
        <v>0.1</v>
      </c>
    </row>
    <row r="1304" spans="2:5" x14ac:dyDescent="0.2">
      <c r="B1304" s="116" t="s">
        <v>2256</v>
      </c>
      <c r="C1304" s="117" t="s">
        <v>2257</v>
      </c>
      <c r="D1304" s="118">
        <v>7.4</v>
      </c>
      <c r="E1304" s="118">
        <v>-0.09</v>
      </c>
    </row>
    <row r="1305" spans="2:5" x14ac:dyDescent="0.2">
      <c r="B1305" s="116" t="s">
        <v>2258</v>
      </c>
      <c r="C1305" s="117" t="s">
        <v>2259</v>
      </c>
      <c r="D1305" s="118"/>
      <c r="E1305" s="118">
        <v>-0.7</v>
      </c>
    </row>
    <row r="1306" spans="2:5" x14ac:dyDescent="0.2">
      <c r="B1306" s="116" t="s">
        <v>2260</v>
      </c>
      <c r="C1306" s="117" t="s">
        <v>2261</v>
      </c>
      <c r="D1306" s="118">
        <v>17.43</v>
      </c>
      <c r="E1306" s="118">
        <v>0.25</v>
      </c>
    </row>
    <row r="1307" spans="2:5" x14ac:dyDescent="0.2">
      <c r="B1307" s="116" t="s">
        <v>2262</v>
      </c>
      <c r="C1307" s="117" t="s">
        <v>2263</v>
      </c>
      <c r="D1307" s="118">
        <v>6.53</v>
      </c>
      <c r="E1307" s="118">
        <v>0.08</v>
      </c>
    </row>
    <row r="1308" spans="2:5" x14ac:dyDescent="0.2">
      <c r="B1308" s="116" t="s">
        <v>2264</v>
      </c>
      <c r="C1308" s="117" t="s">
        <v>2265</v>
      </c>
      <c r="D1308" s="118"/>
      <c r="E1308" s="118">
        <v>0.1</v>
      </c>
    </row>
    <row r="1309" spans="2:5" x14ac:dyDescent="0.2">
      <c r="B1309" s="116" t="s">
        <v>2266</v>
      </c>
      <c r="C1309" s="117" t="s">
        <v>2267</v>
      </c>
      <c r="D1309" s="118"/>
      <c r="E1309" s="118">
        <v>0.13</v>
      </c>
    </row>
    <row r="1310" spans="2:5" x14ac:dyDescent="0.2">
      <c r="B1310" s="116" t="s">
        <v>2268</v>
      </c>
      <c r="C1310" s="117" t="s">
        <v>2269</v>
      </c>
      <c r="D1310" s="118">
        <v>15.93</v>
      </c>
      <c r="E1310" s="118">
        <v>0.15</v>
      </c>
    </row>
    <row r="1311" spans="2:5" x14ac:dyDescent="0.2">
      <c r="B1311" s="116" t="s">
        <v>2270</v>
      </c>
      <c r="C1311" s="117" t="s">
        <v>2271</v>
      </c>
      <c r="D1311" s="118">
        <v>50.71</v>
      </c>
      <c r="E1311" s="118">
        <v>0.52</v>
      </c>
    </row>
    <row r="1312" spans="2:5" x14ac:dyDescent="0.2">
      <c r="B1312" s="116" t="s">
        <v>2272</v>
      </c>
      <c r="C1312" s="117" t="s">
        <v>2273</v>
      </c>
      <c r="D1312" s="118">
        <v>1.23</v>
      </c>
      <c r="E1312" s="118">
        <v>0.03</v>
      </c>
    </row>
    <row r="1313" spans="2:5" x14ac:dyDescent="0.2">
      <c r="B1313" s="116" t="s">
        <v>2274</v>
      </c>
      <c r="C1313" s="117" t="s">
        <v>2275</v>
      </c>
      <c r="D1313" s="118">
        <v>9.91</v>
      </c>
      <c r="E1313" s="118">
        <v>-0.01</v>
      </c>
    </row>
    <row r="1314" spans="2:5" x14ac:dyDescent="0.2">
      <c r="B1314" s="116" t="s">
        <v>2276</v>
      </c>
      <c r="C1314" s="117" t="s">
        <v>2277</v>
      </c>
      <c r="D1314" s="118">
        <v>20.96</v>
      </c>
      <c r="E1314" s="118">
        <v>0.11</v>
      </c>
    </row>
    <row r="1315" spans="2:5" x14ac:dyDescent="0.2">
      <c r="B1315" s="116" t="s">
        <v>4147</v>
      </c>
      <c r="C1315" s="117" t="s">
        <v>4148</v>
      </c>
      <c r="D1315" s="118"/>
      <c r="E1315" s="118">
        <v>0.26</v>
      </c>
    </row>
    <row r="1316" spans="2:5" x14ac:dyDescent="0.2">
      <c r="B1316" s="116" t="s">
        <v>2278</v>
      </c>
      <c r="C1316" s="117" t="s">
        <v>2279</v>
      </c>
      <c r="D1316" s="118">
        <v>8.4600000000000009</v>
      </c>
      <c r="E1316" s="118">
        <v>0.09</v>
      </c>
    </row>
    <row r="1317" spans="2:5" x14ac:dyDescent="0.2">
      <c r="B1317" s="116" t="s">
        <v>2280</v>
      </c>
      <c r="C1317" s="117" t="s">
        <v>2281</v>
      </c>
      <c r="D1317" s="118"/>
      <c r="E1317" s="118">
        <v>-1.94</v>
      </c>
    </row>
    <row r="1318" spans="2:5" x14ac:dyDescent="0.2">
      <c r="B1318" s="116" t="s">
        <v>2282</v>
      </c>
      <c r="C1318" s="117" t="s">
        <v>2283</v>
      </c>
      <c r="D1318" s="118">
        <v>5.13</v>
      </c>
      <c r="E1318" s="118">
        <v>7.0000000000000007E-2</v>
      </c>
    </row>
    <row r="1319" spans="2:5" x14ac:dyDescent="0.2">
      <c r="B1319" s="116" t="s">
        <v>2284</v>
      </c>
      <c r="C1319" s="117" t="s">
        <v>2285</v>
      </c>
      <c r="D1319" s="118">
        <v>4.3499999999999996</v>
      </c>
      <c r="E1319" s="118">
        <v>0.08</v>
      </c>
    </row>
    <row r="1320" spans="2:5" x14ac:dyDescent="0.2">
      <c r="B1320" s="116" t="s">
        <v>2286</v>
      </c>
      <c r="C1320" s="117" t="s">
        <v>2287</v>
      </c>
      <c r="D1320" s="118">
        <v>10.3</v>
      </c>
      <c r="E1320" s="118">
        <v>0.1</v>
      </c>
    </row>
    <row r="1321" spans="2:5" x14ac:dyDescent="0.2">
      <c r="B1321" s="116" t="s">
        <v>2288</v>
      </c>
      <c r="C1321" s="117" t="s">
        <v>2289</v>
      </c>
      <c r="D1321" s="118">
        <v>-354.9</v>
      </c>
      <c r="E1321" s="118">
        <v>0.56999999999999995</v>
      </c>
    </row>
    <row r="1322" spans="2:5" x14ac:dyDescent="0.2">
      <c r="B1322" s="116" t="s">
        <v>2290</v>
      </c>
      <c r="C1322" s="117" t="s">
        <v>2291</v>
      </c>
      <c r="D1322" s="118">
        <v>10.35</v>
      </c>
      <c r="E1322" s="118">
        <v>-0.11</v>
      </c>
    </row>
    <row r="1323" spans="2:5" x14ac:dyDescent="0.2">
      <c r="B1323" s="116" t="s">
        <v>2292</v>
      </c>
      <c r="C1323" s="117" t="s">
        <v>2293</v>
      </c>
      <c r="D1323" s="118">
        <v>162.4</v>
      </c>
      <c r="E1323" s="118">
        <v>0.04</v>
      </c>
    </row>
    <row r="1324" spans="2:5" x14ac:dyDescent="0.2">
      <c r="B1324" s="116" t="s">
        <v>2294</v>
      </c>
      <c r="C1324" s="117" t="s">
        <v>2295</v>
      </c>
      <c r="D1324" s="118"/>
      <c r="E1324" s="118"/>
    </row>
    <row r="1325" spans="2:5" x14ac:dyDescent="0.2">
      <c r="B1325" s="116" t="s">
        <v>2296</v>
      </c>
      <c r="C1325" s="117" t="s">
        <v>2297</v>
      </c>
      <c r="D1325" s="118">
        <v>-2.78</v>
      </c>
      <c r="E1325" s="118">
        <v>-0.09</v>
      </c>
    </row>
    <row r="1326" spans="2:5" x14ac:dyDescent="0.2">
      <c r="B1326" s="116" t="s">
        <v>2298</v>
      </c>
      <c r="C1326" s="117" t="s">
        <v>2299</v>
      </c>
      <c r="D1326" s="118"/>
      <c r="E1326" s="118">
        <v>0.14000000000000001</v>
      </c>
    </row>
    <row r="1327" spans="2:5" x14ac:dyDescent="0.2">
      <c r="B1327" s="116" t="s">
        <v>4149</v>
      </c>
      <c r="C1327" s="117" t="s">
        <v>4150</v>
      </c>
      <c r="D1327" s="118">
        <v>6.72</v>
      </c>
      <c r="E1327" s="118">
        <v>0.06</v>
      </c>
    </row>
    <row r="1328" spans="2:5" x14ac:dyDescent="0.2">
      <c r="B1328" s="116" t="s">
        <v>2300</v>
      </c>
      <c r="C1328" s="117" t="s">
        <v>2301</v>
      </c>
      <c r="D1328" s="118">
        <v>43.21</v>
      </c>
      <c r="E1328" s="118">
        <v>0.47</v>
      </c>
    </row>
    <row r="1329" spans="2:5" x14ac:dyDescent="0.2">
      <c r="B1329" s="116" t="s">
        <v>2302</v>
      </c>
      <c r="C1329" s="117" t="s">
        <v>2303</v>
      </c>
      <c r="D1329" s="118">
        <v>11.31</v>
      </c>
      <c r="E1329" s="118">
        <v>0.11</v>
      </c>
    </row>
    <row r="1330" spans="2:5" x14ac:dyDescent="0.2">
      <c r="B1330" s="116" t="s">
        <v>2304</v>
      </c>
      <c r="C1330" s="117" t="s">
        <v>2305</v>
      </c>
      <c r="D1330" s="118">
        <v>5.13</v>
      </c>
      <c r="E1330" s="118">
        <v>-0.02</v>
      </c>
    </row>
    <row r="1331" spans="2:5" x14ac:dyDescent="0.2">
      <c r="B1331" s="116" t="s">
        <v>2306</v>
      </c>
      <c r="C1331" s="117" t="s">
        <v>2307</v>
      </c>
      <c r="D1331" s="118">
        <v>9.6</v>
      </c>
      <c r="E1331" s="118">
        <v>0.08</v>
      </c>
    </row>
    <row r="1332" spans="2:5" x14ac:dyDescent="0.2">
      <c r="B1332" s="116" t="s">
        <v>2308</v>
      </c>
      <c r="C1332" s="117" t="s">
        <v>2309</v>
      </c>
      <c r="D1332" s="118">
        <v>-0.93</v>
      </c>
      <c r="E1332" s="118">
        <v>0</v>
      </c>
    </row>
    <row r="1333" spans="2:5" x14ac:dyDescent="0.2">
      <c r="B1333" s="116" t="s">
        <v>2311</v>
      </c>
      <c r="C1333" s="117" t="s">
        <v>2312</v>
      </c>
      <c r="D1333" s="118">
        <v>17.97</v>
      </c>
      <c r="E1333" s="118">
        <v>-0.01</v>
      </c>
    </row>
    <row r="1334" spans="2:5" x14ac:dyDescent="0.2">
      <c r="B1334" s="116" t="s">
        <v>2313</v>
      </c>
      <c r="C1334" s="117" t="s">
        <v>2314</v>
      </c>
      <c r="D1334" s="118"/>
      <c r="E1334" s="118"/>
    </row>
    <row r="1335" spans="2:5" x14ac:dyDescent="0.2">
      <c r="B1335" s="116" t="s">
        <v>4151</v>
      </c>
      <c r="C1335" s="117" t="s">
        <v>4152</v>
      </c>
      <c r="D1335" s="118">
        <v>3.04</v>
      </c>
      <c r="E1335" s="118">
        <v>0.04</v>
      </c>
    </row>
    <row r="1336" spans="2:5" x14ac:dyDescent="0.2">
      <c r="B1336" s="116" t="s">
        <v>4153</v>
      </c>
      <c r="C1336" s="117" t="s">
        <v>4154</v>
      </c>
      <c r="D1336" s="118">
        <v>4.92</v>
      </c>
      <c r="E1336" s="118">
        <v>0.06</v>
      </c>
    </row>
    <row r="1337" spans="2:5" x14ac:dyDescent="0.2">
      <c r="B1337" s="116" t="s">
        <v>4155</v>
      </c>
      <c r="C1337" s="117" t="s">
        <v>4156</v>
      </c>
      <c r="D1337" s="118"/>
      <c r="E1337" s="118">
        <v>2.1</v>
      </c>
    </row>
    <row r="1338" spans="2:5" x14ac:dyDescent="0.2">
      <c r="B1338" s="116" t="s">
        <v>4157</v>
      </c>
      <c r="C1338" s="117" t="s">
        <v>4158</v>
      </c>
      <c r="D1338" s="118">
        <v>28.15</v>
      </c>
      <c r="E1338" s="118">
        <v>0.28000000000000003</v>
      </c>
    </row>
    <row r="1339" spans="2:5" x14ac:dyDescent="0.2">
      <c r="B1339" s="116" t="s">
        <v>2316</v>
      </c>
      <c r="C1339" s="117" t="s">
        <v>2317</v>
      </c>
      <c r="D1339" s="118">
        <v>6.24</v>
      </c>
      <c r="E1339" s="118">
        <v>0.03</v>
      </c>
    </row>
    <row r="1340" spans="2:5" x14ac:dyDescent="0.2">
      <c r="B1340" s="116" t="s">
        <v>2318</v>
      </c>
      <c r="C1340" s="117" t="s">
        <v>2319</v>
      </c>
      <c r="D1340" s="118">
        <v>10.53</v>
      </c>
      <c r="E1340" s="118">
        <v>0.1</v>
      </c>
    </row>
    <row r="1341" spans="2:5" x14ac:dyDescent="0.2">
      <c r="B1341" s="116" t="s">
        <v>2320</v>
      </c>
      <c r="C1341" s="117" t="s">
        <v>2321</v>
      </c>
      <c r="D1341" s="118">
        <v>89.84</v>
      </c>
      <c r="E1341" s="118">
        <v>0.57999999999999996</v>
      </c>
    </row>
    <row r="1342" spans="2:5" x14ac:dyDescent="0.2">
      <c r="B1342" s="116" t="s">
        <v>2322</v>
      </c>
      <c r="C1342" s="117" t="s">
        <v>2323</v>
      </c>
      <c r="D1342" s="118">
        <v>8.83</v>
      </c>
      <c r="E1342" s="118">
        <v>0.1</v>
      </c>
    </row>
    <row r="1343" spans="2:5" x14ac:dyDescent="0.2">
      <c r="B1343" s="116" t="s">
        <v>2324</v>
      </c>
      <c r="C1343" s="117" t="s">
        <v>2325</v>
      </c>
      <c r="D1343" s="118">
        <v>2.56</v>
      </c>
      <c r="E1343" s="118">
        <v>0.03</v>
      </c>
    </row>
    <row r="1344" spans="2:5" x14ac:dyDescent="0.2">
      <c r="B1344" s="116" t="s">
        <v>2326</v>
      </c>
      <c r="C1344" s="117" t="s">
        <v>2327</v>
      </c>
      <c r="D1344" s="118">
        <v>24.15</v>
      </c>
      <c r="E1344" s="118">
        <v>0.23</v>
      </c>
    </row>
    <row r="1345" spans="2:5" x14ac:dyDescent="0.2">
      <c r="B1345" s="116" t="s">
        <v>2328</v>
      </c>
      <c r="C1345" s="117" t="s">
        <v>2329</v>
      </c>
      <c r="D1345" s="118">
        <v>4.5199999999999996</v>
      </c>
      <c r="E1345" s="118">
        <v>0.04</v>
      </c>
    </row>
    <row r="1346" spans="2:5" x14ac:dyDescent="0.2">
      <c r="B1346" s="116" t="s">
        <v>2330</v>
      </c>
      <c r="C1346" s="117" t="s">
        <v>2331</v>
      </c>
      <c r="D1346" s="118"/>
      <c r="E1346" s="118">
        <v>0.11</v>
      </c>
    </row>
    <row r="1347" spans="2:5" x14ac:dyDescent="0.2">
      <c r="B1347" s="116" t="s">
        <v>2332</v>
      </c>
      <c r="C1347" s="117" t="s">
        <v>2333</v>
      </c>
      <c r="D1347" s="118">
        <v>17.72</v>
      </c>
      <c r="E1347" s="118">
        <v>0.19</v>
      </c>
    </row>
    <row r="1348" spans="2:5" x14ac:dyDescent="0.2">
      <c r="B1348" s="116" t="s">
        <v>2335</v>
      </c>
      <c r="C1348" s="117" t="s">
        <v>2336</v>
      </c>
      <c r="D1348" s="118">
        <v>15.35</v>
      </c>
      <c r="E1348" s="118">
        <v>0.16</v>
      </c>
    </row>
    <row r="1349" spans="2:5" x14ac:dyDescent="0.2">
      <c r="B1349" s="116" t="s">
        <v>2337</v>
      </c>
      <c r="C1349" s="117" t="s">
        <v>2338</v>
      </c>
      <c r="D1349" s="118">
        <v>4.33</v>
      </c>
      <c r="E1349" s="118">
        <v>0.04</v>
      </c>
    </row>
    <row r="1350" spans="2:5" x14ac:dyDescent="0.2">
      <c r="B1350" s="116" t="s">
        <v>2339</v>
      </c>
      <c r="C1350" s="117" t="s">
        <v>2340</v>
      </c>
      <c r="D1350" s="118">
        <v>13.64</v>
      </c>
      <c r="E1350" s="118">
        <v>0.1</v>
      </c>
    </row>
    <row r="1351" spans="2:5" x14ac:dyDescent="0.2">
      <c r="B1351" s="116" t="s">
        <v>2341</v>
      </c>
      <c r="C1351" s="117" t="s">
        <v>2342</v>
      </c>
      <c r="D1351" s="118">
        <v>30.24</v>
      </c>
      <c r="E1351" s="118">
        <v>0.2</v>
      </c>
    </row>
    <row r="1352" spans="2:5" x14ac:dyDescent="0.2">
      <c r="B1352" s="116" t="s">
        <v>2343</v>
      </c>
      <c r="C1352" s="117" t="s">
        <v>2344</v>
      </c>
      <c r="D1352" s="118">
        <v>-22.07</v>
      </c>
      <c r="E1352" s="118">
        <v>-0.5</v>
      </c>
    </row>
    <row r="1353" spans="2:5" x14ac:dyDescent="0.2">
      <c r="B1353" s="116" t="s">
        <v>2345</v>
      </c>
      <c r="C1353" s="117" t="s">
        <v>2346</v>
      </c>
      <c r="D1353" s="118">
        <v>8.27</v>
      </c>
      <c r="E1353" s="118">
        <v>0.18</v>
      </c>
    </row>
    <row r="1354" spans="2:5" x14ac:dyDescent="0.2">
      <c r="B1354" s="116" t="s">
        <v>2347</v>
      </c>
      <c r="C1354" s="117" t="s">
        <v>2348</v>
      </c>
      <c r="D1354" s="118">
        <v>25.57</v>
      </c>
      <c r="E1354" s="118">
        <v>0.23</v>
      </c>
    </row>
    <row r="1355" spans="2:5" x14ac:dyDescent="0.2">
      <c r="B1355" s="116" t="s">
        <v>2349</v>
      </c>
      <c r="C1355" s="117" t="s">
        <v>2350</v>
      </c>
      <c r="D1355" s="118">
        <v>7.07</v>
      </c>
      <c r="E1355" s="118">
        <v>7.0000000000000007E-2</v>
      </c>
    </row>
    <row r="1356" spans="2:5" x14ac:dyDescent="0.2">
      <c r="B1356" s="116" t="s">
        <v>2351</v>
      </c>
      <c r="C1356" s="117" t="s">
        <v>2352</v>
      </c>
      <c r="D1356" s="118">
        <v>19.64</v>
      </c>
      <c r="E1356" s="118">
        <v>-0.08</v>
      </c>
    </row>
    <row r="1357" spans="2:5" x14ac:dyDescent="0.2">
      <c r="B1357" s="116" t="s">
        <v>2353</v>
      </c>
      <c r="C1357" s="117" t="s">
        <v>2354</v>
      </c>
      <c r="D1357" s="118">
        <v>8.99</v>
      </c>
      <c r="E1357" s="118">
        <v>0.09</v>
      </c>
    </row>
    <row r="1358" spans="2:5" x14ac:dyDescent="0.2">
      <c r="B1358" s="116" t="s">
        <v>2355</v>
      </c>
      <c r="C1358" s="117" t="s">
        <v>2356</v>
      </c>
      <c r="D1358" s="118">
        <v>11.19</v>
      </c>
      <c r="E1358" s="118">
        <v>0.01</v>
      </c>
    </row>
    <row r="1359" spans="2:5" x14ac:dyDescent="0.2">
      <c r="B1359" s="116" t="s">
        <v>2357</v>
      </c>
      <c r="C1359" s="117" t="s">
        <v>2358</v>
      </c>
      <c r="D1359" s="118">
        <v>-13.84</v>
      </c>
      <c r="E1359" s="118">
        <v>-0.26</v>
      </c>
    </row>
    <row r="1360" spans="2:5" x14ac:dyDescent="0.2">
      <c r="B1360" s="116" t="s">
        <v>2359</v>
      </c>
      <c r="C1360" s="117" t="s">
        <v>2360</v>
      </c>
      <c r="D1360" s="118">
        <v>28.98</v>
      </c>
      <c r="E1360" s="118">
        <v>0.35</v>
      </c>
    </row>
    <row r="1361" spans="2:5" x14ac:dyDescent="0.2">
      <c r="B1361" s="116" t="s">
        <v>2361</v>
      </c>
      <c r="C1361" s="117" t="s">
        <v>2362</v>
      </c>
      <c r="D1361" s="118">
        <v>32.159999999999997</v>
      </c>
      <c r="E1361" s="118">
        <v>0.33</v>
      </c>
    </row>
    <row r="1362" spans="2:5" x14ac:dyDescent="0.2">
      <c r="B1362" s="116" t="s">
        <v>2363</v>
      </c>
      <c r="C1362" s="117" t="s">
        <v>2364</v>
      </c>
      <c r="D1362" s="118">
        <v>11.54</v>
      </c>
      <c r="E1362" s="118">
        <v>0.11</v>
      </c>
    </row>
    <row r="1363" spans="2:5" x14ac:dyDescent="0.2">
      <c r="B1363" s="116" t="s">
        <v>2365</v>
      </c>
      <c r="C1363" s="117" t="s">
        <v>2366</v>
      </c>
      <c r="D1363" s="118">
        <v>24.23</v>
      </c>
      <c r="E1363" s="118">
        <v>0.24</v>
      </c>
    </row>
    <row r="1364" spans="2:5" x14ac:dyDescent="0.2">
      <c r="B1364" s="116" t="s">
        <v>2367</v>
      </c>
      <c r="C1364" s="117" t="s">
        <v>2368</v>
      </c>
      <c r="D1364" s="118">
        <v>13.99</v>
      </c>
      <c r="E1364" s="118">
        <v>0.1</v>
      </c>
    </row>
    <row r="1365" spans="2:5" x14ac:dyDescent="0.2">
      <c r="B1365" s="116" t="s">
        <v>2369</v>
      </c>
      <c r="C1365" s="117" t="s">
        <v>2370</v>
      </c>
      <c r="D1365" s="118">
        <v>22.31</v>
      </c>
      <c r="E1365" s="118">
        <v>0.22</v>
      </c>
    </row>
    <row r="1366" spans="2:5" x14ac:dyDescent="0.2">
      <c r="B1366" s="116" t="s">
        <v>2371</v>
      </c>
      <c r="C1366" s="117" t="s">
        <v>2372</v>
      </c>
      <c r="D1366" s="118">
        <v>15.55</v>
      </c>
      <c r="E1366" s="118">
        <v>0.17</v>
      </c>
    </row>
    <row r="1367" spans="2:5" x14ac:dyDescent="0.2">
      <c r="B1367" s="116" t="s">
        <v>2373</v>
      </c>
      <c r="C1367" s="117" t="s">
        <v>2374</v>
      </c>
      <c r="D1367" s="118">
        <v>8.5299999999999994</v>
      </c>
      <c r="E1367" s="118">
        <v>-0.8</v>
      </c>
    </row>
    <row r="1368" spans="2:5" x14ac:dyDescent="0.2">
      <c r="B1368" s="116" t="s">
        <v>2375</v>
      </c>
      <c r="C1368" s="117" t="s">
        <v>4159</v>
      </c>
      <c r="D1368" s="118">
        <v>2.68</v>
      </c>
      <c r="E1368" s="118">
        <v>0.02</v>
      </c>
    </row>
    <row r="1369" spans="2:5" x14ac:dyDescent="0.2">
      <c r="B1369" s="116" t="s">
        <v>2375</v>
      </c>
      <c r="C1369" s="117" t="s">
        <v>2376</v>
      </c>
      <c r="D1369" s="118">
        <v>2.68</v>
      </c>
      <c r="E1369" s="118">
        <v>0.02</v>
      </c>
    </row>
    <row r="1370" spans="2:5" x14ac:dyDescent="0.2">
      <c r="B1370" s="116" t="s">
        <v>2377</v>
      </c>
      <c r="C1370" s="117" t="s">
        <v>2378</v>
      </c>
      <c r="D1370" s="118"/>
      <c r="E1370" s="118">
        <v>0.15</v>
      </c>
    </row>
    <row r="1371" spans="2:5" x14ac:dyDescent="0.2">
      <c r="B1371" s="116" t="s">
        <v>2379</v>
      </c>
      <c r="C1371" s="117" t="s">
        <v>2380</v>
      </c>
      <c r="D1371" s="118">
        <v>27.61</v>
      </c>
      <c r="E1371" s="118">
        <v>0.23</v>
      </c>
    </row>
    <row r="1372" spans="2:5" x14ac:dyDescent="0.2">
      <c r="B1372" s="116" t="s">
        <v>2381</v>
      </c>
      <c r="C1372" s="117" t="s">
        <v>2382</v>
      </c>
      <c r="D1372" s="118">
        <v>14.23</v>
      </c>
      <c r="E1372" s="118">
        <v>0.14000000000000001</v>
      </c>
    </row>
    <row r="1373" spans="2:5" x14ac:dyDescent="0.2">
      <c r="B1373" s="116" t="s">
        <v>2383</v>
      </c>
      <c r="C1373" s="117" t="s">
        <v>2384</v>
      </c>
      <c r="D1373" s="118">
        <v>37.9</v>
      </c>
      <c r="E1373" s="118">
        <v>0.24</v>
      </c>
    </row>
    <row r="1374" spans="2:5" x14ac:dyDescent="0.2">
      <c r="B1374" s="116" t="s">
        <v>2385</v>
      </c>
      <c r="C1374" s="117" t="s">
        <v>2386</v>
      </c>
      <c r="D1374" s="118">
        <v>7.83</v>
      </c>
      <c r="E1374" s="118">
        <v>7.0000000000000007E-2</v>
      </c>
    </row>
    <row r="1375" spans="2:5" x14ac:dyDescent="0.2">
      <c r="B1375" s="116" t="s">
        <v>2388</v>
      </c>
      <c r="C1375" s="117" t="s">
        <v>2389</v>
      </c>
      <c r="D1375" s="118">
        <v>27.98</v>
      </c>
      <c r="E1375" s="118">
        <v>0.27</v>
      </c>
    </row>
    <row r="1376" spans="2:5" x14ac:dyDescent="0.2">
      <c r="B1376" s="116" t="s">
        <v>2390</v>
      </c>
      <c r="C1376" s="117" t="s">
        <v>2391</v>
      </c>
      <c r="D1376" s="118">
        <v>24.56</v>
      </c>
      <c r="E1376" s="118">
        <v>0.16</v>
      </c>
    </row>
    <row r="1377" spans="2:5" x14ac:dyDescent="0.2">
      <c r="B1377" s="116" t="s">
        <v>2392</v>
      </c>
      <c r="C1377" s="117" t="s">
        <v>2393</v>
      </c>
      <c r="D1377" s="118"/>
      <c r="E1377" s="118"/>
    </row>
    <row r="1378" spans="2:5" x14ac:dyDescent="0.2">
      <c r="B1378" s="116" t="s">
        <v>4160</v>
      </c>
      <c r="C1378" s="117" t="s">
        <v>4161</v>
      </c>
      <c r="D1378" s="118"/>
      <c r="E1378" s="118"/>
    </row>
    <row r="1379" spans="2:5" x14ac:dyDescent="0.2">
      <c r="B1379" s="116" t="s">
        <v>2394</v>
      </c>
      <c r="C1379" s="117" t="s">
        <v>2395</v>
      </c>
      <c r="D1379" s="118">
        <v>7.38</v>
      </c>
      <c r="E1379" s="118">
        <v>0.08</v>
      </c>
    </row>
    <row r="1380" spans="2:5" x14ac:dyDescent="0.2">
      <c r="B1380" s="116" t="s">
        <v>4162</v>
      </c>
      <c r="C1380" s="117" t="s">
        <v>4163</v>
      </c>
      <c r="D1380" s="118"/>
      <c r="E1380" s="118">
        <v>-0.03</v>
      </c>
    </row>
    <row r="1381" spans="2:5" x14ac:dyDescent="0.2">
      <c r="B1381" s="116" t="s">
        <v>2396</v>
      </c>
      <c r="C1381" s="117" t="s">
        <v>2397</v>
      </c>
      <c r="D1381" s="118">
        <v>1.91</v>
      </c>
      <c r="E1381" s="118">
        <v>0.01</v>
      </c>
    </row>
    <row r="1382" spans="2:5" x14ac:dyDescent="0.2">
      <c r="B1382" s="116" t="s">
        <v>2398</v>
      </c>
      <c r="C1382" s="117" t="s">
        <v>2399</v>
      </c>
      <c r="D1382" s="118">
        <v>15.48</v>
      </c>
      <c r="E1382" s="118">
        <v>0.15</v>
      </c>
    </row>
    <row r="1383" spans="2:5" x14ac:dyDescent="0.2">
      <c r="B1383" s="116" t="s">
        <v>2400</v>
      </c>
      <c r="C1383" s="117" t="s">
        <v>2401</v>
      </c>
      <c r="D1383" s="118"/>
      <c r="E1383" s="118"/>
    </row>
    <row r="1384" spans="2:5" x14ac:dyDescent="0.2">
      <c r="B1384" s="116" t="s">
        <v>2402</v>
      </c>
      <c r="C1384" s="117" t="s">
        <v>2403</v>
      </c>
      <c r="D1384" s="118">
        <v>27.67</v>
      </c>
      <c r="E1384" s="118">
        <v>0.13</v>
      </c>
    </row>
    <row r="1385" spans="2:5" x14ac:dyDescent="0.2">
      <c r="B1385" s="116" t="s">
        <v>2404</v>
      </c>
      <c r="C1385" s="117" t="s">
        <v>2405</v>
      </c>
      <c r="D1385" s="118">
        <v>18.39</v>
      </c>
      <c r="E1385" s="118">
        <v>0.19</v>
      </c>
    </row>
    <row r="1386" spans="2:5" x14ac:dyDescent="0.2">
      <c r="B1386" s="116" t="s">
        <v>2406</v>
      </c>
      <c r="C1386" s="117" t="s">
        <v>2407</v>
      </c>
      <c r="D1386" s="118">
        <v>10.83</v>
      </c>
      <c r="E1386" s="118">
        <v>0.11</v>
      </c>
    </row>
    <row r="1387" spans="2:5" x14ac:dyDescent="0.2">
      <c r="B1387" s="116" t="s">
        <v>4164</v>
      </c>
      <c r="C1387" s="117" t="s">
        <v>4165</v>
      </c>
      <c r="D1387" s="118"/>
      <c r="E1387" s="118">
        <v>0.18</v>
      </c>
    </row>
    <row r="1388" spans="2:5" x14ac:dyDescent="0.2">
      <c r="B1388" s="116" t="s">
        <v>2408</v>
      </c>
      <c r="C1388" s="117" t="s">
        <v>2409</v>
      </c>
      <c r="D1388" s="118">
        <v>29.38</v>
      </c>
      <c r="E1388" s="118">
        <v>0.32</v>
      </c>
    </row>
    <row r="1389" spans="2:5" x14ac:dyDescent="0.2">
      <c r="B1389" s="116" t="s">
        <v>4166</v>
      </c>
      <c r="C1389" s="117" t="s">
        <v>4167</v>
      </c>
      <c r="D1389" s="118">
        <v>124</v>
      </c>
      <c r="E1389" s="118">
        <v>1.24</v>
      </c>
    </row>
    <row r="1390" spans="2:5" x14ac:dyDescent="0.2">
      <c r="B1390" s="116" t="s">
        <v>2410</v>
      </c>
      <c r="C1390" s="117" t="s">
        <v>2411</v>
      </c>
      <c r="D1390" s="118">
        <v>10.67</v>
      </c>
      <c r="E1390" s="118">
        <v>0.09</v>
      </c>
    </row>
    <row r="1391" spans="2:5" x14ac:dyDescent="0.2">
      <c r="B1391" s="116" t="s">
        <v>2412</v>
      </c>
      <c r="C1391" s="117" t="s">
        <v>2413</v>
      </c>
      <c r="D1391" s="118">
        <v>-7.22</v>
      </c>
      <c r="E1391" s="118">
        <v>-0.31</v>
      </c>
    </row>
    <row r="1392" spans="2:5" x14ac:dyDescent="0.2">
      <c r="B1392" s="116" t="s">
        <v>2414</v>
      </c>
      <c r="C1392" s="117" t="s">
        <v>2415</v>
      </c>
      <c r="D1392" s="118">
        <v>17.16</v>
      </c>
      <c r="E1392" s="118">
        <v>0.17</v>
      </c>
    </row>
    <row r="1393" spans="2:5" x14ac:dyDescent="0.2">
      <c r="B1393" s="116" t="s">
        <v>2416</v>
      </c>
      <c r="C1393" s="117" t="s">
        <v>2417</v>
      </c>
      <c r="D1393" s="118">
        <v>33.08</v>
      </c>
      <c r="E1393" s="118">
        <v>0.24</v>
      </c>
    </row>
    <row r="1394" spans="2:5" x14ac:dyDescent="0.2">
      <c r="B1394" s="116" t="s">
        <v>2418</v>
      </c>
      <c r="C1394" s="117" t="s">
        <v>2419</v>
      </c>
      <c r="D1394" s="118">
        <v>9.09</v>
      </c>
      <c r="E1394" s="118">
        <v>0.11</v>
      </c>
    </row>
    <row r="1395" spans="2:5" x14ac:dyDescent="0.2">
      <c r="B1395" s="116" t="s">
        <v>2420</v>
      </c>
      <c r="C1395" s="117" t="s">
        <v>2421</v>
      </c>
      <c r="D1395" s="118">
        <v>3.34</v>
      </c>
      <c r="E1395" s="118">
        <v>0.05</v>
      </c>
    </row>
    <row r="1396" spans="2:5" x14ac:dyDescent="0.2">
      <c r="B1396" s="116" t="s">
        <v>2422</v>
      </c>
      <c r="C1396" s="117" t="s">
        <v>2423</v>
      </c>
      <c r="D1396" s="118">
        <v>8.76</v>
      </c>
      <c r="E1396" s="118">
        <v>0.09</v>
      </c>
    </row>
    <row r="1397" spans="2:5" x14ac:dyDescent="0.2">
      <c r="B1397" s="116" t="s">
        <v>2424</v>
      </c>
      <c r="C1397" s="117" t="s">
        <v>2425</v>
      </c>
      <c r="D1397" s="118">
        <v>13.07</v>
      </c>
      <c r="E1397" s="118">
        <v>0.05</v>
      </c>
    </row>
    <row r="1398" spans="2:5" x14ac:dyDescent="0.2">
      <c r="B1398" s="116" t="s">
        <v>2426</v>
      </c>
      <c r="C1398" s="117" t="s">
        <v>2427</v>
      </c>
      <c r="D1398" s="118">
        <v>25.28</v>
      </c>
      <c r="E1398" s="118">
        <v>0.11</v>
      </c>
    </row>
    <row r="1399" spans="2:5" x14ac:dyDescent="0.2">
      <c r="B1399" s="116" t="s">
        <v>2428</v>
      </c>
      <c r="C1399" s="117" t="s">
        <v>2429</v>
      </c>
      <c r="D1399" s="118">
        <v>6.68</v>
      </c>
      <c r="E1399" s="118">
        <v>7.0000000000000007E-2</v>
      </c>
    </row>
    <row r="1400" spans="2:5" x14ac:dyDescent="0.2">
      <c r="B1400" s="116" t="s">
        <v>2430</v>
      </c>
      <c r="C1400" s="117" t="s">
        <v>2431</v>
      </c>
      <c r="D1400" s="118">
        <v>14.17</v>
      </c>
      <c r="E1400" s="118">
        <v>0.11</v>
      </c>
    </row>
    <row r="1401" spans="2:5" x14ac:dyDescent="0.2">
      <c r="B1401" s="116" t="s">
        <v>2432</v>
      </c>
      <c r="C1401" s="117" t="s">
        <v>2433</v>
      </c>
      <c r="D1401" s="118">
        <v>29.21</v>
      </c>
      <c r="E1401" s="118">
        <v>0.23</v>
      </c>
    </row>
    <row r="1402" spans="2:5" x14ac:dyDescent="0.2">
      <c r="B1402" s="116" t="s">
        <v>2434</v>
      </c>
      <c r="C1402" s="117" t="s">
        <v>2435</v>
      </c>
      <c r="D1402" s="118">
        <v>-397.68</v>
      </c>
      <c r="E1402" s="118">
        <v>-1.22</v>
      </c>
    </row>
    <row r="1403" spans="2:5" x14ac:dyDescent="0.2">
      <c r="B1403" s="116" t="s">
        <v>4168</v>
      </c>
      <c r="C1403" s="117" t="s">
        <v>4169</v>
      </c>
      <c r="D1403" s="118">
        <v>1.32</v>
      </c>
      <c r="E1403" s="118">
        <v>-0.03</v>
      </c>
    </row>
    <row r="1404" spans="2:5" x14ac:dyDescent="0.2">
      <c r="B1404" s="116" t="s">
        <v>4170</v>
      </c>
      <c r="C1404" s="117" t="s">
        <v>4171</v>
      </c>
      <c r="D1404" s="118">
        <v>17.899999999999999</v>
      </c>
      <c r="E1404" s="118">
        <v>0.18</v>
      </c>
    </row>
    <row r="1405" spans="2:5" x14ac:dyDescent="0.2">
      <c r="B1405" s="116" t="s">
        <v>2436</v>
      </c>
      <c r="C1405" s="117" t="s">
        <v>2437</v>
      </c>
      <c r="D1405" s="118">
        <v>11.96</v>
      </c>
      <c r="E1405" s="118">
        <v>0.14000000000000001</v>
      </c>
    </row>
    <row r="1406" spans="2:5" x14ac:dyDescent="0.2">
      <c r="B1406" s="116" t="s">
        <v>2438</v>
      </c>
      <c r="C1406" s="117" t="s">
        <v>2439</v>
      </c>
      <c r="D1406" s="118"/>
      <c r="E1406" s="118">
        <v>0.05</v>
      </c>
    </row>
    <row r="1407" spans="2:5" x14ac:dyDescent="0.2">
      <c r="B1407" s="116" t="s">
        <v>4172</v>
      </c>
      <c r="C1407" s="117" t="s">
        <v>4173</v>
      </c>
      <c r="D1407" s="118"/>
      <c r="E1407" s="118">
        <v>0.63</v>
      </c>
    </row>
    <row r="1408" spans="2:5" x14ac:dyDescent="0.2">
      <c r="B1408" s="116" t="s">
        <v>2440</v>
      </c>
      <c r="C1408" s="117" t="s">
        <v>2441</v>
      </c>
      <c r="D1408" s="118">
        <v>33</v>
      </c>
      <c r="E1408" s="118">
        <v>0.28000000000000003</v>
      </c>
    </row>
    <row r="1409" spans="2:5" x14ac:dyDescent="0.2">
      <c r="B1409" s="116" t="s">
        <v>4174</v>
      </c>
      <c r="C1409" s="117" t="s">
        <v>4175</v>
      </c>
      <c r="D1409" s="118">
        <v>8.86</v>
      </c>
      <c r="E1409" s="118">
        <v>0.06</v>
      </c>
    </row>
    <row r="1410" spans="2:5" x14ac:dyDescent="0.2">
      <c r="B1410" s="116" t="s">
        <v>2442</v>
      </c>
      <c r="C1410" s="117" t="s">
        <v>2443</v>
      </c>
      <c r="D1410" s="118">
        <v>17.54</v>
      </c>
      <c r="E1410" s="118">
        <v>0.34</v>
      </c>
    </row>
    <row r="1411" spans="2:5" x14ac:dyDescent="0.2">
      <c r="B1411" s="116" t="s">
        <v>4176</v>
      </c>
      <c r="C1411" s="117" t="s">
        <v>4177</v>
      </c>
      <c r="D1411" s="118">
        <v>8.48</v>
      </c>
      <c r="E1411" s="118">
        <v>0.08</v>
      </c>
    </row>
    <row r="1412" spans="2:5" x14ac:dyDescent="0.2">
      <c r="B1412" s="116" t="s">
        <v>2444</v>
      </c>
      <c r="C1412" s="117" t="s">
        <v>2445</v>
      </c>
      <c r="D1412" s="118">
        <v>13.69</v>
      </c>
      <c r="E1412" s="118">
        <v>0.14000000000000001</v>
      </c>
    </row>
    <row r="1413" spans="2:5" x14ac:dyDescent="0.2">
      <c r="B1413" s="116" t="s">
        <v>4178</v>
      </c>
      <c r="C1413" s="117" t="s">
        <v>4179</v>
      </c>
      <c r="D1413" s="118">
        <v>2.1</v>
      </c>
      <c r="E1413" s="118">
        <v>0.03</v>
      </c>
    </row>
    <row r="1414" spans="2:5" x14ac:dyDescent="0.2">
      <c r="B1414" s="116" t="s">
        <v>2446</v>
      </c>
      <c r="C1414" s="117" t="s">
        <v>2447</v>
      </c>
      <c r="D1414" s="118">
        <v>6.9</v>
      </c>
      <c r="E1414" s="118">
        <v>0.06</v>
      </c>
    </row>
    <row r="1415" spans="2:5" x14ac:dyDescent="0.2">
      <c r="B1415" s="116" t="s">
        <v>2448</v>
      </c>
      <c r="C1415" s="117" t="s">
        <v>2449</v>
      </c>
      <c r="D1415" s="118">
        <v>25.96</v>
      </c>
      <c r="E1415" s="118">
        <v>0.1</v>
      </c>
    </row>
    <row r="1416" spans="2:5" x14ac:dyDescent="0.2">
      <c r="B1416" s="116" t="s">
        <v>2450</v>
      </c>
      <c r="C1416" s="117" t="s">
        <v>2451</v>
      </c>
      <c r="D1416" s="118">
        <v>9.4499999999999993</v>
      </c>
      <c r="E1416" s="118">
        <v>7.0000000000000007E-2</v>
      </c>
    </row>
    <row r="1417" spans="2:5" x14ac:dyDescent="0.2">
      <c r="B1417" s="116" t="s">
        <v>2452</v>
      </c>
      <c r="C1417" s="117" t="s">
        <v>2453</v>
      </c>
      <c r="D1417" s="118"/>
      <c r="E1417" s="118"/>
    </row>
    <row r="1418" spans="2:5" x14ac:dyDescent="0.2">
      <c r="B1418" s="116" t="s">
        <v>2454</v>
      </c>
      <c r="C1418" s="117" t="s">
        <v>2455</v>
      </c>
      <c r="D1418" s="118">
        <v>18.64</v>
      </c>
      <c r="E1418" s="118">
        <v>0.86</v>
      </c>
    </row>
    <row r="1419" spans="2:5" x14ac:dyDescent="0.2">
      <c r="B1419" s="116" t="s">
        <v>2456</v>
      </c>
      <c r="C1419" s="117" t="s">
        <v>2457</v>
      </c>
      <c r="D1419" s="118">
        <v>40.97</v>
      </c>
      <c r="E1419" s="118">
        <v>0.35</v>
      </c>
    </row>
    <row r="1420" spans="2:5" x14ac:dyDescent="0.2">
      <c r="B1420" s="116" t="s">
        <v>2458</v>
      </c>
      <c r="C1420" s="117" t="s">
        <v>2459</v>
      </c>
      <c r="D1420" s="118">
        <v>6.38</v>
      </c>
      <c r="E1420" s="118">
        <v>7.0000000000000007E-2</v>
      </c>
    </row>
    <row r="1421" spans="2:5" x14ac:dyDescent="0.2">
      <c r="B1421" s="116" t="s">
        <v>2460</v>
      </c>
      <c r="C1421" s="117" t="s">
        <v>2461</v>
      </c>
      <c r="D1421" s="118">
        <v>1.26</v>
      </c>
      <c r="E1421" s="118">
        <v>0.01</v>
      </c>
    </row>
    <row r="1422" spans="2:5" x14ac:dyDescent="0.2">
      <c r="B1422" s="116" t="s">
        <v>2462</v>
      </c>
      <c r="C1422" s="117" t="s">
        <v>2463</v>
      </c>
      <c r="D1422" s="118">
        <v>35.5</v>
      </c>
      <c r="E1422" s="118">
        <v>0.36</v>
      </c>
    </row>
    <row r="1423" spans="2:5" x14ac:dyDescent="0.2">
      <c r="B1423" s="116" t="s">
        <v>2464</v>
      </c>
      <c r="C1423" s="117" t="s">
        <v>2465</v>
      </c>
      <c r="D1423" s="118">
        <v>39.659999999999997</v>
      </c>
      <c r="E1423" s="118">
        <v>0.36</v>
      </c>
    </row>
    <row r="1424" spans="2:5" x14ac:dyDescent="0.2">
      <c r="B1424" s="116" t="s">
        <v>2466</v>
      </c>
      <c r="C1424" s="117" t="s">
        <v>2467</v>
      </c>
      <c r="D1424" s="118">
        <v>1.95</v>
      </c>
      <c r="E1424" s="118">
        <v>0.02</v>
      </c>
    </row>
    <row r="1425" spans="2:5" x14ac:dyDescent="0.2">
      <c r="B1425" s="116" t="s">
        <v>2468</v>
      </c>
      <c r="C1425" s="117" t="s">
        <v>2469</v>
      </c>
      <c r="D1425" s="118">
        <v>1.47</v>
      </c>
      <c r="E1425" s="118">
        <v>0.01</v>
      </c>
    </row>
    <row r="1426" spans="2:5" x14ac:dyDescent="0.2">
      <c r="B1426" s="116" t="s">
        <v>2470</v>
      </c>
      <c r="C1426" s="117" t="s">
        <v>2471</v>
      </c>
      <c r="D1426" s="118">
        <v>25.41</v>
      </c>
      <c r="E1426" s="118">
        <v>0.22</v>
      </c>
    </row>
    <row r="1427" spans="2:5" x14ac:dyDescent="0.2">
      <c r="B1427" s="116" t="s">
        <v>2472</v>
      </c>
      <c r="C1427" s="117" t="s">
        <v>2473</v>
      </c>
      <c r="D1427" s="118">
        <v>18.600000000000001</v>
      </c>
      <c r="E1427" s="118">
        <v>-0.03</v>
      </c>
    </row>
    <row r="1428" spans="2:5" x14ac:dyDescent="0.2">
      <c r="B1428" s="116" t="s">
        <v>2474</v>
      </c>
      <c r="C1428" s="117" t="s">
        <v>2475</v>
      </c>
      <c r="D1428" s="118">
        <v>27.42</v>
      </c>
      <c r="E1428" s="118">
        <v>0.24</v>
      </c>
    </row>
    <row r="1429" spans="2:5" x14ac:dyDescent="0.2">
      <c r="B1429" s="116" t="s">
        <v>2476</v>
      </c>
      <c r="C1429" s="117" t="s">
        <v>2477</v>
      </c>
      <c r="D1429" s="118">
        <v>27.25</v>
      </c>
      <c r="E1429" s="118">
        <v>0.27</v>
      </c>
    </row>
    <row r="1430" spans="2:5" x14ac:dyDescent="0.2">
      <c r="B1430" s="116" t="s">
        <v>2478</v>
      </c>
      <c r="C1430" s="117" t="s">
        <v>2479</v>
      </c>
      <c r="D1430" s="118">
        <v>44.54</v>
      </c>
      <c r="E1430" s="118">
        <v>0.38</v>
      </c>
    </row>
    <row r="1431" spans="2:5" x14ac:dyDescent="0.2">
      <c r="B1431" s="116" t="s">
        <v>2480</v>
      </c>
      <c r="C1431" s="117" t="s">
        <v>2481</v>
      </c>
      <c r="D1431" s="118">
        <v>22.2</v>
      </c>
      <c r="E1431" s="118">
        <v>0.17</v>
      </c>
    </row>
    <row r="1432" spans="2:5" x14ac:dyDescent="0.2">
      <c r="B1432" s="116" t="s">
        <v>2482</v>
      </c>
      <c r="C1432" s="117" t="s">
        <v>2483</v>
      </c>
      <c r="D1432" s="118">
        <v>30.37</v>
      </c>
      <c r="E1432" s="118">
        <v>0.24</v>
      </c>
    </row>
    <row r="1433" spans="2:5" x14ac:dyDescent="0.2">
      <c r="B1433" s="116" t="s">
        <v>2484</v>
      </c>
      <c r="C1433" s="117" t="s">
        <v>2485</v>
      </c>
      <c r="D1433" s="118">
        <v>10.81</v>
      </c>
      <c r="E1433" s="118">
        <v>0.08</v>
      </c>
    </row>
    <row r="1434" spans="2:5" x14ac:dyDescent="0.2">
      <c r="B1434" s="116" t="s">
        <v>2484</v>
      </c>
      <c r="C1434" s="117" t="s">
        <v>4180</v>
      </c>
      <c r="D1434" s="118">
        <v>10.81</v>
      </c>
      <c r="E1434" s="118">
        <v>0.08</v>
      </c>
    </row>
    <row r="1435" spans="2:5" x14ac:dyDescent="0.2">
      <c r="B1435" s="116" t="s">
        <v>4181</v>
      </c>
      <c r="C1435" s="117" t="s">
        <v>4182</v>
      </c>
      <c r="D1435" s="118"/>
      <c r="E1435" s="118"/>
    </row>
    <row r="1436" spans="2:5" x14ac:dyDescent="0.2">
      <c r="B1436" s="116" t="s">
        <v>2486</v>
      </c>
      <c r="C1436" s="117" t="s">
        <v>2487</v>
      </c>
      <c r="D1436" s="118">
        <v>9.99</v>
      </c>
      <c r="E1436" s="118">
        <v>0.09</v>
      </c>
    </row>
    <row r="1437" spans="2:5" x14ac:dyDescent="0.2">
      <c r="B1437" s="116" t="s">
        <v>4183</v>
      </c>
      <c r="C1437" s="117" t="s">
        <v>4184</v>
      </c>
      <c r="D1437" s="118"/>
      <c r="E1437" s="118">
        <v>0.02</v>
      </c>
    </row>
    <row r="1438" spans="2:5" x14ac:dyDescent="0.2">
      <c r="B1438" s="116" t="s">
        <v>2488</v>
      </c>
      <c r="C1438" s="117" t="s">
        <v>2489</v>
      </c>
      <c r="D1438" s="118">
        <v>12.99</v>
      </c>
      <c r="E1438" s="118">
        <v>-0.41</v>
      </c>
    </row>
    <row r="1439" spans="2:5" x14ac:dyDescent="0.2">
      <c r="B1439" s="116" t="s">
        <v>2490</v>
      </c>
      <c r="C1439" s="117" t="s">
        <v>2491</v>
      </c>
      <c r="D1439" s="118">
        <v>3.51</v>
      </c>
      <c r="E1439" s="118">
        <v>0.04</v>
      </c>
    </row>
    <row r="1440" spans="2:5" x14ac:dyDescent="0.2">
      <c r="B1440" s="116" t="s">
        <v>2492</v>
      </c>
      <c r="C1440" s="117" t="s">
        <v>2493</v>
      </c>
      <c r="D1440" s="118">
        <v>16.41</v>
      </c>
      <c r="E1440" s="118">
        <v>0.12</v>
      </c>
    </row>
    <row r="1441" spans="2:5" x14ac:dyDescent="0.2">
      <c r="B1441" s="116" t="s">
        <v>4183</v>
      </c>
      <c r="C1441" s="117" t="s">
        <v>4185</v>
      </c>
      <c r="D1441" s="118"/>
      <c r="E1441" s="118"/>
    </row>
    <row r="1442" spans="2:5" x14ac:dyDescent="0.2">
      <c r="B1442" s="116" t="s">
        <v>4186</v>
      </c>
      <c r="C1442" s="117" t="s">
        <v>4187</v>
      </c>
      <c r="D1442" s="118"/>
      <c r="E1442" s="118"/>
    </row>
    <row r="1443" spans="2:5" x14ac:dyDescent="0.2">
      <c r="B1443" s="116" t="s">
        <v>2494</v>
      </c>
      <c r="C1443" s="117" t="s">
        <v>2495</v>
      </c>
      <c r="D1443" s="118">
        <v>-23.11</v>
      </c>
      <c r="E1443" s="118">
        <v>-0.78</v>
      </c>
    </row>
    <row r="1444" spans="2:5" x14ac:dyDescent="0.2">
      <c r="B1444" s="116" t="s">
        <v>2496</v>
      </c>
      <c r="C1444" s="117" t="s">
        <v>2497</v>
      </c>
      <c r="D1444" s="118"/>
      <c r="E1444" s="118">
        <v>0.16</v>
      </c>
    </row>
    <row r="1445" spans="2:5" x14ac:dyDescent="0.2">
      <c r="B1445" s="116" t="s">
        <v>4188</v>
      </c>
      <c r="C1445" s="117" t="s">
        <v>4189</v>
      </c>
      <c r="D1445" s="118"/>
      <c r="E1445" s="118">
        <v>0.11</v>
      </c>
    </row>
    <row r="1446" spans="2:5" x14ac:dyDescent="0.2">
      <c r="B1446" s="116" t="s">
        <v>2498</v>
      </c>
      <c r="C1446" s="117" t="s">
        <v>2499</v>
      </c>
      <c r="D1446" s="118">
        <v>19.100000000000001</v>
      </c>
      <c r="E1446" s="118">
        <v>0.2</v>
      </c>
    </row>
    <row r="1447" spans="2:5" x14ac:dyDescent="0.2">
      <c r="B1447" s="116" t="s">
        <v>2500</v>
      </c>
      <c r="C1447" s="117" t="s">
        <v>2501</v>
      </c>
      <c r="D1447" s="118">
        <v>-0.25</v>
      </c>
      <c r="E1447" s="118">
        <v>0.02</v>
      </c>
    </row>
    <row r="1448" spans="2:5" x14ac:dyDescent="0.2">
      <c r="B1448" s="116" t="s">
        <v>2502</v>
      </c>
      <c r="C1448" s="117" t="s">
        <v>2503</v>
      </c>
      <c r="D1448" s="118">
        <v>15.81</v>
      </c>
      <c r="E1448" s="118">
        <v>0.15</v>
      </c>
    </row>
    <row r="1449" spans="2:5" x14ac:dyDescent="0.2">
      <c r="B1449" s="116" t="s">
        <v>2504</v>
      </c>
      <c r="C1449" s="117" t="s">
        <v>2505</v>
      </c>
      <c r="D1449" s="118">
        <v>0.06</v>
      </c>
      <c r="E1449" s="118">
        <v>0.01</v>
      </c>
    </row>
    <row r="1450" spans="2:5" x14ac:dyDescent="0.2">
      <c r="B1450" s="116" t="s">
        <v>2506</v>
      </c>
      <c r="C1450" s="117" t="s">
        <v>2507</v>
      </c>
      <c r="D1450" s="118">
        <v>5.91</v>
      </c>
      <c r="E1450" s="118">
        <v>0.01</v>
      </c>
    </row>
    <row r="1451" spans="2:5" x14ac:dyDescent="0.2">
      <c r="B1451" s="116" t="s">
        <v>2508</v>
      </c>
      <c r="C1451" s="117" t="s">
        <v>2509</v>
      </c>
      <c r="D1451" s="118">
        <v>12.14</v>
      </c>
      <c r="E1451" s="118">
        <v>0.19</v>
      </c>
    </row>
    <row r="1452" spans="2:5" x14ac:dyDescent="0.2">
      <c r="B1452" s="116" t="s">
        <v>2510</v>
      </c>
      <c r="C1452" s="117" t="s">
        <v>2511</v>
      </c>
      <c r="D1452" s="118">
        <v>33.31</v>
      </c>
      <c r="E1452" s="118">
        <v>0.21</v>
      </c>
    </row>
    <row r="1453" spans="2:5" x14ac:dyDescent="0.2">
      <c r="B1453" s="116" t="s">
        <v>4190</v>
      </c>
      <c r="C1453" s="117" t="s">
        <v>4191</v>
      </c>
      <c r="D1453" s="118"/>
      <c r="E1453" s="118"/>
    </row>
    <row r="1454" spans="2:5" x14ac:dyDescent="0.2">
      <c r="B1454" s="116" t="s">
        <v>2512</v>
      </c>
      <c r="C1454" s="117" t="s">
        <v>2513</v>
      </c>
      <c r="D1454" s="118">
        <v>10.24</v>
      </c>
      <c r="E1454" s="118">
        <v>0.11</v>
      </c>
    </row>
    <row r="1455" spans="2:5" x14ac:dyDescent="0.2">
      <c r="B1455" s="116" t="s">
        <v>2514</v>
      </c>
      <c r="C1455" s="117" t="s">
        <v>2515</v>
      </c>
      <c r="D1455" s="118">
        <v>0.98</v>
      </c>
      <c r="E1455" s="118">
        <v>0.01</v>
      </c>
    </row>
    <row r="1456" spans="2:5" x14ac:dyDescent="0.2">
      <c r="B1456" s="116" t="s">
        <v>2516</v>
      </c>
      <c r="C1456" s="117" t="s">
        <v>2517</v>
      </c>
      <c r="D1456" s="118">
        <v>12.4</v>
      </c>
      <c r="E1456" s="118">
        <v>-0.14000000000000001</v>
      </c>
    </row>
    <row r="1457" spans="2:5" x14ac:dyDescent="0.2">
      <c r="B1457" s="116" t="s">
        <v>2518</v>
      </c>
      <c r="C1457" s="117" t="s">
        <v>2519</v>
      </c>
      <c r="D1457" s="118">
        <v>17.55</v>
      </c>
      <c r="E1457" s="118">
        <v>0.06</v>
      </c>
    </row>
    <row r="1458" spans="2:5" x14ac:dyDescent="0.2">
      <c r="B1458" s="116" t="s">
        <v>4192</v>
      </c>
      <c r="C1458" s="117" t="s">
        <v>4193</v>
      </c>
      <c r="D1458" s="118"/>
      <c r="E1458" s="118"/>
    </row>
    <row r="1459" spans="2:5" x14ac:dyDescent="0.2">
      <c r="B1459" s="116" t="s">
        <v>2520</v>
      </c>
      <c r="C1459" s="117" t="s">
        <v>2521</v>
      </c>
      <c r="D1459" s="118">
        <v>9.25</v>
      </c>
      <c r="E1459" s="118">
        <v>0.08</v>
      </c>
    </row>
    <row r="1460" spans="2:5" x14ac:dyDescent="0.2">
      <c r="B1460" s="116" t="s">
        <v>2522</v>
      </c>
      <c r="C1460" s="117" t="s">
        <v>2523</v>
      </c>
      <c r="D1460" s="118">
        <v>6.77</v>
      </c>
      <c r="E1460" s="118">
        <v>0.01</v>
      </c>
    </row>
    <row r="1461" spans="2:5" x14ac:dyDescent="0.2">
      <c r="B1461" s="116" t="s">
        <v>4194</v>
      </c>
      <c r="C1461" s="117" t="s">
        <v>4195</v>
      </c>
      <c r="D1461" s="118"/>
      <c r="E1461" s="118"/>
    </row>
    <row r="1462" spans="2:5" x14ac:dyDescent="0.2">
      <c r="B1462" s="116" t="s">
        <v>2524</v>
      </c>
      <c r="C1462" s="117" t="s">
        <v>2525</v>
      </c>
      <c r="D1462" s="118">
        <v>10.9</v>
      </c>
      <c r="E1462" s="118">
        <v>0.11</v>
      </c>
    </row>
    <row r="1463" spans="2:5" x14ac:dyDescent="0.2">
      <c r="B1463" s="116" t="s">
        <v>2526</v>
      </c>
      <c r="C1463" s="117" t="s">
        <v>2527</v>
      </c>
      <c r="D1463" s="118">
        <v>8.9499999999999993</v>
      </c>
      <c r="E1463" s="118">
        <v>0.06</v>
      </c>
    </row>
    <row r="1464" spans="2:5" x14ac:dyDescent="0.2">
      <c r="B1464" s="116" t="s">
        <v>2528</v>
      </c>
      <c r="C1464" s="117" t="s">
        <v>2529</v>
      </c>
      <c r="D1464" s="118">
        <v>15.22</v>
      </c>
      <c r="E1464" s="118">
        <v>0.11</v>
      </c>
    </row>
    <row r="1465" spans="2:5" x14ac:dyDescent="0.2">
      <c r="B1465" s="116" t="s">
        <v>2530</v>
      </c>
      <c r="C1465" s="117" t="s">
        <v>2531</v>
      </c>
      <c r="D1465" s="118">
        <v>9.98</v>
      </c>
      <c r="E1465" s="118">
        <v>0.1</v>
      </c>
    </row>
    <row r="1466" spans="2:5" x14ac:dyDescent="0.2">
      <c r="B1466" s="116" t="s">
        <v>2532</v>
      </c>
      <c r="C1466" s="117" t="s">
        <v>2533</v>
      </c>
      <c r="D1466" s="118">
        <v>6.19</v>
      </c>
      <c r="E1466" s="118">
        <v>0.06</v>
      </c>
    </row>
    <row r="1467" spans="2:5" x14ac:dyDescent="0.2">
      <c r="B1467" s="116" t="s">
        <v>2534</v>
      </c>
      <c r="C1467" s="117" t="s">
        <v>2535</v>
      </c>
      <c r="D1467" s="118">
        <v>22.17</v>
      </c>
      <c r="E1467" s="118">
        <v>0.09</v>
      </c>
    </row>
    <row r="1468" spans="2:5" x14ac:dyDescent="0.2">
      <c r="B1468" s="116" t="s">
        <v>4196</v>
      </c>
      <c r="C1468" s="117" t="s">
        <v>4197</v>
      </c>
      <c r="D1468" s="118"/>
      <c r="E1468" s="118"/>
    </row>
    <row r="1469" spans="2:5" x14ac:dyDescent="0.2">
      <c r="B1469" s="116" t="s">
        <v>4198</v>
      </c>
      <c r="C1469" s="117" t="s">
        <v>4199</v>
      </c>
      <c r="D1469" s="118">
        <v>10.52</v>
      </c>
      <c r="E1469" s="118">
        <v>0.17</v>
      </c>
    </row>
    <row r="1470" spans="2:5" x14ac:dyDescent="0.2">
      <c r="B1470" s="116" t="s">
        <v>2536</v>
      </c>
      <c r="C1470" s="117" t="s">
        <v>2537</v>
      </c>
      <c r="D1470" s="118">
        <v>11.32</v>
      </c>
      <c r="E1470" s="118">
        <v>0.11</v>
      </c>
    </row>
    <row r="1471" spans="2:5" x14ac:dyDescent="0.2">
      <c r="B1471" s="116" t="s">
        <v>2538</v>
      </c>
      <c r="C1471" s="117" t="s">
        <v>2539</v>
      </c>
      <c r="D1471" s="118">
        <v>15.06</v>
      </c>
      <c r="E1471" s="118">
        <v>0.09</v>
      </c>
    </row>
    <row r="1472" spans="2:5" x14ac:dyDescent="0.2">
      <c r="B1472" s="116" t="s">
        <v>4200</v>
      </c>
      <c r="C1472" s="117" t="s">
        <v>4201</v>
      </c>
      <c r="D1472" s="118">
        <v>2.2599999999999998</v>
      </c>
      <c r="E1472" s="118">
        <v>0.03</v>
      </c>
    </row>
    <row r="1473" spans="2:5" x14ac:dyDescent="0.2">
      <c r="B1473" s="116" t="s">
        <v>2540</v>
      </c>
      <c r="C1473" s="117" t="s">
        <v>2541</v>
      </c>
      <c r="D1473" s="118">
        <v>-24.41</v>
      </c>
      <c r="E1473" s="118">
        <v>-0.54</v>
      </c>
    </row>
    <row r="1474" spans="2:5" x14ac:dyDescent="0.2">
      <c r="B1474" s="116" t="s">
        <v>2542</v>
      </c>
      <c r="C1474" s="117" t="s">
        <v>2543</v>
      </c>
      <c r="D1474" s="118">
        <v>62.54</v>
      </c>
      <c r="E1474" s="118">
        <v>0.59</v>
      </c>
    </row>
    <row r="1475" spans="2:5" x14ac:dyDescent="0.2">
      <c r="B1475" s="116" t="s">
        <v>2544</v>
      </c>
      <c r="C1475" s="117" t="s">
        <v>2545</v>
      </c>
      <c r="D1475" s="118">
        <v>21.02</v>
      </c>
      <c r="E1475" s="118">
        <v>0.15</v>
      </c>
    </row>
    <row r="1476" spans="2:5" x14ac:dyDescent="0.2">
      <c r="B1476" s="116" t="s">
        <v>4202</v>
      </c>
      <c r="C1476" s="117" t="s">
        <v>4203</v>
      </c>
      <c r="D1476" s="118">
        <v>1.22</v>
      </c>
      <c r="E1476" s="118">
        <v>0.01</v>
      </c>
    </row>
    <row r="1477" spans="2:5" x14ac:dyDescent="0.2">
      <c r="B1477" s="116" t="s">
        <v>2546</v>
      </c>
      <c r="C1477" s="117" t="s">
        <v>2547</v>
      </c>
      <c r="D1477" s="118">
        <v>27.68</v>
      </c>
      <c r="E1477" s="118">
        <v>0.1</v>
      </c>
    </row>
    <row r="1478" spans="2:5" x14ac:dyDescent="0.2">
      <c r="B1478" s="116" t="s">
        <v>2548</v>
      </c>
      <c r="C1478" s="117" t="s">
        <v>2549</v>
      </c>
      <c r="D1478" s="118">
        <v>30.7</v>
      </c>
      <c r="E1478" s="118">
        <v>0.27</v>
      </c>
    </row>
    <row r="1479" spans="2:5" x14ac:dyDescent="0.2">
      <c r="B1479" s="116" t="s">
        <v>2550</v>
      </c>
      <c r="C1479" s="117" t="s">
        <v>2551</v>
      </c>
      <c r="D1479" s="118">
        <v>40.06</v>
      </c>
      <c r="E1479" s="118">
        <v>0.31</v>
      </c>
    </row>
    <row r="1480" spans="2:5" x14ac:dyDescent="0.2">
      <c r="B1480" s="116" t="s">
        <v>4204</v>
      </c>
      <c r="C1480" s="117" t="s">
        <v>4205</v>
      </c>
      <c r="D1480" s="118">
        <v>11.42</v>
      </c>
      <c r="E1480" s="118">
        <v>0.1</v>
      </c>
    </row>
    <row r="1481" spans="2:5" x14ac:dyDescent="0.2">
      <c r="B1481" s="116" t="s">
        <v>2552</v>
      </c>
      <c r="C1481" s="117" t="s">
        <v>2553</v>
      </c>
      <c r="D1481" s="118">
        <v>9.7899999999999991</v>
      </c>
      <c r="E1481" s="118">
        <v>0.06</v>
      </c>
    </row>
    <row r="1482" spans="2:5" x14ac:dyDescent="0.2">
      <c r="B1482" s="116" t="s">
        <v>2554</v>
      </c>
      <c r="C1482" s="117" t="s">
        <v>2555</v>
      </c>
      <c r="D1482" s="118">
        <v>13.3</v>
      </c>
      <c r="E1482" s="118">
        <v>0.12</v>
      </c>
    </row>
    <row r="1483" spans="2:5" x14ac:dyDescent="0.2">
      <c r="B1483" s="116" t="s">
        <v>2556</v>
      </c>
      <c r="C1483" s="117" t="s">
        <v>2557</v>
      </c>
      <c r="D1483" s="118">
        <v>13.84</v>
      </c>
      <c r="E1483" s="118">
        <v>0.14000000000000001</v>
      </c>
    </row>
    <row r="1484" spans="2:5" x14ac:dyDescent="0.2">
      <c r="B1484" s="116" t="s">
        <v>2558</v>
      </c>
      <c r="C1484" s="117" t="s">
        <v>2559</v>
      </c>
      <c r="D1484" s="118">
        <v>2.66</v>
      </c>
      <c r="E1484" s="118">
        <v>0.01</v>
      </c>
    </row>
    <row r="1485" spans="2:5" x14ac:dyDescent="0.2">
      <c r="B1485" s="116" t="s">
        <v>2560</v>
      </c>
      <c r="C1485" s="117" t="s">
        <v>2561</v>
      </c>
      <c r="D1485" s="118">
        <v>7.85</v>
      </c>
      <c r="E1485" s="118">
        <v>0.08</v>
      </c>
    </row>
    <row r="1486" spans="2:5" x14ac:dyDescent="0.2">
      <c r="B1486" s="116" t="s">
        <v>2562</v>
      </c>
      <c r="C1486" s="117" t="s">
        <v>2563</v>
      </c>
      <c r="D1486" s="118">
        <v>9.61</v>
      </c>
      <c r="E1486" s="118">
        <v>0.11</v>
      </c>
    </row>
    <row r="1487" spans="2:5" x14ac:dyDescent="0.2">
      <c r="B1487" s="116" t="s">
        <v>2564</v>
      </c>
      <c r="C1487" s="117" t="s">
        <v>2565</v>
      </c>
      <c r="D1487" s="118"/>
      <c r="E1487" s="118"/>
    </row>
    <row r="1488" spans="2:5" x14ac:dyDescent="0.2">
      <c r="B1488" s="116" t="s">
        <v>2566</v>
      </c>
      <c r="C1488" s="117" t="s">
        <v>2567</v>
      </c>
      <c r="D1488" s="118">
        <v>6.02</v>
      </c>
      <c r="E1488" s="118">
        <v>7.0000000000000007E-2</v>
      </c>
    </row>
    <row r="1489" spans="2:5" x14ac:dyDescent="0.2">
      <c r="B1489" s="116" t="s">
        <v>2568</v>
      </c>
      <c r="C1489" s="117" t="s">
        <v>2569</v>
      </c>
      <c r="D1489" s="118">
        <v>3.03</v>
      </c>
      <c r="E1489" s="118">
        <v>0.02</v>
      </c>
    </row>
    <row r="1490" spans="2:5" x14ac:dyDescent="0.2">
      <c r="B1490" s="116" t="s">
        <v>4206</v>
      </c>
      <c r="C1490" s="117" t="s">
        <v>4207</v>
      </c>
      <c r="D1490" s="118"/>
      <c r="E1490" s="118"/>
    </row>
    <row r="1491" spans="2:5" x14ac:dyDescent="0.2">
      <c r="B1491" s="116" t="s">
        <v>2570</v>
      </c>
      <c r="C1491" s="117" t="s">
        <v>2571</v>
      </c>
      <c r="D1491" s="118">
        <v>9.23</v>
      </c>
      <c r="E1491" s="118">
        <v>0.09</v>
      </c>
    </row>
    <row r="1492" spans="2:5" x14ac:dyDescent="0.2">
      <c r="B1492" s="116" t="s">
        <v>2572</v>
      </c>
      <c r="C1492" s="117" t="s">
        <v>2573</v>
      </c>
      <c r="D1492" s="118">
        <v>22.54</v>
      </c>
      <c r="E1492" s="118">
        <v>0.23</v>
      </c>
    </row>
    <row r="1493" spans="2:5" x14ac:dyDescent="0.2">
      <c r="B1493" s="116" t="s">
        <v>2574</v>
      </c>
      <c r="C1493" s="117" t="s">
        <v>2575</v>
      </c>
      <c r="D1493" s="118"/>
      <c r="E1493" s="118">
        <v>0.19</v>
      </c>
    </row>
    <row r="1494" spans="2:5" x14ac:dyDescent="0.2">
      <c r="B1494" s="116" t="s">
        <v>2576</v>
      </c>
      <c r="C1494" s="117" t="s">
        <v>2577</v>
      </c>
      <c r="D1494" s="118">
        <v>10.8</v>
      </c>
      <c r="E1494" s="118">
        <v>0.05</v>
      </c>
    </row>
    <row r="1495" spans="2:5" x14ac:dyDescent="0.2">
      <c r="B1495" s="116" t="s">
        <v>2578</v>
      </c>
      <c r="C1495" s="117" t="s">
        <v>2579</v>
      </c>
      <c r="D1495" s="118">
        <v>11.71</v>
      </c>
      <c r="E1495" s="118">
        <v>0.03</v>
      </c>
    </row>
    <row r="1496" spans="2:5" x14ac:dyDescent="0.2">
      <c r="B1496" s="116" t="s">
        <v>2580</v>
      </c>
      <c r="C1496" s="117" t="s">
        <v>2581</v>
      </c>
      <c r="D1496" s="118">
        <v>17.350000000000001</v>
      </c>
      <c r="E1496" s="118">
        <v>0.17</v>
      </c>
    </row>
    <row r="1497" spans="2:5" x14ac:dyDescent="0.2">
      <c r="B1497" s="116" t="s">
        <v>2582</v>
      </c>
      <c r="C1497" s="117" t="s">
        <v>2583</v>
      </c>
      <c r="D1497" s="118">
        <v>7.48</v>
      </c>
      <c r="E1497" s="118">
        <v>0.02</v>
      </c>
    </row>
    <row r="1498" spans="2:5" x14ac:dyDescent="0.2">
      <c r="B1498" s="116" t="s">
        <v>2584</v>
      </c>
      <c r="C1498" s="117" t="s">
        <v>2585</v>
      </c>
      <c r="D1498" s="118">
        <v>8.23</v>
      </c>
      <c r="E1498" s="118">
        <v>7.0000000000000007E-2</v>
      </c>
    </row>
    <row r="1499" spans="2:5" x14ac:dyDescent="0.2">
      <c r="B1499" s="116" t="s">
        <v>2586</v>
      </c>
      <c r="C1499" s="117" t="s">
        <v>2587</v>
      </c>
      <c r="D1499" s="118">
        <v>60.77</v>
      </c>
      <c r="E1499" s="118">
        <v>0.62</v>
      </c>
    </row>
    <row r="1500" spans="2:5" x14ac:dyDescent="0.2">
      <c r="B1500" s="116" t="s">
        <v>2588</v>
      </c>
      <c r="C1500" s="117" t="s">
        <v>2589</v>
      </c>
      <c r="D1500" s="118">
        <v>35.700000000000003</v>
      </c>
      <c r="E1500" s="118">
        <v>0.55000000000000004</v>
      </c>
    </row>
    <row r="1501" spans="2:5" x14ac:dyDescent="0.2">
      <c r="B1501" s="116" t="s">
        <v>4208</v>
      </c>
      <c r="C1501" s="117" t="s">
        <v>4209</v>
      </c>
      <c r="D1501" s="118"/>
      <c r="E1501" s="118"/>
    </row>
    <row r="1502" spans="2:5" x14ac:dyDescent="0.2">
      <c r="B1502" s="116" t="s">
        <v>4210</v>
      </c>
      <c r="C1502" s="117" t="s">
        <v>4211</v>
      </c>
      <c r="D1502" s="118"/>
      <c r="E1502" s="118">
        <v>0.24</v>
      </c>
    </row>
    <row r="1503" spans="2:5" x14ac:dyDescent="0.2">
      <c r="B1503" s="116" t="s">
        <v>4212</v>
      </c>
      <c r="C1503" s="117" t="s">
        <v>4213</v>
      </c>
      <c r="D1503" s="118"/>
      <c r="E1503" s="118">
        <v>0.06</v>
      </c>
    </row>
    <row r="1504" spans="2:5" x14ac:dyDescent="0.2">
      <c r="B1504" s="116" t="s">
        <v>4214</v>
      </c>
      <c r="C1504" s="117" t="s">
        <v>4215</v>
      </c>
      <c r="D1504" s="118"/>
      <c r="E1504" s="118">
        <v>0.14000000000000001</v>
      </c>
    </row>
    <row r="1505" spans="2:5" x14ac:dyDescent="0.2">
      <c r="B1505" s="116" t="s">
        <v>2590</v>
      </c>
      <c r="C1505" s="117" t="s">
        <v>2591</v>
      </c>
      <c r="D1505" s="118">
        <v>3.11</v>
      </c>
      <c r="E1505" s="118">
        <v>-0.13</v>
      </c>
    </row>
    <row r="1506" spans="2:5" x14ac:dyDescent="0.2">
      <c r="B1506" s="116" t="s">
        <v>2592</v>
      </c>
      <c r="C1506" s="117" t="s">
        <v>2593</v>
      </c>
      <c r="D1506" s="118">
        <v>4.6900000000000004</v>
      </c>
      <c r="E1506" s="118">
        <v>0.05</v>
      </c>
    </row>
    <row r="1507" spans="2:5" x14ac:dyDescent="0.2">
      <c r="B1507" s="116" t="s">
        <v>2594</v>
      </c>
      <c r="C1507" s="117" t="s">
        <v>2595</v>
      </c>
      <c r="D1507" s="118">
        <v>54.28</v>
      </c>
      <c r="E1507" s="118">
        <v>0.54</v>
      </c>
    </row>
    <row r="1508" spans="2:5" x14ac:dyDescent="0.2">
      <c r="B1508" s="116" t="s">
        <v>2597</v>
      </c>
      <c r="C1508" s="117" t="s">
        <v>2598</v>
      </c>
      <c r="D1508" s="118">
        <v>16</v>
      </c>
      <c r="E1508" s="118">
        <v>0.04</v>
      </c>
    </row>
    <row r="1509" spans="2:5" x14ac:dyDescent="0.2">
      <c r="B1509" s="116" t="s">
        <v>2599</v>
      </c>
      <c r="C1509" s="117" t="s">
        <v>2600</v>
      </c>
      <c r="D1509" s="118">
        <v>2.2000000000000002</v>
      </c>
      <c r="E1509" s="118">
        <v>0.02</v>
      </c>
    </row>
    <row r="1510" spans="2:5" x14ac:dyDescent="0.2">
      <c r="B1510" s="116" t="s">
        <v>2601</v>
      </c>
      <c r="C1510" s="117" t="s">
        <v>2602</v>
      </c>
      <c r="D1510" s="118"/>
      <c r="E1510" s="118">
        <v>0.09</v>
      </c>
    </row>
    <row r="1511" spans="2:5" x14ac:dyDescent="0.2">
      <c r="B1511" s="116" t="s">
        <v>2603</v>
      </c>
      <c r="C1511" s="117" t="s">
        <v>2604</v>
      </c>
      <c r="D1511" s="118"/>
      <c r="E1511" s="118">
        <v>0.04</v>
      </c>
    </row>
    <row r="1512" spans="2:5" x14ac:dyDescent="0.2">
      <c r="B1512" s="116" t="s">
        <v>2605</v>
      </c>
      <c r="C1512" s="117" t="s">
        <v>2606</v>
      </c>
      <c r="D1512" s="118"/>
      <c r="E1512" s="118">
        <v>0.12</v>
      </c>
    </row>
    <row r="1513" spans="2:5" x14ac:dyDescent="0.2">
      <c r="B1513" s="116" t="s">
        <v>2607</v>
      </c>
      <c r="C1513" s="117" t="s">
        <v>2608</v>
      </c>
      <c r="D1513" s="118">
        <v>7.52</v>
      </c>
      <c r="E1513" s="118">
        <v>0.08</v>
      </c>
    </row>
    <row r="1514" spans="2:5" x14ac:dyDescent="0.2">
      <c r="B1514" s="116" t="s">
        <v>2609</v>
      </c>
      <c r="C1514" s="117" t="s">
        <v>2610</v>
      </c>
      <c r="D1514" s="118">
        <v>-5.76</v>
      </c>
      <c r="E1514" s="118">
        <v>-0.22</v>
      </c>
    </row>
    <row r="1515" spans="2:5" x14ac:dyDescent="0.2">
      <c r="B1515" s="116" t="s">
        <v>2611</v>
      </c>
      <c r="C1515" s="117" t="s">
        <v>2612</v>
      </c>
      <c r="D1515" s="118">
        <v>3.97</v>
      </c>
      <c r="E1515" s="118">
        <v>0.03</v>
      </c>
    </row>
    <row r="1516" spans="2:5" x14ac:dyDescent="0.2">
      <c r="B1516" s="116" t="s">
        <v>2613</v>
      </c>
      <c r="C1516" s="117" t="s">
        <v>2614</v>
      </c>
      <c r="D1516" s="118">
        <v>12.72</v>
      </c>
      <c r="E1516" s="118">
        <v>0.1</v>
      </c>
    </row>
    <row r="1517" spans="2:5" x14ac:dyDescent="0.2">
      <c r="B1517" s="116" t="s">
        <v>2615</v>
      </c>
      <c r="C1517" s="117" t="s">
        <v>2616</v>
      </c>
      <c r="D1517" s="118">
        <v>21.18</v>
      </c>
      <c r="E1517" s="118">
        <v>0.13</v>
      </c>
    </row>
    <row r="1518" spans="2:5" x14ac:dyDescent="0.2">
      <c r="B1518" s="116" t="s">
        <v>2617</v>
      </c>
      <c r="C1518" s="117" t="s">
        <v>2618</v>
      </c>
      <c r="D1518" s="118">
        <v>18.440000000000001</v>
      </c>
      <c r="E1518" s="118">
        <v>-0.21</v>
      </c>
    </row>
    <row r="1519" spans="2:5" x14ac:dyDescent="0.2">
      <c r="B1519" s="116" t="s">
        <v>2619</v>
      </c>
      <c r="C1519" s="117" t="s">
        <v>2620</v>
      </c>
      <c r="D1519" s="118">
        <v>20.82</v>
      </c>
      <c r="E1519" s="118">
        <v>0.13</v>
      </c>
    </row>
    <row r="1520" spans="2:5" x14ac:dyDescent="0.2">
      <c r="B1520" s="116" t="s">
        <v>2621</v>
      </c>
      <c r="C1520" s="117" t="s">
        <v>2622</v>
      </c>
      <c r="D1520" s="118">
        <v>28.4</v>
      </c>
      <c r="E1520" s="118">
        <v>0.21</v>
      </c>
    </row>
    <row r="1521" spans="2:5" x14ac:dyDescent="0.2">
      <c r="B1521" s="116" t="s">
        <v>4216</v>
      </c>
      <c r="C1521" s="117" t="s">
        <v>4217</v>
      </c>
      <c r="D1521" s="118"/>
      <c r="E1521" s="118"/>
    </row>
    <row r="1522" spans="2:5" x14ac:dyDescent="0.2">
      <c r="B1522" s="116" t="s">
        <v>2623</v>
      </c>
      <c r="C1522" s="117" t="s">
        <v>2624</v>
      </c>
      <c r="D1522" s="118">
        <v>5.82</v>
      </c>
      <c r="E1522" s="118">
        <v>7.0000000000000007E-2</v>
      </c>
    </row>
    <row r="1523" spans="2:5" x14ac:dyDescent="0.2">
      <c r="B1523" s="116" t="s">
        <v>2623</v>
      </c>
      <c r="C1523" s="117" t="s">
        <v>4218</v>
      </c>
      <c r="D1523" s="118">
        <v>5.82</v>
      </c>
      <c r="E1523" s="118">
        <v>7.0000000000000007E-2</v>
      </c>
    </row>
    <row r="1524" spans="2:5" x14ac:dyDescent="0.2">
      <c r="B1524" s="116" t="s">
        <v>2625</v>
      </c>
      <c r="C1524" s="117" t="s">
        <v>2626</v>
      </c>
      <c r="D1524" s="118">
        <v>24.43</v>
      </c>
      <c r="E1524" s="118">
        <v>0.04</v>
      </c>
    </row>
    <row r="1525" spans="2:5" x14ac:dyDescent="0.2">
      <c r="B1525" s="116" t="s">
        <v>2628</v>
      </c>
      <c r="C1525" s="117" t="s">
        <v>2629</v>
      </c>
      <c r="D1525" s="118">
        <v>22.15</v>
      </c>
      <c r="E1525" s="118">
        <v>0.11</v>
      </c>
    </row>
    <row r="1526" spans="2:5" x14ac:dyDescent="0.2">
      <c r="B1526" s="116" t="s">
        <v>2630</v>
      </c>
      <c r="C1526" s="117" t="s">
        <v>2631</v>
      </c>
      <c r="D1526" s="118">
        <v>2.12</v>
      </c>
      <c r="E1526" s="118">
        <v>-0.15</v>
      </c>
    </row>
    <row r="1527" spans="2:5" x14ac:dyDescent="0.2">
      <c r="B1527" s="116" t="s">
        <v>2632</v>
      </c>
      <c r="C1527" s="117" t="s">
        <v>2633</v>
      </c>
      <c r="D1527" s="118">
        <v>19.43</v>
      </c>
      <c r="E1527" s="118">
        <v>0.23</v>
      </c>
    </row>
    <row r="1528" spans="2:5" x14ac:dyDescent="0.2">
      <c r="B1528" s="116" t="s">
        <v>4219</v>
      </c>
      <c r="C1528" s="117" t="s">
        <v>4220</v>
      </c>
      <c r="D1528" s="118">
        <v>22.15</v>
      </c>
      <c r="E1528" s="118">
        <v>0.19</v>
      </c>
    </row>
    <row r="1529" spans="2:5" x14ac:dyDescent="0.2">
      <c r="B1529" s="116" t="s">
        <v>2634</v>
      </c>
      <c r="C1529" s="117" t="s">
        <v>2635</v>
      </c>
      <c r="D1529" s="118">
        <v>-11.09</v>
      </c>
      <c r="E1529" s="118">
        <v>3.6</v>
      </c>
    </row>
    <row r="1530" spans="2:5" x14ac:dyDescent="0.2">
      <c r="B1530" s="116" t="s">
        <v>4221</v>
      </c>
      <c r="C1530" s="117" t="s">
        <v>4222</v>
      </c>
      <c r="D1530" s="118">
        <v>3.42</v>
      </c>
      <c r="E1530" s="118">
        <v>0.03</v>
      </c>
    </row>
    <row r="1531" spans="2:5" x14ac:dyDescent="0.2">
      <c r="B1531" s="116" t="s">
        <v>2636</v>
      </c>
      <c r="C1531" s="117" t="s">
        <v>2637</v>
      </c>
      <c r="D1531" s="118">
        <v>9.7899999999999991</v>
      </c>
      <c r="E1531" s="118">
        <v>0.1</v>
      </c>
    </row>
    <row r="1532" spans="2:5" x14ac:dyDescent="0.2">
      <c r="B1532" s="116" t="s">
        <v>2638</v>
      </c>
      <c r="C1532" s="117" t="s">
        <v>2639</v>
      </c>
      <c r="D1532" s="118">
        <v>7.32</v>
      </c>
      <c r="E1532" s="118">
        <v>0.06</v>
      </c>
    </row>
    <row r="1533" spans="2:5" x14ac:dyDescent="0.2">
      <c r="B1533" s="116" t="s">
        <v>2640</v>
      </c>
      <c r="C1533" s="117" t="s">
        <v>2641</v>
      </c>
      <c r="D1533" s="118"/>
      <c r="E1533" s="118">
        <v>0.17</v>
      </c>
    </row>
    <row r="1534" spans="2:5" x14ac:dyDescent="0.2">
      <c r="B1534" s="116" t="s">
        <v>2642</v>
      </c>
      <c r="C1534" s="117" t="s">
        <v>2643</v>
      </c>
      <c r="D1534" s="118">
        <v>21.55</v>
      </c>
      <c r="E1534" s="118">
        <v>0.13</v>
      </c>
    </row>
    <row r="1535" spans="2:5" x14ac:dyDescent="0.2">
      <c r="B1535" s="116" t="s">
        <v>4223</v>
      </c>
      <c r="C1535" s="117" t="s">
        <v>4224</v>
      </c>
      <c r="D1535" s="118">
        <v>21.55</v>
      </c>
      <c r="E1535" s="118">
        <v>0.13</v>
      </c>
    </row>
    <row r="1536" spans="2:5" x14ac:dyDescent="0.2">
      <c r="B1536" s="116" t="s">
        <v>4225</v>
      </c>
      <c r="C1536" s="117" t="s">
        <v>4226</v>
      </c>
      <c r="D1536" s="118"/>
      <c r="E1536" s="118"/>
    </row>
    <row r="1537" spans="2:5" x14ac:dyDescent="0.2">
      <c r="B1537" s="116" t="s">
        <v>2644</v>
      </c>
      <c r="C1537" s="117" t="s">
        <v>2645</v>
      </c>
      <c r="D1537" s="118">
        <v>14.68</v>
      </c>
      <c r="E1537" s="118">
        <v>0.14000000000000001</v>
      </c>
    </row>
    <row r="1538" spans="2:5" x14ac:dyDescent="0.2">
      <c r="B1538" s="116" t="s">
        <v>2646</v>
      </c>
      <c r="C1538" s="117" t="s">
        <v>2647</v>
      </c>
      <c r="D1538" s="118">
        <v>18.96</v>
      </c>
      <c r="E1538" s="118">
        <v>0.19</v>
      </c>
    </row>
    <row r="1539" spans="2:5" x14ac:dyDescent="0.2">
      <c r="B1539" s="116" t="s">
        <v>2648</v>
      </c>
      <c r="C1539" s="117" t="s">
        <v>2649</v>
      </c>
      <c r="D1539" s="118">
        <v>7.76</v>
      </c>
      <c r="E1539" s="118">
        <v>0.08</v>
      </c>
    </row>
    <row r="1540" spans="2:5" x14ac:dyDescent="0.2">
      <c r="B1540" s="116" t="s">
        <v>2650</v>
      </c>
      <c r="C1540" s="117" t="s">
        <v>2651</v>
      </c>
      <c r="D1540" s="118">
        <v>50.45</v>
      </c>
      <c r="E1540" s="118">
        <v>0.48</v>
      </c>
    </row>
    <row r="1541" spans="2:5" x14ac:dyDescent="0.2">
      <c r="B1541" s="116" t="s">
        <v>2652</v>
      </c>
      <c r="C1541" s="117" t="s">
        <v>2653</v>
      </c>
      <c r="D1541" s="118">
        <v>5.25</v>
      </c>
      <c r="E1541" s="118">
        <v>0.06</v>
      </c>
    </row>
    <row r="1542" spans="2:5" x14ac:dyDescent="0.2">
      <c r="B1542" s="116" t="s">
        <v>2652</v>
      </c>
      <c r="C1542" s="117" t="s">
        <v>4227</v>
      </c>
      <c r="D1542" s="118">
        <v>5.25</v>
      </c>
      <c r="E1542" s="118">
        <v>0.06</v>
      </c>
    </row>
    <row r="1543" spans="2:5" x14ac:dyDescent="0.2">
      <c r="B1543" s="116" t="s">
        <v>2654</v>
      </c>
      <c r="C1543" s="117" t="s">
        <v>2655</v>
      </c>
      <c r="D1543" s="118">
        <v>11.19</v>
      </c>
      <c r="E1543" s="118">
        <v>0.12</v>
      </c>
    </row>
    <row r="1544" spans="2:5" x14ac:dyDescent="0.2">
      <c r="B1544" s="116" t="s">
        <v>2656</v>
      </c>
      <c r="C1544" s="117" t="s">
        <v>2657</v>
      </c>
      <c r="D1544" s="118">
        <v>13.44</v>
      </c>
      <c r="E1544" s="118">
        <v>0.12</v>
      </c>
    </row>
    <row r="1545" spans="2:5" x14ac:dyDescent="0.2">
      <c r="B1545" s="116" t="s">
        <v>2658</v>
      </c>
      <c r="C1545" s="117" t="s">
        <v>2659</v>
      </c>
      <c r="D1545" s="118">
        <v>6.92</v>
      </c>
      <c r="E1545" s="118">
        <v>0.01</v>
      </c>
    </row>
    <row r="1546" spans="2:5" x14ac:dyDescent="0.2">
      <c r="B1546" s="116" t="s">
        <v>2660</v>
      </c>
      <c r="C1546" s="117" t="s">
        <v>2661</v>
      </c>
      <c r="D1546" s="118">
        <v>26.71</v>
      </c>
      <c r="E1546" s="118">
        <v>0.22</v>
      </c>
    </row>
    <row r="1547" spans="2:5" x14ac:dyDescent="0.2">
      <c r="B1547" s="116" t="s">
        <v>2662</v>
      </c>
      <c r="C1547" s="117" t="s">
        <v>2663</v>
      </c>
      <c r="D1547" s="118">
        <v>36.880000000000003</v>
      </c>
      <c r="E1547" s="118">
        <v>0.36</v>
      </c>
    </row>
    <row r="1548" spans="2:5" x14ac:dyDescent="0.2">
      <c r="B1548" s="116" t="s">
        <v>4228</v>
      </c>
      <c r="C1548" s="117" t="s">
        <v>4229</v>
      </c>
      <c r="D1548" s="118"/>
      <c r="E1548" s="118">
        <v>0.19</v>
      </c>
    </row>
    <row r="1549" spans="2:5" x14ac:dyDescent="0.2">
      <c r="B1549" s="116" t="s">
        <v>4230</v>
      </c>
      <c r="C1549" s="117" t="s">
        <v>4231</v>
      </c>
      <c r="D1549" s="118"/>
      <c r="E1549" s="118">
        <v>0.13</v>
      </c>
    </row>
    <row r="1550" spans="2:5" x14ac:dyDescent="0.2">
      <c r="B1550" s="116" t="s">
        <v>2664</v>
      </c>
      <c r="C1550" s="117" t="s">
        <v>2665</v>
      </c>
      <c r="D1550" s="118">
        <v>3.74</v>
      </c>
      <c r="E1550" s="118">
        <v>0.05</v>
      </c>
    </row>
    <row r="1551" spans="2:5" x14ac:dyDescent="0.2">
      <c r="B1551" s="116" t="s">
        <v>2666</v>
      </c>
      <c r="C1551" s="117" t="s">
        <v>2667</v>
      </c>
      <c r="D1551" s="118">
        <v>21.07</v>
      </c>
      <c r="E1551" s="118">
        <v>0.22</v>
      </c>
    </row>
    <row r="1552" spans="2:5" x14ac:dyDescent="0.2">
      <c r="B1552" s="116" t="s">
        <v>2668</v>
      </c>
      <c r="C1552" s="117" t="s">
        <v>2669</v>
      </c>
      <c r="D1552" s="118">
        <v>27.31</v>
      </c>
      <c r="E1552" s="118">
        <v>0.27</v>
      </c>
    </row>
    <row r="1553" spans="2:5" x14ac:dyDescent="0.2">
      <c r="B1553" s="116" t="s">
        <v>2670</v>
      </c>
      <c r="C1553" s="117" t="s">
        <v>2671</v>
      </c>
      <c r="D1553" s="118">
        <v>6.39</v>
      </c>
      <c r="E1553" s="118">
        <v>0.06</v>
      </c>
    </row>
    <row r="1554" spans="2:5" x14ac:dyDescent="0.2">
      <c r="B1554" s="116" t="s">
        <v>2672</v>
      </c>
      <c r="C1554" s="117" t="s">
        <v>2673</v>
      </c>
      <c r="D1554" s="118">
        <v>20.25</v>
      </c>
      <c r="E1554" s="118">
        <v>0.09</v>
      </c>
    </row>
    <row r="1555" spans="2:5" x14ac:dyDescent="0.2">
      <c r="B1555" s="116" t="s">
        <v>2674</v>
      </c>
      <c r="C1555" s="117" t="s">
        <v>2675</v>
      </c>
      <c r="D1555" s="118">
        <v>22.51</v>
      </c>
      <c r="E1555" s="118">
        <v>0.22</v>
      </c>
    </row>
    <row r="1556" spans="2:5" x14ac:dyDescent="0.2">
      <c r="B1556" s="116" t="s">
        <v>2676</v>
      </c>
      <c r="C1556" s="117" t="s">
        <v>2677</v>
      </c>
      <c r="D1556" s="118">
        <v>9.15</v>
      </c>
      <c r="E1556" s="118">
        <v>0.06</v>
      </c>
    </row>
    <row r="1557" spans="2:5" x14ac:dyDescent="0.2">
      <c r="B1557" s="116" t="s">
        <v>2679</v>
      </c>
      <c r="C1557" s="117" t="s">
        <v>2680</v>
      </c>
      <c r="D1557" s="118"/>
      <c r="E1557" s="118">
        <v>0.18</v>
      </c>
    </row>
    <row r="1558" spans="2:5" x14ac:dyDescent="0.2">
      <c r="B1558" s="116" t="s">
        <v>2681</v>
      </c>
      <c r="C1558" s="117" t="s">
        <v>2682</v>
      </c>
      <c r="D1558" s="118">
        <v>7.63</v>
      </c>
      <c r="E1558" s="118">
        <v>7.0000000000000007E-2</v>
      </c>
    </row>
    <row r="1559" spans="2:5" x14ac:dyDescent="0.2">
      <c r="B1559" s="116" t="s">
        <v>2683</v>
      </c>
      <c r="C1559" s="117" t="s">
        <v>2684</v>
      </c>
      <c r="D1559" s="118">
        <v>18.89</v>
      </c>
      <c r="E1559" s="118">
        <v>0.21</v>
      </c>
    </row>
    <row r="1560" spans="2:5" x14ac:dyDescent="0.2">
      <c r="B1560" s="116" t="s">
        <v>2685</v>
      </c>
      <c r="C1560" s="117" t="s">
        <v>2686</v>
      </c>
      <c r="D1560" s="118">
        <v>2.85</v>
      </c>
      <c r="E1560" s="118">
        <v>0.02</v>
      </c>
    </row>
    <row r="1561" spans="2:5" x14ac:dyDescent="0.2">
      <c r="B1561" s="116" t="s">
        <v>2687</v>
      </c>
      <c r="C1561" s="117" t="s">
        <v>2688</v>
      </c>
      <c r="D1561" s="118">
        <v>-17.260000000000002</v>
      </c>
      <c r="E1561" s="118">
        <v>-0.66</v>
      </c>
    </row>
    <row r="1562" spans="2:5" x14ac:dyDescent="0.2">
      <c r="B1562" s="116" t="s">
        <v>2689</v>
      </c>
      <c r="C1562" s="117" t="s">
        <v>2690</v>
      </c>
      <c r="D1562" s="118"/>
      <c r="E1562" s="118">
        <v>0.34</v>
      </c>
    </row>
    <row r="1563" spans="2:5" x14ac:dyDescent="0.2">
      <c r="B1563" s="116" t="s">
        <v>2691</v>
      </c>
      <c r="C1563" s="117" t="s">
        <v>2692</v>
      </c>
      <c r="D1563" s="118">
        <v>13.59</v>
      </c>
      <c r="E1563" s="118">
        <v>0.11</v>
      </c>
    </row>
    <row r="1564" spans="2:5" x14ac:dyDescent="0.2">
      <c r="B1564" s="116" t="s">
        <v>4232</v>
      </c>
      <c r="C1564" s="117" t="s">
        <v>4233</v>
      </c>
      <c r="D1564" s="118">
        <v>20.170000000000002</v>
      </c>
      <c r="E1564" s="118">
        <v>0.13</v>
      </c>
    </row>
    <row r="1565" spans="2:5" x14ac:dyDescent="0.2">
      <c r="B1565" s="116" t="s">
        <v>2693</v>
      </c>
      <c r="C1565" s="117" t="s">
        <v>2694</v>
      </c>
      <c r="D1565" s="118">
        <v>9.4600000000000009</v>
      </c>
      <c r="E1565" s="118">
        <v>7.0000000000000007E-2</v>
      </c>
    </row>
    <row r="1566" spans="2:5" x14ac:dyDescent="0.2">
      <c r="B1566" s="116" t="s">
        <v>2695</v>
      </c>
      <c r="C1566" s="117" t="s">
        <v>2696</v>
      </c>
      <c r="D1566" s="118">
        <v>11.34</v>
      </c>
      <c r="E1566" s="118">
        <v>0.08</v>
      </c>
    </row>
    <row r="1567" spans="2:5" x14ac:dyDescent="0.2">
      <c r="B1567" s="116" t="s">
        <v>2697</v>
      </c>
      <c r="C1567" s="117" t="s">
        <v>2698</v>
      </c>
      <c r="D1567" s="118">
        <v>20.190000000000001</v>
      </c>
      <c r="E1567" s="118">
        <v>0.16</v>
      </c>
    </row>
    <row r="1568" spans="2:5" x14ac:dyDescent="0.2">
      <c r="B1568" s="116" t="s">
        <v>2699</v>
      </c>
      <c r="C1568" s="117" t="s">
        <v>2700</v>
      </c>
      <c r="D1568" s="118">
        <v>8.9600000000000009</v>
      </c>
      <c r="E1568" s="118">
        <v>-0.04</v>
      </c>
    </row>
    <row r="1569" spans="2:5" x14ac:dyDescent="0.2">
      <c r="B1569" s="116" t="s">
        <v>2701</v>
      </c>
      <c r="C1569" s="117" t="s">
        <v>2702</v>
      </c>
      <c r="D1569" s="118"/>
      <c r="E1569" s="118">
        <v>0.06</v>
      </c>
    </row>
    <row r="1570" spans="2:5" x14ac:dyDescent="0.2">
      <c r="B1570" s="116" t="s">
        <v>2703</v>
      </c>
      <c r="C1570" s="117" t="s">
        <v>2704</v>
      </c>
      <c r="D1570" s="118">
        <v>14.32</v>
      </c>
      <c r="E1570" s="118">
        <v>0.11</v>
      </c>
    </row>
    <row r="1571" spans="2:5" x14ac:dyDescent="0.2">
      <c r="B1571" s="116" t="s">
        <v>2705</v>
      </c>
      <c r="C1571" s="117" t="s">
        <v>2706</v>
      </c>
      <c r="D1571" s="118"/>
      <c r="E1571" s="118"/>
    </row>
    <row r="1572" spans="2:5" x14ac:dyDescent="0.2">
      <c r="B1572" s="116" t="s">
        <v>4234</v>
      </c>
      <c r="C1572" s="117" t="s">
        <v>4235</v>
      </c>
      <c r="D1572" s="118">
        <v>12.32</v>
      </c>
      <c r="E1572" s="118">
        <v>0.11</v>
      </c>
    </row>
    <row r="1573" spans="2:5" x14ac:dyDescent="0.2">
      <c r="B1573" s="116" t="s">
        <v>2707</v>
      </c>
      <c r="C1573" s="117" t="s">
        <v>2708</v>
      </c>
      <c r="D1573" s="118">
        <v>15.83</v>
      </c>
      <c r="E1573" s="118">
        <v>0.08</v>
      </c>
    </row>
    <row r="1574" spans="2:5" x14ac:dyDescent="0.2">
      <c r="B1574" s="116" t="s">
        <v>2709</v>
      </c>
      <c r="C1574" s="117" t="s">
        <v>2710</v>
      </c>
      <c r="D1574" s="118">
        <v>-2.41</v>
      </c>
      <c r="E1574" s="118">
        <v>-0.01</v>
      </c>
    </row>
    <row r="1575" spans="2:5" x14ac:dyDescent="0.2">
      <c r="B1575" s="116" t="s">
        <v>2711</v>
      </c>
      <c r="C1575" s="117" t="s">
        <v>2712</v>
      </c>
      <c r="D1575" s="118">
        <v>12.16</v>
      </c>
      <c r="E1575" s="118">
        <v>0.13</v>
      </c>
    </row>
    <row r="1576" spans="2:5" x14ac:dyDescent="0.2">
      <c r="B1576" s="116" t="s">
        <v>2714</v>
      </c>
      <c r="C1576" s="117" t="s">
        <v>2715</v>
      </c>
      <c r="D1576" s="118">
        <v>17.22</v>
      </c>
      <c r="E1576" s="118">
        <v>0.15</v>
      </c>
    </row>
    <row r="1577" spans="2:5" x14ac:dyDescent="0.2">
      <c r="B1577" s="116" t="s">
        <v>2716</v>
      </c>
      <c r="C1577" s="117" t="s">
        <v>2717</v>
      </c>
      <c r="D1577" s="118">
        <v>24.98</v>
      </c>
      <c r="E1577" s="118">
        <v>0.18</v>
      </c>
    </row>
    <row r="1578" spans="2:5" x14ac:dyDescent="0.2">
      <c r="B1578" s="116" t="s">
        <v>2718</v>
      </c>
      <c r="C1578" s="117" t="s">
        <v>2719</v>
      </c>
      <c r="D1578" s="118">
        <v>10.41</v>
      </c>
      <c r="E1578" s="118">
        <v>0.11</v>
      </c>
    </row>
    <row r="1579" spans="2:5" x14ac:dyDescent="0.2">
      <c r="B1579" s="116" t="s">
        <v>4236</v>
      </c>
      <c r="C1579" s="117" t="s">
        <v>4237</v>
      </c>
      <c r="D1579" s="118">
        <v>4.93</v>
      </c>
      <c r="E1579" s="118">
        <v>0.04</v>
      </c>
    </row>
    <row r="1580" spans="2:5" x14ac:dyDescent="0.2">
      <c r="B1580" s="116" t="s">
        <v>2720</v>
      </c>
      <c r="C1580" s="117" t="s">
        <v>2721</v>
      </c>
      <c r="D1580" s="118">
        <v>16.05</v>
      </c>
      <c r="E1580" s="118">
        <v>0.04</v>
      </c>
    </row>
    <row r="1581" spans="2:5" x14ac:dyDescent="0.2">
      <c r="B1581" s="116" t="s">
        <v>2722</v>
      </c>
      <c r="C1581" s="117" t="s">
        <v>2723</v>
      </c>
      <c r="D1581" s="118">
        <v>5.73</v>
      </c>
      <c r="E1581" s="118">
        <v>0.05</v>
      </c>
    </row>
    <row r="1582" spans="2:5" x14ac:dyDescent="0.2">
      <c r="B1582" s="116" t="s">
        <v>2724</v>
      </c>
      <c r="C1582" s="117" t="s">
        <v>2725</v>
      </c>
      <c r="D1582" s="118">
        <v>5.39</v>
      </c>
      <c r="E1582" s="118">
        <v>0.05</v>
      </c>
    </row>
    <row r="1583" spans="2:5" x14ac:dyDescent="0.2">
      <c r="B1583" s="116" t="s">
        <v>2726</v>
      </c>
      <c r="C1583" s="117" t="s">
        <v>2727</v>
      </c>
      <c r="D1583" s="118">
        <v>10.029999999999999</v>
      </c>
      <c r="E1583" s="118">
        <v>0.1</v>
      </c>
    </row>
    <row r="1584" spans="2:5" x14ac:dyDescent="0.2">
      <c r="B1584" s="116" t="s">
        <v>4238</v>
      </c>
      <c r="C1584" s="117" t="s">
        <v>4239</v>
      </c>
      <c r="D1584" s="118"/>
      <c r="E1584" s="118"/>
    </row>
    <row r="1585" spans="2:5" x14ac:dyDescent="0.2">
      <c r="B1585" s="116" t="s">
        <v>2728</v>
      </c>
      <c r="C1585" s="117" t="s">
        <v>2729</v>
      </c>
      <c r="D1585" s="118">
        <v>10.96</v>
      </c>
      <c r="E1585" s="118">
        <v>0.11</v>
      </c>
    </row>
    <row r="1586" spans="2:5" x14ac:dyDescent="0.2">
      <c r="B1586" s="116" t="s">
        <v>2730</v>
      </c>
      <c r="C1586" s="117" t="s">
        <v>2731</v>
      </c>
      <c r="D1586" s="118"/>
      <c r="E1586" s="118">
        <v>-0.04</v>
      </c>
    </row>
    <row r="1587" spans="2:5" x14ac:dyDescent="0.2">
      <c r="B1587" s="116" t="s">
        <v>2732</v>
      </c>
      <c r="C1587" s="117" t="s">
        <v>2733</v>
      </c>
      <c r="D1587" s="118"/>
      <c r="E1587" s="118">
        <v>0.13</v>
      </c>
    </row>
    <row r="1588" spans="2:5" x14ac:dyDescent="0.2">
      <c r="B1588" s="116" t="s">
        <v>2734</v>
      </c>
      <c r="C1588" s="117" t="s">
        <v>2735</v>
      </c>
      <c r="D1588" s="118"/>
      <c r="E1588" s="118">
        <v>0.03</v>
      </c>
    </row>
    <row r="1589" spans="2:5" x14ac:dyDescent="0.2">
      <c r="B1589" s="116" t="s">
        <v>2736</v>
      </c>
      <c r="C1589" s="117" t="s">
        <v>2737</v>
      </c>
      <c r="D1589" s="118">
        <v>28.69</v>
      </c>
      <c r="E1589" s="118">
        <v>0.22</v>
      </c>
    </row>
    <row r="1590" spans="2:5" x14ac:dyDescent="0.2">
      <c r="B1590" s="116" t="s">
        <v>2738</v>
      </c>
      <c r="C1590" s="117" t="s">
        <v>2739</v>
      </c>
      <c r="D1590" s="118">
        <v>12.12</v>
      </c>
      <c r="E1590" s="118">
        <v>0.11</v>
      </c>
    </row>
    <row r="1591" spans="2:5" x14ac:dyDescent="0.2">
      <c r="B1591" s="116" t="s">
        <v>2740</v>
      </c>
      <c r="C1591" s="117" t="s">
        <v>2741</v>
      </c>
      <c r="D1591" s="118"/>
      <c r="E1591" s="118">
        <v>-0.15</v>
      </c>
    </row>
    <row r="1592" spans="2:5" x14ac:dyDescent="0.2">
      <c r="B1592" s="116" t="s">
        <v>2742</v>
      </c>
      <c r="C1592" s="117" t="s">
        <v>2743</v>
      </c>
      <c r="D1592" s="118">
        <v>9.2799999999999994</v>
      </c>
      <c r="E1592" s="118">
        <v>0.13</v>
      </c>
    </row>
    <row r="1593" spans="2:5" x14ac:dyDescent="0.2">
      <c r="B1593" s="116" t="s">
        <v>2744</v>
      </c>
      <c r="C1593" s="117" t="s">
        <v>2745</v>
      </c>
      <c r="D1593" s="118">
        <v>-0.68</v>
      </c>
      <c r="E1593" s="118">
        <v>-0.06</v>
      </c>
    </row>
    <row r="1594" spans="2:5" x14ac:dyDescent="0.2">
      <c r="B1594" s="116" t="s">
        <v>2746</v>
      </c>
      <c r="C1594" s="117" t="s">
        <v>2747</v>
      </c>
      <c r="D1594" s="118">
        <v>9.25</v>
      </c>
      <c r="E1594" s="118">
        <v>0.09</v>
      </c>
    </row>
    <row r="1595" spans="2:5" x14ac:dyDescent="0.2">
      <c r="B1595" s="116" t="s">
        <v>2748</v>
      </c>
      <c r="C1595" s="117" t="s">
        <v>2749</v>
      </c>
      <c r="D1595" s="118">
        <v>1.27</v>
      </c>
      <c r="E1595" s="118">
        <v>0.02</v>
      </c>
    </row>
    <row r="1596" spans="2:5" x14ac:dyDescent="0.2">
      <c r="B1596" s="116" t="s">
        <v>2750</v>
      </c>
      <c r="C1596" s="117" t="s">
        <v>2751</v>
      </c>
      <c r="D1596" s="118"/>
      <c r="E1596" s="118">
        <v>0.06</v>
      </c>
    </row>
    <row r="1597" spans="2:5" x14ac:dyDescent="0.2">
      <c r="B1597" s="116" t="s">
        <v>2752</v>
      </c>
      <c r="C1597" s="117" t="s">
        <v>2753</v>
      </c>
      <c r="D1597" s="118">
        <v>-38046.74</v>
      </c>
      <c r="E1597" s="118">
        <v>-4.13</v>
      </c>
    </row>
    <row r="1598" spans="2:5" x14ac:dyDescent="0.2">
      <c r="B1598" s="116" t="s">
        <v>2754</v>
      </c>
      <c r="C1598" s="117" t="s">
        <v>2755</v>
      </c>
      <c r="D1598" s="118">
        <v>4.91</v>
      </c>
      <c r="E1598" s="118">
        <v>0.03</v>
      </c>
    </row>
    <row r="1599" spans="2:5" x14ac:dyDescent="0.2">
      <c r="B1599" s="116" t="s">
        <v>2756</v>
      </c>
      <c r="C1599" s="117" t="s">
        <v>2757</v>
      </c>
      <c r="D1599" s="118">
        <v>9.73</v>
      </c>
      <c r="E1599" s="118">
        <v>0.09</v>
      </c>
    </row>
    <row r="1600" spans="2:5" x14ac:dyDescent="0.2">
      <c r="B1600" s="116" t="s">
        <v>2758</v>
      </c>
      <c r="C1600" s="117" t="s">
        <v>2759</v>
      </c>
      <c r="D1600" s="118">
        <v>16.329999999999998</v>
      </c>
      <c r="E1600" s="118">
        <v>0.16</v>
      </c>
    </row>
    <row r="1601" spans="2:5" x14ac:dyDescent="0.2">
      <c r="B1601" s="116" t="s">
        <v>2760</v>
      </c>
      <c r="C1601" s="117" t="s">
        <v>2761</v>
      </c>
      <c r="D1601" s="118">
        <v>21.19</v>
      </c>
      <c r="E1601" s="118">
        <v>0.17</v>
      </c>
    </row>
    <row r="1602" spans="2:5" x14ac:dyDescent="0.2">
      <c r="B1602" s="116" t="s">
        <v>2762</v>
      </c>
      <c r="C1602" s="117" t="s">
        <v>2763</v>
      </c>
      <c r="D1602" s="118"/>
      <c r="E1602" s="118"/>
    </row>
    <row r="1603" spans="2:5" x14ac:dyDescent="0.2">
      <c r="B1603" s="116" t="s">
        <v>2764</v>
      </c>
      <c r="C1603" s="117" t="s">
        <v>2765</v>
      </c>
      <c r="D1603" s="118">
        <v>11.59</v>
      </c>
      <c r="E1603" s="118">
        <v>0.09</v>
      </c>
    </row>
    <row r="1604" spans="2:5" x14ac:dyDescent="0.2">
      <c r="B1604" s="116" t="s">
        <v>2766</v>
      </c>
      <c r="C1604" s="117" t="s">
        <v>2767</v>
      </c>
      <c r="D1604" s="118">
        <v>0.9</v>
      </c>
      <c r="E1604" s="118">
        <v>-0.02</v>
      </c>
    </row>
    <row r="1605" spans="2:5" x14ac:dyDescent="0.2">
      <c r="B1605" s="116" t="s">
        <v>2768</v>
      </c>
      <c r="C1605" s="117" t="s">
        <v>2769</v>
      </c>
      <c r="D1605" s="118"/>
      <c r="E1605" s="118"/>
    </row>
    <row r="1606" spans="2:5" x14ac:dyDescent="0.2">
      <c r="B1606" s="116" t="s">
        <v>4240</v>
      </c>
      <c r="C1606" s="117" t="s">
        <v>4241</v>
      </c>
      <c r="D1606" s="118"/>
      <c r="E1606" s="118">
        <v>0.22</v>
      </c>
    </row>
    <row r="1607" spans="2:5" x14ac:dyDescent="0.2">
      <c r="B1607" s="116" t="s">
        <v>2770</v>
      </c>
      <c r="C1607" s="117" t="s">
        <v>2771</v>
      </c>
      <c r="D1607" s="118">
        <v>6.98</v>
      </c>
      <c r="E1607" s="118">
        <v>0.03</v>
      </c>
    </row>
    <row r="1608" spans="2:5" x14ac:dyDescent="0.2">
      <c r="B1608" s="116" t="s">
        <v>2772</v>
      </c>
      <c r="C1608" s="117" t="s">
        <v>2773</v>
      </c>
      <c r="D1608" s="118">
        <v>11.39</v>
      </c>
      <c r="E1608" s="118">
        <v>0.11</v>
      </c>
    </row>
    <row r="1609" spans="2:5" x14ac:dyDescent="0.2">
      <c r="B1609" s="116" t="s">
        <v>4242</v>
      </c>
      <c r="C1609" s="117" t="s">
        <v>4243</v>
      </c>
      <c r="D1609" s="118"/>
      <c r="E1609" s="118">
        <v>0.09</v>
      </c>
    </row>
    <row r="1610" spans="2:5" x14ac:dyDescent="0.2">
      <c r="B1610" s="116" t="s">
        <v>4244</v>
      </c>
      <c r="C1610" s="117" t="s">
        <v>4245</v>
      </c>
      <c r="D1610" s="118">
        <v>14.24</v>
      </c>
      <c r="E1610" s="118"/>
    </row>
    <row r="1611" spans="2:5" x14ac:dyDescent="0.2">
      <c r="B1611" s="116" t="s">
        <v>4246</v>
      </c>
      <c r="C1611" s="117" t="s">
        <v>4247</v>
      </c>
      <c r="D1611" s="118"/>
      <c r="E1611" s="118"/>
    </row>
    <row r="1612" spans="2:5" x14ac:dyDescent="0.2">
      <c r="B1612" s="116" t="s">
        <v>2774</v>
      </c>
      <c r="C1612" s="117" t="s">
        <v>2775</v>
      </c>
      <c r="D1612" s="118">
        <v>45.68</v>
      </c>
      <c r="E1612" s="118">
        <v>0.28999999999999998</v>
      </c>
    </row>
    <row r="1613" spans="2:5" x14ac:dyDescent="0.2">
      <c r="B1613" s="116" t="s">
        <v>2776</v>
      </c>
      <c r="C1613" s="117" t="s">
        <v>2777</v>
      </c>
      <c r="D1613" s="118">
        <v>3.37</v>
      </c>
      <c r="E1613" s="118">
        <v>0.45</v>
      </c>
    </row>
    <row r="1614" spans="2:5" x14ac:dyDescent="0.2">
      <c r="B1614" s="116" t="s">
        <v>4248</v>
      </c>
      <c r="C1614" s="117" t="s">
        <v>4249</v>
      </c>
      <c r="D1614" s="118">
        <v>44.59</v>
      </c>
      <c r="E1614" s="118">
        <v>0.3</v>
      </c>
    </row>
    <row r="1615" spans="2:5" x14ac:dyDescent="0.2">
      <c r="B1615" s="116" t="s">
        <v>2778</v>
      </c>
      <c r="C1615" s="117" t="s">
        <v>2779</v>
      </c>
      <c r="D1615" s="118">
        <v>19.22</v>
      </c>
      <c r="E1615" s="118">
        <v>0.18</v>
      </c>
    </row>
    <row r="1616" spans="2:5" x14ac:dyDescent="0.2">
      <c r="B1616" s="116" t="s">
        <v>2780</v>
      </c>
      <c r="C1616" s="117" t="s">
        <v>2781</v>
      </c>
      <c r="D1616" s="118">
        <v>13.35</v>
      </c>
      <c r="E1616" s="118">
        <v>0.18</v>
      </c>
    </row>
    <row r="1617" spans="2:5" x14ac:dyDescent="0.2">
      <c r="B1617" s="116" t="s">
        <v>2782</v>
      </c>
      <c r="C1617" s="117" t="s">
        <v>2783</v>
      </c>
      <c r="D1617" s="118">
        <v>12.6</v>
      </c>
      <c r="E1617" s="118">
        <v>0.13</v>
      </c>
    </row>
    <row r="1618" spans="2:5" x14ac:dyDescent="0.2">
      <c r="B1618" s="116" t="s">
        <v>2784</v>
      </c>
      <c r="C1618" s="117" t="s">
        <v>2785</v>
      </c>
      <c r="D1618" s="118"/>
      <c r="E1618" s="118">
        <v>0.05</v>
      </c>
    </row>
    <row r="1619" spans="2:5" x14ac:dyDescent="0.2">
      <c r="B1619" s="116" t="s">
        <v>2786</v>
      </c>
      <c r="C1619" s="117" t="s">
        <v>2787</v>
      </c>
      <c r="D1619" s="118">
        <v>20.79</v>
      </c>
      <c r="E1619" s="118">
        <v>0.22</v>
      </c>
    </row>
    <row r="1620" spans="2:5" x14ac:dyDescent="0.2">
      <c r="B1620" s="116" t="s">
        <v>2788</v>
      </c>
      <c r="C1620" s="117" t="s">
        <v>2789</v>
      </c>
      <c r="D1620" s="118">
        <v>17.07</v>
      </c>
      <c r="E1620" s="118">
        <v>0.15</v>
      </c>
    </row>
    <row r="1621" spans="2:5" x14ac:dyDescent="0.2">
      <c r="B1621" s="116" t="s">
        <v>2790</v>
      </c>
      <c r="C1621" s="117" t="s">
        <v>2791</v>
      </c>
      <c r="D1621" s="118">
        <v>35.29</v>
      </c>
      <c r="E1621" s="118">
        <v>0.35</v>
      </c>
    </row>
    <row r="1622" spans="2:5" x14ac:dyDescent="0.2">
      <c r="B1622" s="116" t="s">
        <v>4250</v>
      </c>
      <c r="C1622" s="117" t="s">
        <v>4251</v>
      </c>
      <c r="D1622" s="118"/>
      <c r="E1622" s="118">
        <v>0.22</v>
      </c>
    </row>
    <row r="1623" spans="2:5" x14ac:dyDescent="0.2">
      <c r="B1623" s="116" t="s">
        <v>2792</v>
      </c>
      <c r="C1623" s="117" t="s">
        <v>2793</v>
      </c>
      <c r="D1623" s="118">
        <v>10.52</v>
      </c>
      <c r="E1623" s="118">
        <v>0.14000000000000001</v>
      </c>
    </row>
    <row r="1624" spans="2:5" x14ac:dyDescent="0.2">
      <c r="B1624" s="116" t="s">
        <v>2795</v>
      </c>
      <c r="C1624" s="117" t="s">
        <v>2796</v>
      </c>
      <c r="D1624" s="118">
        <v>13.11</v>
      </c>
      <c r="E1624" s="118">
        <v>0.13</v>
      </c>
    </row>
    <row r="1625" spans="2:5" x14ac:dyDescent="0.2">
      <c r="B1625" s="116" t="s">
        <v>2797</v>
      </c>
      <c r="C1625" s="117" t="s">
        <v>2798</v>
      </c>
      <c r="D1625" s="118">
        <v>2.4900000000000002</v>
      </c>
      <c r="E1625" s="118">
        <v>0.02</v>
      </c>
    </row>
    <row r="1626" spans="2:5" x14ac:dyDescent="0.2">
      <c r="B1626" s="116" t="s">
        <v>2799</v>
      </c>
      <c r="C1626" s="117" t="s">
        <v>2800</v>
      </c>
      <c r="D1626" s="118">
        <v>13.51</v>
      </c>
      <c r="E1626" s="118">
        <v>0.13</v>
      </c>
    </row>
    <row r="1627" spans="2:5" x14ac:dyDescent="0.2">
      <c r="B1627" s="116" t="s">
        <v>4252</v>
      </c>
      <c r="C1627" s="117" t="s">
        <v>4253</v>
      </c>
      <c r="D1627" s="118"/>
      <c r="E1627" s="118"/>
    </row>
    <row r="1628" spans="2:5" x14ac:dyDescent="0.2">
      <c r="B1628" s="116" t="s">
        <v>4254</v>
      </c>
      <c r="C1628" s="117" t="s">
        <v>4255</v>
      </c>
      <c r="D1628" s="118"/>
      <c r="E1628" s="118"/>
    </row>
    <row r="1629" spans="2:5" x14ac:dyDescent="0.2">
      <c r="B1629" s="116" t="s">
        <v>2801</v>
      </c>
      <c r="C1629" s="117" t="s">
        <v>2802</v>
      </c>
      <c r="D1629" s="118">
        <v>-53.89</v>
      </c>
      <c r="E1629" s="118">
        <v>-1.1599999999999999</v>
      </c>
    </row>
    <row r="1630" spans="2:5" x14ac:dyDescent="0.2">
      <c r="B1630" s="116" t="s">
        <v>4256</v>
      </c>
      <c r="C1630" s="117" t="s">
        <v>4257</v>
      </c>
      <c r="D1630" s="118">
        <v>2.71</v>
      </c>
      <c r="E1630" s="118">
        <v>0</v>
      </c>
    </row>
    <row r="1631" spans="2:5" x14ac:dyDescent="0.2">
      <c r="B1631" s="116" t="s">
        <v>2804</v>
      </c>
      <c r="C1631" s="117" t="s">
        <v>2805</v>
      </c>
      <c r="D1631" s="118">
        <v>14.25</v>
      </c>
      <c r="E1631" s="118">
        <v>0.14000000000000001</v>
      </c>
    </row>
    <row r="1632" spans="2:5" x14ac:dyDescent="0.2">
      <c r="B1632" s="116" t="s">
        <v>2806</v>
      </c>
      <c r="C1632" s="117" t="s">
        <v>2807</v>
      </c>
      <c r="D1632" s="118">
        <v>9.16</v>
      </c>
      <c r="E1632" s="118">
        <v>0.04</v>
      </c>
    </row>
    <row r="1633" spans="2:5" x14ac:dyDescent="0.2">
      <c r="B1633" s="116" t="s">
        <v>2808</v>
      </c>
      <c r="C1633" s="117" t="s">
        <v>2809</v>
      </c>
      <c r="D1633" s="118"/>
      <c r="E1633" s="118">
        <v>2.88</v>
      </c>
    </row>
    <row r="1634" spans="2:5" x14ac:dyDescent="0.2">
      <c r="B1634" s="116" t="s">
        <v>2810</v>
      </c>
      <c r="C1634" s="117" t="s">
        <v>2811</v>
      </c>
      <c r="D1634" s="118">
        <v>29.85</v>
      </c>
      <c r="E1634" s="118">
        <v>0.31</v>
      </c>
    </row>
    <row r="1635" spans="2:5" x14ac:dyDescent="0.2">
      <c r="B1635" s="125" t="s">
        <v>2812</v>
      </c>
      <c r="C1635" s="118" t="s">
        <v>2813</v>
      </c>
      <c r="D1635" s="118">
        <v>4.93</v>
      </c>
      <c r="E1635" s="118">
        <v>0.05</v>
      </c>
    </row>
    <row r="1636" spans="2:5" x14ac:dyDescent="0.2">
      <c r="B1636" s="125" t="s">
        <v>4258</v>
      </c>
      <c r="C1636" s="118" t="s">
        <v>4259</v>
      </c>
      <c r="D1636" s="118">
        <v>9.09</v>
      </c>
      <c r="E1636" s="118">
        <v>0.09</v>
      </c>
    </row>
    <row r="1637" spans="2:5" x14ac:dyDescent="0.2">
      <c r="B1637" s="125" t="s">
        <v>2814</v>
      </c>
      <c r="C1637" s="118" t="s">
        <v>2815</v>
      </c>
      <c r="D1637" s="118"/>
      <c r="E1637" s="118">
        <v>0.12</v>
      </c>
    </row>
    <row r="1638" spans="2:5" x14ac:dyDescent="0.2">
      <c r="B1638" s="125" t="s">
        <v>2816</v>
      </c>
      <c r="C1638" s="118" t="s">
        <v>2817</v>
      </c>
      <c r="D1638" s="118">
        <v>9.6999999999999993</v>
      </c>
      <c r="E1638" s="118">
        <v>-0.02</v>
      </c>
    </row>
    <row r="1639" spans="2:5" x14ac:dyDescent="0.2">
      <c r="B1639" s="125" t="s">
        <v>2818</v>
      </c>
      <c r="C1639" s="118" t="s">
        <v>2819</v>
      </c>
      <c r="D1639" s="118">
        <v>14.67</v>
      </c>
      <c r="E1639" s="118">
        <v>0.13</v>
      </c>
    </row>
    <row r="1640" spans="2:5" x14ac:dyDescent="0.2">
      <c r="B1640" s="125" t="s">
        <v>4260</v>
      </c>
      <c r="C1640" s="118" t="s">
        <v>4261</v>
      </c>
      <c r="D1640" s="118">
        <v>14.59</v>
      </c>
      <c r="E1640" s="118">
        <v>0.15</v>
      </c>
    </row>
    <row r="1641" spans="2:5" x14ac:dyDescent="0.2">
      <c r="B1641" s="125" t="s">
        <v>4262</v>
      </c>
      <c r="C1641" s="118" t="s">
        <v>4263</v>
      </c>
      <c r="D1641" s="118">
        <v>16.27</v>
      </c>
      <c r="E1641" s="118">
        <v>0.18</v>
      </c>
    </row>
    <row r="1642" spans="2:5" x14ac:dyDescent="0.2">
      <c r="B1642" s="125" t="s">
        <v>4264</v>
      </c>
      <c r="C1642" s="118" t="s">
        <v>4265</v>
      </c>
      <c r="D1642" s="118"/>
      <c r="E1642" s="118"/>
    </row>
    <row r="1643" spans="2:5" x14ac:dyDescent="0.2">
      <c r="B1643" s="125" t="s">
        <v>2820</v>
      </c>
      <c r="C1643" s="118" t="s">
        <v>2821</v>
      </c>
      <c r="D1643" s="118">
        <v>-29.58</v>
      </c>
      <c r="E1643" s="118">
        <v>-0.34</v>
      </c>
    </row>
    <row r="1644" spans="2:5" x14ac:dyDescent="0.2">
      <c r="B1644" s="125" t="s">
        <v>2822</v>
      </c>
      <c r="C1644" s="118" t="s">
        <v>2823</v>
      </c>
      <c r="D1644" s="118"/>
      <c r="E1644" s="118">
        <v>0.18</v>
      </c>
    </row>
    <row r="1645" spans="2:5" x14ac:dyDescent="0.2">
      <c r="B1645" s="125" t="s">
        <v>2824</v>
      </c>
      <c r="C1645" s="118" t="s">
        <v>2825</v>
      </c>
      <c r="D1645" s="118"/>
      <c r="E1645" s="118">
        <v>0.1</v>
      </c>
    </row>
    <row r="1646" spans="2:5" x14ac:dyDescent="0.2">
      <c r="B1646" s="125" t="s">
        <v>4266</v>
      </c>
      <c r="C1646" s="118" t="s">
        <v>4267</v>
      </c>
      <c r="D1646" s="118"/>
      <c r="E1646" s="118"/>
    </row>
    <row r="1647" spans="2:5" x14ac:dyDescent="0.2">
      <c r="B1647" s="125" t="s">
        <v>2826</v>
      </c>
      <c r="C1647" s="118" t="s">
        <v>2827</v>
      </c>
      <c r="D1647" s="118">
        <v>4.82</v>
      </c>
      <c r="E1647" s="118">
        <v>0.03</v>
      </c>
    </row>
    <row r="1648" spans="2:5" x14ac:dyDescent="0.2">
      <c r="B1648" s="125" t="s">
        <v>4268</v>
      </c>
      <c r="C1648" s="118" t="s">
        <v>4269</v>
      </c>
      <c r="D1648" s="118"/>
      <c r="E1648" s="118">
        <v>0.08</v>
      </c>
    </row>
    <row r="1649" spans="2:5" x14ac:dyDescent="0.2">
      <c r="B1649" s="125" t="s">
        <v>2828</v>
      </c>
      <c r="C1649" s="118" t="s">
        <v>2829</v>
      </c>
      <c r="D1649" s="118">
        <v>-24.1</v>
      </c>
      <c r="E1649" s="118">
        <v>0.03</v>
      </c>
    </row>
    <row r="1650" spans="2:5" x14ac:dyDescent="0.2">
      <c r="B1650" s="125" t="s">
        <v>2830</v>
      </c>
      <c r="C1650" s="118" t="s">
        <v>2831</v>
      </c>
      <c r="D1650" s="118">
        <v>21.12</v>
      </c>
      <c r="E1650" s="118"/>
    </row>
    <row r="1651" spans="2:5" x14ac:dyDescent="0.2">
      <c r="B1651" s="125" t="s">
        <v>2832</v>
      </c>
      <c r="C1651" s="118" t="s">
        <v>2833</v>
      </c>
      <c r="D1651" s="118">
        <v>27.72</v>
      </c>
      <c r="E1651" s="118">
        <v>0.23</v>
      </c>
    </row>
    <row r="1652" spans="2:5" x14ac:dyDescent="0.2">
      <c r="B1652" s="125" t="s">
        <v>2834</v>
      </c>
      <c r="C1652" s="118" t="s">
        <v>2835</v>
      </c>
      <c r="D1652" s="118">
        <v>2.74</v>
      </c>
      <c r="E1652" s="118">
        <v>0.05</v>
      </c>
    </row>
    <row r="1653" spans="2:5" x14ac:dyDescent="0.2">
      <c r="B1653" s="125" t="s">
        <v>2836</v>
      </c>
      <c r="C1653" s="118" t="s">
        <v>2837</v>
      </c>
      <c r="D1653" s="118">
        <v>97.92</v>
      </c>
      <c r="E1653" s="118">
        <v>0.88</v>
      </c>
    </row>
    <row r="1654" spans="2:5" x14ac:dyDescent="0.2">
      <c r="B1654" s="125" t="s">
        <v>4270</v>
      </c>
      <c r="C1654" s="118" t="s">
        <v>4271</v>
      </c>
      <c r="D1654" s="118"/>
      <c r="E1654" s="118"/>
    </row>
    <row r="1655" spans="2:5" x14ac:dyDescent="0.2">
      <c r="B1655" s="125" t="s">
        <v>4272</v>
      </c>
      <c r="C1655" s="118" t="s">
        <v>4273</v>
      </c>
      <c r="D1655" s="118">
        <v>5.5</v>
      </c>
      <c r="E1655" s="118">
        <v>0.06</v>
      </c>
    </row>
    <row r="1656" spans="2:5" x14ac:dyDescent="0.2">
      <c r="B1656" s="125" t="s">
        <v>2838</v>
      </c>
      <c r="C1656" s="118" t="s">
        <v>2839</v>
      </c>
      <c r="D1656" s="118"/>
      <c r="E1656" s="118"/>
    </row>
    <row r="1657" spans="2:5" x14ac:dyDescent="0.2">
      <c r="B1657" s="125" t="s">
        <v>2840</v>
      </c>
      <c r="C1657" s="118" t="s">
        <v>2841</v>
      </c>
      <c r="D1657" s="118">
        <v>20.14</v>
      </c>
      <c r="E1657" s="118">
        <v>0.22</v>
      </c>
    </row>
    <row r="1658" spans="2:5" x14ac:dyDescent="0.2">
      <c r="B1658" s="125" t="s">
        <v>2842</v>
      </c>
      <c r="C1658" s="118" t="s">
        <v>2843</v>
      </c>
      <c r="D1658" s="118">
        <v>4.51</v>
      </c>
      <c r="E1658" s="118">
        <v>-0.06</v>
      </c>
    </row>
    <row r="1659" spans="2:5" x14ac:dyDescent="0.2">
      <c r="B1659" s="125" t="s">
        <v>4274</v>
      </c>
      <c r="C1659" s="118" t="s">
        <v>4275</v>
      </c>
      <c r="D1659" s="118"/>
      <c r="E1659" s="118"/>
    </row>
    <row r="1660" spans="2:5" x14ac:dyDescent="0.2">
      <c r="B1660" s="125" t="s">
        <v>2844</v>
      </c>
      <c r="C1660" s="118" t="s">
        <v>2845</v>
      </c>
      <c r="D1660" s="118">
        <v>10.3</v>
      </c>
      <c r="E1660" s="118">
        <v>0.06</v>
      </c>
    </row>
    <row r="1661" spans="2:5" x14ac:dyDescent="0.2">
      <c r="B1661" s="125" t="s">
        <v>2846</v>
      </c>
      <c r="C1661" s="118" t="s">
        <v>2847</v>
      </c>
      <c r="D1661" s="118">
        <v>16.579999999999998</v>
      </c>
      <c r="E1661" s="118">
        <v>0.11</v>
      </c>
    </row>
    <row r="1662" spans="2:5" x14ac:dyDescent="0.2">
      <c r="B1662" s="125" t="s">
        <v>4276</v>
      </c>
      <c r="C1662" s="118" t="s">
        <v>4277</v>
      </c>
      <c r="D1662" s="118"/>
      <c r="E1662" s="118"/>
    </row>
    <row r="1663" spans="2:5" x14ac:dyDescent="0.2">
      <c r="B1663" s="125" t="s">
        <v>4278</v>
      </c>
      <c r="C1663" s="118" t="s">
        <v>4279</v>
      </c>
      <c r="D1663" s="118"/>
      <c r="E1663" s="118"/>
    </row>
    <row r="1664" spans="2:5" x14ac:dyDescent="0.2">
      <c r="B1664" s="125" t="s">
        <v>4280</v>
      </c>
      <c r="C1664" s="118" t="s">
        <v>4281</v>
      </c>
      <c r="D1664" s="118"/>
      <c r="E1664" s="118">
        <v>0.2</v>
      </c>
    </row>
    <row r="1665" spans="2:5" x14ac:dyDescent="0.2">
      <c r="B1665" s="125" t="s">
        <v>2848</v>
      </c>
      <c r="C1665" s="118" t="s">
        <v>2849</v>
      </c>
      <c r="D1665" s="118">
        <v>16.440000000000001</v>
      </c>
      <c r="E1665" s="118">
        <v>0.23</v>
      </c>
    </row>
    <row r="1666" spans="2:5" x14ac:dyDescent="0.2">
      <c r="B1666" s="125" t="s">
        <v>2850</v>
      </c>
      <c r="C1666" s="118" t="s">
        <v>2851</v>
      </c>
      <c r="D1666" s="118">
        <v>5.15</v>
      </c>
      <c r="E1666" s="118">
        <v>7.0000000000000007E-2</v>
      </c>
    </row>
    <row r="1667" spans="2:5" x14ac:dyDescent="0.2">
      <c r="B1667" s="125" t="s">
        <v>2852</v>
      </c>
      <c r="C1667" s="118" t="s">
        <v>2853</v>
      </c>
      <c r="D1667" s="118">
        <v>9.3000000000000007</v>
      </c>
      <c r="E1667" s="118">
        <v>7.0000000000000007E-2</v>
      </c>
    </row>
    <row r="1668" spans="2:5" x14ac:dyDescent="0.2">
      <c r="B1668" s="125" t="s">
        <v>2854</v>
      </c>
      <c r="C1668" s="118" t="s">
        <v>2855</v>
      </c>
      <c r="D1668" s="118">
        <v>9.74</v>
      </c>
      <c r="E1668" s="118">
        <v>0.06</v>
      </c>
    </row>
    <row r="1669" spans="2:5" x14ac:dyDescent="0.2">
      <c r="B1669" s="125" t="s">
        <v>2857</v>
      </c>
      <c r="C1669" s="118" t="s">
        <v>2858</v>
      </c>
      <c r="D1669" s="118">
        <v>15.53</v>
      </c>
      <c r="E1669" s="118">
        <v>0.2</v>
      </c>
    </row>
    <row r="1670" spans="2:5" x14ac:dyDescent="0.2">
      <c r="B1670" s="125" t="s">
        <v>2859</v>
      </c>
      <c r="C1670" s="118" t="s">
        <v>2860</v>
      </c>
      <c r="D1670" s="118">
        <v>3.08</v>
      </c>
      <c r="E1670" s="118">
        <v>0.03</v>
      </c>
    </row>
    <row r="1671" spans="2:5" x14ac:dyDescent="0.2">
      <c r="B1671" s="125" t="s">
        <v>2861</v>
      </c>
      <c r="C1671" s="118" t="s">
        <v>2862</v>
      </c>
      <c r="D1671" s="118">
        <v>37.700000000000003</v>
      </c>
      <c r="E1671" s="118">
        <v>0.36</v>
      </c>
    </row>
    <row r="1672" spans="2:5" x14ac:dyDescent="0.2">
      <c r="B1672" s="125" t="s">
        <v>2863</v>
      </c>
      <c r="C1672" s="118" t="s">
        <v>2864</v>
      </c>
      <c r="D1672" s="118">
        <v>18.350000000000001</v>
      </c>
      <c r="E1672" s="118">
        <v>0.19</v>
      </c>
    </row>
    <row r="1673" spans="2:5" x14ac:dyDescent="0.2">
      <c r="B1673" s="125" t="s">
        <v>2867</v>
      </c>
      <c r="C1673" s="118" t="s">
        <v>2868</v>
      </c>
      <c r="D1673" s="118">
        <v>11.93</v>
      </c>
      <c r="E1673" s="118">
        <v>7.0000000000000007E-2</v>
      </c>
    </row>
    <row r="1674" spans="2:5" x14ac:dyDescent="0.2">
      <c r="B1674" s="125" t="s">
        <v>4282</v>
      </c>
      <c r="C1674" s="118" t="s">
        <v>4283</v>
      </c>
      <c r="D1674" s="118"/>
      <c r="E1674" s="118"/>
    </row>
    <row r="1675" spans="2:5" x14ac:dyDescent="0.2">
      <c r="B1675" s="125" t="s">
        <v>4284</v>
      </c>
      <c r="C1675" s="118" t="s">
        <v>4285</v>
      </c>
      <c r="D1675" s="118">
        <v>14.42</v>
      </c>
      <c r="E1675" s="118"/>
    </row>
    <row r="1676" spans="2:5" x14ac:dyDescent="0.2">
      <c r="B1676" s="125" t="s">
        <v>2869</v>
      </c>
      <c r="C1676" s="118" t="s">
        <v>2870</v>
      </c>
      <c r="D1676" s="118">
        <v>7.96</v>
      </c>
      <c r="E1676" s="118">
        <v>0.08</v>
      </c>
    </row>
    <row r="1677" spans="2:5" x14ac:dyDescent="0.2">
      <c r="B1677" s="125" t="s">
        <v>4286</v>
      </c>
      <c r="C1677" s="118" t="s">
        <v>4287</v>
      </c>
      <c r="D1677" s="118">
        <v>6.61</v>
      </c>
      <c r="E1677" s="118">
        <v>0.06</v>
      </c>
    </row>
    <row r="1678" spans="2:5" x14ac:dyDescent="0.2">
      <c r="B1678" s="125" t="s">
        <v>2871</v>
      </c>
      <c r="C1678" s="118" t="s">
        <v>2872</v>
      </c>
      <c r="D1678" s="118">
        <v>13.37</v>
      </c>
      <c r="E1678" s="118">
        <v>0.02</v>
      </c>
    </row>
    <row r="1679" spans="2:5" x14ac:dyDescent="0.2">
      <c r="B1679" s="125" t="s">
        <v>2873</v>
      </c>
      <c r="C1679" s="118" t="s">
        <v>2874</v>
      </c>
      <c r="D1679" s="118">
        <v>6.78</v>
      </c>
      <c r="E1679" s="118">
        <v>0.06</v>
      </c>
    </row>
    <row r="1680" spans="2:5" x14ac:dyDescent="0.2">
      <c r="B1680" s="125" t="s">
        <v>2875</v>
      </c>
      <c r="C1680" s="118" t="s">
        <v>2876</v>
      </c>
      <c r="D1680" s="118">
        <v>9.91</v>
      </c>
      <c r="E1680" s="118">
        <v>0.09</v>
      </c>
    </row>
    <row r="1681" spans="2:5" x14ac:dyDescent="0.2">
      <c r="B1681" s="125" t="s">
        <v>2877</v>
      </c>
      <c r="C1681" s="118" t="s">
        <v>2878</v>
      </c>
      <c r="D1681" s="118">
        <v>17.48</v>
      </c>
      <c r="E1681" s="118">
        <v>0.1</v>
      </c>
    </row>
    <row r="1682" spans="2:5" x14ac:dyDescent="0.2">
      <c r="B1682" s="125" t="s">
        <v>2879</v>
      </c>
      <c r="C1682" s="118" t="s">
        <v>2880</v>
      </c>
      <c r="D1682" s="118">
        <v>6.26</v>
      </c>
      <c r="E1682" s="118">
        <v>7.0000000000000007E-2</v>
      </c>
    </row>
    <row r="1683" spans="2:5" x14ac:dyDescent="0.2">
      <c r="B1683" s="125" t="s">
        <v>2881</v>
      </c>
      <c r="C1683" s="118" t="s">
        <v>2882</v>
      </c>
      <c r="D1683" s="118">
        <v>8.34</v>
      </c>
      <c r="E1683" s="118">
        <v>0.11</v>
      </c>
    </row>
    <row r="1684" spans="2:5" x14ac:dyDescent="0.2">
      <c r="B1684" s="125" t="s">
        <v>2883</v>
      </c>
      <c r="C1684" s="118" t="s">
        <v>2884</v>
      </c>
      <c r="D1684" s="118"/>
      <c r="E1684" s="118">
        <v>0.39</v>
      </c>
    </row>
    <row r="1685" spans="2:5" x14ac:dyDescent="0.2">
      <c r="B1685" s="125" t="s">
        <v>2885</v>
      </c>
      <c r="C1685" s="118" t="s">
        <v>2886</v>
      </c>
      <c r="D1685" s="118">
        <v>28.46</v>
      </c>
      <c r="E1685" s="118">
        <v>0.21</v>
      </c>
    </row>
    <row r="1686" spans="2:5" x14ac:dyDescent="0.2">
      <c r="B1686" s="125" t="s">
        <v>2887</v>
      </c>
      <c r="C1686" s="118" t="s">
        <v>2888</v>
      </c>
      <c r="D1686" s="118">
        <v>5.33</v>
      </c>
      <c r="E1686" s="118">
        <v>0.05</v>
      </c>
    </row>
    <row r="1687" spans="2:5" x14ac:dyDescent="0.2">
      <c r="B1687" s="125" t="s">
        <v>2889</v>
      </c>
      <c r="C1687" s="118" t="s">
        <v>2890</v>
      </c>
      <c r="D1687" s="118">
        <v>34.4</v>
      </c>
      <c r="E1687" s="118">
        <v>0.26</v>
      </c>
    </row>
    <row r="1688" spans="2:5" x14ac:dyDescent="0.2">
      <c r="B1688" s="125" t="s">
        <v>4288</v>
      </c>
      <c r="C1688" s="118" t="s">
        <v>4289</v>
      </c>
      <c r="D1688" s="118"/>
      <c r="E1688" s="118"/>
    </row>
    <row r="1689" spans="2:5" x14ac:dyDescent="0.2">
      <c r="B1689" s="125" t="s">
        <v>2891</v>
      </c>
      <c r="C1689" s="118" t="s">
        <v>2892</v>
      </c>
      <c r="D1689" s="118">
        <v>-17.690000000000001</v>
      </c>
      <c r="E1689" s="118">
        <v>-0.3</v>
      </c>
    </row>
    <row r="1690" spans="2:5" x14ac:dyDescent="0.2">
      <c r="B1690" s="125" t="s">
        <v>2893</v>
      </c>
      <c r="C1690" s="118" t="s">
        <v>2894</v>
      </c>
      <c r="D1690" s="118">
        <v>21.04</v>
      </c>
      <c r="E1690" s="118">
        <v>0.23</v>
      </c>
    </row>
    <row r="1691" spans="2:5" x14ac:dyDescent="0.2">
      <c r="B1691" s="125" t="s">
        <v>2895</v>
      </c>
      <c r="C1691" s="118" t="s">
        <v>2896</v>
      </c>
      <c r="D1691" s="118">
        <v>12.73</v>
      </c>
      <c r="E1691" s="118">
        <v>0.1</v>
      </c>
    </row>
    <row r="1692" spans="2:5" x14ac:dyDescent="0.2">
      <c r="B1692" s="125" t="s">
        <v>2897</v>
      </c>
      <c r="C1692" s="118" t="s">
        <v>2898</v>
      </c>
      <c r="D1692" s="118"/>
      <c r="E1692" s="118">
        <v>-7.0000000000000007E-2</v>
      </c>
    </row>
    <row r="1693" spans="2:5" x14ac:dyDescent="0.2">
      <c r="B1693" s="125" t="s">
        <v>2899</v>
      </c>
      <c r="C1693" s="118" t="s">
        <v>2900</v>
      </c>
      <c r="D1693" s="118">
        <v>8.44</v>
      </c>
      <c r="E1693" s="118">
        <v>0.02</v>
      </c>
    </row>
    <row r="1694" spans="2:5" x14ac:dyDescent="0.2">
      <c r="B1694" s="125" t="s">
        <v>4290</v>
      </c>
      <c r="C1694" s="118" t="s">
        <v>4291</v>
      </c>
      <c r="D1694" s="118">
        <v>2.2599999999999998</v>
      </c>
      <c r="E1694" s="118">
        <v>0.02</v>
      </c>
    </row>
    <row r="1695" spans="2:5" x14ac:dyDescent="0.2">
      <c r="B1695" s="125" t="s">
        <v>2901</v>
      </c>
      <c r="C1695" s="118" t="s">
        <v>2902</v>
      </c>
      <c r="D1695" s="118"/>
      <c r="E1695" s="118"/>
    </row>
    <row r="1696" spans="2:5" x14ac:dyDescent="0.2">
      <c r="B1696" s="125" t="s">
        <v>2903</v>
      </c>
      <c r="C1696" s="118" t="s">
        <v>2904</v>
      </c>
      <c r="D1696" s="118">
        <v>1.84</v>
      </c>
      <c r="E1696" s="118">
        <v>0.04</v>
      </c>
    </row>
    <row r="1697" spans="2:5" x14ac:dyDescent="0.2">
      <c r="B1697" s="125" t="s">
        <v>4292</v>
      </c>
      <c r="C1697" s="118" t="s">
        <v>4293</v>
      </c>
      <c r="D1697" s="118"/>
      <c r="E1697" s="118"/>
    </row>
    <row r="1698" spans="2:5" x14ac:dyDescent="0.2">
      <c r="B1698" s="125" t="s">
        <v>4294</v>
      </c>
      <c r="C1698" s="118" t="s">
        <v>4295</v>
      </c>
      <c r="D1698" s="118">
        <v>3.22</v>
      </c>
      <c r="E1698" s="118">
        <v>0.04</v>
      </c>
    </row>
    <row r="1699" spans="2:5" x14ac:dyDescent="0.2">
      <c r="B1699" s="125" t="s">
        <v>2905</v>
      </c>
      <c r="C1699" s="118" t="s">
        <v>2906</v>
      </c>
      <c r="D1699" s="118">
        <v>21.31</v>
      </c>
      <c r="E1699" s="118">
        <v>0.1</v>
      </c>
    </row>
    <row r="1700" spans="2:5" x14ac:dyDescent="0.2">
      <c r="B1700" s="125" t="s">
        <v>2907</v>
      </c>
      <c r="C1700" s="118" t="s">
        <v>2908</v>
      </c>
      <c r="D1700" s="118">
        <v>18.43</v>
      </c>
      <c r="E1700" s="118">
        <v>0.18</v>
      </c>
    </row>
    <row r="1701" spans="2:5" x14ac:dyDescent="0.2">
      <c r="B1701" s="125" t="s">
        <v>2910</v>
      </c>
      <c r="C1701" s="118" t="s">
        <v>2911</v>
      </c>
      <c r="D1701" s="118">
        <v>-30.6</v>
      </c>
      <c r="E1701" s="118">
        <v>-1.06</v>
      </c>
    </row>
    <row r="1702" spans="2:5" x14ac:dyDescent="0.2">
      <c r="B1702" s="125" t="s">
        <v>2912</v>
      </c>
      <c r="C1702" s="118" t="s">
        <v>2913</v>
      </c>
      <c r="D1702" s="118">
        <v>5.08</v>
      </c>
      <c r="E1702" s="118">
        <v>0.05</v>
      </c>
    </row>
    <row r="1703" spans="2:5" x14ac:dyDescent="0.2">
      <c r="B1703" s="125" t="s">
        <v>2914</v>
      </c>
      <c r="C1703" s="118" t="s">
        <v>2915</v>
      </c>
      <c r="D1703" s="118">
        <v>9.6999999999999993</v>
      </c>
      <c r="E1703" s="118">
        <v>0.1</v>
      </c>
    </row>
    <row r="1704" spans="2:5" x14ac:dyDescent="0.2">
      <c r="B1704" s="125" t="s">
        <v>4296</v>
      </c>
      <c r="C1704" s="118" t="s">
        <v>4297</v>
      </c>
      <c r="D1704" s="118"/>
      <c r="E1704" s="118"/>
    </row>
    <row r="1705" spans="2:5" x14ac:dyDescent="0.2">
      <c r="B1705" s="125" t="s">
        <v>2916</v>
      </c>
      <c r="C1705" s="118" t="s">
        <v>2917</v>
      </c>
      <c r="D1705" s="118"/>
      <c r="E1705" s="118">
        <v>0.14000000000000001</v>
      </c>
    </row>
    <row r="1706" spans="2:5" x14ac:dyDescent="0.2">
      <c r="B1706" s="125" t="s">
        <v>2918</v>
      </c>
      <c r="C1706" s="118" t="s">
        <v>2919</v>
      </c>
      <c r="D1706" s="118">
        <v>1.72</v>
      </c>
      <c r="E1706" s="118">
        <v>0.02</v>
      </c>
    </row>
    <row r="1707" spans="2:5" x14ac:dyDescent="0.2">
      <c r="B1707" s="125" t="s">
        <v>2920</v>
      </c>
      <c r="C1707" s="118" t="s">
        <v>2921</v>
      </c>
      <c r="D1707" s="118">
        <v>19.5</v>
      </c>
      <c r="E1707" s="118">
        <v>0.14000000000000001</v>
      </c>
    </row>
    <row r="1708" spans="2:5" x14ac:dyDescent="0.2">
      <c r="B1708" s="125" t="s">
        <v>2922</v>
      </c>
      <c r="C1708" s="118" t="s">
        <v>2923</v>
      </c>
      <c r="D1708" s="118"/>
      <c r="E1708" s="118"/>
    </row>
    <row r="1709" spans="2:5" x14ac:dyDescent="0.2">
      <c r="B1709" s="125" t="s">
        <v>2924</v>
      </c>
      <c r="C1709" s="118" t="s">
        <v>2925</v>
      </c>
      <c r="D1709" s="118">
        <v>32.909999999999997</v>
      </c>
      <c r="E1709" s="118">
        <v>0.26</v>
      </c>
    </row>
    <row r="1710" spans="2:5" x14ac:dyDescent="0.2">
      <c r="B1710" s="125" t="s">
        <v>2926</v>
      </c>
      <c r="C1710" s="118" t="s">
        <v>2927</v>
      </c>
      <c r="D1710" s="118">
        <v>2.63</v>
      </c>
      <c r="E1710" s="118">
        <v>0.01</v>
      </c>
    </row>
    <row r="1711" spans="2:5" x14ac:dyDescent="0.2">
      <c r="B1711" s="125" t="s">
        <v>2928</v>
      </c>
      <c r="C1711" s="118" t="s">
        <v>2929</v>
      </c>
      <c r="D1711" s="118">
        <v>19.989999999999998</v>
      </c>
      <c r="E1711" s="118">
        <v>0.13</v>
      </c>
    </row>
    <row r="1712" spans="2:5" x14ac:dyDescent="0.2">
      <c r="B1712" s="125" t="s">
        <v>4298</v>
      </c>
      <c r="C1712" s="118" t="s">
        <v>4299</v>
      </c>
      <c r="D1712" s="118">
        <v>3.87</v>
      </c>
      <c r="E1712" s="118">
        <v>0.04</v>
      </c>
    </row>
    <row r="1713" spans="2:5" x14ac:dyDescent="0.2">
      <c r="B1713" s="125" t="s">
        <v>2930</v>
      </c>
      <c r="C1713" s="118" t="s">
        <v>2931</v>
      </c>
      <c r="D1713" s="118">
        <v>13.57</v>
      </c>
      <c r="E1713" s="118">
        <v>0.1</v>
      </c>
    </row>
    <row r="1714" spans="2:5" x14ac:dyDescent="0.2">
      <c r="B1714" s="125" t="s">
        <v>4300</v>
      </c>
      <c r="C1714" s="118" t="s">
        <v>4301</v>
      </c>
      <c r="D1714" s="118"/>
      <c r="E1714" s="118"/>
    </row>
    <row r="1715" spans="2:5" x14ac:dyDescent="0.2">
      <c r="B1715" s="125" t="s">
        <v>2932</v>
      </c>
      <c r="C1715" s="118" t="s">
        <v>2933</v>
      </c>
      <c r="D1715" s="118">
        <v>8.42</v>
      </c>
      <c r="E1715" s="118">
        <v>0.09</v>
      </c>
    </row>
    <row r="1716" spans="2:5" x14ac:dyDescent="0.2">
      <c r="B1716" s="125" t="s">
        <v>2934</v>
      </c>
      <c r="C1716" s="118" t="s">
        <v>2935</v>
      </c>
      <c r="D1716" s="118"/>
      <c r="E1716" s="118"/>
    </row>
    <row r="1717" spans="2:5" x14ac:dyDescent="0.2">
      <c r="B1717" s="125" t="s">
        <v>2936</v>
      </c>
      <c r="C1717" s="118" t="s">
        <v>2937</v>
      </c>
      <c r="D1717" s="118">
        <v>6.53</v>
      </c>
      <c r="E1717" s="118">
        <v>0.06</v>
      </c>
    </row>
    <row r="1718" spans="2:5" x14ac:dyDescent="0.2">
      <c r="B1718" s="125" t="s">
        <v>2938</v>
      </c>
      <c r="C1718" s="118" t="s">
        <v>2939</v>
      </c>
      <c r="D1718" s="118"/>
      <c r="E1718" s="118">
        <v>0.16</v>
      </c>
    </row>
    <row r="1719" spans="2:5" x14ac:dyDescent="0.2">
      <c r="B1719" s="125" t="s">
        <v>2940</v>
      </c>
      <c r="C1719" s="118" t="s">
        <v>2941</v>
      </c>
      <c r="D1719" s="118"/>
      <c r="E1719" s="118"/>
    </row>
    <row r="1720" spans="2:5" x14ac:dyDescent="0.2">
      <c r="B1720" s="125" t="s">
        <v>2942</v>
      </c>
      <c r="C1720" s="118" t="s">
        <v>2943</v>
      </c>
      <c r="D1720" s="118">
        <v>40.479999999999997</v>
      </c>
      <c r="E1720" s="118">
        <v>0.43</v>
      </c>
    </row>
    <row r="1721" spans="2:5" x14ac:dyDescent="0.2">
      <c r="B1721" s="125" t="s">
        <v>2944</v>
      </c>
      <c r="C1721" s="118" t="s">
        <v>2945</v>
      </c>
      <c r="D1721" s="118">
        <v>34.92</v>
      </c>
      <c r="E1721" s="118">
        <v>0.31</v>
      </c>
    </row>
    <row r="1722" spans="2:5" x14ac:dyDescent="0.2">
      <c r="B1722" s="125" t="s">
        <v>4302</v>
      </c>
      <c r="C1722" s="118" t="s">
        <v>4303</v>
      </c>
      <c r="D1722" s="118"/>
      <c r="E1722" s="118">
        <v>0.12</v>
      </c>
    </row>
    <row r="1723" spans="2:5" x14ac:dyDescent="0.2">
      <c r="B1723" s="125" t="s">
        <v>2946</v>
      </c>
      <c r="C1723" s="118" t="s">
        <v>2947</v>
      </c>
      <c r="D1723" s="118">
        <v>12.21</v>
      </c>
      <c r="E1723" s="118">
        <v>-0.15</v>
      </c>
    </row>
    <row r="1724" spans="2:5" x14ac:dyDescent="0.2">
      <c r="B1724" s="125" t="s">
        <v>2948</v>
      </c>
      <c r="C1724" s="118" t="s">
        <v>2949</v>
      </c>
      <c r="D1724" s="118">
        <v>4.4800000000000004</v>
      </c>
      <c r="E1724" s="118">
        <v>-0.01</v>
      </c>
    </row>
    <row r="1725" spans="2:5" x14ac:dyDescent="0.2">
      <c r="B1725" s="125" t="s">
        <v>2950</v>
      </c>
      <c r="C1725" s="118" t="s">
        <v>2951</v>
      </c>
      <c r="D1725" s="118">
        <v>9.58</v>
      </c>
      <c r="E1725" s="118">
        <v>0.09</v>
      </c>
    </row>
    <row r="1726" spans="2:5" x14ac:dyDescent="0.2">
      <c r="B1726" s="125" t="s">
        <v>2952</v>
      </c>
      <c r="C1726" s="118" t="s">
        <v>2953</v>
      </c>
      <c r="D1726" s="118"/>
      <c r="E1726" s="118"/>
    </row>
    <row r="1727" spans="2:5" x14ac:dyDescent="0.2">
      <c r="B1727" s="125" t="s">
        <v>4304</v>
      </c>
      <c r="C1727" s="118" t="s">
        <v>4305</v>
      </c>
      <c r="D1727" s="118"/>
      <c r="E1727" s="118"/>
    </row>
    <row r="1728" spans="2:5" x14ac:dyDescent="0.2">
      <c r="B1728" s="125" t="s">
        <v>2954</v>
      </c>
      <c r="C1728" s="118" t="s">
        <v>2955</v>
      </c>
      <c r="D1728" s="118">
        <v>7.31</v>
      </c>
      <c r="E1728" s="118">
        <v>-0.01</v>
      </c>
    </row>
    <row r="1729" spans="2:5" x14ac:dyDescent="0.2">
      <c r="B1729" s="125" t="s">
        <v>2956</v>
      </c>
      <c r="C1729" s="118" t="s">
        <v>2957</v>
      </c>
      <c r="D1729" s="118">
        <v>16.27</v>
      </c>
      <c r="E1729" s="118">
        <v>0.19</v>
      </c>
    </row>
    <row r="1730" spans="2:5" x14ac:dyDescent="0.2">
      <c r="B1730" s="125" t="s">
        <v>2958</v>
      </c>
      <c r="C1730" s="118" t="s">
        <v>2959</v>
      </c>
      <c r="D1730" s="118">
        <v>6.65</v>
      </c>
      <c r="E1730" s="118">
        <v>7.0000000000000007E-2</v>
      </c>
    </row>
    <row r="1731" spans="2:5" x14ac:dyDescent="0.2">
      <c r="B1731" s="125" t="s">
        <v>2961</v>
      </c>
      <c r="C1731" s="118" t="s">
        <v>2962</v>
      </c>
      <c r="D1731" s="118">
        <v>8.9499999999999993</v>
      </c>
      <c r="E1731" s="118">
        <v>0.11</v>
      </c>
    </row>
    <row r="1732" spans="2:5" x14ac:dyDescent="0.2">
      <c r="B1732" s="125" t="s">
        <v>2963</v>
      </c>
      <c r="C1732" s="118" t="s">
        <v>2964</v>
      </c>
      <c r="D1732" s="118">
        <v>39.67</v>
      </c>
      <c r="E1732" s="118">
        <v>0.3</v>
      </c>
    </row>
    <row r="1733" spans="2:5" x14ac:dyDescent="0.2">
      <c r="B1733" s="125" t="s">
        <v>2965</v>
      </c>
      <c r="C1733" s="118" t="s">
        <v>2966</v>
      </c>
      <c r="D1733" s="118">
        <v>8.59</v>
      </c>
      <c r="E1733" s="118">
        <v>-7.0000000000000007E-2</v>
      </c>
    </row>
    <row r="1734" spans="2:5" x14ac:dyDescent="0.2">
      <c r="B1734" s="125" t="s">
        <v>2967</v>
      </c>
      <c r="C1734" s="118" t="s">
        <v>2968</v>
      </c>
      <c r="D1734" s="118">
        <v>15.37</v>
      </c>
      <c r="E1734" s="118">
        <v>0.09</v>
      </c>
    </row>
    <row r="1735" spans="2:5" x14ac:dyDescent="0.2">
      <c r="B1735" s="125" t="s">
        <v>2969</v>
      </c>
      <c r="C1735" s="118" t="s">
        <v>2970</v>
      </c>
      <c r="D1735" s="118">
        <v>-130.25</v>
      </c>
      <c r="E1735" s="118">
        <v>-1.2</v>
      </c>
    </row>
    <row r="1736" spans="2:5" x14ac:dyDescent="0.2">
      <c r="B1736" s="125" t="s">
        <v>2971</v>
      </c>
      <c r="C1736" s="118" t="s">
        <v>2972</v>
      </c>
      <c r="D1736" s="118">
        <v>11.7</v>
      </c>
      <c r="E1736" s="118">
        <v>0.12</v>
      </c>
    </row>
    <row r="1737" spans="2:5" x14ac:dyDescent="0.2">
      <c r="B1737" s="125" t="s">
        <v>2973</v>
      </c>
      <c r="C1737" s="118" t="s">
        <v>2974</v>
      </c>
      <c r="D1737" s="118">
        <v>6.57</v>
      </c>
      <c r="E1737" s="118">
        <v>0.06</v>
      </c>
    </row>
    <row r="1738" spans="2:5" x14ac:dyDescent="0.2">
      <c r="B1738" s="125" t="s">
        <v>2975</v>
      </c>
      <c r="C1738" s="118" t="s">
        <v>2976</v>
      </c>
      <c r="D1738" s="118"/>
      <c r="E1738" s="118">
        <v>0.19</v>
      </c>
    </row>
    <row r="1739" spans="2:5" x14ac:dyDescent="0.2">
      <c r="B1739" s="125" t="s">
        <v>2977</v>
      </c>
      <c r="C1739" s="118" t="s">
        <v>2978</v>
      </c>
      <c r="D1739" s="118"/>
      <c r="E1739" s="118"/>
    </row>
    <row r="1740" spans="2:5" x14ac:dyDescent="0.2">
      <c r="B1740" s="125" t="s">
        <v>4306</v>
      </c>
      <c r="C1740" s="118" t="s">
        <v>4307</v>
      </c>
      <c r="D1740" s="118">
        <v>14.02</v>
      </c>
      <c r="E1740" s="118">
        <v>0.14000000000000001</v>
      </c>
    </row>
    <row r="1741" spans="2:5" x14ac:dyDescent="0.2">
      <c r="B1741" s="125" t="s">
        <v>2979</v>
      </c>
      <c r="C1741" s="118" t="s">
        <v>2980</v>
      </c>
      <c r="D1741" s="118">
        <v>20.8</v>
      </c>
      <c r="E1741" s="118">
        <v>0.03</v>
      </c>
    </row>
    <row r="1742" spans="2:5" x14ac:dyDescent="0.2">
      <c r="B1742" s="125" t="s">
        <v>4308</v>
      </c>
      <c r="C1742" s="118" t="s">
        <v>4309</v>
      </c>
      <c r="D1742" s="118"/>
      <c r="E1742" s="118"/>
    </row>
    <row r="1743" spans="2:5" x14ac:dyDescent="0.2">
      <c r="B1743" s="125" t="s">
        <v>2981</v>
      </c>
      <c r="C1743" s="118" t="s">
        <v>2982</v>
      </c>
      <c r="D1743" s="118"/>
      <c r="E1743" s="118">
        <v>0.01</v>
      </c>
    </row>
    <row r="1744" spans="2:5" x14ac:dyDescent="0.2">
      <c r="B1744" s="125" t="s">
        <v>4310</v>
      </c>
      <c r="C1744" s="118" t="s">
        <v>4311</v>
      </c>
      <c r="D1744" s="118">
        <v>5.71</v>
      </c>
      <c r="E1744" s="118">
        <v>0.06</v>
      </c>
    </row>
    <row r="1745" spans="2:5" x14ac:dyDescent="0.2">
      <c r="B1745" s="125" t="s">
        <v>2983</v>
      </c>
      <c r="C1745" s="118" t="s">
        <v>2984</v>
      </c>
      <c r="D1745" s="118">
        <v>17.309999999999999</v>
      </c>
      <c r="E1745" s="118">
        <v>0.17</v>
      </c>
    </row>
    <row r="1746" spans="2:5" x14ac:dyDescent="0.2">
      <c r="B1746" s="125" t="s">
        <v>2986</v>
      </c>
      <c r="C1746" s="118" t="s">
        <v>2987</v>
      </c>
      <c r="D1746" s="118">
        <v>20.329999999999998</v>
      </c>
      <c r="E1746" s="118">
        <v>0.26</v>
      </c>
    </row>
    <row r="1747" spans="2:5" x14ac:dyDescent="0.2">
      <c r="B1747" s="125" t="s">
        <v>4312</v>
      </c>
      <c r="C1747" s="118" t="s">
        <v>4313</v>
      </c>
      <c r="D1747" s="118"/>
      <c r="E1747" s="118"/>
    </row>
    <row r="1748" spans="2:5" x14ac:dyDescent="0.2">
      <c r="B1748" s="125" t="s">
        <v>2988</v>
      </c>
      <c r="C1748" s="118" t="s">
        <v>2989</v>
      </c>
      <c r="D1748" s="118">
        <v>15.38</v>
      </c>
      <c r="E1748" s="118">
        <v>0.11</v>
      </c>
    </row>
    <row r="1749" spans="2:5" x14ac:dyDescent="0.2">
      <c r="B1749" s="125" t="s">
        <v>2990</v>
      </c>
      <c r="C1749" s="118" t="s">
        <v>2991</v>
      </c>
      <c r="D1749" s="118">
        <v>28.27</v>
      </c>
      <c r="E1749" s="118">
        <v>0.27</v>
      </c>
    </row>
    <row r="1750" spans="2:5" x14ac:dyDescent="0.2">
      <c r="B1750" s="125" t="s">
        <v>2992</v>
      </c>
      <c r="C1750" s="118" t="s">
        <v>2993</v>
      </c>
      <c r="D1750" s="118">
        <v>43.04</v>
      </c>
      <c r="E1750" s="118">
        <v>0.34</v>
      </c>
    </row>
    <row r="1751" spans="2:5" x14ac:dyDescent="0.2">
      <c r="B1751" s="125" t="s">
        <v>2994</v>
      </c>
      <c r="C1751" s="118" t="s">
        <v>2995</v>
      </c>
      <c r="D1751" s="118">
        <v>9.3699999999999992</v>
      </c>
      <c r="E1751" s="118">
        <v>0.11</v>
      </c>
    </row>
    <row r="1752" spans="2:5" x14ac:dyDescent="0.2">
      <c r="B1752" s="125" t="s">
        <v>2996</v>
      </c>
      <c r="C1752" s="118" t="s">
        <v>2997</v>
      </c>
      <c r="D1752" s="118">
        <v>11.99</v>
      </c>
      <c r="E1752" s="118">
        <v>0.13</v>
      </c>
    </row>
    <row r="1753" spans="2:5" x14ac:dyDescent="0.2">
      <c r="B1753" s="125" t="s">
        <v>2998</v>
      </c>
      <c r="C1753" s="118" t="s">
        <v>2999</v>
      </c>
      <c r="D1753" s="118">
        <v>30.35</v>
      </c>
      <c r="E1753" s="118">
        <v>0.2</v>
      </c>
    </row>
    <row r="1754" spans="2:5" x14ac:dyDescent="0.2">
      <c r="B1754" s="125" t="s">
        <v>3000</v>
      </c>
      <c r="C1754" s="118" t="s">
        <v>3001</v>
      </c>
      <c r="D1754" s="118">
        <v>38.42</v>
      </c>
      <c r="E1754" s="118">
        <v>0.4</v>
      </c>
    </row>
    <row r="1755" spans="2:5" x14ac:dyDescent="0.2">
      <c r="B1755" s="125" t="s">
        <v>3002</v>
      </c>
      <c r="C1755" s="118" t="s">
        <v>3003</v>
      </c>
      <c r="D1755" s="118">
        <v>13.77</v>
      </c>
      <c r="E1755" s="118">
        <v>-0.02</v>
      </c>
    </row>
    <row r="1756" spans="2:5" x14ac:dyDescent="0.2">
      <c r="B1756" s="125" t="s">
        <v>3004</v>
      </c>
      <c r="C1756" s="118" t="s">
        <v>3005</v>
      </c>
      <c r="D1756" s="118">
        <v>21.97</v>
      </c>
      <c r="E1756" s="118">
        <v>0.2</v>
      </c>
    </row>
    <row r="1757" spans="2:5" x14ac:dyDescent="0.2">
      <c r="B1757" s="125" t="s">
        <v>3006</v>
      </c>
      <c r="C1757" s="118" t="s">
        <v>3007</v>
      </c>
      <c r="D1757" s="118">
        <v>45.02</v>
      </c>
      <c r="E1757" s="118">
        <v>0.35</v>
      </c>
    </row>
    <row r="1758" spans="2:5" x14ac:dyDescent="0.2">
      <c r="B1758" s="125" t="s">
        <v>3008</v>
      </c>
      <c r="C1758" s="118" t="s">
        <v>3009</v>
      </c>
      <c r="D1758" s="118">
        <v>13.23</v>
      </c>
      <c r="E1758" s="118">
        <v>0.19</v>
      </c>
    </row>
    <row r="1759" spans="2:5" x14ac:dyDescent="0.2">
      <c r="B1759" s="125" t="s">
        <v>3010</v>
      </c>
      <c r="C1759" s="118" t="s">
        <v>3011</v>
      </c>
      <c r="D1759" s="118">
        <v>22.19</v>
      </c>
      <c r="E1759" s="118">
        <v>0.39</v>
      </c>
    </row>
    <row r="1760" spans="2:5" x14ac:dyDescent="0.2">
      <c r="B1760" s="125" t="s">
        <v>3010</v>
      </c>
      <c r="C1760" s="118" t="s">
        <v>4314</v>
      </c>
      <c r="D1760" s="118">
        <v>22.19</v>
      </c>
      <c r="E1760" s="118">
        <v>0.39</v>
      </c>
    </row>
    <row r="1761" spans="2:5" x14ac:dyDescent="0.2">
      <c r="B1761" s="125" t="s">
        <v>3012</v>
      </c>
      <c r="C1761" s="118" t="s">
        <v>3013</v>
      </c>
      <c r="D1761" s="118">
        <v>11.71</v>
      </c>
      <c r="E1761" s="118">
        <v>0.09</v>
      </c>
    </row>
    <row r="1762" spans="2:5" x14ac:dyDescent="0.2">
      <c r="B1762" s="125" t="s">
        <v>3014</v>
      </c>
      <c r="C1762" s="118" t="s">
        <v>3015</v>
      </c>
      <c r="D1762" s="118">
        <v>3.14</v>
      </c>
      <c r="E1762" s="118">
        <v>0.04</v>
      </c>
    </row>
    <row r="1763" spans="2:5" x14ac:dyDescent="0.2">
      <c r="B1763" s="125" t="s">
        <v>3016</v>
      </c>
      <c r="C1763" s="118" t="s">
        <v>3017</v>
      </c>
      <c r="D1763" s="118"/>
      <c r="E1763" s="118">
        <v>0.53</v>
      </c>
    </row>
    <row r="1764" spans="2:5" x14ac:dyDescent="0.2">
      <c r="B1764" s="125" t="s">
        <v>3018</v>
      </c>
      <c r="C1764" s="118" t="s">
        <v>3019</v>
      </c>
      <c r="D1764" s="118">
        <v>11.05</v>
      </c>
      <c r="E1764" s="118">
        <v>0.11</v>
      </c>
    </row>
    <row r="1765" spans="2:5" x14ac:dyDescent="0.2">
      <c r="B1765" s="125" t="s">
        <v>3020</v>
      </c>
      <c r="C1765" s="118" t="s">
        <v>3021</v>
      </c>
      <c r="D1765" s="118">
        <v>1.76</v>
      </c>
      <c r="E1765" s="118">
        <v>-0.01</v>
      </c>
    </row>
    <row r="1766" spans="2:5" x14ac:dyDescent="0.2">
      <c r="B1766" s="125" t="s">
        <v>3022</v>
      </c>
      <c r="C1766" s="118" t="s">
        <v>3023</v>
      </c>
      <c r="D1766" s="118"/>
      <c r="E1766" s="118">
        <v>0.18</v>
      </c>
    </row>
    <row r="1767" spans="2:5" x14ac:dyDescent="0.2">
      <c r="B1767" s="125" t="s">
        <v>4315</v>
      </c>
      <c r="C1767" s="118" t="s">
        <v>4316</v>
      </c>
      <c r="D1767" s="118"/>
      <c r="E1767" s="118"/>
    </row>
    <row r="1768" spans="2:5" x14ac:dyDescent="0.2">
      <c r="B1768" s="125" t="s">
        <v>4317</v>
      </c>
      <c r="C1768" s="118" t="s">
        <v>4318</v>
      </c>
      <c r="D1768" s="118">
        <v>4.42</v>
      </c>
      <c r="E1768" s="118">
        <v>0.02</v>
      </c>
    </row>
    <row r="1769" spans="2:5" x14ac:dyDescent="0.2">
      <c r="B1769" s="125" t="s">
        <v>3024</v>
      </c>
      <c r="C1769" s="118" t="s">
        <v>3025</v>
      </c>
      <c r="D1769" s="118">
        <v>17.38</v>
      </c>
      <c r="E1769" s="118">
        <v>0.2</v>
      </c>
    </row>
    <row r="1770" spans="2:5" x14ac:dyDescent="0.2">
      <c r="B1770" s="125" t="s">
        <v>4319</v>
      </c>
      <c r="C1770" s="118" t="s">
        <v>4320</v>
      </c>
      <c r="D1770" s="118"/>
      <c r="E1770" s="118"/>
    </row>
    <row r="1771" spans="2:5" x14ac:dyDescent="0.2">
      <c r="B1771" s="125" t="s">
        <v>4321</v>
      </c>
      <c r="C1771" s="118" t="s">
        <v>4322</v>
      </c>
      <c r="D1771" s="118"/>
      <c r="E1771" s="118">
        <v>0.03</v>
      </c>
    </row>
    <row r="1772" spans="2:5" x14ac:dyDescent="0.2">
      <c r="B1772" s="125" t="s">
        <v>3026</v>
      </c>
      <c r="C1772" s="118" t="s">
        <v>3027</v>
      </c>
      <c r="D1772" s="118">
        <v>4.29</v>
      </c>
      <c r="E1772" s="118">
        <v>0.01</v>
      </c>
    </row>
    <row r="1773" spans="2:5" x14ac:dyDescent="0.2">
      <c r="B1773" s="125" t="s">
        <v>4323</v>
      </c>
      <c r="C1773" s="118" t="s">
        <v>4324</v>
      </c>
      <c r="D1773" s="118">
        <v>47.62</v>
      </c>
      <c r="E1773" s="118">
        <v>0.39</v>
      </c>
    </row>
    <row r="1774" spans="2:5" x14ac:dyDescent="0.2">
      <c r="B1774" s="125" t="s">
        <v>4325</v>
      </c>
      <c r="C1774" s="118" t="s">
        <v>4326</v>
      </c>
      <c r="D1774" s="118"/>
      <c r="E1774" s="118">
        <v>0.1</v>
      </c>
    </row>
    <row r="1775" spans="2:5" x14ac:dyDescent="0.2">
      <c r="B1775" s="125" t="s">
        <v>3028</v>
      </c>
      <c r="C1775" s="118" t="s">
        <v>3029</v>
      </c>
      <c r="D1775" s="118">
        <v>26.53</v>
      </c>
      <c r="E1775" s="118">
        <v>-0.12</v>
      </c>
    </row>
    <row r="1776" spans="2:5" x14ac:dyDescent="0.2">
      <c r="B1776" s="125" t="s">
        <v>3030</v>
      </c>
      <c r="C1776" s="118" t="s">
        <v>3031</v>
      </c>
      <c r="D1776" s="118">
        <v>8.75</v>
      </c>
      <c r="E1776" s="118">
        <v>0.04</v>
      </c>
    </row>
    <row r="1777" spans="2:5" x14ac:dyDescent="0.2">
      <c r="B1777" s="125" t="s">
        <v>3032</v>
      </c>
      <c r="C1777" s="118" t="s">
        <v>3033</v>
      </c>
      <c r="D1777" s="118">
        <v>32.729999999999997</v>
      </c>
      <c r="E1777" s="118">
        <v>0.24</v>
      </c>
    </row>
    <row r="1778" spans="2:5" x14ac:dyDescent="0.2">
      <c r="B1778" s="125" t="s">
        <v>3034</v>
      </c>
      <c r="C1778" s="118" t="s">
        <v>3035</v>
      </c>
      <c r="D1778" s="118"/>
      <c r="E1778" s="118">
        <v>0.28000000000000003</v>
      </c>
    </row>
    <row r="1779" spans="2:5" x14ac:dyDescent="0.2">
      <c r="B1779" s="125" t="s">
        <v>4327</v>
      </c>
      <c r="C1779" s="118" t="s">
        <v>4328</v>
      </c>
      <c r="D1779" s="118"/>
      <c r="E1779" s="118"/>
    </row>
    <row r="1780" spans="2:5" x14ac:dyDescent="0.2">
      <c r="B1780" s="125" t="s">
        <v>3036</v>
      </c>
      <c r="C1780" s="118" t="s">
        <v>3037</v>
      </c>
      <c r="D1780" s="118">
        <v>6.61</v>
      </c>
      <c r="E1780" s="118">
        <v>0.06</v>
      </c>
    </row>
    <row r="1781" spans="2:5" x14ac:dyDescent="0.2">
      <c r="B1781" s="125" t="s">
        <v>3038</v>
      </c>
      <c r="C1781" s="118" t="s">
        <v>3039</v>
      </c>
      <c r="D1781" s="118">
        <v>16.68</v>
      </c>
      <c r="E1781" s="118">
        <v>0.15</v>
      </c>
    </row>
    <row r="1782" spans="2:5" x14ac:dyDescent="0.2">
      <c r="B1782" s="125" t="s">
        <v>4329</v>
      </c>
      <c r="C1782" s="118" t="s">
        <v>4330</v>
      </c>
      <c r="D1782" s="118"/>
      <c r="E1782" s="118"/>
    </row>
    <row r="1783" spans="2:5" x14ac:dyDescent="0.2">
      <c r="B1783" s="125" t="s">
        <v>3040</v>
      </c>
      <c r="C1783" s="118" t="s">
        <v>3041</v>
      </c>
      <c r="D1783" s="118">
        <v>20.68</v>
      </c>
      <c r="E1783" s="118">
        <v>0.26</v>
      </c>
    </row>
    <row r="1784" spans="2:5" x14ac:dyDescent="0.2">
      <c r="B1784" s="125" t="s">
        <v>3042</v>
      </c>
      <c r="C1784" s="118" t="s">
        <v>3043</v>
      </c>
      <c r="D1784" s="118">
        <v>22.61</v>
      </c>
      <c r="E1784" s="118">
        <v>0.01</v>
      </c>
    </row>
    <row r="1785" spans="2:5" x14ac:dyDescent="0.2">
      <c r="B1785" s="125" t="s">
        <v>3044</v>
      </c>
      <c r="C1785" s="118" t="s">
        <v>3045</v>
      </c>
      <c r="D1785" s="118">
        <v>7</v>
      </c>
      <c r="E1785" s="118">
        <v>0.01</v>
      </c>
    </row>
    <row r="1786" spans="2:5" x14ac:dyDescent="0.2">
      <c r="B1786" s="125" t="s">
        <v>3046</v>
      </c>
      <c r="C1786" s="118" t="s">
        <v>3047</v>
      </c>
      <c r="D1786" s="118">
        <v>3.09</v>
      </c>
      <c r="E1786" s="118">
        <v>0.03</v>
      </c>
    </row>
    <row r="1787" spans="2:5" x14ac:dyDescent="0.2">
      <c r="B1787" s="125" t="s">
        <v>4331</v>
      </c>
      <c r="C1787" s="118" t="s">
        <v>4332</v>
      </c>
      <c r="D1787" s="118"/>
      <c r="E1787" s="118">
        <v>0.02</v>
      </c>
    </row>
    <row r="1788" spans="2:5" x14ac:dyDescent="0.2">
      <c r="B1788" s="125" t="s">
        <v>3048</v>
      </c>
      <c r="C1788" s="118" t="s">
        <v>3049</v>
      </c>
      <c r="D1788" s="118">
        <v>5.68</v>
      </c>
      <c r="E1788" s="118">
        <v>0.05</v>
      </c>
    </row>
    <row r="1789" spans="2:5" x14ac:dyDescent="0.2">
      <c r="B1789" s="125" t="s">
        <v>3050</v>
      </c>
      <c r="C1789" s="118" t="s">
        <v>3051</v>
      </c>
      <c r="D1789" s="118">
        <v>13.99</v>
      </c>
      <c r="E1789" s="118">
        <v>0.11</v>
      </c>
    </row>
    <row r="1790" spans="2:5" x14ac:dyDescent="0.2">
      <c r="B1790" s="125" t="s">
        <v>3052</v>
      </c>
      <c r="C1790" s="118" t="s">
        <v>3053</v>
      </c>
      <c r="D1790" s="118">
        <v>20.9</v>
      </c>
      <c r="E1790" s="118">
        <v>0.05</v>
      </c>
    </row>
    <row r="1791" spans="2:5" x14ac:dyDescent="0.2">
      <c r="B1791" s="125" t="s">
        <v>3054</v>
      </c>
      <c r="C1791" s="118" t="s">
        <v>3055</v>
      </c>
      <c r="D1791" s="118">
        <v>14.05</v>
      </c>
      <c r="E1791" s="118">
        <v>0.14000000000000001</v>
      </c>
    </row>
    <row r="1792" spans="2:5" x14ac:dyDescent="0.2">
      <c r="B1792" s="125" t="s">
        <v>3056</v>
      </c>
      <c r="C1792" s="118" t="s">
        <v>3057</v>
      </c>
      <c r="D1792" s="118">
        <v>9.65</v>
      </c>
      <c r="E1792" s="118">
        <v>0.08</v>
      </c>
    </row>
    <row r="1793" spans="2:5" x14ac:dyDescent="0.2">
      <c r="B1793" s="125" t="s">
        <v>3058</v>
      </c>
      <c r="C1793" s="118" t="s">
        <v>3059</v>
      </c>
      <c r="D1793" s="118">
        <v>41.49</v>
      </c>
      <c r="E1793" s="118">
        <v>0.42</v>
      </c>
    </row>
    <row r="1794" spans="2:5" x14ac:dyDescent="0.2">
      <c r="B1794" s="125" t="s">
        <v>3060</v>
      </c>
      <c r="C1794" s="118" t="s">
        <v>3061</v>
      </c>
      <c r="D1794" s="118"/>
      <c r="E1794" s="118">
        <v>7.0000000000000007E-2</v>
      </c>
    </row>
    <row r="1795" spans="2:5" x14ac:dyDescent="0.2">
      <c r="B1795" s="125" t="s">
        <v>3062</v>
      </c>
      <c r="C1795" s="118" t="s">
        <v>3063</v>
      </c>
      <c r="D1795" s="118">
        <v>24.69</v>
      </c>
      <c r="E1795" s="118">
        <v>0.26</v>
      </c>
    </row>
    <row r="1796" spans="2:5" x14ac:dyDescent="0.2">
      <c r="B1796" s="125" t="s">
        <v>4333</v>
      </c>
      <c r="C1796" s="118" t="s">
        <v>4334</v>
      </c>
      <c r="D1796" s="118"/>
      <c r="E1796" s="118"/>
    </row>
    <row r="1797" spans="2:5" x14ac:dyDescent="0.2">
      <c r="B1797" s="125" t="s">
        <v>3064</v>
      </c>
      <c r="C1797" s="118" t="s">
        <v>3065</v>
      </c>
      <c r="D1797" s="118">
        <v>30.81</v>
      </c>
      <c r="E1797" s="118">
        <v>0.21</v>
      </c>
    </row>
    <row r="1798" spans="2:5" x14ac:dyDescent="0.2">
      <c r="B1798" s="125" t="s">
        <v>3066</v>
      </c>
      <c r="C1798" s="118" t="s">
        <v>3067</v>
      </c>
      <c r="D1798" s="118">
        <v>7.82</v>
      </c>
      <c r="E1798" s="118">
        <v>0.01</v>
      </c>
    </row>
    <row r="1799" spans="2:5" x14ac:dyDescent="0.2">
      <c r="B1799" s="125" t="s">
        <v>3068</v>
      </c>
      <c r="C1799" s="118" t="s">
        <v>3069</v>
      </c>
      <c r="D1799" s="118">
        <v>19.989999999999998</v>
      </c>
      <c r="E1799" s="118">
        <v>0.25</v>
      </c>
    </row>
    <row r="1800" spans="2:5" x14ac:dyDescent="0.2">
      <c r="B1800" s="125" t="s">
        <v>3070</v>
      </c>
      <c r="C1800" s="118" t="s">
        <v>3071</v>
      </c>
      <c r="D1800" s="118">
        <v>-21.85</v>
      </c>
      <c r="E1800" s="118">
        <v>-0.23</v>
      </c>
    </row>
    <row r="1801" spans="2:5" x14ac:dyDescent="0.2">
      <c r="B1801" s="125" t="s">
        <v>3072</v>
      </c>
      <c r="C1801" s="118" t="s">
        <v>3073</v>
      </c>
      <c r="D1801" s="118">
        <v>11.65</v>
      </c>
      <c r="E1801" s="118">
        <v>0.12</v>
      </c>
    </row>
    <row r="1802" spans="2:5" x14ac:dyDescent="0.2">
      <c r="B1802" s="125" t="s">
        <v>3074</v>
      </c>
      <c r="C1802" s="118" t="s">
        <v>3075</v>
      </c>
      <c r="D1802" s="118">
        <v>17.73</v>
      </c>
      <c r="E1802" s="118">
        <v>-0.53</v>
      </c>
    </row>
    <row r="1803" spans="2:5" x14ac:dyDescent="0.2">
      <c r="B1803" s="125" t="s">
        <v>3076</v>
      </c>
      <c r="C1803" s="118" t="s">
        <v>3077</v>
      </c>
      <c r="D1803" s="118">
        <v>1.24</v>
      </c>
      <c r="E1803" s="118">
        <v>0.01</v>
      </c>
    </row>
    <row r="1804" spans="2:5" x14ac:dyDescent="0.2">
      <c r="B1804" s="125" t="s">
        <v>3079</v>
      </c>
      <c r="C1804" s="118" t="s">
        <v>3080</v>
      </c>
      <c r="D1804" s="118">
        <v>24.57</v>
      </c>
      <c r="E1804" s="118">
        <v>0.13</v>
      </c>
    </row>
    <row r="1805" spans="2:5" x14ac:dyDescent="0.2">
      <c r="B1805" s="125" t="s">
        <v>3081</v>
      </c>
      <c r="C1805" s="118" t="s">
        <v>3082</v>
      </c>
      <c r="D1805" s="118">
        <v>15.69</v>
      </c>
      <c r="E1805" s="118">
        <v>0.25</v>
      </c>
    </row>
    <row r="1806" spans="2:5" x14ac:dyDescent="0.2">
      <c r="B1806" s="125" t="s">
        <v>3083</v>
      </c>
      <c r="C1806" s="118" t="s">
        <v>3084</v>
      </c>
      <c r="D1806" s="118">
        <v>8.99</v>
      </c>
      <c r="E1806" s="118">
        <v>7.0000000000000007E-2</v>
      </c>
    </row>
    <row r="1807" spans="2:5" x14ac:dyDescent="0.2">
      <c r="B1807" s="125" t="s">
        <v>3085</v>
      </c>
      <c r="C1807" s="118" t="s">
        <v>3086</v>
      </c>
      <c r="D1807" s="118">
        <v>13.99</v>
      </c>
      <c r="E1807" s="118">
        <v>0.18</v>
      </c>
    </row>
    <row r="1808" spans="2:5" x14ac:dyDescent="0.2">
      <c r="B1808" s="125" t="s">
        <v>3087</v>
      </c>
      <c r="C1808" s="118" t="s">
        <v>3088</v>
      </c>
      <c r="D1808" s="118">
        <v>11.91</v>
      </c>
      <c r="E1808" s="118">
        <v>0.13</v>
      </c>
    </row>
    <row r="1809" spans="2:5" x14ac:dyDescent="0.2">
      <c r="B1809" s="125" t="s">
        <v>3089</v>
      </c>
      <c r="C1809" s="118" t="s">
        <v>3090</v>
      </c>
      <c r="D1809" s="118">
        <v>6.83</v>
      </c>
      <c r="E1809" s="118">
        <v>0.04</v>
      </c>
    </row>
    <row r="1810" spans="2:5" x14ac:dyDescent="0.2">
      <c r="B1810" s="125" t="s">
        <v>3091</v>
      </c>
      <c r="C1810" s="118" t="s">
        <v>3092</v>
      </c>
      <c r="D1810" s="118">
        <v>21.17</v>
      </c>
      <c r="E1810" s="118">
        <v>0.22</v>
      </c>
    </row>
    <row r="1811" spans="2:5" x14ac:dyDescent="0.2">
      <c r="B1811" s="125" t="s">
        <v>3093</v>
      </c>
      <c r="C1811" s="118" t="s">
        <v>3094</v>
      </c>
      <c r="D1811" s="118">
        <v>-6.15</v>
      </c>
      <c r="E1811" s="118">
        <v>0.02</v>
      </c>
    </row>
    <row r="1812" spans="2:5" x14ac:dyDescent="0.2">
      <c r="B1812" s="125" t="s">
        <v>3095</v>
      </c>
      <c r="C1812" s="118" t="s">
        <v>3096</v>
      </c>
      <c r="D1812" s="118">
        <v>14.5</v>
      </c>
      <c r="E1812" s="118">
        <v>-0.11</v>
      </c>
    </row>
    <row r="1813" spans="2:5" x14ac:dyDescent="0.2">
      <c r="B1813" s="125" t="s">
        <v>4335</v>
      </c>
      <c r="C1813" s="118" t="s">
        <v>4336</v>
      </c>
      <c r="D1813" s="118"/>
      <c r="E1813" s="118"/>
    </row>
    <row r="1814" spans="2:5" x14ac:dyDescent="0.2">
      <c r="B1814" s="125" t="s">
        <v>4337</v>
      </c>
      <c r="C1814" s="118" t="s">
        <v>4338</v>
      </c>
      <c r="D1814" s="118">
        <v>27.73</v>
      </c>
      <c r="E1814" s="118">
        <v>0.18</v>
      </c>
    </row>
    <row r="1815" spans="2:5" x14ac:dyDescent="0.2">
      <c r="B1815" s="125" t="s">
        <v>3097</v>
      </c>
      <c r="C1815" s="118" t="s">
        <v>3098</v>
      </c>
      <c r="D1815" s="118">
        <v>18.96</v>
      </c>
      <c r="E1815" s="118">
        <v>0.08</v>
      </c>
    </row>
    <row r="1816" spans="2:5" x14ac:dyDescent="0.2">
      <c r="B1816" s="125" t="s">
        <v>3099</v>
      </c>
      <c r="C1816" s="118" t="s">
        <v>3100</v>
      </c>
      <c r="D1816" s="118">
        <v>29.12</v>
      </c>
      <c r="E1816" s="118">
        <v>0.17</v>
      </c>
    </row>
    <row r="1817" spans="2:5" x14ac:dyDescent="0.2">
      <c r="B1817" s="125" t="s">
        <v>3101</v>
      </c>
      <c r="C1817" s="118" t="s">
        <v>3102</v>
      </c>
      <c r="D1817" s="118">
        <v>17.27</v>
      </c>
      <c r="E1817" s="118">
        <v>0.18</v>
      </c>
    </row>
    <row r="1818" spans="2:5" x14ac:dyDescent="0.2">
      <c r="B1818" s="125" t="s">
        <v>3103</v>
      </c>
      <c r="C1818" s="118" t="s">
        <v>3104</v>
      </c>
      <c r="D1818" s="118">
        <v>4.04</v>
      </c>
      <c r="E1818" s="118">
        <v>0.04</v>
      </c>
    </row>
    <row r="1819" spans="2:5" x14ac:dyDescent="0.2">
      <c r="B1819" s="125" t="s">
        <v>3105</v>
      </c>
      <c r="C1819" s="118" t="s">
        <v>3106</v>
      </c>
      <c r="D1819" s="118">
        <v>6.62</v>
      </c>
      <c r="E1819" s="118">
        <v>0.09</v>
      </c>
    </row>
    <row r="1820" spans="2:5" x14ac:dyDescent="0.2">
      <c r="B1820" s="125" t="s">
        <v>4339</v>
      </c>
      <c r="C1820" s="118" t="s">
        <v>4340</v>
      </c>
      <c r="D1820" s="118"/>
      <c r="E1820" s="118"/>
    </row>
    <row r="1821" spans="2:5" x14ac:dyDescent="0.2">
      <c r="B1821" s="125" t="s">
        <v>3107</v>
      </c>
      <c r="C1821" s="118" t="s">
        <v>3108</v>
      </c>
      <c r="D1821" s="118">
        <v>2.23</v>
      </c>
      <c r="E1821" s="118">
        <v>-0.01</v>
      </c>
    </row>
    <row r="1822" spans="2:5" x14ac:dyDescent="0.2">
      <c r="B1822" s="125" t="s">
        <v>3114</v>
      </c>
      <c r="C1822" s="118" t="s">
        <v>4341</v>
      </c>
      <c r="D1822" s="118"/>
      <c r="E1822" s="118">
        <v>-7.0000000000000007E-2</v>
      </c>
    </row>
    <row r="1823" spans="2:5" x14ac:dyDescent="0.2">
      <c r="B1823" s="125" t="s">
        <v>3109</v>
      </c>
      <c r="C1823" s="118" t="s">
        <v>3110</v>
      </c>
      <c r="D1823" s="118">
        <v>12.61</v>
      </c>
      <c r="E1823" s="118">
        <v>0.13</v>
      </c>
    </row>
    <row r="1824" spans="2:5" x14ac:dyDescent="0.2">
      <c r="B1824" s="125" t="s">
        <v>3112</v>
      </c>
      <c r="C1824" s="118" t="s">
        <v>3113</v>
      </c>
      <c r="D1824" s="118">
        <v>-0.56000000000000005</v>
      </c>
      <c r="E1824" s="118">
        <v>0</v>
      </c>
    </row>
    <row r="1825" spans="2:5" x14ac:dyDescent="0.2">
      <c r="B1825" s="125" t="s">
        <v>3114</v>
      </c>
      <c r="C1825" s="118" t="s">
        <v>3115</v>
      </c>
      <c r="D1825" s="118"/>
      <c r="E1825" s="118">
        <v>-7.0000000000000007E-2</v>
      </c>
    </row>
    <row r="1826" spans="2:5" x14ac:dyDescent="0.2">
      <c r="B1826" s="125" t="s">
        <v>4342</v>
      </c>
      <c r="C1826" s="118" t="s">
        <v>4343</v>
      </c>
      <c r="D1826" s="118">
        <v>5.08</v>
      </c>
      <c r="E1826" s="118">
        <v>0.05</v>
      </c>
    </row>
    <row r="1827" spans="2:5" x14ac:dyDescent="0.2">
      <c r="B1827" s="125" t="s">
        <v>4344</v>
      </c>
      <c r="C1827" s="118" t="s">
        <v>4345</v>
      </c>
      <c r="D1827" s="118"/>
      <c r="E1827" s="118"/>
    </row>
    <row r="1828" spans="2:5" x14ac:dyDescent="0.2">
      <c r="B1828" s="125" t="s">
        <v>3116</v>
      </c>
      <c r="C1828" s="118" t="s">
        <v>3117</v>
      </c>
      <c r="D1828" s="118">
        <v>7.47</v>
      </c>
      <c r="E1828" s="118">
        <v>0.08</v>
      </c>
    </row>
    <row r="1829" spans="2:5" x14ac:dyDescent="0.2">
      <c r="B1829" s="125" t="s">
        <v>3118</v>
      </c>
      <c r="C1829" s="118" t="s">
        <v>3119</v>
      </c>
      <c r="D1829" s="118">
        <v>6.99</v>
      </c>
      <c r="E1829" s="118">
        <v>0.05</v>
      </c>
    </row>
    <row r="1830" spans="2:5" x14ac:dyDescent="0.2">
      <c r="B1830" s="125" t="s">
        <v>3120</v>
      </c>
      <c r="C1830" s="118" t="s">
        <v>3121</v>
      </c>
      <c r="D1830" s="118">
        <v>-1.81</v>
      </c>
      <c r="E1830" s="118">
        <v>0</v>
      </c>
    </row>
    <row r="1831" spans="2:5" x14ac:dyDescent="0.2">
      <c r="B1831" s="125" t="s">
        <v>3122</v>
      </c>
      <c r="C1831" s="118" t="s">
        <v>3123</v>
      </c>
      <c r="D1831" s="118">
        <v>8.8000000000000007</v>
      </c>
      <c r="E1831" s="118">
        <v>0.1</v>
      </c>
    </row>
    <row r="1832" spans="2:5" x14ac:dyDescent="0.2">
      <c r="B1832" s="125" t="s">
        <v>3124</v>
      </c>
      <c r="C1832" s="118" t="s">
        <v>3125</v>
      </c>
      <c r="D1832" s="118">
        <v>5.59</v>
      </c>
      <c r="E1832" s="118">
        <v>0.05</v>
      </c>
    </row>
    <row r="1833" spans="2:5" x14ac:dyDescent="0.2">
      <c r="B1833" s="125" t="s">
        <v>3126</v>
      </c>
      <c r="C1833" s="118" t="s">
        <v>3127</v>
      </c>
      <c r="D1833" s="118">
        <v>9.61</v>
      </c>
      <c r="E1833" s="118">
        <v>0.08</v>
      </c>
    </row>
    <row r="1834" spans="2:5" x14ac:dyDescent="0.2">
      <c r="B1834" s="125" t="s">
        <v>4346</v>
      </c>
      <c r="C1834" s="118" t="s">
        <v>4347</v>
      </c>
      <c r="D1834" s="118"/>
      <c r="E1834" s="118">
        <v>0.14000000000000001</v>
      </c>
    </row>
    <row r="1835" spans="2:5" x14ac:dyDescent="0.2">
      <c r="B1835" s="125" t="s">
        <v>3128</v>
      </c>
      <c r="C1835" s="118" t="s">
        <v>3129</v>
      </c>
      <c r="D1835" s="118">
        <v>9.34</v>
      </c>
      <c r="E1835" s="118">
        <v>0.04</v>
      </c>
    </row>
    <row r="1836" spans="2:5" x14ac:dyDescent="0.2">
      <c r="B1836" s="125" t="s">
        <v>3130</v>
      </c>
      <c r="C1836" s="118" t="s">
        <v>3131</v>
      </c>
      <c r="D1836" s="118"/>
      <c r="E1836" s="118">
        <v>0.09</v>
      </c>
    </row>
    <row r="1837" spans="2:5" x14ac:dyDescent="0.2">
      <c r="B1837" s="125" t="s">
        <v>4348</v>
      </c>
      <c r="C1837" s="118" t="s">
        <v>4349</v>
      </c>
      <c r="D1837" s="118"/>
      <c r="E1837" s="118"/>
    </row>
    <row r="1838" spans="2:5" x14ac:dyDescent="0.2">
      <c r="B1838" s="125" t="s">
        <v>3132</v>
      </c>
      <c r="C1838" s="118" t="s">
        <v>3133</v>
      </c>
      <c r="D1838" s="118">
        <v>4.1399999999999997</v>
      </c>
      <c r="E1838" s="118">
        <v>0.04</v>
      </c>
    </row>
    <row r="1839" spans="2:5" x14ac:dyDescent="0.2">
      <c r="B1839" s="125" t="s">
        <v>3134</v>
      </c>
      <c r="C1839" s="118" t="s">
        <v>3135</v>
      </c>
      <c r="D1839" s="118">
        <v>6.28</v>
      </c>
      <c r="E1839" s="118">
        <v>0.06</v>
      </c>
    </row>
    <row r="1840" spans="2:5" x14ac:dyDescent="0.2">
      <c r="B1840" s="125" t="s">
        <v>3136</v>
      </c>
      <c r="C1840" s="118" t="s">
        <v>3137</v>
      </c>
      <c r="D1840" s="118"/>
      <c r="E1840" s="118">
        <v>0.1</v>
      </c>
    </row>
    <row r="1841" spans="2:5" x14ac:dyDescent="0.2">
      <c r="B1841" s="125" t="s">
        <v>3138</v>
      </c>
      <c r="C1841" s="118" t="s">
        <v>3139</v>
      </c>
      <c r="D1841" s="118">
        <v>17.510000000000002</v>
      </c>
      <c r="E1841" s="118">
        <v>0.18</v>
      </c>
    </row>
    <row r="1842" spans="2:5" x14ac:dyDescent="0.2">
      <c r="B1842" s="125" t="s">
        <v>4350</v>
      </c>
      <c r="C1842" s="118" t="s">
        <v>4351</v>
      </c>
      <c r="D1842" s="118"/>
      <c r="E1842" s="118"/>
    </row>
    <row r="1843" spans="2:5" x14ac:dyDescent="0.2">
      <c r="B1843" s="125" t="s">
        <v>3140</v>
      </c>
      <c r="C1843" s="118" t="s">
        <v>3141</v>
      </c>
      <c r="D1843" s="118">
        <v>19.07</v>
      </c>
      <c r="E1843" s="118">
        <v>0.12</v>
      </c>
    </row>
    <row r="1844" spans="2:5" x14ac:dyDescent="0.2">
      <c r="B1844" s="125" t="s">
        <v>3142</v>
      </c>
      <c r="C1844" s="118" t="s">
        <v>3143</v>
      </c>
      <c r="D1844" s="118">
        <v>8.01</v>
      </c>
      <c r="E1844" s="118">
        <v>7.0000000000000007E-2</v>
      </c>
    </row>
    <row r="1845" spans="2:5" x14ac:dyDescent="0.2">
      <c r="B1845" s="125" t="s">
        <v>4352</v>
      </c>
      <c r="C1845" s="118" t="s">
        <v>4353</v>
      </c>
      <c r="D1845" s="118"/>
      <c r="E1845" s="118"/>
    </row>
    <row r="1846" spans="2:5" x14ac:dyDescent="0.2">
      <c r="B1846" s="125" t="s">
        <v>3144</v>
      </c>
      <c r="C1846" s="118" t="s">
        <v>3145</v>
      </c>
      <c r="D1846" s="118">
        <v>-8.7899999999999991</v>
      </c>
      <c r="E1846" s="118">
        <v>-0.67</v>
      </c>
    </row>
    <row r="1847" spans="2:5" x14ac:dyDescent="0.2">
      <c r="B1847" s="125" t="s">
        <v>3146</v>
      </c>
      <c r="C1847" s="118" t="s">
        <v>3147</v>
      </c>
      <c r="D1847" s="118">
        <v>23.1</v>
      </c>
      <c r="E1847" s="118">
        <v>0.05</v>
      </c>
    </row>
    <row r="1848" spans="2:5" x14ac:dyDescent="0.2">
      <c r="B1848" s="125" t="s">
        <v>3148</v>
      </c>
      <c r="C1848" s="118" t="s">
        <v>3149</v>
      </c>
      <c r="D1848" s="118">
        <v>19.940000000000001</v>
      </c>
      <c r="E1848" s="118"/>
    </row>
    <row r="1849" spans="2:5" x14ac:dyDescent="0.2">
      <c r="B1849" s="125" t="s">
        <v>3150</v>
      </c>
      <c r="C1849" s="118" t="s">
        <v>3151</v>
      </c>
      <c r="D1849" s="118">
        <v>9.57</v>
      </c>
      <c r="E1849" s="118">
        <v>0.1</v>
      </c>
    </row>
    <row r="1850" spans="2:5" x14ac:dyDescent="0.2">
      <c r="B1850" s="125" t="s">
        <v>4354</v>
      </c>
      <c r="C1850" s="118" t="s">
        <v>4355</v>
      </c>
      <c r="D1850" s="118">
        <v>0.4</v>
      </c>
      <c r="E1850" s="118">
        <v>0.27</v>
      </c>
    </row>
    <row r="1851" spans="2:5" x14ac:dyDescent="0.2">
      <c r="B1851" s="125" t="s">
        <v>3152</v>
      </c>
      <c r="C1851" s="118" t="s">
        <v>3153</v>
      </c>
      <c r="D1851" s="118">
        <v>6.09</v>
      </c>
      <c r="E1851" s="118">
        <v>0.05</v>
      </c>
    </row>
    <row r="1852" spans="2:5" x14ac:dyDescent="0.2">
      <c r="B1852" s="125" t="s">
        <v>4356</v>
      </c>
      <c r="C1852" s="118" t="s">
        <v>4357</v>
      </c>
      <c r="D1852" s="118">
        <v>123.7</v>
      </c>
      <c r="E1852" s="118">
        <v>0.7</v>
      </c>
    </row>
    <row r="1853" spans="2:5" x14ac:dyDescent="0.2">
      <c r="B1853" s="125" t="s">
        <v>4358</v>
      </c>
      <c r="C1853" s="118" t="s">
        <v>4359</v>
      </c>
      <c r="D1853" s="118">
        <v>12.42</v>
      </c>
      <c r="E1853" s="118">
        <v>0.11</v>
      </c>
    </row>
    <row r="1854" spans="2:5" x14ac:dyDescent="0.2">
      <c r="B1854" s="125" t="s">
        <v>3154</v>
      </c>
      <c r="C1854" s="118" t="s">
        <v>3155</v>
      </c>
      <c r="D1854" s="118">
        <v>6.38</v>
      </c>
      <c r="E1854" s="118">
        <v>0.04</v>
      </c>
    </row>
    <row r="1855" spans="2:5" x14ac:dyDescent="0.2">
      <c r="B1855" s="125" t="s">
        <v>3156</v>
      </c>
      <c r="C1855" s="118" t="s">
        <v>3157</v>
      </c>
      <c r="D1855" s="118">
        <v>8.1300000000000008</v>
      </c>
      <c r="E1855" s="118">
        <v>0.13</v>
      </c>
    </row>
    <row r="1856" spans="2:5" x14ac:dyDescent="0.2">
      <c r="B1856" s="125" t="s">
        <v>3158</v>
      </c>
      <c r="C1856" s="118" t="s">
        <v>3159</v>
      </c>
      <c r="D1856" s="118">
        <v>18.510000000000002</v>
      </c>
      <c r="E1856" s="118">
        <v>0.2</v>
      </c>
    </row>
    <row r="1857" spans="2:5" x14ac:dyDescent="0.2">
      <c r="B1857" s="125" t="s">
        <v>3160</v>
      </c>
      <c r="C1857" s="118" t="s">
        <v>3161</v>
      </c>
      <c r="D1857" s="118">
        <v>-0.13</v>
      </c>
      <c r="E1857" s="118">
        <v>0</v>
      </c>
    </row>
    <row r="1858" spans="2:5" x14ac:dyDescent="0.2">
      <c r="B1858" s="125" t="s">
        <v>3162</v>
      </c>
      <c r="C1858" s="118" t="s">
        <v>3163</v>
      </c>
      <c r="D1858" s="118">
        <v>8.98</v>
      </c>
      <c r="E1858" s="118">
        <v>0.72</v>
      </c>
    </row>
    <row r="1859" spans="2:5" x14ac:dyDescent="0.2">
      <c r="B1859" s="125" t="s">
        <v>3164</v>
      </c>
      <c r="C1859" s="118" t="s">
        <v>3165</v>
      </c>
      <c r="D1859" s="118">
        <v>15.85</v>
      </c>
      <c r="E1859" s="118">
        <v>7.0000000000000007E-2</v>
      </c>
    </row>
    <row r="1860" spans="2:5" x14ac:dyDescent="0.2">
      <c r="B1860" s="125" t="s">
        <v>3166</v>
      </c>
      <c r="C1860" s="118" t="s">
        <v>3167</v>
      </c>
      <c r="D1860" s="118">
        <v>15.29</v>
      </c>
      <c r="E1860" s="118">
        <v>0.09</v>
      </c>
    </row>
    <row r="1861" spans="2:5" x14ac:dyDescent="0.2">
      <c r="B1861" s="125" t="s">
        <v>3168</v>
      </c>
      <c r="C1861" s="118" t="s">
        <v>3169</v>
      </c>
      <c r="D1861" s="118">
        <v>36.83</v>
      </c>
      <c r="E1861" s="118">
        <v>0.42</v>
      </c>
    </row>
    <row r="1862" spans="2:5" x14ac:dyDescent="0.2">
      <c r="B1862" s="125" t="s">
        <v>3170</v>
      </c>
      <c r="C1862" s="118" t="s">
        <v>3171</v>
      </c>
      <c r="D1862" s="118">
        <v>33.229999999999997</v>
      </c>
      <c r="E1862" s="118">
        <v>0.34</v>
      </c>
    </row>
    <row r="1863" spans="2:5" x14ac:dyDescent="0.2">
      <c r="B1863" s="125" t="s">
        <v>3172</v>
      </c>
      <c r="C1863" s="118" t="s">
        <v>3173</v>
      </c>
      <c r="D1863" s="118">
        <v>27.25</v>
      </c>
      <c r="E1863" s="118">
        <v>0.27</v>
      </c>
    </row>
    <row r="1864" spans="2:5" x14ac:dyDescent="0.2">
      <c r="B1864" s="125" t="s">
        <v>3174</v>
      </c>
      <c r="C1864" s="118" t="s">
        <v>3175</v>
      </c>
      <c r="D1864" s="118">
        <v>19.920000000000002</v>
      </c>
      <c r="E1864" s="118">
        <v>0.12</v>
      </c>
    </row>
    <row r="1865" spans="2:5" x14ac:dyDescent="0.2">
      <c r="B1865" s="125" t="s">
        <v>4360</v>
      </c>
      <c r="C1865" s="118" t="s">
        <v>4361</v>
      </c>
      <c r="D1865" s="118"/>
      <c r="E1865" s="118"/>
    </row>
    <row r="1866" spans="2:5" x14ac:dyDescent="0.2">
      <c r="B1866" s="125" t="s">
        <v>3176</v>
      </c>
      <c r="C1866" s="118" t="s">
        <v>3177</v>
      </c>
      <c r="D1866" s="118">
        <v>8.26</v>
      </c>
      <c r="E1866" s="118">
        <v>0.08</v>
      </c>
    </row>
    <row r="1867" spans="2:5" x14ac:dyDescent="0.2">
      <c r="B1867" s="125" t="s">
        <v>3178</v>
      </c>
      <c r="C1867" s="118" t="s">
        <v>3179</v>
      </c>
      <c r="D1867" s="118">
        <v>3.32</v>
      </c>
      <c r="E1867" s="118">
        <v>0.03</v>
      </c>
    </row>
    <row r="1868" spans="2:5" x14ac:dyDescent="0.2">
      <c r="B1868" s="125" t="s">
        <v>3181</v>
      </c>
      <c r="C1868" s="118" t="s">
        <v>3182</v>
      </c>
      <c r="D1868" s="118">
        <v>12.28</v>
      </c>
      <c r="E1868" s="118">
        <v>0.11</v>
      </c>
    </row>
    <row r="1869" spans="2:5" x14ac:dyDescent="0.2">
      <c r="B1869" s="125" t="s">
        <v>3184</v>
      </c>
      <c r="C1869" s="118" t="s">
        <v>3185</v>
      </c>
      <c r="D1869" s="118"/>
      <c r="E1869" s="118">
        <v>0.02</v>
      </c>
    </row>
    <row r="1870" spans="2:5" x14ac:dyDescent="0.2">
      <c r="B1870" s="125" t="s">
        <v>3186</v>
      </c>
      <c r="C1870" s="118" t="s">
        <v>3187</v>
      </c>
      <c r="D1870" s="118">
        <v>6.71</v>
      </c>
      <c r="E1870" s="118">
        <v>7.0000000000000007E-2</v>
      </c>
    </row>
    <row r="1871" spans="2:5" x14ac:dyDescent="0.2">
      <c r="B1871" s="125" t="s">
        <v>3188</v>
      </c>
      <c r="C1871" s="118" t="s">
        <v>3189</v>
      </c>
      <c r="D1871" s="118">
        <v>20.7</v>
      </c>
      <c r="E1871" s="118">
        <v>-0.05</v>
      </c>
    </row>
    <row r="1872" spans="2:5" x14ac:dyDescent="0.2">
      <c r="B1872" s="125" t="s">
        <v>4362</v>
      </c>
      <c r="C1872" s="118" t="s">
        <v>4363</v>
      </c>
      <c r="D1872" s="118"/>
      <c r="E1872" s="118"/>
    </row>
    <row r="1873" spans="2:5" x14ac:dyDescent="0.2">
      <c r="B1873" s="125" t="s">
        <v>3190</v>
      </c>
      <c r="C1873" s="118" t="s">
        <v>3191</v>
      </c>
      <c r="D1873" s="118">
        <v>0.68</v>
      </c>
      <c r="E1873" s="118">
        <v>-0.05</v>
      </c>
    </row>
    <row r="1874" spans="2:5" x14ac:dyDescent="0.2">
      <c r="B1874" s="125" t="s">
        <v>3192</v>
      </c>
      <c r="C1874" s="118" t="s">
        <v>3193</v>
      </c>
      <c r="D1874" s="118">
        <v>31.42</v>
      </c>
      <c r="E1874" s="118">
        <v>0.35</v>
      </c>
    </row>
    <row r="1875" spans="2:5" x14ac:dyDescent="0.2">
      <c r="B1875" s="125" t="s">
        <v>3195</v>
      </c>
      <c r="C1875" s="118" t="s">
        <v>3196</v>
      </c>
      <c r="D1875" s="118">
        <v>5.15</v>
      </c>
      <c r="E1875" s="118">
        <v>0.08</v>
      </c>
    </row>
    <row r="1876" spans="2:5" x14ac:dyDescent="0.2">
      <c r="B1876" s="125" t="s">
        <v>3197</v>
      </c>
      <c r="C1876" s="118" t="s">
        <v>3198</v>
      </c>
      <c r="D1876" s="118">
        <v>14.52</v>
      </c>
      <c r="E1876" s="118">
        <v>0.16</v>
      </c>
    </row>
    <row r="1877" spans="2:5" x14ac:dyDescent="0.2">
      <c r="B1877" s="125" t="s">
        <v>4364</v>
      </c>
      <c r="C1877" s="118" t="s">
        <v>4365</v>
      </c>
      <c r="D1877" s="118"/>
      <c r="E1877" s="118"/>
    </row>
    <row r="1878" spans="2:5" x14ac:dyDescent="0.2">
      <c r="B1878" s="125" t="s">
        <v>3199</v>
      </c>
      <c r="C1878" s="118" t="s">
        <v>3200</v>
      </c>
      <c r="D1878" s="118">
        <v>10.37</v>
      </c>
      <c r="E1878" s="118">
        <v>0.1</v>
      </c>
    </row>
    <row r="1879" spans="2:5" x14ac:dyDescent="0.2">
      <c r="B1879" s="125" t="s">
        <v>3201</v>
      </c>
      <c r="C1879" s="118" t="s">
        <v>3202</v>
      </c>
      <c r="D1879" s="118">
        <v>26.77</v>
      </c>
      <c r="E1879" s="118">
        <v>0.18</v>
      </c>
    </row>
    <row r="1880" spans="2:5" x14ac:dyDescent="0.2">
      <c r="B1880" s="125" t="s">
        <v>3203</v>
      </c>
      <c r="C1880" s="118" t="s">
        <v>3204</v>
      </c>
      <c r="D1880" s="118">
        <v>5.92</v>
      </c>
      <c r="E1880" s="118">
        <v>0.06</v>
      </c>
    </row>
    <row r="1881" spans="2:5" x14ac:dyDescent="0.2">
      <c r="B1881" s="125" t="s">
        <v>3205</v>
      </c>
      <c r="C1881" s="118" t="s">
        <v>3206</v>
      </c>
      <c r="D1881" s="118">
        <v>7.36</v>
      </c>
      <c r="E1881" s="118">
        <v>0.05</v>
      </c>
    </row>
    <row r="1882" spans="2:5" x14ac:dyDescent="0.2">
      <c r="B1882" s="125" t="s">
        <v>3207</v>
      </c>
      <c r="C1882" s="118" t="s">
        <v>3208</v>
      </c>
      <c r="D1882" s="118">
        <v>-0.57999999999999996</v>
      </c>
      <c r="E1882" s="118">
        <v>-0.1</v>
      </c>
    </row>
    <row r="1883" spans="2:5" x14ac:dyDescent="0.2">
      <c r="B1883" s="125" t="s">
        <v>4366</v>
      </c>
      <c r="C1883" s="118" t="s">
        <v>4367</v>
      </c>
      <c r="D1883" s="118"/>
      <c r="E1883" s="118">
        <v>0.08</v>
      </c>
    </row>
    <row r="1884" spans="2:5" x14ac:dyDescent="0.2">
      <c r="B1884" s="125" t="s">
        <v>3209</v>
      </c>
      <c r="C1884" s="118" t="s">
        <v>3210</v>
      </c>
      <c r="D1884" s="118">
        <v>23.23</v>
      </c>
      <c r="E1884" s="118">
        <v>0.13</v>
      </c>
    </row>
    <row r="1885" spans="2:5" x14ac:dyDescent="0.2">
      <c r="B1885" s="125" t="s">
        <v>3211</v>
      </c>
      <c r="C1885" s="118" t="s">
        <v>3212</v>
      </c>
      <c r="D1885" s="118">
        <v>11.76</v>
      </c>
      <c r="E1885" s="118">
        <v>0.11</v>
      </c>
    </row>
    <row r="1886" spans="2:5" x14ac:dyDescent="0.2">
      <c r="B1886" s="125" t="s">
        <v>4368</v>
      </c>
      <c r="C1886" s="118" t="s">
        <v>4369</v>
      </c>
      <c r="D1886" s="118">
        <v>3.43</v>
      </c>
      <c r="E1886" s="118">
        <v>0.04</v>
      </c>
    </row>
    <row r="1887" spans="2:5" x14ac:dyDescent="0.2">
      <c r="B1887" s="125" t="s">
        <v>3213</v>
      </c>
      <c r="C1887" s="118" t="s">
        <v>3214</v>
      </c>
      <c r="D1887" s="118">
        <v>2.54</v>
      </c>
      <c r="E1887" s="118">
        <v>0.06</v>
      </c>
    </row>
    <row r="1888" spans="2:5" x14ac:dyDescent="0.2">
      <c r="B1888" s="125" t="s">
        <v>3215</v>
      </c>
      <c r="C1888" s="118" t="s">
        <v>3216</v>
      </c>
      <c r="D1888" s="118"/>
      <c r="E1888" s="118"/>
    </row>
    <row r="1889" spans="2:5" x14ac:dyDescent="0.2">
      <c r="B1889" s="125" t="s">
        <v>4370</v>
      </c>
      <c r="C1889" s="118" t="s">
        <v>4371</v>
      </c>
      <c r="D1889" s="118"/>
      <c r="E1889" s="118"/>
    </row>
    <row r="1890" spans="2:5" x14ac:dyDescent="0.2">
      <c r="B1890" s="125" t="s">
        <v>3217</v>
      </c>
      <c r="C1890" s="118" t="s">
        <v>3218</v>
      </c>
      <c r="D1890" s="118">
        <v>2.73</v>
      </c>
      <c r="E1890" s="118">
        <v>-0.19</v>
      </c>
    </row>
    <row r="1891" spans="2:5" x14ac:dyDescent="0.2">
      <c r="B1891" s="125" t="s">
        <v>3219</v>
      </c>
      <c r="C1891" s="118" t="s">
        <v>3220</v>
      </c>
      <c r="D1891" s="118">
        <v>152.35</v>
      </c>
      <c r="E1891" s="118">
        <v>-0.05</v>
      </c>
    </row>
    <row r="1892" spans="2:5" x14ac:dyDescent="0.2">
      <c r="B1892" s="125" t="s">
        <v>4372</v>
      </c>
      <c r="C1892" s="118" t="s">
        <v>4373</v>
      </c>
      <c r="D1892" s="118"/>
      <c r="E1892" s="118"/>
    </row>
    <row r="1893" spans="2:5" x14ac:dyDescent="0.2">
      <c r="B1893" s="125" t="s">
        <v>3221</v>
      </c>
      <c r="C1893" s="118" t="s">
        <v>3222</v>
      </c>
      <c r="D1893" s="118">
        <v>24.77</v>
      </c>
      <c r="E1893" s="118">
        <v>0.4</v>
      </c>
    </row>
    <row r="1894" spans="2:5" x14ac:dyDescent="0.2">
      <c r="B1894" s="125" t="s">
        <v>3223</v>
      </c>
      <c r="C1894" s="118" t="s">
        <v>3224</v>
      </c>
      <c r="D1894" s="118">
        <v>11.17</v>
      </c>
      <c r="E1894" s="118">
        <v>0.13</v>
      </c>
    </row>
    <row r="1895" spans="2:5" x14ac:dyDescent="0.2">
      <c r="B1895" s="125" t="s">
        <v>3225</v>
      </c>
      <c r="C1895" s="118" t="s">
        <v>3226</v>
      </c>
      <c r="D1895" s="118">
        <v>34.29</v>
      </c>
      <c r="E1895" s="118">
        <v>0.35</v>
      </c>
    </row>
    <row r="1896" spans="2:5" x14ac:dyDescent="0.2">
      <c r="B1896" s="125" t="s">
        <v>3227</v>
      </c>
      <c r="C1896" s="118" t="s">
        <v>3228</v>
      </c>
      <c r="D1896" s="118">
        <v>5.99</v>
      </c>
      <c r="E1896" s="118">
        <v>0.06</v>
      </c>
    </row>
    <row r="1897" spans="2:5" x14ac:dyDescent="0.2">
      <c r="B1897" s="125" t="s">
        <v>3229</v>
      </c>
      <c r="C1897" s="118" t="s">
        <v>3230</v>
      </c>
      <c r="D1897" s="118">
        <v>6.23</v>
      </c>
      <c r="E1897" s="118">
        <v>0.09</v>
      </c>
    </row>
    <row r="1898" spans="2:5" x14ac:dyDescent="0.2">
      <c r="B1898" s="125" t="s">
        <v>4374</v>
      </c>
      <c r="C1898" s="118" t="s">
        <v>4375</v>
      </c>
      <c r="D1898" s="118"/>
      <c r="E1898" s="118">
        <v>0</v>
      </c>
    </row>
    <row r="1899" spans="2:5" x14ac:dyDescent="0.2">
      <c r="B1899" s="125" t="s">
        <v>3231</v>
      </c>
      <c r="C1899" s="118" t="s">
        <v>3232</v>
      </c>
      <c r="D1899" s="118">
        <v>19.88</v>
      </c>
      <c r="E1899" s="118">
        <v>0.16</v>
      </c>
    </row>
    <row r="1900" spans="2:5" x14ac:dyDescent="0.2">
      <c r="B1900" s="125" t="s">
        <v>3233</v>
      </c>
      <c r="C1900" s="118" t="s">
        <v>4376</v>
      </c>
      <c r="D1900" s="118">
        <v>3.05</v>
      </c>
      <c r="E1900" s="118">
        <v>-0.01</v>
      </c>
    </row>
    <row r="1901" spans="2:5" x14ac:dyDescent="0.2">
      <c r="B1901" s="125" t="s">
        <v>3233</v>
      </c>
      <c r="C1901" s="118" t="s">
        <v>3234</v>
      </c>
      <c r="D1901" s="118">
        <v>3.05</v>
      </c>
      <c r="E1901" s="118">
        <v>-0.01</v>
      </c>
    </row>
    <row r="1902" spans="2:5" x14ac:dyDescent="0.2">
      <c r="B1902" s="125" t="s">
        <v>3235</v>
      </c>
      <c r="C1902" s="118" t="s">
        <v>3236</v>
      </c>
      <c r="D1902" s="118">
        <v>6.83</v>
      </c>
      <c r="E1902" s="118">
        <v>0.05</v>
      </c>
    </row>
    <row r="1903" spans="2:5" x14ac:dyDescent="0.2">
      <c r="B1903" s="125" t="s">
        <v>4377</v>
      </c>
      <c r="C1903" s="118" t="s">
        <v>4378</v>
      </c>
      <c r="D1903" s="118"/>
      <c r="E1903" s="118">
        <v>0.09</v>
      </c>
    </row>
    <row r="1904" spans="2:5" x14ac:dyDescent="0.2">
      <c r="B1904" s="125" t="s">
        <v>3237</v>
      </c>
      <c r="C1904" s="118" t="s">
        <v>3238</v>
      </c>
      <c r="D1904" s="118">
        <v>17.23</v>
      </c>
      <c r="E1904" s="118">
        <v>0.11</v>
      </c>
    </row>
    <row r="1905" spans="2:5" x14ac:dyDescent="0.2">
      <c r="B1905" s="125" t="s">
        <v>4379</v>
      </c>
      <c r="C1905" s="118" t="s">
        <v>4380</v>
      </c>
      <c r="D1905" s="118"/>
      <c r="E1905" s="118"/>
    </row>
    <row r="1906" spans="2:5" x14ac:dyDescent="0.2">
      <c r="B1906" s="125" t="s">
        <v>3239</v>
      </c>
      <c r="C1906" s="118" t="s">
        <v>3240</v>
      </c>
      <c r="D1906" s="118">
        <v>35.869999999999997</v>
      </c>
      <c r="E1906" s="118">
        <v>0.3</v>
      </c>
    </row>
    <row r="1907" spans="2:5" x14ac:dyDescent="0.2">
      <c r="B1907" s="125" t="s">
        <v>4381</v>
      </c>
      <c r="C1907" s="118" t="s">
        <v>4382</v>
      </c>
      <c r="D1907" s="118"/>
      <c r="E1907" s="118"/>
    </row>
    <row r="1908" spans="2:5" x14ac:dyDescent="0.2">
      <c r="B1908" s="125" t="s">
        <v>3241</v>
      </c>
      <c r="C1908" s="118" t="s">
        <v>3242</v>
      </c>
      <c r="D1908" s="118"/>
      <c r="E1908" s="118"/>
    </row>
    <row r="1909" spans="2:5" x14ac:dyDescent="0.2">
      <c r="B1909" s="125" t="s">
        <v>3243</v>
      </c>
      <c r="C1909" s="118" t="s">
        <v>3244</v>
      </c>
      <c r="D1909" s="118">
        <v>14.6</v>
      </c>
      <c r="E1909" s="118">
        <v>0.19</v>
      </c>
    </row>
    <row r="1910" spans="2:5" x14ac:dyDescent="0.2">
      <c r="B1910" s="125" t="s">
        <v>3245</v>
      </c>
      <c r="C1910" s="118" t="s">
        <v>3246</v>
      </c>
      <c r="D1910" s="118">
        <v>5.9</v>
      </c>
      <c r="E1910" s="118">
        <v>0.09</v>
      </c>
    </row>
    <row r="1911" spans="2:5" x14ac:dyDescent="0.2">
      <c r="B1911" s="125" t="s">
        <v>3247</v>
      </c>
      <c r="C1911" s="118" t="s">
        <v>3248</v>
      </c>
      <c r="D1911" s="118">
        <v>1.32</v>
      </c>
      <c r="E1911" s="118">
        <v>0.01</v>
      </c>
    </row>
    <row r="1912" spans="2:5" x14ac:dyDescent="0.2">
      <c r="B1912" s="125" t="s">
        <v>3249</v>
      </c>
      <c r="C1912" s="118" t="s">
        <v>3250</v>
      </c>
      <c r="D1912" s="118">
        <v>9.81</v>
      </c>
      <c r="E1912" s="118">
        <v>0.1</v>
      </c>
    </row>
    <row r="1913" spans="2:5" x14ac:dyDescent="0.2">
      <c r="B1913" s="125" t="s">
        <v>3251</v>
      </c>
      <c r="C1913" s="118" t="s">
        <v>3252</v>
      </c>
      <c r="D1913" s="118">
        <v>8.1300000000000008</v>
      </c>
      <c r="E1913" s="118">
        <v>7.0000000000000007E-2</v>
      </c>
    </row>
    <row r="1914" spans="2:5" x14ac:dyDescent="0.2">
      <c r="B1914" s="125" t="s">
        <v>3253</v>
      </c>
      <c r="C1914" s="118" t="s">
        <v>3254</v>
      </c>
      <c r="D1914" s="118">
        <v>30.46</v>
      </c>
      <c r="E1914" s="118">
        <v>0.28000000000000003</v>
      </c>
    </row>
    <row r="1915" spans="2:5" x14ac:dyDescent="0.2">
      <c r="B1915" s="125" t="s">
        <v>3255</v>
      </c>
      <c r="C1915" s="118" t="s">
        <v>3256</v>
      </c>
      <c r="D1915" s="118"/>
      <c r="E1915" s="118">
        <v>0.19</v>
      </c>
    </row>
    <row r="1916" spans="2:5" x14ac:dyDescent="0.2">
      <c r="B1916" s="125" t="s">
        <v>3257</v>
      </c>
      <c r="C1916" s="118" t="s">
        <v>3258</v>
      </c>
      <c r="D1916" s="118">
        <v>9.7100000000000009</v>
      </c>
      <c r="E1916" s="118">
        <v>0.1</v>
      </c>
    </row>
    <row r="1917" spans="2:5" x14ac:dyDescent="0.2">
      <c r="B1917" s="125" t="s">
        <v>3259</v>
      </c>
      <c r="C1917" s="118" t="s">
        <v>3260</v>
      </c>
      <c r="D1917" s="118">
        <v>19.14</v>
      </c>
      <c r="E1917" s="118">
        <v>0.17</v>
      </c>
    </row>
    <row r="1918" spans="2:5" x14ac:dyDescent="0.2">
      <c r="B1918" s="125" t="s">
        <v>4383</v>
      </c>
      <c r="C1918" s="118" t="s">
        <v>4384</v>
      </c>
      <c r="D1918" s="118">
        <v>2.04</v>
      </c>
      <c r="E1918" s="118">
        <v>0.05</v>
      </c>
    </row>
    <row r="1919" spans="2:5" x14ac:dyDescent="0.2">
      <c r="B1919" s="125" t="s">
        <v>3261</v>
      </c>
      <c r="C1919" s="118" t="s">
        <v>3262</v>
      </c>
      <c r="D1919" s="118">
        <v>28.56</v>
      </c>
      <c r="E1919" s="118">
        <v>0.23</v>
      </c>
    </row>
    <row r="1920" spans="2:5" x14ac:dyDescent="0.2">
      <c r="B1920" s="125" t="s">
        <v>3263</v>
      </c>
      <c r="C1920" s="118" t="s">
        <v>3264</v>
      </c>
      <c r="D1920" s="118"/>
      <c r="E1920" s="118">
        <v>0.19</v>
      </c>
    </row>
    <row r="1921" spans="2:5" x14ac:dyDescent="0.2">
      <c r="B1921" s="125" t="s">
        <v>3265</v>
      </c>
      <c r="C1921" s="118" t="s">
        <v>3266</v>
      </c>
      <c r="D1921" s="118"/>
      <c r="E1921" s="118"/>
    </row>
    <row r="1922" spans="2:5" x14ac:dyDescent="0.2">
      <c r="B1922" s="125" t="s">
        <v>3267</v>
      </c>
      <c r="C1922" s="118" t="s">
        <v>3268</v>
      </c>
      <c r="D1922" s="118">
        <v>8.49</v>
      </c>
      <c r="E1922" s="118"/>
    </row>
    <row r="1923" spans="2:5" x14ac:dyDescent="0.2">
      <c r="B1923" s="125" t="s">
        <v>3269</v>
      </c>
      <c r="C1923" s="118" t="s">
        <v>3270</v>
      </c>
      <c r="D1923" s="118">
        <v>5.8</v>
      </c>
      <c r="E1923" s="118">
        <v>0.05</v>
      </c>
    </row>
    <row r="1924" spans="2:5" x14ac:dyDescent="0.2">
      <c r="B1924" s="125" t="s">
        <v>4385</v>
      </c>
      <c r="C1924" s="118" t="s">
        <v>4386</v>
      </c>
      <c r="D1924" s="118"/>
      <c r="E1924" s="118"/>
    </row>
    <row r="1925" spans="2:5" x14ac:dyDescent="0.2">
      <c r="B1925" s="125" t="s">
        <v>3271</v>
      </c>
      <c r="C1925" s="118" t="s">
        <v>3272</v>
      </c>
      <c r="D1925" s="118">
        <v>9.6999999999999993</v>
      </c>
      <c r="E1925" s="118">
        <v>0.05</v>
      </c>
    </row>
    <row r="1926" spans="2:5" x14ac:dyDescent="0.2">
      <c r="B1926" s="125" t="s">
        <v>3273</v>
      </c>
      <c r="C1926" s="118" t="s">
        <v>3274</v>
      </c>
      <c r="D1926" s="118">
        <v>26.95</v>
      </c>
      <c r="E1926" s="118">
        <v>0.26</v>
      </c>
    </row>
    <row r="1927" spans="2:5" x14ac:dyDescent="0.2">
      <c r="B1927" s="125" t="s">
        <v>3275</v>
      </c>
      <c r="C1927" s="118" t="s">
        <v>3276</v>
      </c>
      <c r="D1927" s="118">
        <v>2.54</v>
      </c>
      <c r="E1927" s="118">
        <v>0.02</v>
      </c>
    </row>
    <row r="1928" spans="2:5" x14ac:dyDescent="0.2">
      <c r="B1928" s="125" t="s">
        <v>3277</v>
      </c>
      <c r="C1928" s="118" t="s">
        <v>3278</v>
      </c>
      <c r="D1928" s="118"/>
      <c r="E1928" s="118"/>
    </row>
    <row r="1929" spans="2:5" x14ac:dyDescent="0.2">
      <c r="B1929" s="125" t="s">
        <v>3279</v>
      </c>
      <c r="C1929" s="118" t="s">
        <v>3280</v>
      </c>
      <c r="D1929" s="118">
        <v>8.52</v>
      </c>
      <c r="E1929" s="118">
        <v>7.0000000000000007E-2</v>
      </c>
    </row>
    <row r="1930" spans="2:5" x14ac:dyDescent="0.2">
      <c r="B1930" s="125" t="s">
        <v>3281</v>
      </c>
      <c r="C1930" s="118" t="s">
        <v>3282</v>
      </c>
      <c r="D1930" s="118">
        <v>16.149999999999999</v>
      </c>
      <c r="E1930" s="118">
        <v>0.14000000000000001</v>
      </c>
    </row>
    <row r="1931" spans="2:5" x14ac:dyDescent="0.2">
      <c r="B1931" s="125" t="s">
        <v>3283</v>
      </c>
      <c r="C1931" s="118" t="s">
        <v>3284</v>
      </c>
      <c r="D1931" s="118">
        <v>31.32</v>
      </c>
      <c r="E1931" s="118">
        <v>0.28000000000000003</v>
      </c>
    </row>
    <row r="1932" spans="2:5" x14ac:dyDescent="0.2">
      <c r="B1932" s="125" t="s">
        <v>3285</v>
      </c>
      <c r="C1932" s="118" t="s">
        <v>3286</v>
      </c>
      <c r="D1932" s="118">
        <v>1.88</v>
      </c>
      <c r="E1932" s="118">
        <v>0.02</v>
      </c>
    </row>
    <row r="1933" spans="2:5" x14ac:dyDescent="0.2">
      <c r="B1933" s="125" t="s">
        <v>3287</v>
      </c>
      <c r="C1933" s="118" t="s">
        <v>3288</v>
      </c>
      <c r="D1933" s="118">
        <v>3.56</v>
      </c>
      <c r="E1933" s="118">
        <v>0.04</v>
      </c>
    </row>
    <row r="1934" spans="2:5" x14ac:dyDescent="0.2">
      <c r="B1934" s="125" t="s">
        <v>3289</v>
      </c>
      <c r="C1934" s="118" t="s">
        <v>3290</v>
      </c>
      <c r="D1934" s="118"/>
      <c r="E1934" s="118"/>
    </row>
    <row r="1935" spans="2:5" x14ac:dyDescent="0.2">
      <c r="B1935" s="125" t="s">
        <v>3291</v>
      </c>
      <c r="C1935" s="118" t="s">
        <v>3292</v>
      </c>
      <c r="D1935" s="118">
        <v>41.8</v>
      </c>
      <c r="E1935" s="118">
        <v>0.36</v>
      </c>
    </row>
    <row r="1936" spans="2:5" x14ac:dyDescent="0.2">
      <c r="B1936" s="125" t="s">
        <v>3293</v>
      </c>
      <c r="C1936" s="118" t="s">
        <v>3294</v>
      </c>
      <c r="D1936" s="118">
        <v>9.25</v>
      </c>
      <c r="E1936" s="118">
        <v>0.08</v>
      </c>
    </row>
    <row r="1937" spans="2:5" x14ac:dyDescent="0.2">
      <c r="B1937" s="125" t="s">
        <v>4387</v>
      </c>
      <c r="C1937" s="118" t="s">
        <v>4388</v>
      </c>
      <c r="D1937" s="118"/>
      <c r="E1937" s="118"/>
    </row>
    <row r="1938" spans="2:5" x14ac:dyDescent="0.2">
      <c r="B1938" s="125" t="s">
        <v>3295</v>
      </c>
      <c r="C1938" s="118" t="s">
        <v>3296</v>
      </c>
      <c r="D1938" s="118">
        <v>53.21</v>
      </c>
      <c r="E1938" s="118">
        <v>0.5</v>
      </c>
    </row>
    <row r="1939" spans="2:5" x14ac:dyDescent="0.2">
      <c r="B1939" s="125" t="s">
        <v>3297</v>
      </c>
      <c r="C1939" s="118" t="s">
        <v>3298</v>
      </c>
      <c r="D1939" s="118">
        <v>7.02</v>
      </c>
      <c r="E1939" s="118">
        <v>0.02</v>
      </c>
    </row>
    <row r="1940" spans="2:5" x14ac:dyDescent="0.2">
      <c r="B1940" s="125" t="s">
        <v>3299</v>
      </c>
      <c r="C1940" s="118" t="s">
        <v>3300</v>
      </c>
      <c r="D1940" s="118">
        <v>24.71</v>
      </c>
      <c r="E1940" s="118">
        <v>0.19</v>
      </c>
    </row>
    <row r="1941" spans="2:5" x14ac:dyDescent="0.2">
      <c r="B1941" s="125" t="s">
        <v>3301</v>
      </c>
      <c r="C1941" s="118" t="s">
        <v>3302</v>
      </c>
      <c r="D1941" s="118">
        <v>13.39</v>
      </c>
      <c r="E1941" s="118">
        <v>0.05</v>
      </c>
    </row>
    <row r="1942" spans="2:5" x14ac:dyDescent="0.2">
      <c r="B1942" s="125" t="s">
        <v>4389</v>
      </c>
      <c r="C1942" s="118" t="s">
        <v>4390</v>
      </c>
      <c r="D1942" s="118"/>
      <c r="E1942" s="118">
        <v>7.0000000000000007E-2</v>
      </c>
    </row>
    <row r="1943" spans="2:5" x14ac:dyDescent="0.2">
      <c r="B1943" s="125" t="s">
        <v>4391</v>
      </c>
      <c r="C1943" s="118" t="s">
        <v>4392</v>
      </c>
      <c r="D1943" s="118">
        <v>7.61</v>
      </c>
      <c r="E1943" s="118">
        <v>0.06</v>
      </c>
    </row>
    <row r="1944" spans="2:5" x14ac:dyDescent="0.2">
      <c r="B1944" s="125" t="s">
        <v>3303</v>
      </c>
      <c r="C1944" s="118" t="s">
        <v>3304</v>
      </c>
      <c r="D1944" s="118">
        <v>31.79</v>
      </c>
      <c r="E1944" s="118">
        <v>0.27</v>
      </c>
    </row>
    <row r="1945" spans="2:5" x14ac:dyDescent="0.2">
      <c r="B1945" s="125" t="s">
        <v>3305</v>
      </c>
      <c r="C1945" s="118" t="s">
        <v>3306</v>
      </c>
      <c r="D1945" s="118"/>
      <c r="E1945" s="118"/>
    </row>
    <row r="1946" spans="2:5" x14ac:dyDescent="0.2">
      <c r="B1946" s="125" t="s">
        <v>3307</v>
      </c>
      <c r="C1946" s="118" t="s">
        <v>3308</v>
      </c>
      <c r="D1946" s="118">
        <v>-5.25</v>
      </c>
      <c r="E1946" s="118">
        <v>0.06</v>
      </c>
    </row>
    <row r="1947" spans="2:5" x14ac:dyDescent="0.2">
      <c r="B1947" s="125" t="s">
        <v>3309</v>
      </c>
      <c r="C1947" s="118" t="s">
        <v>3310</v>
      </c>
      <c r="D1947" s="118">
        <v>25.19</v>
      </c>
      <c r="E1947" s="118">
        <v>-7.0000000000000007E-2</v>
      </c>
    </row>
    <row r="1948" spans="2:5" x14ac:dyDescent="0.2">
      <c r="B1948" s="125" t="s">
        <v>3311</v>
      </c>
      <c r="C1948" s="118" t="s">
        <v>3312</v>
      </c>
      <c r="D1948" s="118">
        <v>10.96</v>
      </c>
      <c r="E1948" s="118">
        <v>0.09</v>
      </c>
    </row>
    <row r="1949" spans="2:5" x14ac:dyDescent="0.2">
      <c r="B1949" s="125" t="s">
        <v>4393</v>
      </c>
      <c r="C1949" s="118" t="s">
        <v>4394</v>
      </c>
      <c r="D1949" s="118"/>
      <c r="E1949" s="118"/>
    </row>
    <row r="1950" spans="2:5" x14ac:dyDescent="0.2">
      <c r="B1950" s="125" t="s">
        <v>3315</v>
      </c>
      <c r="C1950" s="118" t="s">
        <v>4395</v>
      </c>
      <c r="D1950" s="118">
        <v>13.34</v>
      </c>
      <c r="E1950" s="118">
        <v>0.13</v>
      </c>
    </row>
    <row r="1951" spans="2:5" x14ac:dyDescent="0.2">
      <c r="B1951" s="125" t="s">
        <v>4396</v>
      </c>
      <c r="C1951" s="118" t="s">
        <v>4397</v>
      </c>
      <c r="D1951" s="118"/>
      <c r="E1951" s="118"/>
    </row>
    <row r="1952" spans="2:5" x14ac:dyDescent="0.2">
      <c r="B1952" s="125" t="s">
        <v>3315</v>
      </c>
      <c r="C1952" s="118" t="s">
        <v>3316</v>
      </c>
      <c r="D1952" s="118">
        <v>13.34</v>
      </c>
      <c r="E1952" s="118">
        <v>0.13</v>
      </c>
    </row>
    <row r="1953" spans="2:5" x14ac:dyDescent="0.2">
      <c r="B1953" s="125" t="s">
        <v>3317</v>
      </c>
      <c r="C1953" s="118" t="s">
        <v>3318</v>
      </c>
      <c r="D1953" s="118">
        <v>13.82</v>
      </c>
      <c r="E1953" s="118">
        <v>0</v>
      </c>
    </row>
    <row r="1954" spans="2:5" x14ac:dyDescent="0.2">
      <c r="B1954" s="125" t="s">
        <v>3319</v>
      </c>
      <c r="C1954" s="118" t="s">
        <v>3320</v>
      </c>
      <c r="D1954" s="118">
        <v>64.39</v>
      </c>
      <c r="E1954" s="118">
        <v>0.57999999999999996</v>
      </c>
    </row>
    <row r="1955" spans="2:5" x14ac:dyDescent="0.2">
      <c r="B1955" s="125" t="s">
        <v>3321</v>
      </c>
      <c r="C1955" s="118" t="s">
        <v>3322</v>
      </c>
      <c r="D1955" s="118">
        <v>3.74</v>
      </c>
      <c r="E1955" s="118">
        <v>0.03</v>
      </c>
    </row>
    <row r="1956" spans="2:5" x14ac:dyDescent="0.2">
      <c r="B1956" s="125" t="s">
        <v>3323</v>
      </c>
      <c r="C1956" s="118" t="s">
        <v>3324</v>
      </c>
      <c r="D1956" s="118">
        <v>27.2</v>
      </c>
      <c r="E1956" s="118">
        <v>0.15</v>
      </c>
    </row>
    <row r="1957" spans="2:5" x14ac:dyDescent="0.2">
      <c r="B1957" s="125" t="s">
        <v>3325</v>
      </c>
      <c r="C1957" s="118" t="s">
        <v>3326</v>
      </c>
      <c r="D1957" s="118">
        <v>16.91</v>
      </c>
      <c r="E1957" s="118">
        <v>0.21</v>
      </c>
    </row>
    <row r="1958" spans="2:5" x14ac:dyDescent="0.2">
      <c r="B1958" s="125" t="s">
        <v>3327</v>
      </c>
      <c r="C1958" s="118" t="s">
        <v>3328</v>
      </c>
      <c r="D1958" s="118"/>
      <c r="E1958" s="118">
        <v>0.01</v>
      </c>
    </row>
    <row r="1959" spans="2:5" x14ac:dyDescent="0.2">
      <c r="B1959" s="125" t="s">
        <v>3329</v>
      </c>
      <c r="C1959" s="118" t="s">
        <v>3330</v>
      </c>
      <c r="D1959" s="118"/>
      <c r="E1959" s="118">
        <v>0.03</v>
      </c>
    </row>
    <row r="1960" spans="2:5" x14ac:dyDescent="0.2">
      <c r="B1960" s="125" t="s">
        <v>3331</v>
      </c>
      <c r="C1960" s="118" t="s">
        <v>3332</v>
      </c>
      <c r="D1960" s="118">
        <v>2.2400000000000002</v>
      </c>
      <c r="E1960" s="118">
        <v>0.03</v>
      </c>
    </row>
    <row r="1961" spans="2:5" x14ac:dyDescent="0.2">
      <c r="B1961" s="125" t="s">
        <v>3333</v>
      </c>
      <c r="C1961" s="118" t="s">
        <v>3334</v>
      </c>
      <c r="D1961" s="118">
        <v>3.91</v>
      </c>
      <c r="E1961" s="118"/>
    </row>
    <row r="1962" spans="2:5" x14ac:dyDescent="0.2">
      <c r="B1962" s="125" t="s">
        <v>3336</v>
      </c>
      <c r="C1962" s="118" t="s">
        <v>3337</v>
      </c>
      <c r="D1962" s="118">
        <v>8.74</v>
      </c>
      <c r="E1962" s="118">
        <v>0.06</v>
      </c>
    </row>
    <row r="1963" spans="2:5" x14ac:dyDescent="0.2">
      <c r="B1963" s="125" t="s">
        <v>3338</v>
      </c>
      <c r="C1963" s="118" t="s">
        <v>3339</v>
      </c>
      <c r="D1963" s="118">
        <v>27.81</v>
      </c>
      <c r="E1963" s="118">
        <v>0.2</v>
      </c>
    </row>
    <row r="1964" spans="2:5" x14ac:dyDescent="0.2">
      <c r="B1964" s="125" t="s">
        <v>3340</v>
      </c>
      <c r="C1964" s="118" t="s">
        <v>3341</v>
      </c>
      <c r="D1964" s="118">
        <v>12.45</v>
      </c>
      <c r="E1964" s="118">
        <v>0.12</v>
      </c>
    </row>
    <row r="1965" spans="2:5" x14ac:dyDescent="0.2">
      <c r="B1965" s="125" t="s">
        <v>3344</v>
      </c>
      <c r="C1965" s="118" t="s">
        <v>3345</v>
      </c>
      <c r="D1965" s="118">
        <v>28.31</v>
      </c>
      <c r="E1965" s="118">
        <v>0.27</v>
      </c>
    </row>
    <row r="1966" spans="2:5" x14ac:dyDescent="0.2">
      <c r="B1966" s="125" t="s">
        <v>3346</v>
      </c>
      <c r="C1966" s="118" t="s">
        <v>3347</v>
      </c>
      <c r="D1966" s="118">
        <v>19.62</v>
      </c>
      <c r="E1966" s="118">
        <v>0.21</v>
      </c>
    </row>
    <row r="1967" spans="2:5" x14ac:dyDescent="0.2">
      <c r="B1967" s="125" t="s">
        <v>3348</v>
      </c>
      <c r="C1967" s="118" t="s">
        <v>3349</v>
      </c>
      <c r="D1967" s="118">
        <v>3.08</v>
      </c>
      <c r="E1967" s="118">
        <v>0.5</v>
      </c>
    </row>
    <row r="1968" spans="2:5" x14ac:dyDescent="0.2">
      <c r="B1968" s="125" t="s">
        <v>4398</v>
      </c>
      <c r="C1968" s="118" t="s">
        <v>4399</v>
      </c>
      <c r="D1968" s="118"/>
      <c r="E1968" s="118"/>
    </row>
    <row r="1969" spans="2:5" x14ac:dyDescent="0.2">
      <c r="B1969" s="125" t="s">
        <v>3350</v>
      </c>
      <c r="C1969" s="118" t="s">
        <v>3351</v>
      </c>
      <c r="D1969" s="118"/>
      <c r="E1969" s="118">
        <v>-0.19</v>
      </c>
    </row>
    <row r="1970" spans="2:5" x14ac:dyDescent="0.2">
      <c r="B1970" s="125" t="s">
        <v>4400</v>
      </c>
      <c r="C1970" s="118" t="s">
        <v>4401</v>
      </c>
      <c r="D1970" s="118"/>
      <c r="E1970" s="118"/>
    </row>
    <row r="1971" spans="2:5" x14ac:dyDescent="0.2">
      <c r="B1971" s="125" t="s">
        <v>3352</v>
      </c>
      <c r="C1971" s="118" t="s">
        <v>3353</v>
      </c>
      <c r="D1971" s="118"/>
      <c r="E1971" s="118">
        <v>0.2</v>
      </c>
    </row>
    <row r="1972" spans="2:5" x14ac:dyDescent="0.2">
      <c r="B1972" s="125" t="s">
        <v>3354</v>
      </c>
      <c r="C1972" s="118" t="s">
        <v>3355</v>
      </c>
      <c r="D1972" s="118">
        <v>9.1300000000000008</v>
      </c>
      <c r="E1972" s="118">
        <v>0.1</v>
      </c>
    </row>
    <row r="1973" spans="2:5" x14ac:dyDescent="0.2">
      <c r="B1973" s="125" t="s">
        <v>3356</v>
      </c>
      <c r="C1973" s="118" t="s">
        <v>3357</v>
      </c>
      <c r="D1973" s="118">
        <v>17.89</v>
      </c>
      <c r="E1973" s="118">
        <v>0.05</v>
      </c>
    </row>
    <row r="1974" spans="2:5" x14ac:dyDescent="0.2">
      <c r="B1974" s="125" t="s">
        <v>3358</v>
      </c>
      <c r="C1974" s="118" t="s">
        <v>3359</v>
      </c>
      <c r="D1974" s="118">
        <v>28.51</v>
      </c>
      <c r="E1974" s="118">
        <v>0.25</v>
      </c>
    </row>
    <row r="1975" spans="2:5" x14ac:dyDescent="0.2">
      <c r="B1975" s="125" t="s">
        <v>3360</v>
      </c>
      <c r="C1975" s="118" t="s">
        <v>3361</v>
      </c>
      <c r="D1975" s="118">
        <v>53.72</v>
      </c>
      <c r="E1975" s="118">
        <v>0.48</v>
      </c>
    </row>
    <row r="1976" spans="2:5" x14ac:dyDescent="0.2">
      <c r="B1976" s="125" t="s">
        <v>3362</v>
      </c>
      <c r="C1976" s="118" t="s">
        <v>3363</v>
      </c>
      <c r="D1976" s="118">
        <v>35.950000000000003</v>
      </c>
      <c r="E1976" s="118">
        <v>0.69</v>
      </c>
    </row>
    <row r="1977" spans="2:5" x14ac:dyDescent="0.2">
      <c r="B1977" s="125" t="s">
        <v>3364</v>
      </c>
      <c r="C1977" s="118" t="s">
        <v>3365</v>
      </c>
      <c r="D1977" s="118">
        <v>1.1399999999999999</v>
      </c>
      <c r="E1977" s="118">
        <v>-0.03</v>
      </c>
    </row>
    <row r="1978" spans="2:5" x14ac:dyDescent="0.2">
      <c r="B1978" s="125" t="s">
        <v>3366</v>
      </c>
      <c r="C1978" s="118" t="s">
        <v>3367</v>
      </c>
      <c r="D1978" s="118">
        <v>18.43</v>
      </c>
      <c r="E1978" s="118">
        <v>0.14000000000000001</v>
      </c>
    </row>
    <row r="1979" spans="2:5" x14ac:dyDescent="0.2">
      <c r="B1979" s="125" t="s">
        <v>3368</v>
      </c>
      <c r="C1979" s="118" t="s">
        <v>3369</v>
      </c>
      <c r="D1979" s="118">
        <v>5.2</v>
      </c>
      <c r="E1979" s="118">
        <v>-0.01</v>
      </c>
    </row>
    <row r="1980" spans="2:5" x14ac:dyDescent="0.2">
      <c r="B1980" s="125" t="s">
        <v>4402</v>
      </c>
      <c r="C1980" s="118" t="s">
        <v>4403</v>
      </c>
      <c r="D1980" s="118"/>
      <c r="E1980" s="118"/>
    </row>
    <row r="1981" spans="2:5" x14ac:dyDescent="0.2">
      <c r="B1981" s="125" t="s">
        <v>3370</v>
      </c>
      <c r="C1981" s="118" t="s">
        <v>3371</v>
      </c>
      <c r="D1981" s="118">
        <v>13.34</v>
      </c>
      <c r="E1981" s="118">
        <v>0.11</v>
      </c>
    </row>
    <row r="1982" spans="2:5" x14ac:dyDescent="0.2">
      <c r="B1982" s="125" t="s">
        <v>3372</v>
      </c>
      <c r="C1982" s="118" t="s">
        <v>3373</v>
      </c>
      <c r="D1982" s="118">
        <v>10.74</v>
      </c>
      <c r="E1982" s="118">
        <v>7.0000000000000007E-2</v>
      </c>
    </row>
    <row r="1983" spans="2:5" x14ac:dyDescent="0.2">
      <c r="B1983" s="125" t="s">
        <v>3374</v>
      </c>
      <c r="C1983" s="118" t="s">
        <v>3375</v>
      </c>
      <c r="D1983" s="118">
        <v>4.8499999999999996</v>
      </c>
      <c r="E1983" s="118">
        <v>0.05</v>
      </c>
    </row>
    <row r="1984" spans="2:5" x14ac:dyDescent="0.2">
      <c r="B1984" s="125" t="s">
        <v>4404</v>
      </c>
      <c r="C1984" s="118" t="s">
        <v>4405</v>
      </c>
      <c r="D1984" s="118">
        <v>5.13</v>
      </c>
      <c r="E1984" s="118">
        <v>7.0000000000000007E-2</v>
      </c>
    </row>
    <row r="1985" spans="2:5" x14ac:dyDescent="0.2">
      <c r="B1985" s="125" t="s">
        <v>4406</v>
      </c>
      <c r="C1985" s="118" t="s">
        <v>4407</v>
      </c>
      <c r="D1985" s="118"/>
      <c r="E1985" s="118"/>
    </row>
    <row r="1986" spans="2:5" x14ac:dyDescent="0.2">
      <c r="B1986" s="125" t="s">
        <v>3376</v>
      </c>
      <c r="C1986" s="118" t="s">
        <v>3377</v>
      </c>
      <c r="D1986" s="118">
        <v>15.06</v>
      </c>
      <c r="E1986" s="118">
        <v>0.12</v>
      </c>
    </row>
    <row r="1987" spans="2:5" x14ac:dyDescent="0.2">
      <c r="B1987" s="125" t="s">
        <v>3378</v>
      </c>
      <c r="C1987" s="118" t="s">
        <v>3379</v>
      </c>
      <c r="D1987" s="118">
        <v>-6.1</v>
      </c>
      <c r="E1987" s="118">
        <v>-7.0000000000000007E-2</v>
      </c>
    </row>
    <row r="1988" spans="2:5" x14ac:dyDescent="0.2">
      <c r="B1988" s="125" t="s">
        <v>3380</v>
      </c>
      <c r="C1988" s="118" t="s">
        <v>3381</v>
      </c>
      <c r="D1988" s="118">
        <v>8.7899999999999991</v>
      </c>
      <c r="E1988" s="118">
        <v>7.0000000000000007E-2</v>
      </c>
    </row>
    <row r="1989" spans="2:5" x14ac:dyDescent="0.2">
      <c r="B1989" s="125" t="s">
        <v>3382</v>
      </c>
      <c r="C1989" s="118" t="s">
        <v>3383</v>
      </c>
      <c r="D1989" s="118">
        <v>46.14</v>
      </c>
      <c r="E1989" s="118">
        <v>0.4</v>
      </c>
    </row>
    <row r="1990" spans="2:5" x14ac:dyDescent="0.2">
      <c r="B1990" s="125" t="s">
        <v>3384</v>
      </c>
      <c r="C1990" s="118" t="s">
        <v>3385</v>
      </c>
      <c r="D1990" s="118">
        <v>26.14</v>
      </c>
      <c r="E1990" s="118">
        <v>0.25</v>
      </c>
    </row>
    <row r="1991" spans="2:5" x14ac:dyDescent="0.2">
      <c r="B1991" s="125" t="s">
        <v>3386</v>
      </c>
      <c r="C1991" s="118" t="s">
        <v>3387</v>
      </c>
      <c r="D1991" s="118">
        <v>36.119999999999997</v>
      </c>
      <c r="E1991" s="118">
        <v>0.33</v>
      </c>
    </row>
    <row r="1992" spans="2:5" x14ac:dyDescent="0.2">
      <c r="B1992" s="125" t="s">
        <v>4408</v>
      </c>
      <c r="C1992" s="118" t="s">
        <v>4409</v>
      </c>
      <c r="D1992" s="118">
        <v>4.18</v>
      </c>
      <c r="E1992" s="118"/>
    </row>
    <row r="1993" spans="2:5" x14ac:dyDescent="0.2">
      <c r="B1993" s="125" t="s">
        <v>3388</v>
      </c>
      <c r="C1993" s="118" t="s">
        <v>3389</v>
      </c>
      <c r="D1993" s="118">
        <v>9.7899999999999991</v>
      </c>
      <c r="E1993" s="118">
        <v>0.1</v>
      </c>
    </row>
    <row r="1994" spans="2:5" x14ac:dyDescent="0.2">
      <c r="B1994" s="125" t="s">
        <v>3390</v>
      </c>
      <c r="C1994" s="118" t="s">
        <v>3391</v>
      </c>
      <c r="D1994" s="118"/>
      <c r="E1994" s="118">
        <v>0.21</v>
      </c>
    </row>
    <row r="1995" spans="2:5" x14ac:dyDescent="0.2">
      <c r="B1995" s="125" t="s">
        <v>3392</v>
      </c>
      <c r="C1995" s="118" t="s">
        <v>3393</v>
      </c>
      <c r="D1995" s="118">
        <v>31.02</v>
      </c>
      <c r="E1995" s="118">
        <v>0.27</v>
      </c>
    </row>
    <row r="1996" spans="2:5" x14ac:dyDescent="0.2">
      <c r="B1996" s="125" t="s">
        <v>4410</v>
      </c>
      <c r="C1996" s="118" t="s">
        <v>4411</v>
      </c>
      <c r="D1996" s="118"/>
      <c r="E1996" s="118"/>
    </row>
    <row r="1997" spans="2:5" x14ac:dyDescent="0.2">
      <c r="B1997" s="125" t="s">
        <v>3394</v>
      </c>
      <c r="C1997" s="118" t="s">
        <v>3395</v>
      </c>
      <c r="D1997" s="118">
        <v>2.61</v>
      </c>
      <c r="E1997" s="118">
        <v>0.02</v>
      </c>
    </row>
    <row r="1998" spans="2:5" x14ac:dyDescent="0.2">
      <c r="B1998" s="125" t="s">
        <v>3396</v>
      </c>
      <c r="C1998" s="118" t="s">
        <v>3397</v>
      </c>
      <c r="D1998" s="118">
        <v>13.44</v>
      </c>
      <c r="E1998" s="118">
        <v>0.11</v>
      </c>
    </row>
    <row r="1999" spans="2:5" x14ac:dyDescent="0.2">
      <c r="B1999" s="125" t="s">
        <v>3398</v>
      </c>
      <c r="C1999" s="118" t="s">
        <v>3399</v>
      </c>
      <c r="D1999" s="118">
        <v>11.94</v>
      </c>
      <c r="E1999" s="118">
        <v>-0.15</v>
      </c>
    </row>
    <row r="2000" spans="2:5" x14ac:dyDescent="0.2">
      <c r="B2000" s="125" t="s">
        <v>3400</v>
      </c>
      <c r="C2000" s="118" t="s">
        <v>3401</v>
      </c>
      <c r="D2000" s="118">
        <v>8.6199999999999992</v>
      </c>
      <c r="E2000" s="118">
        <v>-0.05</v>
      </c>
    </row>
    <row r="2001" spans="2:5" x14ac:dyDescent="0.2">
      <c r="B2001" s="125" t="s">
        <v>3402</v>
      </c>
      <c r="C2001" s="118" t="s">
        <v>3403</v>
      </c>
      <c r="D2001" s="118">
        <v>14.24</v>
      </c>
      <c r="E2001" s="118">
        <v>0.14000000000000001</v>
      </c>
    </row>
    <row r="2002" spans="2:5" x14ac:dyDescent="0.2">
      <c r="B2002" s="125" t="s">
        <v>3404</v>
      </c>
      <c r="C2002" s="118" t="s">
        <v>3405</v>
      </c>
      <c r="D2002" s="118"/>
      <c r="E2002" s="118">
        <v>0.01</v>
      </c>
    </row>
    <row r="2003" spans="2:5" x14ac:dyDescent="0.2">
      <c r="B2003" s="125" t="s">
        <v>4412</v>
      </c>
      <c r="C2003" s="118" t="s">
        <v>4413</v>
      </c>
      <c r="D2003" s="118"/>
      <c r="E2003" s="118"/>
    </row>
    <row r="2004" spans="2:5" x14ac:dyDescent="0.2">
      <c r="B2004" s="125" t="s">
        <v>3406</v>
      </c>
      <c r="C2004" s="118" t="s">
        <v>3407</v>
      </c>
      <c r="D2004" s="118">
        <v>14</v>
      </c>
      <c r="E2004" s="118">
        <v>0.17</v>
      </c>
    </row>
    <row r="2005" spans="2:5" x14ac:dyDescent="0.2">
      <c r="B2005" s="125" t="s">
        <v>3408</v>
      </c>
      <c r="C2005" s="118" t="s">
        <v>3409</v>
      </c>
      <c r="D2005" s="118">
        <v>9.59</v>
      </c>
      <c r="E2005" s="118">
        <v>0.28999999999999998</v>
      </c>
    </row>
    <row r="2006" spans="2:5" x14ac:dyDescent="0.2">
      <c r="B2006" s="125" t="s">
        <v>3410</v>
      </c>
      <c r="C2006" s="118" t="s">
        <v>3411</v>
      </c>
      <c r="D2006" s="118">
        <v>21.45</v>
      </c>
      <c r="E2006" s="118">
        <v>0.19</v>
      </c>
    </row>
    <row r="2007" spans="2:5" x14ac:dyDescent="0.2">
      <c r="B2007" s="125" t="s">
        <v>3412</v>
      </c>
      <c r="C2007" s="118" t="s">
        <v>3413</v>
      </c>
      <c r="D2007" s="118">
        <v>22.78</v>
      </c>
      <c r="E2007" s="118">
        <v>0.11</v>
      </c>
    </row>
    <row r="2008" spans="2:5" x14ac:dyDescent="0.2">
      <c r="B2008" s="125" t="s">
        <v>3414</v>
      </c>
      <c r="C2008" s="118" t="s">
        <v>3415</v>
      </c>
      <c r="D2008" s="118">
        <v>26.42</v>
      </c>
      <c r="E2008" s="118">
        <v>0.18</v>
      </c>
    </row>
    <row r="2009" spans="2:5" x14ac:dyDescent="0.2">
      <c r="B2009" s="125" t="s">
        <v>3416</v>
      </c>
      <c r="C2009" s="118" t="s">
        <v>3417</v>
      </c>
      <c r="D2009" s="118">
        <v>28.03</v>
      </c>
      <c r="E2009" s="118">
        <v>0.22</v>
      </c>
    </row>
    <row r="2010" spans="2:5" x14ac:dyDescent="0.2">
      <c r="B2010" s="125" t="s">
        <v>3418</v>
      </c>
      <c r="C2010" s="118" t="s">
        <v>3419</v>
      </c>
      <c r="D2010" s="118">
        <v>12.9</v>
      </c>
      <c r="E2010" s="118">
        <v>0.09</v>
      </c>
    </row>
    <row r="2011" spans="2:5" x14ac:dyDescent="0.2">
      <c r="B2011" s="125" t="s">
        <v>3420</v>
      </c>
      <c r="C2011" s="118" t="s">
        <v>3421</v>
      </c>
      <c r="D2011" s="118">
        <v>5.07</v>
      </c>
      <c r="E2011" s="118">
        <v>-0.01</v>
      </c>
    </row>
    <row r="2012" spans="2:5" x14ac:dyDescent="0.2">
      <c r="B2012" s="125" t="s">
        <v>3422</v>
      </c>
      <c r="C2012" s="118" t="s">
        <v>3423</v>
      </c>
      <c r="D2012" s="118"/>
      <c r="E2012" s="118">
        <v>0.13</v>
      </c>
    </row>
    <row r="2013" spans="2:5" x14ac:dyDescent="0.2">
      <c r="B2013" s="125" t="s">
        <v>3424</v>
      </c>
      <c r="C2013" s="118" t="s">
        <v>3425</v>
      </c>
      <c r="D2013" s="118">
        <v>15.65</v>
      </c>
      <c r="E2013" s="118">
        <v>0.15</v>
      </c>
    </row>
    <row r="2014" spans="2:5" x14ac:dyDescent="0.2">
      <c r="B2014" s="125" t="s">
        <v>3426</v>
      </c>
      <c r="C2014" s="118" t="s">
        <v>3427</v>
      </c>
      <c r="D2014" s="118">
        <v>8.5399999999999991</v>
      </c>
      <c r="E2014" s="118">
        <v>-0.06</v>
      </c>
    </row>
    <row r="2015" spans="2:5" x14ac:dyDescent="0.2">
      <c r="B2015" s="125" t="s">
        <v>3428</v>
      </c>
      <c r="C2015" s="118" t="s">
        <v>3429</v>
      </c>
      <c r="D2015" s="118">
        <v>8.4499999999999993</v>
      </c>
      <c r="E2015" s="118">
        <v>7.0000000000000007E-2</v>
      </c>
    </row>
    <row r="2016" spans="2:5" x14ac:dyDescent="0.2">
      <c r="B2016" s="125" t="s">
        <v>3430</v>
      </c>
      <c r="C2016" s="118" t="s">
        <v>3431</v>
      </c>
      <c r="D2016" s="118">
        <v>8.08</v>
      </c>
      <c r="E2016" s="118">
        <v>0.12</v>
      </c>
    </row>
    <row r="2017" spans="2:5" x14ac:dyDescent="0.2">
      <c r="B2017" s="125" t="s">
        <v>4414</v>
      </c>
      <c r="C2017" s="118" t="s">
        <v>4415</v>
      </c>
      <c r="D2017" s="118">
        <v>2.79</v>
      </c>
      <c r="E2017" s="118">
        <v>0.03</v>
      </c>
    </row>
    <row r="2018" spans="2:5" x14ac:dyDescent="0.2">
      <c r="B2018" s="125" t="s">
        <v>3432</v>
      </c>
      <c r="C2018" s="118" t="s">
        <v>3433</v>
      </c>
      <c r="D2018" s="118">
        <v>15.34</v>
      </c>
      <c r="E2018" s="118">
        <v>0.08</v>
      </c>
    </row>
    <row r="2019" spans="2:5" x14ac:dyDescent="0.2">
      <c r="B2019" s="125" t="s">
        <v>4416</v>
      </c>
      <c r="C2019" s="118" t="s">
        <v>4417</v>
      </c>
      <c r="D2019" s="118"/>
      <c r="E2019" s="118"/>
    </row>
    <row r="2020" spans="2:5" x14ac:dyDescent="0.2">
      <c r="B2020" s="125" t="s">
        <v>3434</v>
      </c>
      <c r="C2020" s="118" t="s">
        <v>3435</v>
      </c>
      <c r="D2020" s="118">
        <v>12.09</v>
      </c>
      <c r="E2020" s="118">
        <v>0.13</v>
      </c>
    </row>
    <row r="2021" spans="2:5" x14ac:dyDescent="0.2">
      <c r="B2021" s="125" t="s">
        <v>3436</v>
      </c>
      <c r="C2021" s="118" t="s">
        <v>3437</v>
      </c>
      <c r="D2021" s="118">
        <v>12.32</v>
      </c>
      <c r="E2021" s="118">
        <v>-0.02</v>
      </c>
    </row>
    <row r="2022" spans="2:5" x14ac:dyDescent="0.2">
      <c r="B2022" s="125" t="s">
        <v>3438</v>
      </c>
      <c r="C2022" s="118" t="s">
        <v>3439</v>
      </c>
      <c r="D2022" s="118">
        <v>6.03</v>
      </c>
      <c r="E2022" s="118">
        <v>0.06</v>
      </c>
    </row>
    <row r="2023" spans="2:5" x14ac:dyDescent="0.2">
      <c r="B2023" s="125" t="s">
        <v>3440</v>
      </c>
      <c r="C2023" s="118" t="s">
        <v>3441</v>
      </c>
      <c r="D2023" s="118">
        <v>2.74</v>
      </c>
      <c r="E2023" s="118">
        <v>0.01</v>
      </c>
    </row>
    <row r="2024" spans="2:5" x14ac:dyDescent="0.2">
      <c r="B2024" s="125" t="s">
        <v>4418</v>
      </c>
      <c r="C2024" s="118" t="s">
        <v>4419</v>
      </c>
      <c r="D2024" s="118">
        <v>2.0499999999999998</v>
      </c>
      <c r="E2024" s="118">
        <v>0.01</v>
      </c>
    </row>
    <row r="2025" spans="2:5" x14ac:dyDescent="0.2">
      <c r="B2025" s="125" t="s">
        <v>3442</v>
      </c>
      <c r="C2025" s="118" t="s">
        <v>3443</v>
      </c>
      <c r="D2025" s="118">
        <v>18.170000000000002</v>
      </c>
      <c r="E2025" s="118">
        <v>0.13</v>
      </c>
    </row>
    <row r="2026" spans="2:5" x14ac:dyDescent="0.2">
      <c r="B2026" s="125" t="s">
        <v>4420</v>
      </c>
      <c r="C2026" s="118" t="s">
        <v>4421</v>
      </c>
      <c r="D2026" s="118"/>
      <c r="E2026" s="118"/>
    </row>
    <row r="2027" spans="2:5" x14ac:dyDescent="0.2">
      <c r="B2027" s="125" t="s">
        <v>4422</v>
      </c>
      <c r="C2027" s="118" t="s">
        <v>4423</v>
      </c>
      <c r="D2027" s="118"/>
      <c r="E2027" s="118">
        <v>-0.35</v>
      </c>
    </row>
    <row r="2028" spans="2:5" x14ac:dyDescent="0.2">
      <c r="B2028" s="125" t="s">
        <v>3444</v>
      </c>
      <c r="C2028" s="118" t="s">
        <v>3445</v>
      </c>
      <c r="D2028" s="118">
        <v>38.36</v>
      </c>
      <c r="E2028" s="118">
        <v>0.46</v>
      </c>
    </row>
    <row r="2029" spans="2:5" x14ac:dyDescent="0.2">
      <c r="B2029" s="125" t="s">
        <v>3446</v>
      </c>
      <c r="C2029" s="118" t="s">
        <v>3447</v>
      </c>
      <c r="D2029" s="118">
        <v>21.74</v>
      </c>
      <c r="E2029" s="118">
        <v>0.54</v>
      </c>
    </row>
    <row r="2030" spans="2:5" x14ac:dyDescent="0.2">
      <c r="B2030" s="125" t="s">
        <v>3448</v>
      </c>
      <c r="C2030" s="118" t="s">
        <v>3449</v>
      </c>
      <c r="D2030" s="118"/>
      <c r="E2030" s="118">
        <v>7.0000000000000007E-2</v>
      </c>
    </row>
    <row r="2031" spans="2:5" x14ac:dyDescent="0.2">
      <c r="B2031" s="125" t="s">
        <v>3450</v>
      </c>
      <c r="C2031" s="118" t="s">
        <v>3451</v>
      </c>
      <c r="D2031" s="118">
        <v>4.66</v>
      </c>
      <c r="E2031" s="118">
        <v>7.0000000000000007E-2</v>
      </c>
    </row>
    <row r="2032" spans="2:5" x14ac:dyDescent="0.2">
      <c r="B2032" s="125" t="s">
        <v>3452</v>
      </c>
      <c r="C2032" s="118" t="s">
        <v>3453</v>
      </c>
      <c r="D2032" s="118">
        <v>8.06</v>
      </c>
      <c r="E2032" s="118">
        <v>0.08</v>
      </c>
    </row>
    <row r="2033" spans="2:5" x14ac:dyDescent="0.2">
      <c r="B2033" s="125" t="s">
        <v>3454</v>
      </c>
      <c r="C2033" s="118" t="s">
        <v>3455</v>
      </c>
      <c r="D2033" s="118">
        <v>48.3</v>
      </c>
      <c r="E2033" s="118">
        <v>0.62</v>
      </c>
    </row>
    <row r="2034" spans="2:5" x14ac:dyDescent="0.2">
      <c r="B2034" s="125" t="s">
        <v>3456</v>
      </c>
      <c r="C2034" s="118" t="s">
        <v>3457</v>
      </c>
      <c r="D2034" s="118">
        <v>5.84</v>
      </c>
      <c r="E2034" s="118">
        <v>0.12</v>
      </c>
    </row>
    <row r="2035" spans="2:5" x14ac:dyDescent="0.2">
      <c r="B2035" s="125" t="s">
        <v>4424</v>
      </c>
      <c r="C2035" s="118" t="s">
        <v>4425</v>
      </c>
      <c r="D2035" s="118">
        <v>7.16</v>
      </c>
      <c r="E2035" s="118">
        <v>7.0000000000000007E-2</v>
      </c>
    </row>
    <row r="2036" spans="2:5" x14ac:dyDescent="0.2">
      <c r="B2036" s="125" t="s">
        <v>3458</v>
      </c>
      <c r="C2036" s="118" t="s">
        <v>3459</v>
      </c>
      <c r="D2036" s="118">
        <v>6.55</v>
      </c>
      <c r="E2036" s="118">
        <v>0.06</v>
      </c>
    </row>
    <row r="2037" spans="2:5" x14ac:dyDescent="0.2">
      <c r="B2037" s="125" t="s">
        <v>3460</v>
      </c>
      <c r="C2037" s="118" t="s">
        <v>3461</v>
      </c>
      <c r="D2037" s="118">
        <v>5.17</v>
      </c>
      <c r="E2037" s="118">
        <v>0.05</v>
      </c>
    </row>
    <row r="2038" spans="2:5" x14ac:dyDescent="0.2">
      <c r="B2038" s="125" t="s">
        <v>3460</v>
      </c>
      <c r="C2038" s="118" t="s">
        <v>4426</v>
      </c>
      <c r="D2038" s="118">
        <v>5.17</v>
      </c>
      <c r="E2038" s="118">
        <v>0.05</v>
      </c>
    </row>
    <row r="2039" spans="2:5" x14ac:dyDescent="0.2">
      <c r="B2039" s="125" t="s">
        <v>3462</v>
      </c>
      <c r="C2039" s="118" t="s">
        <v>3463</v>
      </c>
      <c r="D2039" s="118">
        <v>13.32</v>
      </c>
      <c r="E2039" s="118">
        <v>0.12</v>
      </c>
    </row>
    <row r="2040" spans="2:5" x14ac:dyDescent="0.2">
      <c r="B2040" s="125" t="s">
        <v>3464</v>
      </c>
      <c r="C2040" s="118" t="s">
        <v>3465</v>
      </c>
      <c r="D2040" s="118">
        <v>24.71</v>
      </c>
      <c r="E2040" s="118">
        <v>0.22</v>
      </c>
    </row>
    <row r="2041" spans="2:5" x14ac:dyDescent="0.2">
      <c r="B2041" s="125" t="s">
        <v>4427</v>
      </c>
      <c r="C2041" s="118" t="s">
        <v>4428</v>
      </c>
      <c r="D2041" s="118"/>
      <c r="E2041" s="118">
        <v>0.15</v>
      </c>
    </row>
    <row r="2042" spans="2:5" x14ac:dyDescent="0.2">
      <c r="B2042" s="125" t="s">
        <v>4429</v>
      </c>
      <c r="C2042" s="118" t="s">
        <v>4430</v>
      </c>
      <c r="D2042" s="118">
        <v>-28.03</v>
      </c>
      <c r="E2042" s="118">
        <v>-0.38</v>
      </c>
    </row>
    <row r="2043" spans="2:5" x14ac:dyDescent="0.2">
      <c r="B2043" s="125" t="s">
        <v>3466</v>
      </c>
      <c r="C2043" s="118" t="s">
        <v>3467</v>
      </c>
      <c r="D2043" s="118">
        <v>29.34</v>
      </c>
      <c r="E2043" s="118">
        <v>0.23</v>
      </c>
    </row>
    <row r="2044" spans="2:5" x14ac:dyDescent="0.2">
      <c r="B2044" s="125" t="s">
        <v>3468</v>
      </c>
      <c r="C2044" s="118" t="s">
        <v>3469</v>
      </c>
      <c r="D2044" s="118">
        <v>8.42</v>
      </c>
      <c r="E2044" s="118">
        <v>0.08</v>
      </c>
    </row>
    <row r="2045" spans="2:5" x14ac:dyDescent="0.2">
      <c r="B2045" s="125" t="s">
        <v>3470</v>
      </c>
      <c r="C2045" s="118" t="s">
        <v>3471</v>
      </c>
      <c r="D2045" s="118">
        <v>15.11</v>
      </c>
      <c r="E2045" s="118">
        <v>0.15</v>
      </c>
    </row>
    <row r="2046" spans="2:5" x14ac:dyDescent="0.2">
      <c r="B2046" s="125" t="s">
        <v>3472</v>
      </c>
      <c r="C2046" s="118" t="s">
        <v>3473</v>
      </c>
      <c r="D2046" s="118">
        <v>42.49</v>
      </c>
      <c r="E2046" s="118">
        <v>0.16</v>
      </c>
    </row>
    <row r="2047" spans="2:5" x14ac:dyDescent="0.2">
      <c r="B2047" s="125" t="s">
        <v>3474</v>
      </c>
      <c r="C2047" s="118" t="s">
        <v>3475</v>
      </c>
      <c r="D2047" s="118">
        <v>11.27</v>
      </c>
      <c r="E2047" s="118">
        <v>0.08</v>
      </c>
    </row>
    <row r="2048" spans="2:5" x14ac:dyDescent="0.2">
      <c r="B2048" s="125" t="s">
        <v>3476</v>
      </c>
      <c r="C2048" s="118" t="s">
        <v>3477</v>
      </c>
      <c r="D2048" s="118">
        <v>8.09</v>
      </c>
      <c r="E2048" s="118">
        <v>0.11</v>
      </c>
    </row>
    <row r="2049" spans="2:5" x14ac:dyDescent="0.2">
      <c r="B2049" s="125" t="s">
        <v>4431</v>
      </c>
      <c r="C2049" s="118" t="s">
        <v>4432</v>
      </c>
      <c r="D2049" s="118"/>
      <c r="E2049" s="118"/>
    </row>
    <row r="2050" spans="2:5" x14ac:dyDescent="0.2">
      <c r="B2050" s="125" t="s">
        <v>4433</v>
      </c>
      <c r="C2050" s="118" t="s">
        <v>4434</v>
      </c>
      <c r="D2050" s="118"/>
      <c r="E2050" s="118"/>
    </row>
    <row r="2051" spans="2:5" x14ac:dyDescent="0.2">
      <c r="B2051" s="125" t="s">
        <v>3478</v>
      </c>
      <c r="C2051" s="118" t="s">
        <v>3479</v>
      </c>
      <c r="D2051" s="118">
        <v>7.08</v>
      </c>
      <c r="E2051" s="118">
        <v>0.1</v>
      </c>
    </row>
    <row r="2052" spans="2:5" x14ac:dyDescent="0.2">
      <c r="B2052" s="125" t="s">
        <v>3480</v>
      </c>
      <c r="C2052" s="118" t="s">
        <v>3481</v>
      </c>
      <c r="D2052" s="118">
        <v>12.63</v>
      </c>
      <c r="E2052" s="118">
        <v>0.17</v>
      </c>
    </row>
    <row r="2053" spans="2:5" x14ac:dyDescent="0.2">
      <c r="B2053" s="125" t="s">
        <v>4435</v>
      </c>
      <c r="C2053" s="118" t="s">
        <v>4436</v>
      </c>
      <c r="D2053" s="118"/>
      <c r="E2053" s="118"/>
    </row>
    <row r="2054" spans="2:5" x14ac:dyDescent="0.2">
      <c r="B2054" s="125" t="s">
        <v>3482</v>
      </c>
      <c r="C2054" s="118" t="s">
        <v>3483</v>
      </c>
      <c r="D2054" s="118">
        <v>9.2899999999999991</v>
      </c>
      <c r="E2054" s="118">
        <v>0.09</v>
      </c>
    </row>
    <row r="2055" spans="2:5" x14ac:dyDescent="0.2">
      <c r="B2055" s="125" t="s">
        <v>4437</v>
      </c>
      <c r="C2055" s="118" t="s">
        <v>4438</v>
      </c>
      <c r="D2055" s="118"/>
      <c r="E2055" s="118"/>
    </row>
    <row r="2056" spans="2:5" x14ac:dyDescent="0.2">
      <c r="B2056" s="125" t="s">
        <v>3484</v>
      </c>
      <c r="C2056" s="118" t="s">
        <v>3485</v>
      </c>
      <c r="D2056" s="118">
        <v>24.78</v>
      </c>
      <c r="E2056" s="118">
        <v>0.34</v>
      </c>
    </row>
    <row r="2057" spans="2:5" x14ac:dyDescent="0.2">
      <c r="B2057" s="125" t="s">
        <v>3486</v>
      </c>
      <c r="C2057" s="118" t="s">
        <v>3487</v>
      </c>
      <c r="D2057" s="118">
        <v>10.81</v>
      </c>
      <c r="E2057" s="118">
        <v>0.11</v>
      </c>
    </row>
    <row r="2058" spans="2:5" x14ac:dyDescent="0.2">
      <c r="B2058" s="125" t="s">
        <v>4439</v>
      </c>
      <c r="C2058" s="118" t="s">
        <v>4440</v>
      </c>
      <c r="D2058" s="118"/>
      <c r="E2058" s="118"/>
    </row>
    <row r="2059" spans="2:5" x14ac:dyDescent="0.2">
      <c r="B2059" s="125" t="s">
        <v>4441</v>
      </c>
      <c r="C2059" s="118" t="s">
        <v>4442</v>
      </c>
      <c r="D2059" s="118"/>
      <c r="E2059" s="118"/>
    </row>
    <row r="2060" spans="2:5" x14ac:dyDescent="0.2">
      <c r="B2060" s="125" t="s">
        <v>3488</v>
      </c>
      <c r="C2060" s="118" t="s">
        <v>3489</v>
      </c>
      <c r="D2060" s="118">
        <v>29.45</v>
      </c>
      <c r="E2060" s="118">
        <v>0.28999999999999998</v>
      </c>
    </row>
    <row r="2061" spans="2:5" x14ac:dyDescent="0.2">
      <c r="B2061" s="125" t="s">
        <v>4443</v>
      </c>
      <c r="C2061" s="118" t="s">
        <v>4444</v>
      </c>
      <c r="D2061" s="118"/>
      <c r="E2061" s="118"/>
    </row>
    <row r="2062" spans="2:5" x14ac:dyDescent="0.2">
      <c r="B2062" s="125" t="s">
        <v>4445</v>
      </c>
      <c r="C2062" s="118" t="s">
        <v>4446</v>
      </c>
      <c r="D2062" s="118"/>
      <c r="E2062" s="118"/>
    </row>
    <row r="2063" spans="2:5" x14ac:dyDescent="0.2">
      <c r="B2063" s="125" t="s">
        <v>3491</v>
      </c>
      <c r="C2063" s="118" t="s">
        <v>3492</v>
      </c>
      <c r="D2063" s="118"/>
      <c r="E2063" s="118">
        <v>0.05</v>
      </c>
    </row>
    <row r="2064" spans="2:5" x14ac:dyDescent="0.2">
      <c r="B2064" s="125" t="s">
        <v>3493</v>
      </c>
      <c r="C2064" s="118" t="s">
        <v>3494</v>
      </c>
      <c r="D2064" s="118">
        <v>6.45</v>
      </c>
      <c r="E2064" s="118">
        <v>7.0000000000000007E-2</v>
      </c>
    </row>
    <row r="2065" spans="2:5" x14ac:dyDescent="0.2">
      <c r="B2065" s="125" t="s">
        <v>3495</v>
      </c>
      <c r="C2065" s="118" t="s">
        <v>3496</v>
      </c>
      <c r="D2065" s="118">
        <v>2.5099999999999998</v>
      </c>
      <c r="E2065" s="118">
        <v>0.02</v>
      </c>
    </row>
    <row r="2066" spans="2:5" x14ac:dyDescent="0.2">
      <c r="B2066" s="125" t="s">
        <v>3497</v>
      </c>
      <c r="C2066" s="118" t="s">
        <v>3498</v>
      </c>
      <c r="D2066" s="118">
        <v>11.99</v>
      </c>
      <c r="E2066" s="118">
        <v>-0.25</v>
      </c>
    </row>
    <row r="2067" spans="2:5" x14ac:dyDescent="0.2">
      <c r="B2067" s="125" t="s">
        <v>3499</v>
      </c>
      <c r="C2067" s="118" t="s">
        <v>3500</v>
      </c>
      <c r="D2067" s="118">
        <v>10.17</v>
      </c>
      <c r="E2067" s="118">
        <v>0.04</v>
      </c>
    </row>
    <row r="2068" spans="2:5" x14ac:dyDescent="0.2">
      <c r="B2068" s="125" t="s">
        <v>4447</v>
      </c>
      <c r="C2068" s="118" t="s">
        <v>4448</v>
      </c>
      <c r="D2068" s="118"/>
      <c r="E2068" s="118"/>
    </row>
    <row r="2069" spans="2:5" x14ac:dyDescent="0.2">
      <c r="B2069" s="125" t="s">
        <v>3501</v>
      </c>
      <c r="C2069" s="118" t="s">
        <v>3502</v>
      </c>
      <c r="D2069" s="118">
        <v>10.18</v>
      </c>
      <c r="E2069" s="118">
        <v>0.11</v>
      </c>
    </row>
    <row r="2070" spans="2:5" x14ac:dyDescent="0.2">
      <c r="B2070" s="125" t="s">
        <v>3503</v>
      </c>
      <c r="C2070" s="118" t="s">
        <v>3504</v>
      </c>
      <c r="D2070" s="118">
        <v>3.51</v>
      </c>
      <c r="E2070" s="118">
        <v>0.01</v>
      </c>
    </row>
    <row r="2071" spans="2:5" x14ac:dyDescent="0.2">
      <c r="B2071" s="125" t="s">
        <v>3505</v>
      </c>
      <c r="C2071" s="118" t="s">
        <v>3506</v>
      </c>
      <c r="D2071" s="118">
        <v>8.2899999999999991</v>
      </c>
      <c r="E2071" s="118">
        <v>0.08</v>
      </c>
    </row>
    <row r="2072" spans="2:5" x14ac:dyDescent="0.2">
      <c r="B2072" s="125" t="s">
        <v>3507</v>
      </c>
      <c r="C2072" s="118" t="s">
        <v>3508</v>
      </c>
      <c r="D2072" s="118">
        <v>5.39</v>
      </c>
      <c r="E2072" s="118">
        <v>0.06</v>
      </c>
    </row>
    <row r="2073" spans="2:5" x14ac:dyDescent="0.2">
      <c r="B2073" s="125" t="s">
        <v>4449</v>
      </c>
      <c r="C2073" s="118" t="s">
        <v>4450</v>
      </c>
      <c r="D2073" s="118">
        <v>5.08</v>
      </c>
      <c r="E2073" s="118">
        <v>0.01</v>
      </c>
    </row>
    <row r="2074" spans="2:5" x14ac:dyDescent="0.2">
      <c r="B2074" s="125" t="s">
        <v>4451</v>
      </c>
      <c r="C2074" s="118" t="s">
        <v>4452</v>
      </c>
      <c r="D2074" s="118"/>
      <c r="E2074" s="118">
        <v>0.09</v>
      </c>
    </row>
    <row r="2075" spans="2:5" x14ac:dyDescent="0.2">
      <c r="B2075" s="125" t="s">
        <v>3509</v>
      </c>
      <c r="C2075" s="118" t="s">
        <v>3510</v>
      </c>
      <c r="D2075" s="118">
        <v>16.41</v>
      </c>
      <c r="E2075" s="118">
        <v>0.37</v>
      </c>
    </row>
    <row r="2076" spans="2:5" x14ac:dyDescent="0.2">
      <c r="B2076" s="125" t="s">
        <v>3511</v>
      </c>
      <c r="C2076" s="118" t="s">
        <v>3512</v>
      </c>
      <c r="D2076" s="118">
        <v>3.89</v>
      </c>
      <c r="E2076" s="118">
        <v>0.09</v>
      </c>
    </row>
    <row r="2077" spans="2:5" x14ac:dyDescent="0.2">
      <c r="B2077" s="125" t="s">
        <v>4453</v>
      </c>
      <c r="C2077" s="118" t="s">
        <v>4454</v>
      </c>
      <c r="D2077" s="118"/>
      <c r="E2077" s="118">
        <v>31.68</v>
      </c>
    </row>
    <row r="2078" spans="2:5" x14ac:dyDescent="0.2">
      <c r="B2078" s="125" t="s">
        <v>3513</v>
      </c>
      <c r="C2078" s="118" t="s">
        <v>3514</v>
      </c>
      <c r="D2078" s="118">
        <v>18.47</v>
      </c>
      <c r="E2078" s="118">
        <v>0.27</v>
      </c>
    </row>
    <row r="2079" spans="2:5" x14ac:dyDescent="0.2">
      <c r="B2079" s="125" t="s">
        <v>3515</v>
      </c>
      <c r="C2079" s="118" t="s">
        <v>3516</v>
      </c>
      <c r="D2079" s="118">
        <v>7.5</v>
      </c>
      <c r="E2079" s="118">
        <v>0.08</v>
      </c>
    </row>
    <row r="2080" spans="2:5" x14ac:dyDescent="0.2">
      <c r="B2080" s="125" t="s">
        <v>3517</v>
      </c>
      <c r="C2080" s="118" t="s">
        <v>3518</v>
      </c>
      <c r="D2080" s="118">
        <v>13.71</v>
      </c>
      <c r="E2080" s="118">
        <v>0.14000000000000001</v>
      </c>
    </row>
    <row r="2081" spans="2:5" x14ac:dyDescent="0.2">
      <c r="B2081" s="125" t="s">
        <v>4455</v>
      </c>
      <c r="C2081" s="118" t="s">
        <v>4456</v>
      </c>
      <c r="D2081" s="118"/>
      <c r="E2081" s="118"/>
    </row>
    <row r="2082" spans="2:5" x14ac:dyDescent="0.2">
      <c r="B2082" s="125" t="s">
        <v>4457</v>
      </c>
      <c r="C2082" s="118" t="s">
        <v>4458</v>
      </c>
      <c r="D2082" s="118">
        <v>0.38</v>
      </c>
      <c r="E2082" s="118">
        <v>-0.09</v>
      </c>
    </row>
    <row r="2083" spans="2:5" x14ac:dyDescent="0.2">
      <c r="B2083" s="125" t="s">
        <v>3519</v>
      </c>
      <c r="C2083" s="118" t="s">
        <v>3520</v>
      </c>
      <c r="D2083" s="118">
        <v>5.82</v>
      </c>
      <c r="E2083" s="118">
        <v>0.06</v>
      </c>
    </row>
    <row r="2084" spans="2:5" x14ac:dyDescent="0.2">
      <c r="B2084" s="125" t="s">
        <v>3522</v>
      </c>
      <c r="C2084" s="118" t="s">
        <v>3523</v>
      </c>
      <c r="D2084" s="118">
        <v>19.87</v>
      </c>
      <c r="E2084" s="118">
        <v>-0.05</v>
      </c>
    </row>
    <row r="2085" spans="2:5" x14ac:dyDescent="0.2">
      <c r="B2085" s="125" t="s">
        <v>3524</v>
      </c>
      <c r="C2085" s="118" t="s">
        <v>3525</v>
      </c>
      <c r="D2085" s="118">
        <v>14.8</v>
      </c>
      <c r="E2085" s="118">
        <v>0.1</v>
      </c>
    </row>
    <row r="2086" spans="2:5" x14ac:dyDescent="0.2">
      <c r="B2086" s="125" t="s">
        <v>3526</v>
      </c>
      <c r="C2086" s="118" t="s">
        <v>3527</v>
      </c>
      <c r="D2086" s="118">
        <v>4.55</v>
      </c>
      <c r="E2086" s="118">
        <v>-0.22</v>
      </c>
    </row>
    <row r="2087" spans="2:5" x14ac:dyDescent="0.2">
      <c r="B2087" s="125" t="s">
        <v>4457</v>
      </c>
      <c r="C2087" s="118" t="s">
        <v>4459</v>
      </c>
      <c r="D2087" s="118">
        <v>0.38</v>
      </c>
      <c r="E2087" s="118">
        <v>-0.09</v>
      </c>
    </row>
    <row r="2088" spans="2:5" x14ac:dyDescent="0.2">
      <c r="B2088" s="125" t="s">
        <v>3528</v>
      </c>
      <c r="C2088" s="118" t="s">
        <v>3529</v>
      </c>
      <c r="D2088" s="118">
        <v>30.43</v>
      </c>
      <c r="E2088" s="118">
        <v>0.28999999999999998</v>
      </c>
    </row>
    <row r="2089" spans="2:5" x14ac:dyDescent="0.2">
      <c r="B2089" s="125" t="s">
        <v>4460</v>
      </c>
      <c r="C2089" s="118" t="s">
        <v>4461</v>
      </c>
      <c r="D2089" s="118">
        <v>0.89</v>
      </c>
      <c r="E2089" s="118">
        <v>0.01</v>
      </c>
    </row>
    <row r="2090" spans="2:5" x14ac:dyDescent="0.2">
      <c r="B2090" s="125" t="s">
        <v>4462</v>
      </c>
      <c r="C2090" s="118" t="s">
        <v>4463</v>
      </c>
      <c r="D2090" s="118"/>
      <c r="E2090" s="118"/>
    </row>
    <row r="2091" spans="2:5" x14ac:dyDescent="0.2">
      <c r="B2091" s="125" t="s">
        <v>3530</v>
      </c>
      <c r="C2091" s="118" t="s">
        <v>3531</v>
      </c>
      <c r="D2091" s="118">
        <v>-8.7200000000000006</v>
      </c>
      <c r="E2091" s="118">
        <v>0.02</v>
      </c>
    </row>
    <row r="2092" spans="2:5" x14ac:dyDescent="0.2">
      <c r="B2092" s="125" t="s">
        <v>3532</v>
      </c>
      <c r="C2092" s="118" t="s">
        <v>3533</v>
      </c>
      <c r="D2092" s="118">
        <v>1.88</v>
      </c>
      <c r="E2092" s="118">
        <v>0.02</v>
      </c>
    </row>
    <row r="2093" spans="2:5" x14ac:dyDescent="0.2">
      <c r="B2093" s="125" t="s">
        <v>3534</v>
      </c>
      <c r="C2093" s="118" t="s">
        <v>3535</v>
      </c>
      <c r="D2093" s="118">
        <v>9.93</v>
      </c>
      <c r="E2093" s="118">
        <v>-0.09</v>
      </c>
    </row>
    <row r="2094" spans="2:5" x14ac:dyDescent="0.2">
      <c r="B2094" s="125" t="s">
        <v>3536</v>
      </c>
      <c r="C2094" s="118" t="s">
        <v>3537</v>
      </c>
      <c r="D2094" s="118">
        <v>-0.97</v>
      </c>
      <c r="E2094" s="118">
        <v>-0.08</v>
      </c>
    </row>
    <row r="2095" spans="2:5" x14ac:dyDescent="0.2">
      <c r="B2095" s="125" t="s">
        <v>3538</v>
      </c>
      <c r="C2095" s="118" t="s">
        <v>3539</v>
      </c>
      <c r="D2095" s="118">
        <v>23.56</v>
      </c>
      <c r="E2095" s="118">
        <v>0.25</v>
      </c>
    </row>
    <row r="2096" spans="2:5" x14ac:dyDescent="0.2">
      <c r="B2096" s="125" t="s">
        <v>3540</v>
      </c>
      <c r="C2096" s="118" t="s">
        <v>3541</v>
      </c>
      <c r="D2096" s="118">
        <v>27.21</v>
      </c>
      <c r="E2096" s="118">
        <v>0.25</v>
      </c>
    </row>
    <row r="2097" spans="2:5" x14ac:dyDescent="0.2">
      <c r="B2097" s="125" t="s">
        <v>3542</v>
      </c>
      <c r="C2097" s="118" t="s">
        <v>3543</v>
      </c>
      <c r="D2097" s="118"/>
      <c r="E2097" s="118">
        <v>0.08</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B2:G2097"/>
  <sheetViews>
    <sheetView topLeftCell="A2" zoomScale="140" zoomScaleNormal="140" workbookViewId="0">
      <selection activeCell="O54" sqref="O54"/>
    </sheetView>
  </sheetViews>
  <sheetFormatPr baseColWidth="10" defaultColWidth="9.1640625" defaultRowHeight="15" x14ac:dyDescent="0.2"/>
  <cols>
    <col min="1" max="1" width="9.1640625" style="2" customWidth="1"/>
    <col min="2" max="2" width="29" style="2" customWidth="1"/>
    <col min="3" max="3" width="29" style="3" customWidth="1"/>
    <col min="4" max="7" width="33" style="3" customWidth="1"/>
    <col min="8" max="8" width="9.1640625" style="2" customWidth="1"/>
    <col min="9" max="16384" width="9.1640625" style="2"/>
  </cols>
  <sheetData>
    <row r="2" spans="2:7" ht="16" customHeight="1" thickBot="1" x14ac:dyDescent="0.25"/>
    <row r="3" spans="2:7" x14ac:dyDescent="0.2">
      <c r="B3" s="112" t="s">
        <v>25</v>
      </c>
      <c r="C3" s="113" t="s">
        <v>26</v>
      </c>
      <c r="D3" s="113" t="s">
        <v>4471</v>
      </c>
      <c r="E3" s="113" t="s">
        <v>4472</v>
      </c>
      <c r="F3" s="113" t="s">
        <v>4473</v>
      </c>
      <c r="G3" s="113" t="s">
        <v>4474</v>
      </c>
    </row>
    <row r="4" spans="2:7" x14ac:dyDescent="0.2">
      <c r="B4" s="116" t="s">
        <v>32</v>
      </c>
      <c r="C4" s="117" t="s">
        <v>33</v>
      </c>
      <c r="D4" s="118">
        <v>2.74</v>
      </c>
      <c r="E4" s="118">
        <v>2.13</v>
      </c>
      <c r="F4" s="118">
        <v>0.27</v>
      </c>
      <c r="G4" s="118">
        <v>21.42</v>
      </c>
    </row>
    <row r="5" spans="2:7" x14ac:dyDescent="0.2">
      <c r="B5" s="116" t="s">
        <v>37</v>
      </c>
      <c r="C5" s="117" t="s">
        <v>38</v>
      </c>
      <c r="D5" s="118">
        <v>0.85</v>
      </c>
      <c r="E5" s="118">
        <v>1.51</v>
      </c>
      <c r="F5" s="118">
        <v>0.26</v>
      </c>
      <c r="G5" s="118">
        <v>20.823989999999998</v>
      </c>
    </row>
    <row r="6" spans="2:7" x14ac:dyDescent="0.2">
      <c r="B6" s="116" t="s">
        <v>3550</v>
      </c>
      <c r="C6" s="117" t="s">
        <v>3551</v>
      </c>
      <c r="D6" s="118"/>
      <c r="E6" s="118"/>
      <c r="F6" s="118"/>
      <c r="G6" s="118"/>
    </row>
    <row r="7" spans="2:7" x14ac:dyDescent="0.2">
      <c r="B7" s="116" t="s">
        <v>42</v>
      </c>
      <c r="C7" s="117" t="s">
        <v>43</v>
      </c>
      <c r="D7" s="118">
        <v>1.04</v>
      </c>
      <c r="E7" s="118">
        <v>1.61</v>
      </c>
      <c r="F7" s="118">
        <v>0.2</v>
      </c>
      <c r="G7" s="118">
        <v>16.902000000000001</v>
      </c>
    </row>
    <row r="8" spans="2:7" x14ac:dyDescent="0.2">
      <c r="B8" s="116" t="s">
        <v>3552</v>
      </c>
      <c r="C8" s="117" t="s">
        <v>3553</v>
      </c>
      <c r="D8" s="118"/>
      <c r="E8" s="118"/>
      <c r="F8" s="118"/>
      <c r="G8" s="118"/>
    </row>
    <row r="9" spans="2:7" x14ac:dyDescent="0.2">
      <c r="B9" s="116" t="s">
        <v>46</v>
      </c>
      <c r="C9" s="117" t="s">
        <v>47</v>
      </c>
      <c r="D9" s="118">
        <v>0.39</v>
      </c>
      <c r="E9" s="118">
        <v>0.49</v>
      </c>
      <c r="F9" s="118">
        <v>-990.5</v>
      </c>
      <c r="G9" s="118"/>
    </row>
    <row r="10" spans="2:7" x14ac:dyDescent="0.2">
      <c r="B10" s="116" t="s">
        <v>50</v>
      </c>
      <c r="C10" s="117" t="s">
        <v>51</v>
      </c>
      <c r="D10" s="118">
        <v>0.49</v>
      </c>
      <c r="E10" s="118">
        <v>2.79</v>
      </c>
      <c r="F10" s="118">
        <v>0.19</v>
      </c>
      <c r="G10" s="118">
        <v>15.82699</v>
      </c>
    </row>
    <row r="11" spans="2:7" x14ac:dyDescent="0.2">
      <c r="B11" s="116" t="s">
        <v>54</v>
      </c>
      <c r="C11" s="117" t="s">
        <v>55</v>
      </c>
      <c r="D11" s="118">
        <v>0.44</v>
      </c>
      <c r="E11" s="118">
        <v>1.36</v>
      </c>
      <c r="F11" s="118">
        <v>0.76</v>
      </c>
      <c r="G11" s="118">
        <v>43.085990000000002</v>
      </c>
    </row>
    <row r="12" spans="2:7" x14ac:dyDescent="0.2">
      <c r="B12" s="116" t="s">
        <v>57</v>
      </c>
      <c r="C12" s="117" t="s">
        <v>58</v>
      </c>
      <c r="D12" s="118">
        <v>1.0900000000000001</v>
      </c>
      <c r="E12" s="118">
        <v>1.5</v>
      </c>
      <c r="F12" s="118">
        <v>0.88</v>
      </c>
      <c r="G12" s="118">
        <v>46.825000000000003</v>
      </c>
    </row>
    <row r="13" spans="2:7" x14ac:dyDescent="0.2">
      <c r="B13" s="116" t="s">
        <v>60</v>
      </c>
      <c r="C13" s="117" t="s">
        <v>61</v>
      </c>
      <c r="D13" s="118">
        <v>3.16</v>
      </c>
      <c r="E13" s="118">
        <v>3.51</v>
      </c>
      <c r="F13" s="118">
        <v>0</v>
      </c>
      <c r="G13" s="118">
        <v>0</v>
      </c>
    </row>
    <row r="14" spans="2:7" x14ac:dyDescent="0.2">
      <c r="B14" s="116" t="s">
        <v>63</v>
      </c>
      <c r="C14" s="117" t="s">
        <v>64</v>
      </c>
      <c r="D14" s="118">
        <v>0.95</v>
      </c>
      <c r="E14" s="118">
        <v>1.32</v>
      </c>
      <c r="F14" s="118">
        <v>0.65</v>
      </c>
      <c r="G14" s="118">
        <v>39.344999999999999</v>
      </c>
    </row>
    <row r="15" spans="2:7" x14ac:dyDescent="0.2">
      <c r="B15" s="116" t="s">
        <v>66</v>
      </c>
      <c r="C15" s="117" t="s">
        <v>67</v>
      </c>
      <c r="D15" s="118">
        <v>0.89</v>
      </c>
      <c r="E15" s="118">
        <v>0.89</v>
      </c>
      <c r="F15" s="118">
        <v>-3.69</v>
      </c>
      <c r="G15" s="118"/>
    </row>
    <row r="16" spans="2:7" x14ac:dyDescent="0.2">
      <c r="B16" s="116" t="s">
        <v>70</v>
      </c>
      <c r="C16" s="117" t="s">
        <v>71</v>
      </c>
      <c r="D16" s="118">
        <v>0.5</v>
      </c>
      <c r="E16" s="118">
        <v>0.95</v>
      </c>
      <c r="F16" s="118">
        <v>1.4</v>
      </c>
      <c r="G16" s="118">
        <v>58.277000000000001</v>
      </c>
    </row>
    <row r="17" spans="2:7" x14ac:dyDescent="0.2">
      <c r="B17" s="116" t="s">
        <v>76</v>
      </c>
      <c r="C17" s="117" t="s">
        <v>77</v>
      </c>
      <c r="D17" s="118">
        <v>0.8</v>
      </c>
      <c r="E17" s="118">
        <v>1.21</v>
      </c>
      <c r="F17" s="118">
        <v>7.0000000000000007E-2</v>
      </c>
      <c r="G17" s="118">
        <v>6.6071999999999997</v>
      </c>
    </row>
    <row r="18" spans="2:7" x14ac:dyDescent="0.2">
      <c r="B18" s="116" t="s">
        <v>80</v>
      </c>
      <c r="C18" s="117" t="s">
        <v>81</v>
      </c>
      <c r="D18" s="118">
        <v>5.63</v>
      </c>
      <c r="E18" s="118">
        <v>6.76</v>
      </c>
      <c r="F18" s="118">
        <v>0</v>
      </c>
      <c r="G18" s="118">
        <v>0</v>
      </c>
    </row>
    <row r="19" spans="2:7" x14ac:dyDescent="0.2">
      <c r="B19" s="116" t="s">
        <v>83</v>
      </c>
      <c r="C19" s="117" t="s">
        <v>84</v>
      </c>
      <c r="D19" s="118">
        <v>1.2</v>
      </c>
      <c r="E19" s="118">
        <v>1.68</v>
      </c>
      <c r="F19" s="118">
        <v>0.6</v>
      </c>
      <c r="G19" s="118">
        <v>37.31</v>
      </c>
    </row>
    <row r="20" spans="2:7" x14ac:dyDescent="0.2">
      <c r="B20" s="116" t="s">
        <v>85</v>
      </c>
      <c r="C20" s="117" t="s">
        <v>86</v>
      </c>
      <c r="D20" s="118">
        <v>8.76</v>
      </c>
      <c r="E20" s="118">
        <v>6.85</v>
      </c>
      <c r="F20" s="118">
        <v>0.02</v>
      </c>
      <c r="G20" s="118">
        <v>1.7039899999999999</v>
      </c>
    </row>
    <row r="21" spans="2:7" x14ac:dyDescent="0.2">
      <c r="B21" s="116" t="s">
        <v>88</v>
      </c>
      <c r="C21" s="117" t="s">
        <v>89</v>
      </c>
      <c r="D21" s="118">
        <v>1.1399999999999999</v>
      </c>
      <c r="E21" s="118">
        <v>1.52</v>
      </c>
      <c r="F21" s="118">
        <v>0.09</v>
      </c>
      <c r="G21" s="118">
        <v>8.2578999999999994</v>
      </c>
    </row>
    <row r="22" spans="2:7" x14ac:dyDescent="0.2">
      <c r="B22" s="116" t="s">
        <v>90</v>
      </c>
      <c r="C22" s="117" t="s">
        <v>91</v>
      </c>
      <c r="D22" s="118">
        <v>1.3</v>
      </c>
      <c r="E22" s="118">
        <v>1.46</v>
      </c>
      <c r="F22" s="118">
        <v>0.94</v>
      </c>
      <c r="G22" s="118">
        <v>49.901000000000003</v>
      </c>
    </row>
    <row r="23" spans="2:7" x14ac:dyDescent="0.2">
      <c r="B23" s="116" t="s">
        <v>3554</v>
      </c>
      <c r="C23" s="117" t="s">
        <v>3555</v>
      </c>
      <c r="D23" s="118">
        <v>1.19</v>
      </c>
      <c r="E23" s="118">
        <v>0.9</v>
      </c>
      <c r="F23" s="118">
        <v>2.44</v>
      </c>
      <c r="G23" s="118">
        <v>70.902000000000001</v>
      </c>
    </row>
    <row r="24" spans="2:7" x14ac:dyDescent="0.2">
      <c r="B24" s="116" t="s">
        <v>3556</v>
      </c>
      <c r="C24" s="117" t="s">
        <v>3557</v>
      </c>
      <c r="D24" s="118">
        <v>1.07</v>
      </c>
      <c r="E24" s="118">
        <v>1.07</v>
      </c>
      <c r="F24" s="118"/>
      <c r="G24" s="118">
        <v>30.983989999999999</v>
      </c>
    </row>
    <row r="25" spans="2:7" x14ac:dyDescent="0.2">
      <c r="B25" s="116" t="s">
        <v>94</v>
      </c>
      <c r="C25" s="117" t="s">
        <v>95</v>
      </c>
      <c r="D25" s="118">
        <v>0.51</v>
      </c>
      <c r="E25" s="118">
        <v>0.54</v>
      </c>
      <c r="F25" s="118">
        <v>0.27</v>
      </c>
      <c r="G25" s="118">
        <v>21.475000000000001</v>
      </c>
    </row>
    <row r="26" spans="2:7" x14ac:dyDescent="0.2">
      <c r="B26" s="116" t="s">
        <v>3558</v>
      </c>
      <c r="C26" s="117" t="s">
        <v>3559</v>
      </c>
      <c r="D26" s="118">
        <v>0.51</v>
      </c>
      <c r="E26" s="118">
        <v>0.78</v>
      </c>
      <c r="F26" s="118"/>
      <c r="G26" s="118">
        <v>46.354990000000001</v>
      </c>
    </row>
    <row r="27" spans="2:7" x14ac:dyDescent="0.2">
      <c r="B27" s="116" t="s">
        <v>97</v>
      </c>
      <c r="C27" s="117" t="s">
        <v>98</v>
      </c>
      <c r="D27" s="118">
        <v>1.91</v>
      </c>
      <c r="E27" s="118">
        <v>1.29</v>
      </c>
      <c r="F27" s="118">
        <v>1.33</v>
      </c>
      <c r="G27" s="118">
        <v>57.128999999999998</v>
      </c>
    </row>
    <row r="28" spans="2:7" x14ac:dyDescent="0.2">
      <c r="B28" s="116" t="s">
        <v>100</v>
      </c>
      <c r="C28" s="117" t="s">
        <v>101</v>
      </c>
      <c r="D28" s="118">
        <v>1.1599999999999999</v>
      </c>
      <c r="E28" s="118">
        <v>1.22</v>
      </c>
      <c r="F28" s="118">
        <v>0.81</v>
      </c>
      <c r="G28" s="118">
        <v>44.823999999999998</v>
      </c>
    </row>
    <row r="29" spans="2:7" x14ac:dyDescent="0.2">
      <c r="B29" s="116" t="s">
        <v>104</v>
      </c>
      <c r="C29" s="117" t="s">
        <v>105</v>
      </c>
      <c r="D29" s="118"/>
      <c r="E29" s="118">
        <v>1.34</v>
      </c>
      <c r="F29" s="118"/>
      <c r="G29" s="118">
        <v>0.14019000000000001</v>
      </c>
    </row>
    <row r="30" spans="2:7" x14ac:dyDescent="0.2">
      <c r="B30" s="116" t="s">
        <v>3560</v>
      </c>
      <c r="C30" s="117" t="s">
        <v>3561</v>
      </c>
      <c r="D30" s="118"/>
      <c r="E30" s="118"/>
      <c r="F30" s="118"/>
      <c r="G30" s="118"/>
    </row>
    <row r="31" spans="2:7" x14ac:dyDescent="0.2">
      <c r="B31" s="116" t="s">
        <v>108</v>
      </c>
      <c r="C31" s="117" t="s">
        <v>109</v>
      </c>
      <c r="D31" s="118">
        <v>1.1299999999999999</v>
      </c>
      <c r="E31" s="118">
        <v>0.74</v>
      </c>
      <c r="F31" s="118">
        <v>0.1</v>
      </c>
      <c r="G31" s="118">
        <v>8.8007000000000009</v>
      </c>
    </row>
    <row r="32" spans="2:7" x14ac:dyDescent="0.2">
      <c r="B32" s="116" t="s">
        <v>110</v>
      </c>
      <c r="C32" s="117" t="s">
        <v>111</v>
      </c>
      <c r="D32" s="118">
        <v>2.11</v>
      </c>
      <c r="E32" s="118">
        <v>0.42</v>
      </c>
      <c r="F32" s="118">
        <v>0.5</v>
      </c>
      <c r="G32" s="118">
        <v>33.38899</v>
      </c>
    </row>
    <row r="33" spans="2:7" x14ac:dyDescent="0.2">
      <c r="B33" s="116" t="s">
        <v>113</v>
      </c>
      <c r="C33" s="117" t="s">
        <v>114</v>
      </c>
      <c r="D33" s="118">
        <v>0.93</v>
      </c>
      <c r="E33" s="118">
        <v>1.32</v>
      </c>
      <c r="F33" s="118">
        <v>0.24</v>
      </c>
      <c r="G33" s="118">
        <v>19.513000000000002</v>
      </c>
    </row>
    <row r="34" spans="2:7" x14ac:dyDescent="0.2">
      <c r="B34" s="116" t="s">
        <v>117</v>
      </c>
      <c r="C34" s="117" t="s">
        <v>118</v>
      </c>
      <c r="D34" s="118">
        <v>1.08</v>
      </c>
      <c r="E34" s="118">
        <v>1.35</v>
      </c>
      <c r="F34" s="118">
        <v>0.45</v>
      </c>
      <c r="G34" s="118">
        <v>30.925999999999998</v>
      </c>
    </row>
    <row r="35" spans="2:7" x14ac:dyDescent="0.2">
      <c r="B35" s="116" t="s">
        <v>120</v>
      </c>
      <c r="C35" s="117" t="s">
        <v>121</v>
      </c>
      <c r="D35" s="118">
        <v>1</v>
      </c>
      <c r="E35" s="118">
        <v>1.55</v>
      </c>
      <c r="F35" s="118">
        <v>0.41</v>
      </c>
      <c r="G35" s="118">
        <v>29.004989999999999</v>
      </c>
    </row>
    <row r="36" spans="2:7" x14ac:dyDescent="0.2">
      <c r="B36" s="116" t="s">
        <v>123</v>
      </c>
      <c r="C36" s="117" t="s">
        <v>124</v>
      </c>
      <c r="D36" s="118">
        <v>1.05</v>
      </c>
      <c r="E36" s="118">
        <v>1.05</v>
      </c>
      <c r="F36" s="118">
        <v>0.37</v>
      </c>
      <c r="G36" s="118">
        <v>27.04899</v>
      </c>
    </row>
    <row r="37" spans="2:7" x14ac:dyDescent="0.2">
      <c r="B37" s="116" t="s">
        <v>3562</v>
      </c>
      <c r="C37" s="117" t="s">
        <v>3563</v>
      </c>
      <c r="D37" s="118"/>
      <c r="E37" s="118">
        <v>5.91</v>
      </c>
      <c r="F37" s="118">
        <v>0</v>
      </c>
      <c r="G37" s="118">
        <v>0.92874999999999996</v>
      </c>
    </row>
    <row r="38" spans="2:7" x14ac:dyDescent="0.2">
      <c r="B38" s="116" t="s">
        <v>126</v>
      </c>
      <c r="C38" s="117" t="s">
        <v>127</v>
      </c>
      <c r="D38" s="118">
        <v>0.56000000000000005</v>
      </c>
      <c r="E38" s="118">
        <v>0.82</v>
      </c>
      <c r="F38" s="118"/>
      <c r="G38" s="118">
        <v>18.52</v>
      </c>
    </row>
    <row r="39" spans="2:7" x14ac:dyDescent="0.2">
      <c r="B39" s="116" t="s">
        <v>3564</v>
      </c>
      <c r="C39" s="117" t="s">
        <v>3565</v>
      </c>
      <c r="D39" s="118">
        <v>0.9</v>
      </c>
      <c r="E39" s="118">
        <v>1.18</v>
      </c>
      <c r="F39" s="118">
        <v>1.24</v>
      </c>
      <c r="G39" s="118">
        <v>55.430990000000001</v>
      </c>
    </row>
    <row r="40" spans="2:7" x14ac:dyDescent="0.2">
      <c r="B40" s="116" t="s">
        <v>129</v>
      </c>
      <c r="C40" s="117" t="s">
        <v>130</v>
      </c>
      <c r="D40" s="118">
        <v>2.13</v>
      </c>
      <c r="E40" s="118">
        <v>2.67</v>
      </c>
      <c r="F40" s="118">
        <v>7.16</v>
      </c>
      <c r="G40" s="118">
        <v>87.745000000000005</v>
      </c>
    </row>
    <row r="41" spans="2:7" x14ac:dyDescent="0.2">
      <c r="B41" s="116" t="s">
        <v>132</v>
      </c>
      <c r="C41" s="117" t="s">
        <v>133</v>
      </c>
      <c r="D41" s="118">
        <v>0.7</v>
      </c>
      <c r="E41" s="118">
        <v>0.56000000000000005</v>
      </c>
      <c r="F41" s="118">
        <v>-8.48</v>
      </c>
      <c r="G41" s="118"/>
    </row>
    <row r="42" spans="2:7" x14ac:dyDescent="0.2">
      <c r="B42" s="116" t="s">
        <v>134</v>
      </c>
      <c r="C42" s="117" t="s">
        <v>135</v>
      </c>
      <c r="D42" s="118">
        <v>0.73</v>
      </c>
      <c r="E42" s="118">
        <v>0.42</v>
      </c>
      <c r="F42" s="118">
        <v>2.44</v>
      </c>
      <c r="G42" s="118">
        <v>70.907989999999998</v>
      </c>
    </row>
    <row r="43" spans="2:7" x14ac:dyDescent="0.2">
      <c r="B43" s="116" t="s">
        <v>136</v>
      </c>
      <c r="C43" s="117" t="s">
        <v>137</v>
      </c>
      <c r="D43" s="118">
        <v>0.39</v>
      </c>
      <c r="E43" s="118">
        <v>0.55000000000000004</v>
      </c>
      <c r="F43" s="118">
        <v>1.04</v>
      </c>
      <c r="G43" s="118">
        <v>50.893999999999998</v>
      </c>
    </row>
    <row r="44" spans="2:7" x14ac:dyDescent="0.2">
      <c r="B44" s="116" t="s">
        <v>140</v>
      </c>
      <c r="C44" s="117" t="s">
        <v>141</v>
      </c>
      <c r="D44" s="118">
        <v>0.09</v>
      </c>
      <c r="E44" s="118">
        <v>0.09</v>
      </c>
      <c r="F44" s="118">
        <v>0.45</v>
      </c>
      <c r="G44" s="118">
        <v>30.992000000000001</v>
      </c>
    </row>
    <row r="45" spans="2:7" x14ac:dyDescent="0.2">
      <c r="B45" s="116" t="s">
        <v>143</v>
      </c>
      <c r="C45" s="117" t="s">
        <v>144</v>
      </c>
      <c r="D45" s="118">
        <v>1.6</v>
      </c>
      <c r="E45" s="118">
        <v>1.29</v>
      </c>
      <c r="F45" s="118">
        <v>0.31</v>
      </c>
      <c r="G45" s="118">
        <v>23.550999999999998</v>
      </c>
    </row>
    <row r="46" spans="2:7" x14ac:dyDescent="0.2">
      <c r="B46" s="116" t="s">
        <v>147</v>
      </c>
      <c r="C46" s="117" t="s">
        <v>148</v>
      </c>
      <c r="D46" s="118">
        <v>0.37</v>
      </c>
      <c r="E46" s="118">
        <v>0.49</v>
      </c>
      <c r="F46" s="118">
        <v>1.29</v>
      </c>
      <c r="G46" s="118">
        <v>56.314990000000002</v>
      </c>
    </row>
    <row r="47" spans="2:7" x14ac:dyDescent="0.2">
      <c r="B47" s="116" t="s">
        <v>149</v>
      </c>
      <c r="C47" s="117" t="s">
        <v>150</v>
      </c>
      <c r="D47" s="118">
        <v>0.36</v>
      </c>
      <c r="E47" s="118">
        <v>0.25</v>
      </c>
      <c r="F47" s="118">
        <v>3.2</v>
      </c>
      <c r="G47" s="118">
        <v>76.170990000000003</v>
      </c>
    </row>
    <row r="48" spans="2:7" x14ac:dyDescent="0.2">
      <c r="B48" s="116" t="s">
        <v>152</v>
      </c>
      <c r="C48" s="117" t="s">
        <v>153</v>
      </c>
      <c r="D48" s="118">
        <v>1.01</v>
      </c>
      <c r="E48" s="118">
        <v>1.36</v>
      </c>
      <c r="F48" s="118">
        <v>3.41</v>
      </c>
      <c r="G48" s="118">
        <v>77.344999999999999</v>
      </c>
    </row>
    <row r="49" spans="2:7" x14ac:dyDescent="0.2">
      <c r="B49" s="116" t="s">
        <v>3566</v>
      </c>
      <c r="C49" s="117" t="s">
        <v>3567</v>
      </c>
      <c r="D49" s="118">
        <v>1.17</v>
      </c>
      <c r="E49" s="118">
        <v>1.0900000000000001</v>
      </c>
      <c r="F49" s="118">
        <v>0.67</v>
      </c>
      <c r="G49" s="118">
        <v>40.120989999999999</v>
      </c>
    </row>
    <row r="50" spans="2:7" x14ac:dyDescent="0.2">
      <c r="B50" s="116" t="s">
        <v>154</v>
      </c>
      <c r="C50" s="117" t="s">
        <v>155</v>
      </c>
      <c r="D50" s="118">
        <v>0.14000000000000001</v>
      </c>
      <c r="E50" s="118">
        <v>0.15</v>
      </c>
      <c r="F50" s="118">
        <v>0.23</v>
      </c>
      <c r="G50" s="118">
        <v>18.940989999999999</v>
      </c>
    </row>
    <row r="51" spans="2:7" x14ac:dyDescent="0.2">
      <c r="B51" s="116" t="s">
        <v>156</v>
      </c>
      <c r="C51" s="117" t="s">
        <v>157</v>
      </c>
      <c r="D51" s="118">
        <v>0.06</v>
      </c>
      <c r="E51" s="118">
        <v>0.04</v>
      </c>
      <c r="F51" s="118">
        <v>0.22</v>
      </c>
      <c r="G51" s="118">
        <v>18.076000000000001</v>
      </c>
    </row>
    <row r="52" spans="2:7" x14ac:dyDescent="0.2">
      <c r="B52" s="116" t="s">
        <v>159</v>
      </c>
      <c r="C52" s="117" t="s">
        <v>160</v>
      </c>
      <c r="D52" s="118">
        <v>0.57999999999999996</v>
      </c>
      <c r="E52" s="118">
        <v>0.67</v>
      </c>
      <c r="F52" s="118"/>
      <c r="G52" s="118">
        <v>83.003990000000002</v>
      </c>
    </row>
    <row r="53" spans="2:7" x14ac:dyDescent="0.2">
      <c r="B53" s="116" t="s">
        <v>161</v>
      </c>
      <c r="C53" s="117" t="s">
        <v>162</v>
      </c>
      <c r="D53" s="118">
        <v>0.59</v>
      </c>
      <c r="E53" s="118">
        <v>1.29</v>
      </c>
      <c r="F53" s="118">
        <v>0.47</v>
      </c>
      <c r="G53" s="118">
        <v>31.986000000000001</v>
      </c>
    </row>
    <row r="54" spans="2:7" x14ac:dyDescent="0.2">
      <c r="B54" s="116" t="s">
        <v>164</v>
      </c>
      <c r="C54" s="117" t="s">
        <v>165</v>
      </c>
      <c r="D54" s="118">
        <v>0.06</v>
      </c>
      <c r="E54" s="118">
        <v>0.06</v>
      </c>
      <c r="F54" s="118">
        <v>0.21</v>
      </c>
      <c r="G54" s="118">
        <v>17.128990000000002</v>
      </c>
    </row>
    <row r="55" spans="2:7" x14ac:dyDescent="0.2">
      <c r="B55" s="116" t="s">
        <v>3568</v>
      </c>
      <c r="C55" s="117" t="s">
        <v>3569</v>
      </c>
      <c r="D55" s="118"/>
      <c r="E55" s="118"/>
      <c r="F55" s="118"/>
      <c r="G55" s="118"/>
    </row>
    <row r="56" spans="2:7" x14ac:dyDescent="0.2">
      <c r="B56" s="116" t="s">
        <v>166</v>
      </c>
      <c r="C56" s="117" t="s">
        <v>167</v>
      </c>
      <c r="D56" s="118">
        <v>0.98</v>
      </c>
      <c r="E56" s="118">
        <v>1.03</v>
      </c>
      <c r="F56" s="118">
        <v>0.34</v>
      </c>
      <c r="G56" s="118">
        <v>25.117999999999999</v>
      </c>
    </row>
    <row r="57" spans="2:7" x14ac:dyDescent="0.2">
      <c r="B57" s="116" t="s">
        <v>169</v>
      </c>
      <c r="C57" s="117" t="s">
        <v>170</v>
      </c>
      <c r="D57" s="118">
        <v>0.31</v>
      </c>
      <c r="E57" s="118">
        <v>0.13</v>
      </c>
      <c r="F57" s="118">
        <v>0.03</v>
      </c>
      <c r="G57" s="118">
        <v>2.3685900000000002</v>
      </c>
    </row>
    <row r="58" spans="2:7" x14ac:dyDescent="0.2">
      <c r="B58" s="116" t="s">
        <v>3570</v>
      </c>
      <c r="C58" s="117" t="s">
        <v>3571</v>
      </c>
      <c r="D58" s="118">
        <v>0.49</v>
      </c>
      <c r="E58" s="118">
        <v>0.65</v>
      </c>
      <c r="F58" s="118">
        <v>0.18</v>
      </c>
      <c r="G58" s="118">
        <v>15.5</v>
      </c>
    </row>
    <row r="59" spans="2:7" x14ac:dyDescent="0.2">
      <c r="B59" s="116" t="s">
        <v>3572</v>
      </c>
      <c r="C59" s="117" t="s">
        <v>3573</v>
      </c>
      <c r="D59" s="118">
        <v>1.1399999999999999</v>
      </c>
      <c r="E59" s="118">
        <v>1.1399999999999999</v>
      </c>
      <c r="F59" s="118"/>
      <c r="G59" s="118">
        <v>49.174990000000001</v>
      </c>
    </row>
    <row r="60" spans="2:7" x14ac:dyDescent="0.2">
      <c r="B60" s="116" t="s">
        <v>172</v>
      </c>
      <c r="C60" s="117" t="s">
        <v>173</v>
      </c>
      <c r="D60" s="118">
        <v>0.57999999999999996</v>
      </c>
      <c r="E60" s="118">
        <v>0.64</v>
      </c>
      <c r="F60" s="118">
        <v>0.41</v>
      </c>
      <c r="G60" s="118">
        <v>29</v>
      </c>
    </row>
    <row r="61" spans="2:7" x14ac:dyDescent="0.2">
      <c r="B61" s="116" t="s">
        <v>174</v>
      </c>
      <c r="C61" s="117" t="s">
        <v>175</v>
      </c>
      <c r="D61" s="118">
        <v>2.5299999999999998</v>
      </c>
      <c r="E61" s="118">
        <v>2.76</v>
      </c>
      <c r="F61" s="118"/>
      <c r="G61" s="118">
        <v>4.9923000000000002</v>
      </c>
    </row>
    <row r="62" spans="2:7" x14ac:dyDescent="0.2">
      <c r="B62" s="116" t="s">
        <v>3574</v>
      </c>
      <c r="C62" s="117" t="s">
        <v>3575</v>
      </c>
      <c r="D62" s="118">
        <v>1.22</v>
      </c>
      <c r="E62" s="118">
        <v>1.2</v>
      </c>
      <c r="F62" s="118"/>
      <c r="G62" s="118">
        <v>29.03199</v>
      </c>
    </row>
    <row r="63" spans="2:7" x14ac:dyDescent="0.2">
      <c r="B63" s="116" t="s">
        <v>177</v>
      </c>
      <c r="C63" s="117" t="s">
        <v>178</v>
      </c>
      <c r="D63" s="118">
        <v>0.92</v>
      </c>
      <c r="E63" s="118">
        <v>1.51</v>
      </c>
      <c r="F63" s="118">
        <v>0.17</v>
      </c>
      <c r="G63" s="118">
        <v>14.343</v>
      </c>
    </row>
    <row r="64" spans="2:7" x14ac:dyDescent="0.2">
      <c r="B64" s="116" t="s">
        <v>180</v>
      </c>
      <c r="C64" s="117" t="s">
        <v>181</v>
      </c>
      <c r="D64" s="118">
        <v>0.26</v>
      </c>
      <c r="E64" s="118">
        <v>0.28000000000000003</v>
      </c>
      <c r="F64" s="118">
        <v>0.55000000000000004</v>
      </c>
      <c r="G64" s="118">
        <v>35.442</v>
      </c>
    </row>
    <row r="65" spans="2:7" x14ac:dyDescent="0.2">
      <c r="B65" s="116" t="s">
        <v>182</v>
      </c>
      <c r="C65" s="117" t="s">
        <v>183</v>
      </c>
      <c r="D65" s="118">
        <v>0.71</v>
      </c>
      <c r="E65" s="118">
        <v>0.73</v>
      </c>
      <c r="F65" s="118">
        <v>0.68</v>
      </c>
      <c r="G65" s="118">
        <v>40.5</v>
      </c>
    </row>
    <row r="66" spans="2:7" x14ac:dyDescent="0.2">
      <c r="B66" s="116" t="s">
        <v>184</v>
      </c>
      <c r="C66" s="117" t="s">
        <v>185</v>
      </c>
      <c r="D66" s="118">
        <v>0.3</v>
      </c>
      <c r="E66" s="118">
        <v>0.3</v>
      </c>
      <c r="F66" s="118"/>
      <c r="G66" s="118">
        <v>49.944989999999997</v>
      </c>
    </row>
    <row r="67" spans="2:7" x14ac:dyDescent="0.2">
      <c r="B67" s="116" t="s">
        <v>186</v>
      </c>
      <c r="C67" s="117" t="s">
        <v>187</v>
      </c>
      <c r="D67" s="118">
        <v>0.32</v>
      </c>
      <c r="E67" s="118">
        <v>0.22</v>
      </c>
      <c r="F67" s="118">
        <v>2.17</v>
      </c>
      <c r="G67" s="118">
        <v>68.983000000000004</v>
      </c>
    </row>
    <row r="68" spans="2:7" x14ac:dyDescent="0.2">
      <c r="B68" s="116" t="s">
        <v>188</v>
      </c>
      <c r="C68" s="117" t="s">
        <v>189</v>
      </c>
      <c r="D68" s="118">
        <v>0.47</v>
      </c>
      <c r="E68" s="118">
        <v>0.48</v>
      </c>
      <c r="F68" s="118">
        <v>0.35</v>
      </c>
      <c r="G68" s="118">
        <v>25.841989999999999</v>
      </c>
    </row>
    <row r="69" spans="2:7" x14ac:dyDescent="0.2">
      <c r="B69" s="116" t="s">
        <v>190</v>
      </c>
      <c r="C69" s="117" t="s">
        <v>191</v>
      </c>
      <c r="D69" s="118">
        <v>1.06</v>
      </c>
      <c r="E69" s="118">
        <v>1.07</v>
      </c>
      <c r="F69" s="118">
        <v>0.77</v>
      </c>
      <c r="G69" s="118">
        <v>43.54</v>
      </c>
    </row>
    <row r="70" spans="2:7" x14ac:dyDescent="0.2">
      <c r="B70" s="116" t="s">
        <v>3576</v>
      </c>
      <c r="C70" s="117" t="s">
        <v>3577</v>
      </c>
      <c r="D70" s="118">
        <v>1.39</v>
      </c>
      <c r="E70" s="118">
        <v>2.0299999999999998</v>
      </c>
      <c r="F70" s="118"/>
      <c r="G70" s="118">
        <v>30.891999999999999</v>
      </c>
    </row>
    <row r="71" spans="2:7" x14ac:dyDescent="0.2">
      <c r="B71" s="116" t="s">
        <v>193</v>
      </c>
      <c r="C71" s="117" t="s">
        <v>194</v>
      </c>
      <c r="D71" s="118"/>
      <c r="E71" s="118"/>
      <c r="F71" s="118"/>
      <c r="G71" s="118"/>
    </row>
    <row r="72" spans="2:7" x14ac:dyDescent="0.2">
      <c r="B72" s="116" t="s">
        <v>196</v>
      </c>
      <c r="C72" s="117" t="s">
        <v>197</v>
      </c>
      <c r="D72" s="118">
        <v>1.41</v>
      </c>
      <c r="E72" s="118">
        <v>1.53</v>
      </c>
      <c r="F72" s="118">
        <v>0.78</v>
      </c>
      <c r="G72" s="118">
        <v>43.905990000000003</v>
      </c>
    </row>
    <row r="73" spans="2:7" x14ac:dyDescent="0.2">
      <c r="B73" s="116" t="s">
        <v>200</v>
      </c>
      <c r="C73" s="117" t="s">
        <v>201</v>
      </c>
      <c r="D73" s="118">
        <v>2.09</v>
      </c>
      <c r="E73" s="118">
        <v>2.95</v>
      </c>
      <c r="F73" s="118">
        <v>0.35</v>
      </c>
      <c r="G73" s="118">
        <v>25.992000000000001</v>
      </c>
    </row>
    <row r="74" spans="2:7" x14ac:dyDescent="0.2">
      <c r="B74" s="116" t="s">
        <v>3578</v>
      </c>
      <c r="C74" s="117" t="s">
        <v>3579</v>
      </c>
      <c r="D74" s="118">
        <v>1.17</v>
      </c>
      <c r="E74" s="118">
        <v>1.1499999999999999</v>
      </c>
      <c r="F74" s="118"/>
      <c r="G74" s="118">
        <v>50.148989999999998</v>
      </c>
    </row>
    <row r="75" spans="2:7" x14ac:dyDescent="0.2">
      <c r="B75" s="116" t="s">
        <v>203</v>
      </c>
      <c r="C75" s="117" t="s">
        <v>204</v>
      </c>
      <c r="D75" s="118">
        <v>2.85</v>
      </c>
      <c r="E75" s="118">
        <v>1.76</v>
      </c>
      <c r="F75" s="118">
        <v>0.28000000000000003</v>
      </c>
      <c r="G75" s="118">
        <v>21.645990000000001</v>
      </c>
    </row>
    <row r="76" spans="2:7" x14ac:dyDescent="0.2">
      <c r="B76" s="116" t="s">
        <v>205</v>
      </c>
      <c r="C76" s="117" t="s">
        <v>206</v>
      </c>
      <c r="D76" s="118">
        <v>0.85</v>
      </c>
      <c r="E76" s="118">
        <v>0.64</v>
      </c>
      <c r="F76" s="118">
        <v>2.4300000000000002</v>
      </c>
      <c r="G76" s="118">
        <v>70.813999999999993</v>
      </c>
    </row>
    <row r="77" spans="2:7" x14ac:dyDescent="0.2">
      <c r="B77" s="116" t="s">
        <v>208</v>
      </c>
      <c r="C77" s="117" t="s">
        <v>209</v>
      </c>
      <c r="D77" s="118">
        <v>1.1000000000000001</v>
      </c>
      <c r="E77" s="118">
        <v>1.45</v>
      </c>
      <c r="F77" s="118">
        <v>0.35</v>
      </c>
      <c r="G77" s="118">
        <v>26.027989999999999</v>
      </c>
    </row>
    <row r="78" spans="2:7" x14ac:dyDescent="0.2">
      <c r="B78" s="116" t="s">
        <v>210</v>
      </c>
      <c r="C78" s="117" t="s">
        <v>211</v>
      </c>
      <c r="D78" s="118">
        <v>0.61</v>
      </c>
      <c r="E78" s="118">
        <v>1.34</v>
      </c>
      <c r="F78" s="118">
        <v>0.68</v>
      </c>
      <c r="G78" s="118">
        <v>40.58</v>
      </c>
    </row>
    <row r="79" spans="2:7" x14ac:dyDescent="0.2">
      <c r="B79" s="116" t="s">
        <v>3580</v>
      </c>
      <c r="C79" s="117" t="s">
        <v>3581</v>
      </c>
      <c r="D79" s="118">
        <v>0.79</v>
      </c>
      <c r="E79" s="118">
        <v>1.18</v>
      </c>
      <c r="F79" s="118">
        <v>0.42</v>
      </c>
      <c r="G79" s="118">
        <v>29.716989999999999</v>
      </c>
    </row>
    <row r="80" spans="2:7" x14ac:dyDescent="0.2">
      <c r="B80" s="116" t="s">
        <v>212</v>
      </c>
      <c r="C80" s="117" t="s">
        <v>213</v>
      </c>
      <c r="D80" s="118">
        <v>1.8</v>
      </c>
      <c r="E80" s="118">
        <v>1.85</v>
      </c>
      <c r="F80" s="118">
        <v>0.04</v>
      </c>
      <c r="G80" s="118">
        <v>4.1275000000000004</v>
      </c>
    </row>
    <row r="81" spans="2:7" x14ac:dyDescent="0.2">
      <c r="B81" s="116" t="s">
        <v>214</v>
      </c>
      <c r="C81" s="117" t="s">
        <v>215</v>
      </c>
      <c r="D81" s="118">
        <v>0.59</v>
      </c>
      <c r="E81" s="118">
        <v>0.63</v>
      </c>
      <c r="F81" s="118">
        <v>0.75</v>
      </c>
      <c r="G81" s="118">
        <v>42.710990000000002</v>
      </c>
    </row>
    <row r="82" spans="2:7" x14ac:dyDescent="0.2">
      <c r="B82" s="116" t="s">
        <v>216</v>
      </c>
      <c r="C82" s="117" t="s">
        <v>217</v>
      </c>
      <c r="D82" s="118">
        <v>2.63</v>
      </c>
      <c r="E82" s="118">
        <v>2.98</v>
      </c>
      <c r="F82" s="118">
        <v>0.25</v>
      </c>
      <c r="G82" s="118">
        <v>20.152000000000001</v>
      </c>
    </row>
    <row r="83" spans="2:7" x14ac:dyDescent="0.2">
      <c r="B83" s="116" t="s">
        <v>218</v>
      </c>
      <c r="C83" s="117" t="s">
        <v>219</v>
      </c>
      <c r="D83" s="118">
        <v>0.27</v>
      </c>
      <c r="E83" s="118">
        <v>0.28000000000000003</v>
      </c>
      <c r="F83" s="118">
        <v>0.28999999999999998</v>
      </c>
      <c r="G83" s="118">
        <v>21.309000000000001</v>
      </c>
    </row>
    <row r="84" spans="2:7" x14ac:dyDescent="0.2">
      <c r="B84" s="116" t="s">
        <v>220</v>
      </c>
      <c r="C84" s="117" t="s">
        <v>221</v>
      </c>
      <c r="D84" s="118">
        <v>1.25</v>
      </c>
      <c r="E84" s="118">
        <v>1.71</v>
      </c>
      <c r="F84" s="118">
        <v>2.1</v>
      </c>
      <c r="G84" s="118">
        <v>67.734999999999999</v>
      </c>
    </row>
    <row r="85" spans="2:7" x14ac:dyDescent="0.2">
      <c r="B85" s="116" t="s">
        <v>222</v>
      </c>
      <c r="C85" s="117" t="s">
        <v>223</v>
      </c>
      <c r="D85" s="118">
        <v>34.549999999999997</v>
      </c>
      <c r="E85" s="118">
        <v>16.579999999999998</v>
      </c>
      <c r="F85" s="118">
        <v>0</v>
      </c>
      <c r="G85" s="118">
        <v>0</v>
      </c>
    </row>
    <row r="86" spans="2:7" x14ac:dyDescent="0.2">
      <c r="B86" s="116" t="s">
        <v>224</v>
      </c>
      <c r="C86" s="117" t="s">
        <v>225</v>
      </c>
      <c r="D86" s="118">
        <v>15.89</v>
      </c>
      <c r="E86" s="118">
        <v>13.46</v>
      </c>
      <c r="F86" s="118">
        <v>0.05</v>
      </c>
      <c r="G86" s="118">
        <v>5.0494899999999996</v>
      </c>
    </row>
    <row r="87" spans="2:7" x14ac:dyDescent="0.2">
      <c r="B87" s="116" t="s">
        <v>226</v>
      </c>
      <c r="C87" s="117" t="s">
        <v>227</v>
      </c>
      <c r="D87" s="118">
        <v>1.1499999999999999</v>
      </c>
      <c r="E87" s="118">
        <v>1.07</v>
      </c>
      <c r="F87" s="118">
        <v>2.62</v>
      </c>
      <c r="G87" s="118">
        <v>72.352990000000005</v>
      </c>
    </row>
    <row r="88" spans="2:7" x14ac:dyDescent="0.2">
      <c r="B88" s="116" t="s">
        <v>3582</v>
      </c>
      <c r="C88" s="117" t="s">
        <v>3583</v>
      </c>
      <c r="D88" s="118">
        <v>0.93</v>
      </c>
      <c r="E88" s="118">
        <v>0.95</v>
      </c>
      <c r="F88" s="118">
        <v>0.66</v>
      </c>
      <c r="G88" s="118">
        <v>39.890990000000002</v>
      </c>
    </row>
    <row r="89" spans="2:7" x14ac:dyDescent="0.2">
      <c r="B89" s="116" t="s">
        <v>229</v>
      </c>
      <c r="C89" s="117" t="s">
        <v>230</v>
      </c>
      <c r="D89" s="118">
        <v>6.56</v>
      </c>
      <c r="E89" s="118">
        <v>6.28</v>
      </c>
      <c r="F89" s="118">
        <v>0.17</v>
      </c>
      <c r="G89" s="118">
        <v>14.880990000000001</v>
      </c>
    </row>
    <row r="90" spans="2:7" x14ac:dyDescent="0.2">
      <c r="B90" s="116" t="s">
        <v>3584</v>
      </c>
      <c r="C90" s="117" t="s">
        <v>3585</v>
      </c>
      <c r="D90" s="118">
        <v>1.42</v>
      </c>
      <c r="E90" s="118">
        <v>1.77</v>
      </c>
      <c r="F90" s="118">
        <v>0</v>
      </c>
      <c r="G90" s="118">
        <v>0</v>
      </c>
    </row>
    <row r="91" spans="2:7" x14ac:dyDescent="0.2">
      <c r="B91" s="116" t="s">
        <v>3586</v>
      </c>
      <c r="C91" s="117" t="s">
        <v>3587</v>
      </c>
      <c r="D91" s="118">
        <v>0.94</v>
      </c>
      <c r="E91" s="118">
        <v>1.1299999999999999</v>
      </c>
      <c r="F91" s="118"/>
      <c r="G91" s="118">
        <v>6.4341900000000001</v>
      </c>
    </row>
    <row r="92" spans="2:7" x14ac:dyDescent="0.2">
      <c r="B92" s="116" t="s">
        <v>231</v>
      </c>
      <c r="C92" s="117" t="s">
        <v>232</v>
      </c>
      <c r="D92" s="118">
        <v>1.3</v>
      </c>
      <c r="E92" s="118">
        <v>1.51</v>
      </c>
      <c r="F92" s="118">
        <v>3.76</v>
      </c>
      <c r="G92" s="118">
        <v>79.007000000000005</v>
      </c>
    </row>
    <row r="93" spans="2:7" x14ac:dyDescent="0.2">
      <c r="B93" s="116" t="s">
        <v>235</v>
      </c>
      <c r="C93" s="117" t="s">
        <v>236</v>
      </c>
      <c r="D93" s="118">
        <v>0.88</v>
      </c>
      <c r="E93" s="118">
        <v>1.26</v>
      </c>
      <c r="F93" s="118">
        <v>0.97</v>
      </c>
      <c r="G93" s="118">
        <v>49.232999999999997</v>
      </c>
    </row>
    <row r="94" spans="2:7" x14ac:dyDescent="0.2">
      <c r="B94" s="116" t="s">
        <v>237</v>
      </c>
      <c r="C94" s="117" t="s">
        <v>238</v>
      </c>
      <c r="D94" s="118">
        <v>2.48</v>
      </c>
      <c r="E94" s="118">
        <v>4.04</v>
      </c>
      <c r="F94" s="118">
        <v>0.26</v>
      </c>
      <c r="G94" s="118">
        <v>20.393989999999999</v>
      </c>
    </row>
    <row r="95" spans="2:7" x14ac:dyDescent="0.2">
      <c r="B95" s="116" t="s">
        <v>239</v>
      </c>
      <c r="C95" s="117" t="s">
        <v>240</v>
      </c>
      <c r="D95" s="118">
        <v>0.17</v>
      </c>
      <c r="E95" s="118">
        <v>0.49</v>
      </c>
      <c r="F95" s="118">
        <v>0.64</v>
      </c>
      <c r="G95" s="118">
        <v>38.874000000000002</v>
      </c>
    </row>
    <row r="96" spans="2:7" x14ac:dyDescent="0.2">
      <c r="B96" s="116" t="s">
        <v>243</v>
      </c>
      <c r="C96" s="117" t="s">
        <v>244</v>
      </c>
      <c r="D96" s="118">
        <v>0.51</v>
      </c>
      <c r="E96" s="118">
        <v>0.51</v>
      </c>
      <c r="F96" s="118"/>
      <c r="G96" s="118">
        <v>47.588999999999999</v>
      </c>
    </row>
    <row r="97" spans="2:7" x14ac:dyDescent="0.2">
      <c r="B97" s="116" t="s">
        <v>246</v>
      </c>
      <c r="C97" s="117" t="s">
        <v>247</v>
      </c>
      <c r="D97" s="118">
        <v>1.73</v>
      </c>
      <c r="E97" s="118">
        <v>2.65</v>
      </c>
      <c r="F97" s="118">
        <v>0.65</v>
      </c>
      <c r="G97" s="118">
        <v>39.558990000000001</v>
      </c>
    </row>
    <row r="98" spans="2:7" x14ac:dyDescent="0.2">
      <c r="B98" s="116" t="s">
        <v>3588</v>
      </c>
      <c r="C98" s="117" t="s">
        <v>3589</v>
      </c>
      <c r="D98" s="118">
        <v>0.72</v>
      </c>
      <c r="E98" s="118">
        <v>1.1499999999999999</v>
      </c>
      <c r="F98" s="118">
        <v>0.94</v>
      </c>
      <c r="G98" s="118">
        <v>48.334989999999998</v>
      </c>
    </row>
    <row r="99" spans="2:7" x14ac:dyDescent="0.2">
      <c r="B99" s="116" t="s">
        <v>249</v>
      </c>
      <c r="C99" s="117" t="s">
        <v>250</v>
      </c>
      <c r="D99" s="118">
        <v>1.36</v>
      </c>
      <c r="E99" s="118">
        <v>2.08</v>
      </c>
      <c r="F99" s="118">
        <v>0.54</v>
      </c>
      <c r="G99" s="118">
        <v>35.164000000000001</v>
      </c>
    </row>
    <row r="100" spans="2:7" x14ac:dyDescent="0.2">
      <c r="B100" s="116" t="s">
        <v>3590</v>
      </c>
      <c r="C100" s="117" t="s">
        <v>3591</v>
      </c>
      <c r="D100" s="118">
        <v>2.14</v>
      </c>
      <c r="E100" s="118">
        <v>3.09</v>
      </c>
      <c r="F100" s="118"/>
      <c r="G100" s="118">
        <v>1.0125900000000001</v>
      </c>
    </row>
    <row r="101" spans="2:7" x14ac:dyDescent="0.2">
      <c r="B101" s="116" t="s">
        <v>252</v>
      </c>
      <c r="C101" s="117" t="s">
        <v>253</v>
      </c>
      <c r="D101" s="118">
        <v>0.96</v>
      </c>
      <c r="E101" s="118">
        <v>2.17</v>
      </c>
      <c r="F101" s="118">
        <v>0.51</v>
      </c>
      <c r="G101" s="118">
        <v>33.667990000000003</v>
      </c>
    </row>
    <row r="102" spans="2:7" x14ac:dyDescent="0.2">
      <c r="B102" s="116" t="s">
        <v>254</v>
      </c>
      <c r="C102" s="117" t="s">
        <v>255</v>
      </c>
      <c r="D102" s="118">
        <v>1.01</v>
      </c>
      <c r="E102" s="118">
        <v>0.88</v>
      </c>
      <c r="F102" s="118">
        <v>0.57999999999999996</v>
      </c>
      <c r="G102" s="118">
        <v>36.520000000000003</v>
      </c>
    </row>
    <row r="103" spans="2:7" x14ac:dyDescent="0.2">
      <c r="B103" s="116" t="s">
        <v>257</v>
      </c>
      <c r="C103" s="117" t="s">
        <v>258</v>
      </c>
      <c r="D103" s="118">
        <v>0.71</v>
      </c>
      <c r="E103" s="118">
        <v>0.38</v>
      </c>
      <c r="F103" s="118">
        <v>0</v>
      </c>
      <c r="G103" s="118">
        <v>15.972</v>
      </c>
    </row>
    <row r="104" spans="2:7" x14ac:dyDescent="0.2">
      <c r="B104" s="116" t="s">
        <v>259</v>
      </c>
      <c r="C104" s="117" t="s">
        <v>260</v>
      </c>
      <c r="D104" s="118">
        <v>2.57</v>
      </c>
      <c r="E104" s="118">
        <v>2.89</v>
      </c>
      <c r="F104" s="118">
        <v>2.58</v>
      </c>
      <c r="G104" s="118">
        <v>72.029989999999998</v>
      </c>
    </row>
    <row r="105" spans="2:7" x14ac:dyDescent="0.2">
      <c r="B105" s="116" t="s">
        <v>261</v>
      </c>
      <c r="C105" s="117" t="s">
        <v>262</v>
      </c>
      <c r="D105" s="118">
        <v>0.93</v>
      </c>
      <c r="E105" s="118">
        <v>1.05</v>
      </c>
      <c r="F105" s="118">
        <v>0.47</v>
      </c>
      <c r="G105" s="118">
        <v>32.151000000000003</v>
      </c>
    </row>
    <row r="106" spans="2:7" x14ac:dyDescent="0.2">
      <c r="B106" s="116" t="s">
        <v>263</v>
      </c>
      <c r="C106" s="117" t="s">
        <v>264</v>
      </c>
      <c r="D106" s="118">
        <v>1.56</v>
      </c>
      <c r="E106" s="118">
        <v>1.37</v>
      </c>
      <c r="F106" s="118"/>
      <c r="G106" s="118">
        <v>31.663989999999998</v>
      </c>
    </row>
    <row r="107" spans="2:7" x14ac:dyDescent="0.2">
      <c r="B107" s="116" t="s">
        <v>266</v>
      </c>
      <c r="C107" s="117" t="s">
        <v>267</v>
      </c>
      <c r="D107" s="118">
        <v>0.68</v>
      </c>
      <c r="E107" s="118">
        <v>0.78</v>
      </c>
      <c r="F107" s="118">
        <v>0.8</v>
      </c>
      <c r="G107" s="118">
        <v>44.377989999999997</v>
      </c>
    </row>
    <row r="108" spans="2:7" x14ac:dyDescent="0.2">
      <c r="B108" s="116" t="s">
        <v>268</v>
      </c>
      <c r="C108" s="117" t="s">
        <v>269</v>
      </c>
      <c r="D108" s="118">
        <v>2.04</v>
      </c>
      <c r="E108" s="118">
        <v>2.0099999999999998</v>
      </c>
      <c r="F108" s="118">
        <v>0.18</v>
      </c>
      <c r="G108" s="118">
        <v>13.467000000000001</v>
      </c>
    </row>
    <row r="109" spans="2:7" x14ac:dyDescent="0.2">
      <c r="B109" s="116" t="s">
        <v>3592</v>
      </c>
      <c r="C109" s="117" t="s">
        <v>3593</v>
      </c>
      <c r="D109" s="118">
        <v>1.43</v>
      </c>
      <c r="E109" s="118">
        <v>1.81</v>
      </c>
      <c r="F109" s="118">
        <v>1.07</v>
      </c>
      <c r="G109" s="118">
        <v>51.719000000000001</v>
      </c>
    </row>
    <row r="110" spans="2:7" x14ac:dyDescent="0.2">
      <c r="B110" s="116" t="s">
        <v>270</v>
      </c>
      <c r="C110" s="117" t="s">
        <v>271</v>
      </c>
      <c r="D110" s="118">
        <v>0.68</v>
      </c>
      <c r="E110" s="118">
        <v>0.49</v>
      </c>
      <c r="F110" s="118">
        <v>4.13</v>
      </c>
      <c r="G110" s="118">
        <v>80.502989999999997</v>
      </c>
    </row>
    <row r="111" spans="2:7" x14ac:dyDescent="0.2">
      <c r="B111" s="116" t="s">
        <v>273</v>
      </c>
      <c r="C111" s="117" t="s">
        <v>274</v>
      </c>
      <c r="D111" s="118">
        <v>1.1499999999999999</v>
      </c>
      <c r="E111" s="118">
        <v>1.1599999999999999</v>
      </c>
      <c r="F111" s="118">
        <v>0.42</v>
      </c>
      <c r="G111" s="118">
        <v>29.617999999999999</v>
      </c>
    </row>
    <row r="112" spans="2:7" x14ac:dyDescent="0.2">
      <c r="B112" s="116" t="s">
        <v>276</v>
      </c>
      <c r="C112" s="117" t="s">
        <v>277</v>
      </c>
      <c r="D112" s="118">
        <v>0.66</v>
      </c>
      <c r="E112" s="118">
        <v>0.66</v>
      </c>
      <c r="F112" s="118">
        <v>2.33</v>
      </c>
      <c r="G112" s="118">
        <v>70.007000000000005</v>
      </c>
    </row>
    <row r="113" spans="2:7" x14ac:dyDescent="0.2">
      <c r="B113" s="116" t="s">
        <v>279</v>
      </c>
      <c r="C113" s="117" t="s">
        <v>280</v>
      </c>
      <c r="D113" s="118">
        <v>0.85</v>
      </c>
      <c r="E113" s="118">
        <v>1.1000000000000001</v>
      </c>
      <c r="F113" s="118">
        <v>0.44</v>
      </c>
      <c r="G113" s="118">
        <v>30.538989999999998</v>
      </c>
    </row>
    <row r="114" spans="2:7" x14ac:dyDescent="0.2">
      <c r="B114" s="116" t="s">
        <v>282</v>
      </c>
      <c r="C114" s="117" t="s">
        <v>283</v>
      </c>
      <c r="D114" s="118">
        <v>0.22</v>
      </c>
      <c r="E114" s="118">
        <v>0.83</v>
      </c>
      <c r="F114" s="118">
        <v>0.65</v>
      </c>
      <c r="G114" s="118">
        <v>39.534990000000001</v>
      </c>
    </row>
    <row r="115" spans="2:7" x14ac:dyDescent="0.2">
      <c r="B115" s="116" t="s">
        <v>3594</v>
      </c>
      <c r="C115" s="117" t="s">
        <v>3595</v>
      </c>
      <c r="D115" s="118">
        <v>0.31</v>
      </c>
      <c r="E115" s="118">
        <v>0.32</v>
      </c>
      <c r="F115" s="118">
        <v>0</v>
      </c>
      <c r="G115" s="118">
        <v>0</v>
      </c>
    </row>
    <row r="116" spans="2:7" x14ac:dyDescent="0.2">
      <c r="B116" s="116" t="s">
        <v>285</v>
      </c>
      <c r="C116" s="117" t="s">
        <v>286</v>
      </c>
      <c r="D116" s="118">
        <v>4.04</v>
      </c>
      <c r="E116" s="118">
        <v>5.77</v>
      </c>
      <c r="F116" s="118">
        <v>0.04</v>
      </c>
      <c r="G116" s="118">
        <v>3.4300899999999999</v>
      </c>
    </row>
    <row r="117" spans="2:7" x14ac:dyDescent="0.2">
      <c r="B117" s="116" t="s">
        <v>288</v>
      </c>
      <c r="C117" s="117" t="s">
        <v>289</v>
      </c>
      <c r="D117" s="118">
        <v>2.36</v>
      </c>
      <c r="E117" s="118">
        <v>2.21</v>
      </c>
      <c r="F117" s="118">
        <v>0.18</v>
      </c>
      <c r="G117" s="118">
        <v>16.297000000000001</v>
      </c>
    </row>
    <row r="118" spans="2:7" x14ac:dyDescent="0.2">
      <c r="B118" s="116" t="s">
        <v>290</v>
      </c>
      <c r="C118" s="117" t="s">
        <v>291</v>
      </c>
      <c r="D118" s="118"/>
      <c r="E118" s="118"/>
      <c r="F118" s="118"/>
      <c r="G118" s="118"/>
    </row>
    <row r="119" spans="2:7" x14ac:dyDescent="0.2">
      <c r="B119" s="116" t="s">
        <v>292</v>
      </c>
      <c r="C119" s="117" t="s">
        <v>293</v>
      </c>
      <c r="D119" s="118">
        <v>2.5</v>
      </c>
      <c r="E119" s="118">
        <v>2.2400000000000002</v>
      </c>
      <c r="F119" s="118">
        <v>0.03</v>
      </c>
      <c r="G119" s="118">
        <v>3.1096900000000001</v>
      </c>
    </row>
    <row r="120" spans="2:7" x14ac:dyDescent="0.2">
      <c r="B120" s="116" t="s">
        <v>294</v>
      </c>
      <c r="C120" s="117" t="s">
        <v>295</v>
      </c>
      <c r="D120" s="118">
        <v>1.56</v>
      </c>
      <c r="E120" s="118">
        <v>1.64</v>
      </c>
      <c r="F120" s="118">
        <v>0.56999999999999995</v>
      </c>
      <c r="G120" s="118">
        <v>36.152990000000003</v>
      </c>
    </row>
    <row r="121" spans="2:7" x14ac:dyDescent="0.2">
      <c r="B121" s="116" t="s">
        <v>297</v>
      </c>
      <c r="C121" s="117" t="s">
        <v>298</v>
      </c>
      <c r="D121" s="118">
        <v>1.18</v>
      </c>
      <c r="E121" s="118">
        <v>1.19</v>
      </c>
      <c r="F121" s="118"/>
      <c r="G121" s="118">
        <v>68.379990000000006</v>
      </c>
    </row>
    <row r="122" spans="2:7" x14ac:dyDescent="0.2">
      <c r="B122" s="116" t="s">
        <v>300</v>
      </c>
      <c r="C122" s="117" t="s">
        <v>301</v>
      </c>
      <c r="D122" s="118">
        <v>1.64</v>
      </c>
      <c r="E122" s="118">
        <v>1.83</v>
      </c>
      <c r="F122" s="118">
        <v>1.72</v>
      </c>
      <c r="G122" s="118">
        <v>63.268999999999998</v>
      </c>
    </row>
    <row r="123" spans="2:7" x14ac:dyDescent="0.2">
      <c r="B123" s="116" t="s">
        <v>302</v>
      </c>
      <c r="C123" s="117" t="s">
        <v>303</v>
      </c>
      <c r="D123" s="118">
        <v>1.7</v>
      </c>
      <c r="E123" s="118">
        <v>2.19</v>
      </c>
      <c r="F123" s="118">
        <v>0.23</v>
      </c>
      <c r="G123" s="118">
        <v>18.503990000000002</v>
      </c>
    </row>
    <row r="124" spans="2:7" x14ac:dyDescent="0.2">
      <c r="B124" s="116" t="s">
        <v>304</v>
      </c>
      <c r="C124" s="117" t="s">
        <v>305</v>
      </c>
      <c r="D124" s="118">
        <v>1.04</v>
      </c>
      <c r="E124" s="118">
        <v>1.23</v>
      </c>
      <c r="F124" s="118">
        <v>1</v>
      </c>
      <c r="G124" s="118">
        <v>50.008989999999997</v>
      </c>
    </row>
    <row r="125" spans="2:7" x14ac:dyDescent="0.2">
      <c r="B125" s="116" t="s">
        <v>307</v>
      </c>
      <c r="C125" s="117" t="s">
        <v>308</v>
      </c>
      <c r="D125" s="118">
        <v>2</v>
      </c>
      <c r="E125" s="118">
        <v>2.2799999999999998</v>
      </c>
      <c r="F125" s="118">
        <v>0.28000000000000003</v>
      </c>
      <c r="G125" s="118">
        <v>21.821999999999999</v>
      </c>
    </row>
    <row r="126" spans="2:7" x14ac:dyDescent="0.2">
      <c r="B126" s="116" t="s">
        <v>309</v>
      </c>
      <c r="C126" s="117" t="s">
        <v>310</v>
      </c>
      <c r="D126" s="118"/>
      <c r="E126" s="118"/>
      <c r="F126" s="118"/>
      <c r="G126" s="118"/>
    </row>
    <row r="127" spans="2:7" x14ac:dyDescent="0.2">
      <c r="B127" s="116" t="s">
        <v>312</v>
      </c>
      <c r="C127" s="117" t="s">
        <v>313</v>
      </c>
      <c r="D127" s="118">
        <v>1.36</v>
      </c>
      <c r="E127" s="118">
        <v>2.06</v>
      </c>
      <c r="F127" s="118">
        <v>0.85</v>
      </c>
      <c r="G127" s="118">
        <v>45.923000000000002</v>
      </c>
    </row>
    <row r="128" spans="2:7" x14ac:dyDescent="0.2">
      <c r="B128" s="116" t="s">
        <v>3596</v>
      </c>
      <c r="C128" s="117" t="s">
        <v>3597</v>
      </c>
      <c r="D128" s="118">
        <v>0.27</v>
      </c>
      <c r="E128" s="118">
        <v>0.04</v>
      </c>
      <c r="F128" s="118">
        <v>0.05</v>
      </c>
      <c r="G128" s="118">
        <v>4.6509999999999998</v>
      </c>
    </row>
    <row r="129" spans="2:7" x14ac:dyDescent="0.2">
      <c r="B129" s="116" t="s">
        <v>315</v>
      </c>
      <c r="C129" s="117" t="s">
        <v>316</v>
      </c>
      <c r="D129" s="118">
        <v>1.23</v>
      </c>
      <c r="E129" s="118">
        <v>1.64</v>
      </c>
      <c r="F129" s="118">
        <v>1.24</v>
      </c>
      <c r="G129" s="118">
        <v>49.15</v>
      </c>
    </row>
    <row r="130" spans="2:7" x14ac:dyDescent="0.2">
      <c r="B130" s="116" t="s">
        <v>317</v>
      </c>
      <c r="C130" s="117" t="s">
        <v>318</v>
      </c>
      <c r="D130" s="118">
        <v>3.83</v>
      </c>
      <c r="E130" s="118">
        <v>1.53</v>
      </c>
      <c r="F130" s="118">
        <v>0.56000000000000005</v>
      </c>
      <c r="G130" s="118">
        <v>35.844999999999999</v>
      </c>
    </row>
    <row r="131" spans="2:7" x14ac:dyDescent="0.2">
      <c r="B131" s="116" t="s">
        <v>320</v>
      </c>
      <c r="C131" s="117" t="s">
        <v>321</v>
      </c>
      <c r="D131" s="118">
        <v>1.63</v>
      </c>
      <c r="E131" s="118">
        <v>1.32</v>
      </c>
      <c r="F131" s="118">
        <v>0.04</v>
      </c>
      <c r="G131" s="118">
        <v>4.1542000000000003</v>
      </c>
    </row>
    <row r="132" spans="2:7" x14ac:dyDescent="0.2">
      <c r="B132" s="116" t="s">
        <v>322</v>
      </c>
      <c r="C132" s="117" t="s">
        <v>323</v>
      </c>
      <c r="D132" s="118">
        <v>0.95</v>
      </c>
      <c r="E132" s="118">
        <v>1.22</v>
      </c>
      <c r="F132" s="118">
        <v>1.1599999999999999</v>
      </c>
      <c r="G132" s="118">
        <v>53.805990000000001</v>
      </c>
    </row>
    <row r="133" spans="2:7" x14ac:dyDescent="0.2">
      <c r="B133" s="116" t="s">
        <v>325</v>
      </c>
      <c r="C133" s="117" t="s">
        <v>326</v>
      </c>
      <c r="D133" s="118">
        <v>0.79</v>
      </c>
      <c r="E133" s="118">
        <v>1.03</v>
      </c>
      <c r="F133" s="118">
        <v>1.01</v>
      </c>
      <c r="G133" s="118">
        <v>51.213999999999999</v>
      </c>
    </row>
    <row r="134" spans="2:7" x14ac:dyDescent="0.2">
      <c r="B134" s="116" t="s">
        <v>327</v>
      </c>
      <c r="C134" s="117" t="s">
        <v>328</v>
      </c>
      <c r="D134" s="118">
        <v>1.05</v>
      </c>
      <c r="E134" s="118">
        <v>2.1</v>
      </c>
      <c r="F134" s="118">
        <v>0.82</v>
      </c>
      <c r="G134" s="118">
        <v>44.981990000000003</v>
      </c>
    </row>
    <row r="135" spans="2:7" x14ac:dyDescent="0.2">
      <c r="B135" s="116" t="s">
        <v>330</v>
      </c>
      <c r="C135" s="117" t="s">
        <v>331</v>
      </c>
      <c r="D135" s="118">
        <v>0.28999999999999998</v>
      </c>
      <c r="E135" s="118">
        <v>0.21</v>
      </c>
      <c r="F135" s="118">
        <v>0.76</v>
      </c>
      <c r="G135" s="118">
        <v>43.116</v>
      </c>
    </row>
    <row r="136" spans="2:7" x14ac:dyDescent="0.2">
      <c r="B136" s="116" t="s">
        <v>332</v>
      </c>
      <c r="C136" s="117" t="s">
        <v>333</v>
      </c>
      <c r="D136" s="118">
        <v>0.1</v>
      </c>
      <c r="E136" s="118">
        <v>1.04</v>
      </c>
      <c r="F136" s="118">
        <v>0.67</v>
      </c>
      <c r="G136" s="118">
        <v>35.230989999999998</v>
      </c>
    </row>
    <row r="137" spans="2:7" x14ac:dyDescent="0.2">
      <c r="B137" s="116" t="s">
        <v>334</v>
      </c>
      <c r="C137" s="117" t="s">
        <v>335</v>
      </c>
      <c r="D137" s="118">
        <v>14.29</v>
      </c>
      <c r="E137" s="118">
        <v>9.3699999999999992</v>
      </c>
      <c r="F137" s="118">
        <v>0.01</v>
      </c>
      <c r="G137" s="118">
        <v>0.55088999999999999</v>
      </c>
    </row>
    <row r="138" spans="2:7" x14ac:dyDescent="0.2">
      <c r="B138" s="116" t="s">
        <v>3598</v>
      </c>
      <c r="C138" s="117" t="s">
        <v>3599</v>
      </c>
      <c r="D138" s="118">
        <v>38.08</v>
      </c>
      <c r="E138" s="118">
        <v>44.69</v>
      </c>
      <c r="F138" s="118">
        <v>0.39</v>
      </c>
      <c r="G138" s="118">
        <v>28.21199</v>
      </c>
    </row>
    <row r="139" spans="2:7" x14ac:dyDescent="0.2">
      <c r="B139" s="116" t="s">
        <v>336</v>
      </c>
      <c r="C139" s="117" t="s">
        <v>337</v>
      </c>
      <c r="D139" s="118">
        <v>1.77</v>
      </c>
      <c r="E139" s="118">
        <v>1.95</v>
      </c>
      <c r="F139" s="118">
        <v>0.37</v>
      </c>
      <c r="G139" s="118">
        <v>26.843</v>
      </c>
    </row>
    <row r="140" spans="2:7" x14ac:dyDescent="0.2">
      <c r="B140" s="116" t="s">
        <v>338</v>
      </c>
      <c r="C140" s="117" t="s">
        <v>339</v>
      </c>
      <c r="D140" s="118">
        <v>0.87</v>
      </c>
      <c r="E140" s="118">
        <v>1.22</v>
      </c>
      <c r="F140" s="118">
        <v>2.19</v>
      </c>
      <c r="G140" s="118">
        <v>68.69</v>
      </c>
    </row>
    <row r="141" spans="2:7" x14ac:dyDescent="0.2">
      <c r="B141" s="116" t="s">
        <v>341</v>
      </c>
      <c r="C141" s="117" t="s">
        <v>342</v>
      </c>
      <c r="D141" s="118">
        <v>1.1599999999999999</v>
      </c>
      <c r="E141" s="118">
        <v>1.66</v>
      </c>
      <c r="F141" s="118">
        <v>1.23</v>
      </c>
      <c r="G141" s="118">
        <v>54.805990000000001</v>
      </c>
    </row>
    <row r="142" spans="2:7" x14ac:dyDescent="0.2">
      <c r="B142" s="116" t="s">
        <v>344</v>
      </c>
      <c r="C142" s="117" t="s">
        <v>345</v>
      </c>
      <c r="D142" s="118">
        <v>1.1100000000000001</v>
      </c>
      <c r="E142" s="118">
        <v>1.64</v>
      </c>
      <c r="F142" s="118">
        <v>0.65</v>
      </c>
      <c r="G142" s="118">
        <v>39.564990000000002</v>
      </c>
    </row>
    <row r="143" spans="2:7" x14ac:dyDescent="0.2">
      <c r="B143" s="116" t="s">
        <v>347</v>
      </c>
      <c r="C143" s="117" t="s">
        <v>348</v>
      </c>
      <c r="D143" s="118">
        <v>0.64</v>
      </c>
      <c r="E143" s="118">
        <v>0.99</v>
      </c>
      <c r="F143" s="118">
        <v>0.43</v>
      </c>
      <c r="G143" s="118">
        <v>29.995000000000001</v>
      </c>
    </row>
    <row r="144" spans="2:7" x14ac:dyDescent="0.2">
      <c r="B144" s="116" t="s">
        <v>349</v>
      </c>
      <c r="C144" s="117" t="s">
        <v>350</v>
      </c>
      <c r="D144" s="118">
        <v>0.93</v>
      </c>
      <c r="E144" s="118">
        <v>0.92</v>
      </c>
      <c r="F144" s="118">
        <v>0.97</v>
      </c>
      <c r="G144" s="118">
        <v>47.576990000000002</v>
      </c>
    </row>
    <row r="145" spans="2:7" x14ac:dyDescent="0.2">
      <c r="B145" s="116" t="s">
        <v>352</v>
      </c>
      <c r="C145" s="117" t="s">
        <v>353</v>
      </c>
      <c r="D145" s="118">
        <v>0.95</v>
      </c>
      <c r="E145" s="118">
        <v>1.73</v>
      </c>
      <c r="F145" s="118"/>
      <c r="G145" s="118">
        <v>3.67449</v>
      </c>
    </row>
    <row r="146" spans="2:7" x14ac:dyDescent="0.2">
      <c r="B146" s="116" t="s">
        <v>354</v>
      </c>
      <c r="C146" s="117" t="s">
        <v>355</v>
      </c>
      <c r="D146" s="118">
        <v>1.1200000000000001</v>
      </c>
      <c r="E146" s="118">
        <v>1.45</v>
      </c>
      <c r="F146" s="118"/>
      <c r="G146" s="118">
        <v>21.861000000000001</v>
      </c>
    </row>
    <row r="147" spans="2:7" x14ac:dyDescent="0.2">
      <c r="B147" s="116" t="s">
        <v>3600</v>
      </c>
      <c r="C147" s="117" t="s">
        <v>3601</v>
      </c>
      <c r="D147" s="118">
        <v>0.99</v>
      </c>
      <c r="E147" s="118">
        <v>1.54</v>
      </c>
      <c r="F147" s="118"/>
      <c r="G147" s="118">
        <v>25.302</v>
      </c>
    </row>
    <row r="148" spans="2:7" x14ac:dyDescent="0.2">
      <c r="B148" s="116" t="s">
        <v>356</v>
      </c>
      <c r="C148" s="117" t="s">
        <v>357</v>
      </c>
      <c r="D148" s="118">
        <v>2.23</v>
      </c>
      <c r="E148" s="118">
        <v>2.14</v>
      </c>
      <c r="F148" s="118">
        <v>0.85</v>
      </c>
      <c r="G148" s="118">
        <v>46.003999999999998</v>
      </c>
    </row>
    <row r="149" spans="2:7" x14ac:dyDescent="0.2">
      <c r="B149" s="116" t="s">
        <v>358</v>
      </c>
      <c r="C149" s="117" t="s">
        <v>359</v>
      </c>
      <c r="D149" s="118">
        <v>0.98</v>
      </c>
      <c r="E149" s="118">
        <v>2.02</v>
      </c>
      <c r="F149" s="118">
        <v>0.71</v>
      </c>
      <c r="G149" s="118">
        <v>41.423990000000003</v>
      </c>
    </row>
    <row r="150" spans="2:7" x14ac:dyDescent="0.2">
      <c r="B150" s="116" t="s">
        <v>361</v>
      </c>
      <c r="C150" s="117" t="s">
        <v>362</v>
      </c>
      <c r="D150" s="118">
        <v>1.27</v>
      </c>
      <c r="E150" s="118">
        <v>1.39</v>
      </c>
      <c r="F150" s="118"/>
      <c r="G150" s="118">
        <v>57.283000000000001</v>
      </c>
    </row>
    <row r="151" spans="2:7" x14ac:dyDescent="0.2">
      <c r="B151" s="116" t="s">
        <v>3602</v>
      </c>
      <c r="C151" s="117" t="s">
        <v>3603</v>
      </c>
      <c r="D151" s="118">
        <v>2.62</v>
      </c>
      <c r="E151" s="118">
        <v>3.44</v>
      </c>
      <c r="F151" s="118">
        <v>0</v>
      </c>
      <c r="G151" s="118">
        <v>0</v>
      </c>
    </row>
    <row r="152" spans="2:7" x14ac:dyDescent="0.2">
      <c r="B152" s="116" t="s">
        <v>364</v>
      </c>
      <c r="C152" s="117" t="s">
        <v>365</v>
      </c>
      <c r="D152" s="118">
        <v>1.87</v>
      </c>
      <c r="E152" s="118">
        <v>2.68</v>
      </c>
      <c r="F152" s="118">
        <v>0.27</v>
      </c>
      <c r="G152" s="118">
        <v>21.340990000000001</v>
      </c>
    </row>
    <row r="153" spans="2:7" x14ac:dyDescent="0.2">
      <c r="B153" s="116" t="s">
        <v>366</v>
      </c>
      <c r="C153" s="117" t="s">
        <v>367</v>
      </c>
      <c r="D153" s="118">
        <v>7.53</v>
      </c>
      <c r="E153" s="118">
        <v>11.59</v>
      </c>
      <c r="F153" s="118">
        <v>0.05</v>
      </c>
      <c r="G153" s="118">
        <v>4.4527900000000002</v>
      </c>
    </row>
    <row r="154" spans="2:7" x14ac:dyDescent="0.2">
      <c r="B154" s="116" t="s">
        <v>368</v>
      </c>
      <c r="C154" s="117" t="s">
        <v>369</v>
      </c>
      <c r="D154" s="118">
        <v>2.4700000000000002</v>
      </c>
      <c r="E154" s="118">
        <v>2.79</v>
      </c>
      <c r="F154" s="118">
        <v>0.38</v>
      </c>
      <c r="G154" s="118">
        <v>27.335999999999999</v>
      </c>
    </row>
    <row r="155" spans="2:7" x14ac:dyDescent="0.2">
      <c r="B155" s="116" t="s">
        <v>371</v>
      </c>
      <c r="C155" s="117" t="s">
        <v>372</v>
      </c>
      <c r="D155" s="118">
        <v>1.04</v>
      </c>
      <c r="E155" s="118">
        <v>1.19</v>
      </c>
      <c r="F155" s="118">
        <v>0.64</v>
      </c>
      <c r="G155" s="118">
        <v>39.088000000000001</v>
      </c>
    </row>
    <row r="156" spans="2:7" x14ac:dyDescent="0.2">
      <c r="B156" s="116" t="s">
        <v>3604</v>
      </c>
      <c r="C156" s="117" t="s">
        <v>3605</v>
      </c>
      <c r="D156" s="118">
        <v>1.1399999999999999</v>
      </c>
      <c r="E156" s="118">
        <v>0.93</v>
      </c>
      <c r="F156" s="118">
        <v>2.59</v>
      </c>
      <c r="G156" s="118">
        <v>72.108000000000004</v>
      </c>
    </row>
    <row r="157" spans="2:7" x14ac:dyDescent="0.2">
      <c r="B157" s="116" t="s">
        <v>3606</v>
      </c>
      <c r="C157" s="117" t="s">
        <v>3607</v>
      </c>
      <c r="D157" s="118">
        <v>0.94</v>
      </c>
      <c r="E157" s="118">
        <v>0.94</v>
      </c>
      <c r="F157" s="118"/>
      <c r="G157" s="118">
        <v>84.619</v>
      </c>
    </row>
    <row r="158" spans="2:7" x14ac:dyDescent="0.2">
      <c r="B158" s="116" t="s">
        <v>373</v>
      </c>
      <c r="C158" s="117" t="s">
        <v>374</v>
      </c>
      <c r="D158" s="118">
        <v>2.8</v>
      </c>
      <c r="E158" s="118">
        <v>3.86</v>
      </c>
      <c r="F158" s="118">
        <v>0.04</v>
      </c>
      <c r="G158" s="118">
        <v>3.9619900000000001</v>
      </c>
    </row>
    <row r="159" spans="2:7" x14ac:dyDescent="0.2">
      <c r="B159" s="116" t="s">
        <v>376</v>
      </c>
      <c r="C159" s="117" t="s">
        <v>377</v>
      </c>
      <c r="D159" s="118">
        <v>0.11</v>
      </c>
      <c r="E159" s="118">
        <v>0.12</v>
      </c>
      <c r="F159" s="118">
        <v>0.08</v>
      </c>
      <c r="G159" s="118">
        <v>7.4198899999999997</v>
      </c>
    </row>
    <row r="160" spans="2:7" x14ac:dyDescent="0.2">
      <c r="B160" s="116" t="s">
        <v>379</v>
      </c>
      <c r="C160" s="117" t="s">
        <v>380</v>
      </c>
      <c r="D160" s="118">
        <v>3.16</v>
      </c>
      <c r="E160" s="118">
        <v>3.78</v>
      </c>
      <c r="F160" s="118">
        <v>0</v>
      </c>
      <c r="G160" s="118">
        <v>0</v>
      </c>
    </row>
    <row r="161" spans="2:7" x14ac:dyDescent="0.2">
      <c r="B161" s="116" t="s">
        <v>381</v>
      </c>
      <c r="C161" s="117" t="s">
        <v>382</v>
      </c>
      <c r="D161" s="118">
        <v>1.17</v>
      </c>
      <c r="E161" s="118">
        <v>1.51</v>
      </c>
      <c r="F161" s="118">
        <v>0.39</v>
      </c>
      <c r="G161" s="118">
        <v>28.117000000000001</v>
      </c>
    </row>
    <row r="162" spans="2:7" x14ac:dyDescent="0.2">
      <c r="B162" s="116" t="s">
        <v>384</v>
      </c>
      <c r="C162" s="117" t="s">
        <v>385</v>
      </c>
      <c r="D162" s="118">
        <v>0.16</v>
      </c>
      <c r="E162" s="118">
        <v>0.56000000000000005</v>
      </c>
      <c r="F162" s="118">
        <v>0.63</v>
      </c>
      <c r="G162" s="118">
        <v>38.480989999999998</v>
      </c>
    </row>
    <row r="163" spans="2:7" x14ac:dyDescent="0.2">
      <c r="B163" s="116" t="s">
        <v>387</v>
      </c>
      <c r="C163" s="117" t="s">
        <v>388</v>
      </c>
      <c r="D163" s="118">
        <v>1.38</v>
      </c>
      <c r="E163" s="118">
        <v>2.11</v>
      </c>
      <c r="F163" s="118">
        <v>0.76</v>
      </c>
      <c r="G163" s="118">
        <v>43.294989999999999</v>
      </c>
    </row>
    <row r="164" spans="2:7" x14ac:dyDescent="0.2">
      <c r="B164" s="116" t="s">
        <v>390</v>
      </c>
      <c r="C164" s="117" t="s">
        <v>391</v>
      </c>
      <c r="D164" s="118">
        <v>0.45</v>
      </c>
      <c r="E164" s="118">
        <v>0.28999999999999998</v>
      </c>
      <c r="F164" s="118">
        <v>9.18</v>
      </c>
      <c r="G164" s="118">
        <v>90.176000000000002</v>
      </c>
    </row>
    <row r="165" spans="2:7" x14ac:dyDescent="0.2">
      <c r="B165" s="116" t="s">
        <v>392</v>
      </c>
      <c r="C165" s="117" t="s">
        <v>393</v>
      </c>
      <c r="D165" s="118">
        <v>2.29</v>
      </c>
      <c r="E165" s="118">
        <v>3.46</v>
      </c>
      <c r="F165" s="118">
        <v>0.22</v>
      </c>
      <c r="G165" s="118">
        <v>18.245999999999999</v>
      </c>
    </row>
    <row r="166" spans="2:7" x14ac:dyDescent="0.2">
      <c r="B166" s="116" t="s">
        <v>395</v>
      </c>
      <c r="C166" s="117" t="s">
        <v>396</v>
      </c>
      <c r="D166" s="118">
        <v>0.73</v>
      </c>
      <c r="E166" s="118">
        <v>0.9</v>
      </c>
      <c r="F166" s="118">
        <v>0.53</v>
      </c>
      <c r="G166" s="118">
        <v>34.573</v>
      </c>
    </row>
    <row r="167" spans="2:7" x14ac:dyDescent="0.2">
      <c r="B167" s="116" t="s">
        <v>397</v>
      </c>
      <c r="C167" s="117" t="s">
        <v>398</v>
      </c>
      <c r="D167" s="118">
        <v>0.9</v>
      </c>
      <c r="E167" s="118">
        <v>0.95</v>
      </c>
      <c r="F167" s="118">
        <v>0.49</v>
      </c>
      <c r="G167" s="118">
        <v>32.692</v>
      </c>
    </row>
    <row r="168" spans="2:7" x14ac:dyDescent="0.2">
      <c r="B168" s="116" t="s">
        <v>400</v>
      </c>
      <c r="C168" s="117" t="s">
        <v>401</v>
      </c>
      <c r="D168" s="118">
        <v>1.62</v>
      </c>
      <c r="E168" s="118">
        <v>2.89</v>
      </c>
      <c r="F168" s="118"/>
      <c r="G168" s="118">
        <v>56.055</v>
      </c>
    </row>
    <row r="169" spans="2:7" x14ac:dyDescent="0.2">
      <c r="B169" s="116" t="s">
        <v>403</v>
      </c>
      <c r="C169" s="117" t="s">
        <v>404</v>
      </c>
      <c r="D169" s="118">
        <v>0.5</v>
      </c>
      <c r="E169" s="118">
        <v>1.66</v>
      </c>
      <c r="F169" s="118">
        <v>0.44</v>
      </c>
      <c r="G169" s="118">
        <v>30.472000000000001</v>
      </c>
    </row>
    <row r="170" spans="2:7" x14ac:dyDescent="0.2">
      <c r="B170" s="116" t="s">
        <v>405</v>
      </c>
      <c r="C170" s="117" t="s">
        <v>406</v>
      </c>
      <c r="D170" s="118">
        <v>0.44</v>
      </c>
      <c r="E170" s="118">
        <v>0.52</v>
      </c>
      <c r="F170" s="118">
        <v>0.93</v>
      </c>
      <c r="G170" s="118">
        <v>48.198</v>
      </c>
    </row>
    <row r="171" spans="2:7" x14ac:dyDescent="0.2">
      <c r="B171" s="116" t="s">
        <v>407</v>
      </c>
      <c r="C171" s="117" t="s">
        <v>408</v>
      </c>
      <c r="D171" s="118">
        <v>1.0900000000000001</v>
      </c>
      <c r="E171" s="118">
        <v>1.06</v>
      </c>
      <c r="F171" s="118">
        <v>0.66</v>
      </c>
      <c r="G171" s="118">
        <v>39.648989999999998</v>
      </c>
    </row>
    <row r="172" spans="2:7" x14ac:dyDescent="0.2">
      <c r="B172" s="116" t="s">
        <v>409</v>
      </c>
      <c r="C172" s="117" t="s">
        <v>410</v>
      </c>
      <c r="D172" s="118">
        <v>0.63</v>
      </c>
      <c r="E172" s="118">
        <v>1.08</v>
      </c>
      <c r="F172" s="118">
        <v>0.7</v>
      </c>
      <c r="G172" s="118">
        <v>41.073999999999998</v>
      </c>
    </row>
    <row r="173" spans="2:7" x14ac:dyDescent="0.2">
      <c r="B173" s="116" t="s">
        <v>411</v>
      </c>
      <c r="C173" s="117" t="s">
        <v>412</v>
      </c>
      <c r="D173" s="118">
        <v>3.41</v>
      </c>
      <c r="E173" s="118">
        <v>1.32</v>
      </c>
      <c r="F173" s="118">
        <v>1.58</v>
      </c>
      <c r="G173" s="118">
        <v>61.277000000000001</v>
      </c>
    </row>
    <row r="174" spans="2:7" x14ac:dyDescent="0.2">
      <c r="B174" s="116" t="s">
        <v>3608</v>
      </c>
      <c r="C174" s="117" t="s">
        <v>3609</v>
      </c>
      <c r="D174" s="118">
        <v>0.43</v>
      </c>
      <c r="E174" s="118">
        <v>0.57999999999999996</v>
      </c>
      <c r="F174" s="118"/>
      <c r="G174" s="118">
        <v>0</v>
      </c>
    </row>
    <row r="175" spans="2:7" x14ac:dyDescent="0.2">
      <c r="B175" s="116" t="s">
        <v>413</v>
      </c>
      <c r="C175" s="117" t="s">
        <v>414</v>
      </c>
      <c r="D175" s="118">
        <v>1.1200000000000001</v>
      </c>
      <c r="E175" s="118">
        <v>2.4</v>
      </c>
      <c r="F175" s="118">
        <v>0</v>
      </c>
      <c r="G175" s="118">
        <v>0</v>
      </c>
    </row>
    <row r="176" spans="2:7" x14ac:dyDescent="0.2">
      <c r="B176" s="116" t="s">
        <v>415</v>
      </c>
      <c r="C176" s="117" t="s">
        <v>416</v>
      </c>
      <c r="D176" s="118">
        <v>1.5</v>
      </c>
      <c r="E176" s="118">
        <v>2.67</v>
      </c>
      <c r="F176" s="118">
        <v>0.34</v>
      </c>
      <c r="G176" s="118">
        <v>25.535990000000002</v>
      </c>
    </row>
    <row r="177" spans="2:7" x14ac:dyDescent="0.2">
      <c r="B177" s="116" t="s">
        <v>3610</v>
      </c>
      <c r="C177" s="117" t="s">
        <v>3611</v>
      </c>
      <c r="D177" s="118"/>
      <c r="E177" s="118"/>
      <c r="F177" s="118"/>
      <c r="G177" s="118"/>
    </row>
    <row r="178" spans="2:7" x14ac:dyDescent="0.2">
      <c r="B178" s="116" t="s">
        <v>417</v>
      </c>
      <c r="C178" s="117" t="s">
        <v>418</v>
      </c>
      <c r="D178" s="118">
        <v>3.28</v>
      </c>
      <c r="E178" s="118">
        <v>3.28</v>
      </c>
      <c r="F178" s="118"/>
      <c r="G178" s="118">
        <v>33.793990000000001</v>
      </c>
    </row>
    <row r="179" spans="2:7" x14ac:dyDescent="0.2">
      <c r="B179" s="116" t="s">
        <v>419</v>
      </c>
      <c r="C179" s="117" t="s">
        <v>420</v>
      </c>
      <c r="D179" s="118">
        <v>0.83</v>
      </c>
      <c r="E179" s="118">
        <v>1.04</v>
      </c>
      <c r="F179" s="118">
        <v>1.41</v>
      </c>
      <c r="G179" s="118">
        <v>58.59</v>
      </c>
    </row>
    <row r="180" spans="2:7" x14ac:dyDescent="0.2">
      <c r="B180" s="116" t="s">
        <v>3612</v>
      </c>
      <c r="C180" s="117" t="s">
        <v>3613</v>
      </c>
      <c r="D180" s="118">
        <v>1.7</v>
      </c>
      <c r="E180" s="118">
        <v>1.7</v>
      </c>
      <c r="F180" s="118"/>
      <c r="G180" s="118">
        <v>0</v>
      </c>
    </row>
    <row r="181" spans="2:7" x14ac:dyDescent="0.2">
      <c r="B181" s="116" t="s">
        <v>422</v>
      </c>
      <c r="C181" s="117" t="s">
        <v>423</v>
      </c>
      <c r="D181" s="118">
        <v>1.26</v>
      </c>
      <c r="E181" s="118">
        <v>1.2</v>
      </c>
      <c r="F181" s="118">
        <v>3.02</v>
      </c>
      <c r="G181" s="118">
        <v>75.135999999999996</v>
      </c>
    </row>
    <row r="182" spans="2:7" x14ac:dyDescent="0.2">
      <c r="B182" s="116" t="s">
        <v>425</v>
      </c>
      <c r="C182" s="117" t="s">
        <v>426</v>
      </c>
      <c r="D182" s="118">
        <v>0.35</v>
      </c>
      <c r="E182" s="118">
        <v>0.56000000000000005</v>
      </c>
      <c r="F182" s="118">
        <v>1.43</v>
      </c>
      <c r="G182" s="118">
        <v>58.93</v>
      </c>
    </row>
    <row r="183" spans="2:7" x14ac:dyDescent="0.2">
      <c r="B183" s="116" t="s">
        <v>428</v>
      </c>
      <c r="C183" s="117" t="s">
        <v>429</v>
      </c>
      <c r="D183" s="118">
        <v>0.86</v>
      </c>
      <c r="E183" s="118">
        <v>1.1499999999999999</v>
      </c>
      <c r="F183" s="118">
        <v>0.82</v>
      </c>
      <c r="G183" s="118">
        <v>45.131</v>
      </c>
    </row>
    <row r="184" spans="2:7" x14ac:dyDescent="0.2">
      <c r="B184" s="116" t="s">
        <v>430</v>
      </c>
      <c r="C184" s="117" t="s">
        <v>431</v>
      </c>
      <c r="D184" s="118">
        <v>0.1</v>
      </c>
      <c r="E184" s="118">
        <v>0.1</v>
      </c>
      <c r="F184" s="118"/>
      <c r="G184" s="118">
        <v>23.71199</v>
      </c>
    </row>
    <row r="185" spans="2:7" x14ac:dyDescent="0.2">
      <c r="B185" s="116" t="s">
        <v>432</v>
      </c>
      <c r="C185" s="117" t="s">
        <v>433</v>
      </c>
      <c r="D185" s="118">
        <v>1.93</v>
      </c>
      <c r="E185" s="118">
        <v>1.84</v>
      </c>
      <c r="F185" s="118">
        <v>2.5</v>
      </c>
      <c r="G185" s="118">
        <v>71.430989999999994</v>
      </c>
    </row>
    <row r="186" spans="2:7" x14ac:dyDescent="0.2">
      <c r="B186" s="116" t="s">
        <v>435</v>
      </c>
      <c r="C186" s="117" t="s">
        <v>436</v>
      </c>
      <c r="D186" s="118">
        <v>0.56000000000000005</v>
      </c>
      <c r="E186" s="118">
        <v>0.56000000000000005</v>
      </c>
      <c r="F186" s="118">
        <v>0.36</v>
      </c>
      <c r="G186" s="118">
        <v>23.419</v>
      </c>
    </row>
    <row r="187" spans="2:7" x14ac:dyDescent="0.2">
      <c r="B187" s="116" t="s">
        <v>437</v>
      </c>
      <c r="C187" s="117" t="s">
        <v>438</v>
      </c>
      <c r="D187" s="118">
        <v>1.63</v>
      </c>
      <c r="E187" s="118">
        <v>2.3199999999999998</v>
      </c>
      <c r="F187" s="118">
        <v>2.92</v>
      </c>
      <c r="G187" s="118">
        <v>74.468000000000004</v>
      </c>
    </row>
    <row r="188" spans="2:7" x14ac:dyDescent="0.2">
      <c r="B188" s="116" t="s">
        <v>439</v>
      </c>
      <c r="C188" s="117" t="s">
        <v>440</v>
      </c>
      <c r="D188" s="118"/>
      <c r="E188" s="118">
        <v>2.19</v>
      </c>
      <c r="F188" s="118"/>
      <c r="G188" s="118">
        <v>15.565989999999999</v>
      </c>
    </row>
    <row r="189" spans="2:7" x14ac:dyDescent="0.2">
      <c r="B189" s="116" t="s">
        <v>442</v>
      </c>
      <c r="C189" s="117" t="s">
        <v>443</v>
      </c>
      <c r="D189" s="118">
        <v>3.71</v>
      </c>
      <c r="E189" s="118">
        <v>1.48</v>
      </c>
      <c r="F189" s="118">
        <v>0.09</v>
      </c>
      <c r="G189" s="118">
        <v>7.8955000000000002</v>
      </c>
    </row>
    <row r="190" spans="2:7" x14ac:dyDescent="0.2">
      <c r="B190" s="116" t="s">
        <v>444</v>
      </c>
      <c r="C190" s="117" t="s">
        <v>445</v>
      </c>
      <c r="D190" s="118">
        <v>0.78</v>
      </c>
      <c r="E190" s="118">
        <v>0.95</v>
      </c>
      <c r="F190" s="118">
        <v>1.19</v>
      </c>
      <c r="G190" s="118">
        <v>54.247</v>
      </c>
    </row>
    <row r="191" spans="2:7" x14ac:dyDescent="0.2">
      <c r="B191" s="116" t="s">
        <v>446</v>
      </c>
      <c r="C191" s="117" t="s">
        <v>447</v>
      </c>
      <c r="D191" s="118"/>
      <c r="E191" s="118">
        <v>0.94</v>
      </c>
      <c r="F191" s="118"/>
      <c r="G191" s="118"/>
    </row>
    <row r="192" spans="2:7" x14ac:dyDescent="0.2">
      <c r="B192" s="116" t="s">
        <v>448</v>
      </c>
      <c r="C192" s="117" t="s">
        <v>449</v>
      </c>
      <c r="D192" s="118">
        <v>1.34</v>
      </c>
      <c r="E192" s="118">
        <v>1.34</v>
      </c>
      <c r="F192" s="118">
        <v>0</v>
      </c>
      <c r="G192" s="118">
        <v>0</v>
      </c>
    </row>
    <row r="193" spans="2:7" x14ac:dyDescent="0.2">
      <c r="B193" s="116" t="s">
        <v>450</v>
      </c>
      <c r="C193" s="117" t="s">
        <v>451</v>
      </c>
      <c r="D193" s="118">
        <v>0.05</v>
      </c>
      <c r="E193" s="118">
        <v>0.06</v>
      </c>
      <c r="F193" s="118">
        <v>0.34</v>
      </c>
      <c r="G193" s="118">
        <v>25.283000000000001</v>
      </c>
    </row>
    <row r="194" spans="2:7" x14ac:dyDescent="0.2">
      <c r="B194" s="116" t="s">
        <v>452</v>
      </c>
      <c r="C194" s="117" t="s">
        <v>453</v>
      </c>
      <c r="D194" s="118">
        <v>0.82</v>
      </c>
      <c r="E194" s="118">
        <v>0.69</v>
      </c>
      <c r="F194" s="118"/>
      <c r="G194" s="118">
        <v>51.585990000000002</v>
      </c>
    </row>
    <row r="195" spans="2:7" x14ac:dyDescent="0.2">
      <c r="B195" s="116" t="s">
        <v>454</v>
      </c>
      <c r="C195" s="117" t="s">
        <v>455</v>
      </c>
      <c r="D195" s="118">
        <v>0.31</v>
      </c>
      <c r="E195" s="118">
        <v>1.03</v>
      </c>
      <c r="F195" s="118">
        <v>-3.01</v>
      </c>
      <c r="G195" s="118">
        <v>97.998999999999995</v>
      </c>
    </row>
    <row r="196" spans="2:7" x14ac:dyDescent="0.2">
      <c r="B196" s="116" t="s">
        <v>457</v>
      </c>
      <c r="C196" s="117" t="s">
        <v>458</v>
      </c>
      <c r="D196" s="118">
        <v>1.3</v>
      </c>
      <c r="E196" s="118">
        <v>1.38</v>
      </c>
      <c r="F196" s="118">
        <v>0.18</v>
      </c>
      <c r="G196" s="118">
        <v>16.213999999999999</v>
      </c>
    </row>
    <row r="197" spans="2:7" x14ac:dyDescent="0.2">
      <c r="B197" s="116" t="s">
        <v>459</v>
      </c>
      <c r="C197" s="117" t="s">
        <v>460</v>
      </c>
      <c r="D197" s="118">
        <v>0.91</v>
      </c>
      <c r="E197" s="118">
        <v>0.92</v>
      </c>
      <c r="F197" s="118">
        <v>0.96</v>
      </c>
      <c r="G197" s="118">
        <v>46.722000000000001</v>
      </c>
    </row>
    <row r="198" spans="2:7" x14ac:dyDescent="0.2">
      <c r="B198" s="116" t="s">
        <v>3614</v>
      </c>
      <c r="C198" s="117" t="s">
        <v>3615</v>
      </c>
      <c r="D198" s="118"/>
      <c r="E198" s="118"/>
      <c r="F198" s="118"/>
      <c r="G198" s="118"/>
    </row>
    <row r="199" spans="2:7" x14ac:dyDescent="0.2">
      <c r="B199" s="116" t="s">
        <v>462</v>
      </c>
      <c r="C199" s="117" t="s">
        <v>463</v>
      </c>
      <c r="D199" s="118">
        <v>0.95</v>
      </c>
      <c r="E199" s="118">
        <v>1.03</v>
      </c>
      <c r="F199" s="118"/>
      <c r="G199" s="118">
        <v>38.479990000000001</v>
      </c>
    </row>
    <row r="200" spans="2:7" x14ac:dyDescent="0.2">
      <c r="B200" s="116" t="s">
        <v>464</v>
      </c>
      <c r="C200" s="117" t="s">
        <v>465</v>
      </c>
      <c r="D200" s="118">
        <v>1.44</v>
      </c>
      <c r="E200" s="118">
        <v>1.75</v>
      </c>
      <c r="F200" s="118">
        <v>3.14</v>
      </c>
      <c r="G200" s="118">
        <v>75.844999999999999</v>
      </c>
    </row>
    <row r="201" spans="2:7" x14ac:dyDescent="0.2">
      <c r="B201" s="116" t="s">
        <v>3616</v>
      </c>
      <c r="C201" s="117" t="s">
        <v>3617</v>
      </c>
      <c r="D201" s="118">
        <v>1.08</v>
      </c>
      <c r="E201" s="118">
        <v>1.1100000000000001</v>
      </c>
      <c r="F201" s="118">
        <v>1.29</v>
      </c>
      <c r="G201" s="118">
        <v>55.27899</v>
      </c>
    </row>
    <row r="202" spans="2:7" x14ac:dyDescent="0.2">
      <c r="B202" s="116" t="s">
        <v>467</v>
      </c>
      <c r="C202" s="117" t="s">
        <v>468</v>
      </c>
      <c r="D202" s="118">
        <v>0.99</v>
      </c>
      <c r="E202" s="118">
        <v>1.1499999999999999</v>
      </c>
      <c r="F202" s="118">
        <v>1.24</v>
      </c>
      <c r="G202" s="118">
        <v>55.436</v>
      </c>
    </row>
    <row r="203" spans="2:7" x14ac:dyDescent="0.2">
      <c r="B203" s="116" t="s">
        <v>470</v>
      </c>
      <c r="C203" s="117" t="s">
        <v>471</v>
      </c>
      <c r="D203" s="118">
        <v>1.0900000000000001</v>
      </c>
      <c r="E203" s="118">
        <v>1.0900000000000001</v>
      </c>
      <c r="F203" s="118">
        <v>0.59</v>
      </c>
      <c r="G203" s="118">
        <v>36.976999999999997</v>
      </c>
    </row>
    <row r="204" spans="2:7" x14ac:dyDescent="0.2">
      <c r="B204" s="116" t="s">
        <v>472</v>
      </c>
      <c r="C204" s="117" t="s">
        <v>473</v>
      </c>
      <c r="D204" s="118">
        <v>1.33</v>
      </c>
      <c r="E204" s="118">
        <v>1.68</v>
      </c>
      <c r="F204" s="118">
        <v>0.39</v>
      </c>
      <c r="G204" s="118">
        <v>28.094989999999999</v>
      </c>
    </row>
    <row r="205" spans="2:7" x14ac:dyDescent="0.2">
      <c r="B205" s="116" t="s">
        <v>474</v>
      </c>
      <c r="C205" s="117" t="s">
        <v>475</v>
      </c>
      <c r="D205" s="118">
        <v>1.5</v>
      </c>
      <c r="E205" s="118">
        <v>2.78</v>
      </c>
      <c r="F205" s="118">
        <v>0.72</v>
      </c>
      <c r="G205" s="118">
        <v>41.881990000000002</v>
      </c>
    </row>
    <row r="206" spans="2:7" x14ac:dyDescent="0.2">
      <c r="B206" s="116" t="s">
        <v>476</v>
      </c>
      <c r="C206" s="117" t="s">
        <v>477</v>
      </c>
      <c r="D206" s="118">
        <v>0.88</v>
      </c>
      <c r="E206" s="118">
        <v>1.29</v>
      </c>
      <c r="F206" s="118">
        <v>0.82</v>
      </c>
      <c r="G206" s="118">
        <v>44.965000000000003</v>
      </c>
    </row>
    <row r="207" spans="2:7" x14ac:dyDescent="0.2">
      <c r="B207" s="116" t="s">
        <v>478</v>
      </c>
      <c r="C207" s="117" t="s">
        <v>479</v>
      </c>
      <c r="D207" s="118">
        <v>2.54</v>
      </c>
      <c r="E207" s="118">
        <v>2.4500000000000002</v>
      </c>
      <c r="F207" s="118"/>
      <c r="G207" s="118">
        <v>23.323989999999998</v>
      </c>
    </row>
    <row r="208" spans="2:7" x14ac:dyDescent="0.2">
      <c r="B208" s="116" t="s">
        <v>480</v>
      </c>
      <c r="C208" s="117" t="s">
        <v>481</v>
      </c>
      <c r="D208" s="118">
        <v>1.19</v>
      </c>
      <c r="E208" s="118">
        <v>1.38</v>
      </c>
      <c r="F208" s="118"/>
      <c r="G208" s="118">
        <v>42.546999999999997</v>
      </c>
    </row>
    <row r="209" spans="2:7" x14ac:dyDescent="0.2">
      <c r="B209" s="116" t="s">
        <v>482</v>
      </c>
      <c r="C209" s="117" t="s">
        <v>483</v>
      </c>
      <c r="D209" s="118">
        <v>1.1200000000000001</v>
      </c>
      <c r="E209" s="118">
        <v>1.1499999999999999</v>
      </c>
      <c r="F209" s="118">
        <v>0.79</v>
      </c>
      <c r="G209" s="118">
        <v>44.035989999999998</v>
      </c>
    </row>
    <row r="210" spans="2:7" x14ac:dyDescent="0.2">
      <c r="B210" s="116" t="s">
        <v>482</v>
      </c>
      <c r="C210" s="117" t="s">
        <v>3618</v>
      </c>
      <c r="D210" s="118">
        <v>1.1200000000000001</v>
      </c>
      <c r="E210" s="118">
        <v>1.1499999999999999</v>
      </c>
      <c r="F210" s="118">
        <v>0.79</v>
      </c>
      <c r="G210" s="118">
        <v>44.035989999999998</v>
      </c>
    </row>
    <row r="211" spans="2:7" x14ac:dyDescent="0.2">
      <c r="B211" s="116" t="s">
        <v>3619</v>
      </c>
      <c r="C211" s="117" t="s">
        <v>3620</v>
      </c>
      <c r="D211" s="118"/>
      <c r="E211" s="118"/>
      <c r="F211" s="118"/>
      <c r="G211" s="118"/>
    </row>
    <row r="212" spans="2:7" x14ac:dyDescent="0.2">
      <c r="B212" s="116" t="s">
        <v>484</v>
      </c>
      <c r="C212" s="117" t="s">
        <v>485</v>
      </c>
      <c r="D212" s="118">
        <v>1.58</v>
      </c>
      <c r="E212" s="118">
        <v>1.89</v>
      </c>
      <c r="F212" s="118">
        <v>0.45</v>
      </c>
      <c r="G212" s="118">
        <v>30.892990000000001</v>
      </c>
    </row>
    <row r="213" spans="2:7" x14ac:dyDescent="0.2">
      <c r="B213" s="116" t="s">
        <v>3621</v>
      </c>
      <c r="C213" s="117" t="s">
        <v>3622</v>
      </c>
      <c r="D213" s="118">
        <v>1.93</v>
      </c>
      <c r="E213" s="118">
        <v>2.46</v>
      </c>
      <c r="F213" s="118">
        <v>0</v>
      </c>
      <c r="G213" s="118">
        <v>0</v>
      </c>
    </row>
    <row r="214" spans="2:7" x14ac:dyDescent="0.2">
      <c r="B214" s="116" t="s">
        <v>486</v>
      </c>
      <c r="C214" s="117" t="s">
        <v>487</v>
      </c>
      <c r="D214" s="118">
        <v>0.88</v>
      </c>
      <c r="E214" s="118">
        <v>0.88</v>
      </c>
      <c r="F214" s="118">
        <v>0.79</v>
      </c>
      <c r="G214" s="118">
        <v>41.615000000000002</v>
      </c>
    </row>
    <row r="215" spans="2:7" x14ac:dyDescent="0.2">
      <c r="B215" s="116" t="s">
        <v>3623</v>
      </c>
      <c r="C215" s="117" t="s">
        <v>3624</v>
      </c>
      <c r="D215" s="118">
        <v>0.91</v>
      </c>
      <c r="E215" s="118">
        <v>1.21</v>
      </c>
      <c r="F215" s="118">
        <v>2.25</v>
      </c>
      <c r="G215" s="118">
        <v>69.210989999999995</v>
      </c>
    </row>
    <row r="216" spans="2:7" x14ac:dyDescent="0.2">
      <c r="B216" s="116" t="s">
        <v>488</v>
      </c>
      <c r="C216" s="117" t="s">
        <v>489</v>
      </c>
      <c r="D216" s="118">
        <v>1.0900000000000001</v>
      </c>
      <c r="E216" s="118">
        <v>5.75</v>
      </c>
      <c r="F216" s="118">
        <v>0</v>
      </c>
      <c r="G216" s="118">
        <v>0</v>
      </c>
    </row>
    <row r="217" spans="2:7" x14ac:dyDescent="0.2">
      <c r="B217" s="116" t="s">
        <v>490</v>
      </c>
      <c r="C217" s="117" t="s">
        <v>491</v>
      </c>
      <c r="D217" s="118">
        <v>0.46</v>
      </c>
      <c r="E217" s="118">
        <v>1.08</v>
      </c>
      <c r="F217" s="118">
        <v>1.06</v>
      </c>
      <c r="G217" s="118">
        <v>51.419989999999999</v>
      </c>
    </row>
    <row r="218" spans="2:7" x14ac:dyDescent="0.2">
      <c r="B218" s="116" t="s">
        <v>492</v>
      </c>
      <c r="C218" s="117" t="s">
        <v>493</v>
      </c>
      <c r="D218" s="118">
        <v>0.75</v>
      </c>
      <c r="E218" s="118">
        <v>1.98</v>
      </c>
      <c r="F218" s="118">
        <v>0.85</v>
      </c>
      <c r="G218" s="118">
        <v>45.954999999999998</v>
      </c>
    </row>
    <row r="219" spans="2:7" x14ac:dyDescent="0.2">
      <c r="B219" s="116" t="s">
        <v>495</v>
      </c>
      <c r="C219" s="117" t="s">
        <v>496</v>
      </c>
      <c r="D219" s="118">
        <v>0.82</v>
      </c>
      <c r="E219" s="118">
        <v>1.43</v>
      </c>
      <c r="F219" s="118">
        <v>0</v>
      </c>
      <c r="G219" s="118">
        <v>8.6330000000000004E-2</v>
      </c>
    </row>
    <row r="220" spans="2:7" x14ac:dyDescent="0.2">
      <c r="B220" s="116" t="s">
        <v>497</v>
      </c>
      <c r="C220" s="117" t="s">
        <v>498</v>
      </c>
      <c r="D220" s="118">
        <v>0.51</v>
      </c>
      <c r="E220" s="118">
        <v>0.56999999999999995</v>
      </c>
      <c r="F220" s="118">
        <v>1.33</v>
      </c>
      <c r="G220" s="118">
        <v>51.753999999999998</v>
      </c>
    </row>
    <row r="221" spans="2:7" x14ac:dyDescent="0.2">
      <c r="B221" s="116" t="s">
        <v>500</v>
      </c>
      <c r="C221" s="117" t="s">
        <v>501</v>
      </c>
      <c r="D221" s="118">
        <v>1.45</v>
      </c>
      <c r="E221" s="118">
        <v>1.47</v>
      </c>
      <c r="F221" s="118">
        <v>2.79</v>
      </c>
      <c r="G221" s="118">
        <v>73.603989999999996</v>
      </c>
    </row>
    <row r="222" spans="2:7" x14ac:dyDescent="0.2">
      <c r="B222" s="116" t="s">
        <v>3625</v>
      </c>
      <c r="C222" s="117" t="s">
        <v>3626</v>
      </c>
      <c r="D222" s="118">
        <v>0.81</v>
      </c>
      <c r="E222" s="118">
        <v>0.98</v>
      </c>
      <c r="F222" s="118">
        <v>0</v>
      </c>
      <c r="G222" s="118">
        <v>0</v>
      </c>
    </row>
    <row r="223" spans="2:7" x14ac:dyDescent="0.2">
      <c r="B223" s="116" t="s">
        <v>502</v>
      </c>
      <c r="C223" s="117" t="s">
        <v>503</v>
      </c>
      <c r="D223" s="118">
        <v>0.81</v>
      </c>
      <c r="E223" s="118">
        <v>0.94</v>
      </c>
      <c r="F223" s="118"/>
      <c r="G223" s="118">
        <v>32</v>
      </c>
    </row>
    <row r="224" spans="2:7" x14ac:dyDescent="0.2">
      <c r="B224" s="116" t="s">
        <v>3627</v>
      </c>
      <c r="C224" s="117" t="s">
        <v>3628</v>
      </c>
      <c r="D224" s="118"/>
      <c r="E224" s="118"/>
      <c r="F224" s="118"/>
      <c r="G224" s="118"/>
    </row>
    <row r="225" spans="2:7" x14ac:dyDescent="0.2">
      <c r="B225" s="116" t="s">
        <v>504</v>
      </c>
      <c r="C225" s="117" t="s">
        <v>505</v>
      </c>
      <c r="D225" s="118">
        <v>1.42</v>
      </c>
      <c r="E225" s="118">
        <v>1.4</v>
      </c>
      <c r="F225" s="118">
        <v>7.91</v>
      </c>
      <c r="G225" s="118">
        <v>88.769990000000007</v>
      </c>
    </row>
    <row r="226" spans="2:7" x14ac:dyDescent="0.2">
      <c r="B226" s="116" t="s">
        <v>506</v>
      </c>
      <c r="C226" s="117" t="s">
        <v>507</v>
      </c>
      <c r="D226" s="118">
        <v>1.94</v>
      </c>
      <c r="E226" s="118">
        <v>3.73</v>
      </c>
      <c r="F226" s="118">
        <v>0.33</v>
      </c>
      <c r="G226" s="118">
        <v>24.82799</v>
      </c>
    </row>
    <row r="227" spans="2:7" x14ac:dyDescent="0.2">
      <c r="B227" s="116" t="s">
        <v>508</v>
      </c>
      <c r="C227" s="117" t="s">
        <v>509</v>
      </c>
      <c r="D227" s="118">
        <v>1.52</v>
      </c>
      <c r="E227" s="118">
        <v>1.54</v>
      </c>
      <c r="F227" s="118">
        <v>4.93</v>
      </c>
      <c r="G227" s="118">
        <v>83.149000000000001</v>
      </c>
    </row>
    <row r="228" spans="2:7" x14ac:dyDescent="0.2">
      <c r="B228" s="116" t="s">
        <v>3629</v>
      </c>
      <c r="C228" s="117" t="s">
        <v>3630</v>
      </c>
      <c r="D228" s="118">
        <v>1.1499999999999999</v>
      </c>
      <c r="E228" s="118">
        <v>1.1000000000000001</v>
      </c>
      <c r="F228" s="118">
        <v>1.7</v>
      </c>
      <c r="G228" s="118">
        <v>62.995989999999999</v>
      </c>
    </row>
    <row r="229" spans="2:7" x14ac:dyDescent="0.2">
      <c r="B229" s="116" t="s">
        <v>510</v>
      </c>
      <c r="C229" s="117" t="s">
        <v>511</v>
      </c>
      <c r="D229" s="118">
        <v>0.69</v>
      </c>
      <c r="E229" s="118">
        <v>1.0900000000000001</v>
      </c>
      <c r="F229" s="118">
        <v>0.84</v>
      </c>
      <c r="G229" s="118">
        <v>45.594999999999999</v>
      </c>
    </row>
    <row r="230" spans="2:7" x14ac:dyDescent="0.2">
      <c r="B230" s="116" t="s">
        <v>512</v>
      </c>
      <c r="C230" s="117" t="s">
        <v>513</v>
      </c>
      <c r="D230" s="118">
        <v>3.71</v>
      </c>
      <c r="E230" s="118">
        <v>3.35</v>
      </c>
      <c r="F230" s="118">
        <v>7.0000000000000007E-2</v>
      </c>
      <c r="G230" s="118">
        <v>12.686999999999999</v>
      </c>
    </row>
    <row r="231" spans="2:7" x14ac:dyDescent="0.2">
      <c r="B231" s="116" t="s">
        <v>3631</v>
      </c>
      <c r="C231" s="117" t="s">
        <v>3632</v>
      </c>
      <c r="D231" s="118">
        <v>1.1599999999999999</v>
      </c>
      <c r="E231" s="118">
        <v>0.94</v>
      </c>
      <c r="F231" s="118">
        <v>0.6</v>
      </c>
      <c r="G231" s="118">
        <v>36.503999999999998</v>
      </c>
    </row>
    <row r="232" spans="2:7" x14ac:dyDescent="0.2">
      <c r="B232" s="116" t="s">
        <v>514</v>
      </c>
      <c r="C232" s="117" t="s">
        <v>515</v>
      </c>
      <c r="D232" s="118">
        <v>1.1299999999999999</v>
      </c>
      <c r="E232" s="118">
        <v>1.88</v>
      </c>
      <c r="F232" s="118">
        <v>3.52</v>
      </c>
      <c r="G232" s="118">
        <v>77.866990000000001</v>
      </c>
    </row>
    <row r="233" spans="2:7" x14ac:dyDescent="0.2">
      <c r="B233" s="116" t="s">
        <v>516</v>
      </c>
      <c r="C233" s="117" t="s">
        <v>517</v>
      </c>
      <c r="D233" s="118">
        <v>1.71</v>
      </c>
      <c r="E233" s="118">
        <v>3.27</v>
      </c>
      <c r="F233" s="118">
        <v>1.36</v>
      </c>
      <c r="G233" s="118">
        <v>57.683990000000001</v>
      </c>
    </row>
    <row r="234" spans="2:7" x14ac:dyDescent="0.2">
      <c r="B234" s="116" t="s">
        <v>518</v>
      </c>
      <c r="C234" s="117" t="s">
        <v>519</v>
      </c>
      <c r="D234" s="118">
        <v>1.71</v>
      </c>
      <c r="E234" s="118">
        <v>3.27</v>
      </c>
      <c r="F234" s="118">
        <v>1.36</v>
      </c>
      <c r="G234" s="118">
        <v>57.683990000000001</v>
      </c>
    </row>
    <row r="235" spans="2:7" x14ac:dyDescent="0.2">
      <c r="B235" s="116" t="s">
        <v>520</v>
      </c>
      <c r="C235" s="117" t="s">
        <v>521</v>
      </c>
      <c r="D235" s="118">
        <v>0.4</v>
      </c>
      <c r="E235" s="118">
        <v>0.41</v>
      </c>
      <c r="F235" s="118">
        <v>1.18</v>
      </c>
      <c r="G235" s="118">
        <v>54.031999999999996</v>
      </c>
    </row>
    <row r="236" spans="2:7" x14ac:dyDescent="0.2">
      <c r="B236" s="116" t="s">
        <v>523</v>
      </c>
      <c r="C236" s="117" t="s">
        <v>524</v>
      </c>
      <c r="D236" s="118">
        <v>0.72</v>
      </c>
      <c r="E236" s="118">
        <v>1.49</v>
      </c>
      <c r="F236" s="118">
        <v>0.82</v>
      </c>
      <c r="G236" s="118">
        <v>44.415999999999997</v>
      </c>
    </row>
    <row r="237" spans="2:7" x14ac:dyDescent="0.2">
      <c r="B237" s="116" t="s">
        <v>526</v>
      </c>
      <c r="C237" s="117" t="s">
        <v>527</v>
      </c>
      <c r="D237" s="118">
        <v>7.82</v>
      </c>
      <c r="E237" s="118">
        <v>6.46</v>
      </c>
      <c r="F237" s="118">
        <v>0.15</v>
      </c>
      <c r="G237" s="118">
        <v>13.19299</v>
      </c>
    </row>
    <row r="238" spans="2:7" x14ac:dyDescent="0.2">
      <c r="B238" s="116" t="s">
        <v>528</v>
      </c>
      <c r="C238" s="117" t="s">
        <v>529</v>
      </c>
      <c r="D238" s="118">
        <v>0.85</v>
      </c>
      <c r="E238" s="118">
        <v>1.21</v>
      </c>
      <c r="F238" s="118">
        <v>8.94</v>
      </c>
      <c r="G238" s="118">
        <v>89.936989999999994</v>
      </c>
    </row>
    <row r="239" spans="2:7" x14ac:dyDescent="0.2">
      <c r="B239" s="116" t="s">
        <v>530</v>
      </c>
      <c r="C239" s="117" t="s">
        <v>531</v>
      </c>
      <c r="D239" s="118">
        <v>0.51</v>
      </c>
      <c r="E239" s="118">
        <v>0.52</v>
      </c>
      <c r="F239" s="118">
        <v>0.27</v>
      </c>
      <c r="G239" s="118">
        <v>21.08099</v>
      </c>
    </row>
    <row r="240" spans="2:7" x14ac:dyDescent="0.2">
      <c r="B240" s="116" t="s">
        <v>532</v>
      </c>
      <c r="C240" s="117" t="s">
        <v>533</v>
      </c>
      <c r="D240" s="118">
        <v>1.1499999999999999</v>
      </c>
      <c r="E240" s="118">
        <v>1.6</v>
      </c>
      <c r="F240" s="118">
        <v>0.18</v>
      </c>
      <c r="G240" s="118">
        <v>15.24499</v>
      </c>
    </row>
    <row r="241" spans="2:7" x14ac:dyDescent="0.2">
      <c r="B241" s="116" t="s">
        <v>3633</v>
      </c>
      <c r="C241" s="117" t="s">
        <v>3634</v>
      </c>
      <c r="D241" s="118">
        <v>0.79</v>
      </c>
      <c r="E241" s="118">
        <v>0.72</v>
      </c>
      <c r="F241" s="118">
        <v>0.05</v>
      </c>
      <c r="G241" s="118">
        <v>4.4911899999999996</v>
      </c>
    </row>
    <row r="242" spans="2:7" x14ac:dyDescent="0.2">
      <c r="B242" s="116" t="s">
        <v>535</v>
      </c>
      <c r="C242" s="117" t="s">
        <v>536</v>
      </c>
      <c r="D242" s="118"/>
      <c r="E242" s="118"/>
      <c r="F242" s="118"/>
      <c r="G242" s="118"/>
    </row>
    <row r="243" spans="2:7" x14ac:dyDescent="0.2">
      <c r="B243" s="116" t="s">
        <v>537</v>
      </c>
      <c r="C243" s="117" t="s">
        <v>538</v>
      </c>
      <c r="D243" s="118">
        <v>1.58</v>
      </c>
      <c r="E243" s="118">
        <v>1.89</v>
      </c>
      <c r="F243" s="118">
        <v>0.45</v>
      </c>
      <c r="G243" s="118">
        <v>30.892990000000001</v>
      </c>
    </row>
    <row r="244" spans="2:7" x14ac:dyDescent="0.2">
      <c r="B244" s="116" t="s">
        <v>539</v>
      </c>
      <c r="C244" s="117" t="s">
        <v>540</v>
      </c>
      <c r="D244" s="118">
        <v>2.73</v>
      </c>
      <c r="E244" s="118">
        <v>2.61</v>
      </c>
      <c r="F244" s="118">
        <v>0.32</v>
      </c>
      <c r="G244" s="118">
        <v>24.524989999999999</v>
      </c>
    </row>
    <row r="245" spans="2:7" x14ac:dyDescent="0.2">
      <c r="B245" s="116" t="s">
        <v>541</v>
      </c>
      <c r="C245" s="117" t="s">
        <v>542</v>
      </c>
      <c r="D245" s="118">
        <v>2.04</v>
      </c>
      <c r="E245" s="118">
        <v>2.46</v>
      </c>
      <c r="F245" s="118">
        <v>0.49</v>
      </c>
      <c r="G245" s="118">
        <v>32.978000000000002</v>
      </c>
    </row>
    <row r="246" spans="2:7" x14ac:dyDescent="0.2">
      <c r="B246" s="116" t="s">
        <v>543</v>
      </c>
      <c r="C246" s="117" t="s">
        <v>544</v>
      </c>
      <c r="D246" s="118">
        <v>1.99</v>
      </c>
      <c r="E246" s="118">
        <v>2.8</v>
      </c>
      <c r="F246" s="118">
        <v>0.4</v>
      </c>
      <c r="G246" s="118">
        <v>28.42</v>
      </c>
    </row>
    <row r="247" spans="2:7" x14ac:dyDescent="0.2">
      <c r="B247" s="116" t="s">
        <v>545</v>
      </c>
      <c r="C247" s="117" t="s">
        <v>546</v>
      </c>
      <c r="D247" s="118">
        <v>3.19</v>
      </c>
      <c r="E247" s="118">
        <v>4.68</v>
      </c>
      <c r="F247" s="118">
        <v>0.11</v>
      </c>
      <c r="G247" s="118">
        <v>10.231999999999999</v>
      </c>
    </row>
    <row r="248" spans="2:7" x14ac:dyDescent="0.2">
      <c r="B248" s="116" t="s">
        <v>545</v>
      </c>
      <c r="C248" s="117" t="s">
        <v>3635</v>
      </c>
      <c r="D248" s="118">
        <v>3.19</v>
      </c>
      <c r="E248" s="118">
        <v>4.68</v>
      </c>
      <c r="F248" s="118">
        <v>0.11</v>
      </c>
      <c r="G248" s="118">
        <v>10.231999999999999</v>
      </c>
    </row>
    <row r="249" spans="2:7" x14ac:dyDescent="0.2">
      <c r="B249" s="116" t="s">
        <v>547</v>
      </c>
      <c r="C249" s="117" t="s">
        <v>548</v>
      </c>
      <c r="D249" s="118">
        <v>0.88</v>
      </c>
      <c r="E249" s="118">
        <v>0.06</v>
      </c>
      <c r="F249" s="118">
        <v>0</v>
      </c>
      <c r="G249" s="118">
        <v>0</v>
      </c>
    </row>
    <row r="250" spans="2:7" x14ac:dyDescent="0.2">
      <c r="B250" s="116" t="s">
        <v>549</v>
      </c>
      <c r="C250" s="117" t="s">
        <v>550</v>
      </c>
      <c r="D250" s="118">
        <v>0.18</v>
      </c>
      <c r="E250" s="118">
        <v>0.79</v>
      </c>
      <c r="F250" s="118">
        <v>-21.26</v>
      </c>
      <c r="G250" s="118"/>
    </row>
    <row r="251" spans="2:7" x14ac:dyDescent="0.2">
      <c r="B251" s="116" t="s">
        <v>552</v>
      </c>
      <c r="C251" s="117" t="s">
        <v>553</v>
      </c>
      <c r="D251" s="118">
        <v>0.7</v>
      </c>
      <c r="E251" s="118">
        <v>0.71</v>
      </c>
      <c r="F251" s="118">
        <v>0.79</v>
      </c>
      <c r="G251" s="118">
        <v>42.051990000000004</v>
      </c>
    </row>
    <row r="252" spans="2:7" x14ac:dyDescent="0.2">
      <c r="B252" s="116" t="s">
        <v>554</v>
      </c>
      <c r="C252" s="117" t="s">
        <v>555</v>
      </c>
      <c r="D252" s="118">
        <v>0.94</v>
      </c>
      <c r="E252" s="118">
        <v>0.93</v>
      </c>
      <c r="F252" s="118">
        <v>0.03</v>
      </c>
      <c r="G252" s="118">
        <v>2.8733900000000001</v>
      </c>
    </row>
    <row r="253" spans="2:7" x14ac:dyDescent="0.2">
      <c r="B253" s="116" t="s">
        <v>556</v>
      </c>
      <c r="C253" s="117" t="s">
        <v>557</v>
      </c>
      <c r="D253" s="118">
        <v>0.85</v>
      </c>
      <c r="E253" s="118">
        <v>2.83</v>
      </c>
      <c r="F253" s="118"/>
      <c r="G253" s="118">
        <v>9.1930899999999998</v>
      </c>
    </row>
    <row r="254" spans="2:7" x14ac:dyDescent="0.2">
      <c r="B254" s="116" t="s">
        <v>559</v>
      </c>
      <c r="C254" s="117" t="s">
        <v>560</v>
      </c>
      <c r="D254" s="118">
        <v>0.6</v>
      </c>
      <c r="E254" s="118">
        <v>0.76</v>
      </c>
      <c r="F254" s="118">
        <v>1.26</v>
      </c>
      <c r="G254" s="118">
        <v>55.756</v>
      </c>
    </row>
    <row r="255" spans="2:7" x14ac:dyDescent="0.2">
      <c r="B255" s="116" t="s">
        <v>3636</v>
      </c>
      <c r="C255" s="117" t="s">
        <v>3637</v>
      </c>
      <c r="D255" s="118">
        <v>1.04</v>
      </c>
      <c r="E255" s="118">
        <v>1.02</v>
      </c>
      <c r="F255" s="118">
        <v>0.76</v>
      </c>
      <c r="G255" s="118">
        <v>43.2</v>
      </c>
    </row>
    <row r="256" spans="2:7" x14ac:dyDescent="0.2">
      <c r="B256" s="116" t="s">
        <v>561</v>
      </c>
      <c r="C256" s="117" t="s">
        <v>562</v>
      </c>
      <c r="D256" s="118">
        <v>1.1100000000000001</v>
      </c>
      <c r="E256" s="118">
        <v>1.3</v>
      </c>
      <c r="F256" s="118">
        <v>0.85</v>
      </c>
      <c r="G256" s="118">
        <v>46.084989999999998</v>
      </c>
    </row>
    <row r="257" spans="2:7" x14ac:dyDescent="0.2">
      <c r="B257" s="116" t="s">
        <v>564</v>
      </c>
      <c r="C257" s="117" t="s">
        <v>565</v>
      </c>
      <c r="D257" s="118">
        <v>2.36</v>
      </c>
      <c r="E257" s="118">
        <v>1.58</v>
      </c>
      <c r="F257" s="118">
        <v>1.74</v>
      </c>
      <c r="G257" s="118">
        <v>63.527990000000003</v>
      </c>
    </row>
    <row r="258" spans="2:7" x14ac:dyDescent="0.2">
      <c r="B258" s="116" t="s">
        <v>566</v>
      </c>
      <c r="C258" s="117" t="s">
        <v>567</v>
      </c>
      <c r="D258" s="118">
        <v>18.350000000000001</v>
      </c>
      <c r="E258" s="118">
        <v>22.41</v>
      </c>
      <c r="F258" s="118">
        <v>0</v>
      </c>
      <c r="G258" s="118">
        <v>0</v>
      </c>
    </row>
    <row r="259" spans="2:7" x14ac:dyDescent="0.2">
      <c r="B259" s="116" t="s">
        <v>568</v>
      </c>
      <c r="C259" s="117" t="s">
        <v>569</v>
      </c>
      <c r="D259" s="118">
        <v>0.93</v>
      </c>
      <c r="E259" s="118">
        <v>0.95</v>
      </c>
      <c r="F259" s="118">
        <v>1.86</v>
      </c>
      <c r="G259" s="118">
        <v>65.021000000000001</v>
      </c>
    </row>
    <row r="260" spans="2:7" x14ac:dyDescent="0.2">
      <c r="B260" s="116" t="s">
        <v>570</v>
      </c>
      <c r="C260" s="117" t="s">
        <v>571</v>
      </c>
      <c r="D260" s="118">
        <v>1.21</v>
      </c>
      <c r="E260" s="118">
        <v>1.63</v>
      </c>
      <c r="F260" s="118">
        <v>0.67</v>
      </c>
      <c r="G260" s="118">
        <v>40.057989999999997</v>
      </c>
    </row>
    <row r="261" spans="2:7" x14ac:dyDescent="0.2">
      <c r="B261" s="116" t="s">
        <v>572</v>
      </c>
      <c r="C261" s="117" t="s">
        <v>573</v>
      </c>
      <c r="D261" s="118">
        <v>1.1100000000000001</v>
      </c>
      <c r="E261" s="118">
        <v>2.92</v>
      </c>
      <c r="F261" s="118">
        <v>0.77</v>
      </c>
      <c r="G261" s="118">
        <v>44.154989999999998</v>
      </c>
    </row>
    <row r="262" spans="2:7" x14ac:dyDescent="0.2">
      <c r="B262" s="116" t="s">
        <v>574</v>
      </c>
      <c r="C262" s="117" t="s">
        <v>575</v>
      </c>
      <c r="D262" s="118">
        <v>0.74</v>
      </c>
      <c r="E262" s="118">
        <v>0.76</v>
      </c>
      <c r="F262" s="118">
        <v>1.75</v>
      </c>
      <c r="G262" s="118">
        <v>63.69699</v>
      </c>
    </row>
    <row r="263" spans="2:7" x14ac:dyDescent="0.2">
      <c r="B263" s="116" t="s">
        <v>576</v>
      </c>
      <c r="C263" s="117" t="s">
        <v>577</v>
      </c>
      <c r="D263" s="118">
        <v>0.65</v>
      </c>
      <c r="E263" s="118">
        <v>1.1000000000000001</v>
      </c>
      <c r="F263" s="118">
        <v>1.94</v>
      </c>
      <c r="G263" s="118">
        <v>65.991990000000001</v>
      </c>
    </row>
    <row r="264" spans="2:7" x14ac:dyDescent="0.2">
      <c r="B264" s="116" t="s">
        <v>579</v>
      </c>
      <c r="C264" s="117" t="s">
        <v>580</v>
      </c>
      <c r="D264" s="118">
        <v>9.69</v>
      </c>
      <c r="E264" s="118">
        <v>8.02</v>
      </c>
      <c r="F264" s="118">
        <v>0.11</v>
      </c>
      <c r="G264" s="118">
        <v>9.6785999999999994</v>
      </c>
    </row>
    <row r="265" spans="2:7" x14ac:dyDescent="0.2">
      <c r="B265" s="116" t="s">
        <v>3638</v>
      </c>
      <c r="C265" s="117" t="s">
        <v>3639</v>
      </c>
      <c r="D265" s="118"/>
      <c r="E265" s="118">
        <v>4.21</v>
      </c>
      <c r="F265" s="118"/>
      <c r="G265" s="118"/>
    </row>
    <row r="266" spans="2:7" x14ac:dyDescent="0.2">
      <c r="B266" s="116" t="s">
        <v>3640</v>
      </c>
      <c r="C266" s="117" t="s">
        <v>3641</v>
      </c>
      <c r="D266" s="118"/>
      <c r="E266" s="118"/>
      <c r="F266" s="118"/>
      <c r="G266" s="118"/>
    </row>
    <row r="267" spans="2:7" x14ac:dyDescent="0.2">
      <c r="B267" s="116" t="s">
        <v>581</v>
      </c>
      <c r="C267" s="117" t="s">
        <v>582</v>
      </c>
      <c r="D267" s="118">
        <v>1.17</v>
      </c>
      <c r="E267" s="118">
        <v>1.02</v>
      </c>
      <c r="F267" s="118">
        <v>0.15</v>
      </c>
      <c r="G267" s="118">
        <v>11.954000000000001</v>
      </c>
    </row>
    <row r="268" spans="2:7" x14ac:dyDescent="0.2">
      <c r="B268" s="116" t="s">
        <v>583</v>
      </c>
      <c r="C268" s="117" t="s">
        <v>584</v>
      </c>
      <c r="D268" s="118">
        <v>2.92</v>
      </c>
      <c r="E268" s="118">
        <v>4.1100000000000003</v>
      </c>
      <c r="F268" s="118">
        <v>0.28000000000000003</v>
      </c>
      <c r="G268" s="118">
        <v>22.082999999999998</v>
      </c>
    </row>
    <row r="269" spans="2:7" x14ac:dyDescent="0.2">
      <c r="B269" s="116" t="s">
        <v>585</v>
      </c>
      <c r="C269" s="117" t="s">
        <v>586</v>
      </c>
      <c r="D269" s="118">
        <v>0.28999999999999998</v>
      </c>
      <c r="E269" s="118">
        <v>1.46</v>
      </c>
      <c r="F269" s="118"/>
      <c r="G269" s="118">
        <v>34.794989999999999</v>
      </c>
    </row>
    <row r="270" spans="2:7" x14ac:dyDescent="0.2">
      <c r="B270" s="116" t="s">
        <v>588</v>
      </c>
      <c r="C270" s="117" t="s">
        <v>589</v>
      </c>
      <c r="D270" s="118">
        <v>1.5</v>
      </c>
      <c r="E270" s="118">
        <v>3.88</v>
      </c>
      <c r="F270" s="118">
        <v>1.51</v>
      </c>
      <c r="G270" s="118">
        <v>60.203989999999997</v>
      </c>
    </row>
    <row r="271" spans="2:7" x14ac:dyDescent="0.2">
      <c r="B271" s="116" t="s">
        <v>590</v>
      </c>
      <c r="C271" s="117" t="s">
        <v>591</v>
      </c>
      <c r="D271" s="118">
        <v>0.83</v>
      </c>
      <c r="E271" s="118">
        <v>0.73</v>
      </c>
      <c r="F271" s="118">
        <v>1.72</v>
      </c>
      <c r="G271" s="118">
        <v>63.289000000000001</v>
      </c>
    </row>
    <row r="272" spans="2:7" x14ac:dyDescent="0.2">
      <c r="B272" s="116" t="s">
        <v>592</v>
      </c>
      <c r="C272" s="117" t="s">
        <v>593</v>
      </c>
      <c r="D272" s="118">
        <v>1.06</v>
      </c>
      <c r="E272" s="118">
        <v>1.06</v>
      </c>
      <c r="F272" s="118">
        <v>0.31</v>
      </c>
      <c r="G272" s="118">
        <v>22.66799</v>
      </c>
    </row>
    <row r="273" spans="2:7" x14ac:dyDescent="0.2">
      <c r="B273" s="116" t="s">
        <v>594</v>
      </c>
      <c r="C273" s="117" t="s">
        <v>595</v>
      </c>
      <c r="D273" s="118">
        <v>1.24</v>
      </c>
      <c r="E273" s="118">
        <v>1.75</v>
      </c>
      <c r="F273" s="118">
        <v>0.09</v>
      </c>
      <c r="G273" s="118">
        <v>11.45499</v>
      </c>
    </row>
    <row r="274" spans="2:7" x14ac:dyDescent="0.2">
      <c r="B274" s="116" t="s">
        <v>596</v>
      </c>
      <c r="C274" s="117" t="s">
        <v>597</v>
      </c>
      <c r="D274" s="118">
        <v>0.7</v>
      </c>
      <c r="E274" s="118">
        <v>0.7</v>
      </c>
      <c r="F274" s="118">
        <v>0.09</v>
      </c>
      <c r="G274" s="118">
        <v>7.9198899999999997</v>
      </c>
    </row>
    <row r="275" spans="2:7" x14ac:dyDescent="0.2">
      <c r="B275" s="116" t="s">
        <v>599</v>
      </c>
      <c r="C275" s="117" t="s">
        <v>600</v>
      </c>
      <c r="D275" s="118">
        <v>0.93</v>
      </c>
      <c r="E275" s="118">
        <v>0.91</v>
      </c>
      <c r="F275" s="118">
        <v>1.72</v>
      </c>
      <c r="G275" s="118">
        <v>63.188989999999997</v>
      </c>
    </row>
    <row r="276" spans="2:7" x14ac:dyDescent="0.2">
      <c r="B276" s="116" t="s">
        <v>3642</v>
      </c>
      <c r="C276" s="117" t="s">
        <v>3643</v>
      </c>
      <c r="D276" s="118">
        <v>0.85</v>
      </c>
      <c r="E276" s="118">
        <v>1.95</v>
      </c>
      <c r="F276" s="118"/>
      <c r="G276" s="118">
        <v>0</v>
      </c>
    </row>
    <row r="277" spans="2:7" x14ac:dyDescent="0.2">
      <c r="B277" s="116" t="s">
        <v>602</v>
      </c>
      <c r="C277" s="117" t="s">
        <v>603</v>
      </c>
      <c r="D277" s="118">
        <v>0.79</v>
      </c>
      <c r="E277" s="118">
        <v>0.96</v>
      </c>
      <c r="F277" s="118"/>
      <c r="G277" s="118">
        <v>31.364000000000001</v>
      </c>
    </row>
    <row r="278" spans="2:7" x14ac:dyDescent="0.2">
      <c r="B278" s="116" t="s">
        <v>604</v>
      </c>
      <c r="C278" s="117" t="s">
        <v>605</v>
      </c>
      <c r="D278" s="118">
        <v>0.78</v>
      </c>
      <c r="E278" s="118">
        <v>1.07</v>
      </c>
      <c r="F278" s="118">
        <v>0.65</v>
      </c>
      <c r="G278" s="118">
        <v>39.325000000000003</v>
      </c>
    </row>
    <row r="279" spans="2:7" x14ac:dyDescent="0.2">
      <c r="B279" s="116" t="s">
        <v>607</v>
      </c>
      <c r="C279" s="117" t="s">
        <v>608</v>
      </c>
      <c r="D279" s="118">
        <v>0.28000000000000003</v>
      </c>
      <c r="E279" s="118">
        <v>0.91</v>
      </c>
      <c r="F279" s="118">
        <v>0.91</v>
      </c>
      <c r="G279" s="118">
        <v>47.731990000000003</v>
      </c>
    </row>
    <row r="280" spans="2:7" x14ac:dyDescent="0.2">
      <c r="B280" s="116" t="s">
        <v>610</v>
      </c>
      <c r="C280" s="117" t="s">
        <v>611</v>
      </c>
      <c r="D280" s="118">
        <v>8.2899999999999991</v>
      </c>
      <c r="E280" s="118">
        <v>7.52</v>
      </c>
      <c r="F280" s="118">
        <v>0.16</v>
      </c>
      <c r="G280" s="118">
        <v>13.51599</v>
      </c>
    </row>
    <row r="281" spans="2:7" x14ac:dyDescent="0.2">
      <c r="B281" s="116" t="s">
        <v>612</v>
      </c>
      <c r="C281" s="117" t="s">
        <v>613</v>
      </c>
      <c r="D281" s="118">
        <v>0.74</v>
      </c>
      <c r="E281" s="118">
        <v>0.69</v>
      </c>
      <c r="F281" s="118">
        <v>0</v>
      </c>
      <c r="G281" s="118">
        <v>0</v>
      </c>
    </row>
    <row r="282" spans="2:7" x14ac:dyDescent="0.2">
      <c r="B282" s="116" t="s">
        <v>3644</v>
      </c>
      <c r="C282" s="117" t="s">
        <v>3645</v>
      </c>
      <c r="D282" s="118">
        <v>0.54</v>
      </c>
      <c r="E282" s="118">
        <v>0.4</v>
      </c>
      <c r="F282" s="118">
        <v>1.1399999999999999</v>
      </c>
      <c r="G282" s="118">
        <v>53.103999999999999</v>
      </c>
    </row>
    <row r="283" spans="2:7" x14ac:dyDescent="0.2">
      <c r="B283" s="116" t="s">
        <v>615</v>
      </c>
      <c r="C283" s="117" t="s">
        <v>616</v>
      </c>
      <c r="D283" s="118">
        <v>1.3</v>
      </c>
      <c r="E283" s="118">
        <v>1.3</v>
      </c>
      <c r="F283" s="118">
        <v>1.3</v>
      </c>
      <c r="G283" s="118">
        <v>56.599989999999998</v>
      </c>
    </row>
    <row r="284" spans="2:7" x14ac:dyDescent="0.2">
      <c r="B284" s="116" t="s">
        <v>617</v>
      </c>
      <c r="C284" s="117" t="s">
        <v>618</v>
      </c>
      <c r="D284" s="118">
        <v>1.52</v>
      </c>
      <c r="E284" s="118">
        <v>2.13</v>
      </c>
      <c r="F284" s="118">
        <v>0.2</v>
      </c>
      <c r="G284" s="118">
        <v>16.347000000000001</v>
      </c>
    </row>
    <row r="285" spans="2:7" x14ac:dyDescent="0.2">
      <c r="B285" s="116" t="s">
        <v>620</v>
      </c>
      <c r="C285" s="117" t="s">
        <v>621</v>
      </c>
      <c r="D285" s="118">
        <v>0.94</v>
      </c>
      <c r="E285" s="118">
        <v>1.1499999999999999</v>
      </c>
      <c r="F285" s="118">
        <v>2.15</v>
      </c>
      <c r="G285" s="118">
        <v>68.272000000000006</v>
      </c>
    </row>
    <row r="286" spans="2:7" x14ac:dyDescent="0.2">
      <c r="B286" s="116" t="s">
        <v>622</v>
      </c>
      <c r="C286" s="117" t="s">
        <v>3646</v>
      </c>
      <c r="D286" s="118">
        <v>0.28999999999999998</v>
      </c>
      <c r="E286" s="118">
        <v>0.34</v>
      </c>
      <c r="F286" s="118">
        <v>0</v>
      </c>
      <c r="G286" s="118">
        <v>0</v>
      </c>
    </row>
    <row r="287" spans="2:7" x14ac:dyDescent="0.2">
      <c r="B287" s="116" t="s">
        <v>622</v>
      </c>
      <c r="C287" s="117" t="s">
        <v>623</v>
      </c>
      <c r="D287" s="118">
        <v>0.28999999999999998</v>
      </c>
      <c r="E287" s="118">
        <v>0.34</v>
      </c>
      <c r="F287" s="118">
        <v>0</v>
      </c>
      <c r="G287" s="118">
        <v>0</v>
      </c>
    </row>
    <row r="288" spans="2:7" x14ac:dyDescent="0.2">
      <c r="B288" s="116" t="s">
        <v>624</v>
      </c>
      <c r="C288" s="117" t="s">
        <v>625</v>
      </c>
      <c r="D288" s="118">
        <v>0.56000000000000005</v>
      </c>
      <c r="E288" s="118">
        <v>0.79</v>
      </c>
      <c r="F288" s="118">
        <v>3.34</v>
      </c>
      <c r="G288" s="118">
        <v>76.953000000000003</v>
      </c>
    </row>
    <row r="289" spans="2:7" x14ac:dyDescent="0.2">
      <c r="B289" s="116" t="s">
        <v>626</v>
      </c>
      <c r="C289" s="117" t="s">
        <v>627</v>
      </c>
      <c r="D289" s="118">
        <v>1.33</v>
      </c>
      <c r="E289" s="118">
        <v>2.19</v>
      </c>
      <c r="F289" s="118">
        <v>0.63</v>
      </c>
      <c r="G289" s="118">
        <v>39.634990000000002</v>
      </c>
    </row>
    <row r="290" spans="2:7" x14ac:dyDescent="0.2">
      <c r="B290" s="116" t="s">
        <v>629</v>
      </c>
      <c r="C290" s="117" t="s">
        <v>630</v>
      </c>
      <c r="D290" s="118">
        <v>0.95</v>
      </c>
      <c r="E290" s="118">
        <v>0.95</v>
      </c>
      <c r="F290" s="118">
        <v>0.45</v>
      </c>
      <c r="G290" s="118">
        <v>30.966989999999999</v>
      </c>
    </row>
    <row r="291" spans="2:7" x14ac:dyDescent="0.2">
      <c r="B291" s="116" t="s">
        <v>3647</v>
      </c>
      <c r="C291" s="117" t="s">
        <v>3648</v>
      </c>
      <c r="D291" s="118">
        <v>1.71</v>
      </c>
      <c r="E291" s="118">
        <v>2.64</v>
      </c>
      <c r="F291" s="118">
        <v>0.18</v>
      </c>
      <c r="G291" s="118">
        <v>15.065989999999999</v>
      </c>
    </row>
    <row r="292" spans="2:7" x14ac:dyDescent="0.2">
      <c r="B292" s="116" t="s">
        <v>631</v>
      </c>
      <c r="C292" s="117" t="s">
        <v>632</v>
      </c>
      <c r="D292" s="118">
        <v>0.59</v>
      </c>
      <c r="E292" s="118">
        <v>0.47</v>
      </c>
      <c r="F292" s="118">
        <v>1.78</v>
      </c>
      <c r="G292" s="118">
        <v>64.054000000000002</v>
      </c>
    </row>
    <row r="293" spans="2:7" x14ac:dyDescent="0.2">
      <c r="B293" s="116" t="s">
        <v>633</v>
      </c>
      <c r="C293" s="117" t="s">
        <v>634</v>
      </c>
      <c r="D293" s="118">
        <v>1.6</v>
      </c>
      <c r="E293" s="118">
        <v>1.82</v>
      </c>
      <c r="F293" s="118">
        <v>3.23</v>
      </c>
      <c r="G293" s="118">
        <v>76.376990000000006</v>
      </c>
    </row>
    <row r="294" spans="2:7" x14ac:dyDescent="0.2">
      <c r="B294" s="116" t="s">
        <v>635</v>
      </c>
      <c r="C294" s="117" t="s">
        <v>636</v>
      </c>
      <c r="D294" s="118">
        <v>0.19</v>
      </c>
      <c r="E294" s="118">
        <v>0.14000000000000001</v>
      </c>
      <c r="F294" s="118">
        <v>0.1</v>
      </c>
      <c r="G294" s="118">
        <v>9.1030899999999999</v>
      </c>
    </row>
    <row r="295" spans="2:7" x14ac:dyDescent="0.2">
      <c r="B295" s="116" t="s">
        <v>640</v>
      </c>
      <c r="C295" s="117" t="s">
        <v>641</v>
      </c>
      <c r="D295" s="118"/>
      <c r="E295" s="118">
        <v>1.02</v>
      </c>
      <c r="F295" s="118">
        <v>0.88</v>
      </c>
      <c r="G295" s="118">
        <v>46.76699</v>
      </c>
    </row>
    <row r="296" spans="2:7" x14ac:dyDescent="0.2">
      <c r="B296" s="116" t="s">
        <v>642</v>
      </c>
      <c r="C296" s="117" t="s">
        <v>643</v>
      </c>
      <c r="D296" s="118">
        <v>0.54</v>
      </c>
      <c r="E296" s="118">
        <v>1.31</v>
      </c>
      <c r="F296" s="118">
        <v>0.81</v>
      </c>
      <c r="G296" s="118">
        <v>44.610999999999997</v>
      </c>
    </row>
    <row r="297" spans="2:7" x14ac:dyDescent="0.2">
      <c r="B297" s="116" t="s">
        <v>644</v>
      </c>
      <c r="C297" s="117" t="s">
        <v>645</v>
      </c>
      <c r="D297" s="118">
        <v>0.7</v>
      </c>
      <c r="E297" s="118">
        <v>0.7</v>
      </c>
      <c r="F297" s="118">
        <v>0.04</v>
      </c>
      <c r="G297" s="118">
        <v>3.9456000000000002</v>
      </c>
    </row>
    <row r="298" spans="2:7" x14ac:dyDescent="0.2">
      <c r="B298" s="116" t="s">
        <v>646</v>
      </c>
      <c r="C298" s="117" t="s">
        <v>647</v>
      </c>
      <c r="D298" s="118">
        <v>0.62</v>
      </c>
      <c r="E298" s="118">
        <v>2.17</v>
      </c>
      <c r="F298" s="118">
        <v>0.24</v>
      </c>
      <c r="G298" s="118">
        <v>19.280999999999999</v>
      </c>
    </row>
    <row r="299" spans="2:7" x14ac:dyDescent="0.2">
      <c r="B299" s="116" t="s">
        <v>648</v>
      </c>
      <c r="C299" s="117" t="s">
        <v>649</v>
      </c>
      <c r="D299" s="118">
        <v>0.41</v>
      </c>
      <c r="E299" s="118">
        <v>0.73</v>
      </c>
      <c r="F299" s="118">
        <v>0.63</v>
      </c>
      <c r="G299" s="118">
        <v>38.817999999999998</v>
      </c>
    </row>
    <row r="300" spans="2:7" x14ac:dyDescent="0.2">
      <c r="B300" s="116" t="s">
        <v>3649</v>
      </c>
      <c r="C300" s="117" t="s">
        <v>3650</v>
      </c>
      <c r="D300" s="118">
        <v>0.93</v>
      </c>
      <c r="E300" s="118">
        <v>0.93</v>
      </c>
      <c r="F300" s="118"/>
      <c r="G300" s="118">
        <v>25.229990000000001</v>
      </c>
    </row>
    <row r="301" spans="2:7" x14ac:dyDescent="0.2">
      <c r="B301" s="116" t="s">
        <v>651</v>
      </c>
      <c r="C301" s="117" t="s">
        <v>652</v>
      </c>
      <c r="D301" s="118">
        <v>1.05</v>
      </c>
      <c r="E301" s="118">
        <v>1.0900000000000001</v>
      </c>
      <c r="F301" s="118"/>
      <c r="G301" s="118">
        <v>59.238990000000001</v>
      </c>
    </row>
    <row r="302" spans="2:7" x14ac:dyDescent="0.2">
      <c r="B302" s="116" t="s">
        <v>3651</v>
      </c>
      <c r="C302" s="117" t="s">
        <v>3652</v>
      </c>
      <c r="D302" s="118">
        <v>0.72</v>
      </c>
      <c r="E302" s="118"/>
      <c r="F302" s="118"/>
      <c r="G302" s="118"/>
    </row>
    <row r="303" spans="2:7" x14ac:dyDescent="0.2">
      <c r="B303" s="116" t="s">
        <v>653</v>
      </c>
      <c r="C303" s="117" t="s">
        <v>654</v>
      </c>
      <c r="D303" s="118">
        <v>0.41</v>
      </c>
      <c r="E303" s="118">
        <v>0.54</v>
      </c>
      <c r="F303" s="118">
        <v>1.3</v>
      </c>
      <c r="G303" s="118">
        <v>56.545999999999999</v>
      </c>
    </row>
    <row r="304" spans="2:7" x14ac:dyDescent="0.2">
      <c r="B304" s="116" t="s">
        <v>655</v>
      </c>
      <c r="C304" s="117" t="s">
        <v>656</v>
      </c>
      <c r="D304" s="118">
        <v>1.79</v>
      </c>
      <c r="E304" s="118">
        <v>2.5099999999999998</v>
      </c>
      <c r="F304" s="118"/>
      <c r="G304" s="118">
        <v>0</v>
      </c>
    </row>
    <row r="305" spans="2:7" x14ac:dyDescent="0.2">
      <c r="B305" s="116" t="s">
        <v>658</v>
      </c>
      <c r="C305" s="117" t="s">
        <v>659</v>
      </c>
      <c r="D305" s="118">
        <v>0.25</v>
      </c>
      <c r="E305" s="118">
        <v>0.9</v>
      </c>
      <c r="F305" s="118">
        <v>9.99</v>
      </c>
      <c r="G305" s="118">
        <v>90.903989999999993</v>
      </c>
    </row>
    <row r="306" spans="2:7" x14ac:dyDescent="0.2">
      <c r="B306" s="116" t="s">
        <v>661</v>
      </c>
      <c r="C306" s="117" t="s">
        <v>662</v>
      </c>
      <c r="D306" s="118">
        <v>1.57</v>
      </c>
      <c r="E306" s="118">
        <v>1.77</v>
      </c>
      <c r="F306" s="118">
        <v>0.15</v>
      </c>
      <c r="G306" s="118">
        <v>13.33699</v>
      </c>
    </row>
    <row r="307" spans="2:7" x14ac:dyDescent="0.2">
      <c r="B307" s="116" t="s">
        <v>664</v>
      </c>
      <c r="C307" s="117" t="s">
        <v>665</v>
      </c>
      <c r="D307" s="118"/>
      <c r="E307" s="118"/>
      <c r="F307" s="118"/>
      <c r="G307" s="118"/>
    </row>
    <row r="308" spans="2:7" x14ac:dyDescent="0.2">
      <c r="B308" s="116" t="s">
        <v>666</v>
      </c>
      <c r="C308" s="117" t="s">
        <v>667</v>
      </c>
      <c r="D308" s="118">
        <v>1.26</v>
      </c>
      <c r="E308" s="118">
        <v>1.66</v>
      </c>
      <c r="F308" s="118">
        <v>0.43</v>
      </c>
      <c r="G308" s="118">
        <v>29.995000000000001</v>
      </c>
    </row>
    <row r="309" spans="2:7" x14ac:dyDescent="0.2">
      <c r="B309" s="116" t="s">
        <v>668</v>
      </c>
      <c r="C309" s="117" t="s">
        <v>669</v>
      </c>
      <c r="D309" s="118">
        <v>1.44</v>
      </c>
      <c r="E309" s="118">
        <v>1.86</v>
      </c>
      <c r="F309" s="118">
        <v>2.91</v>
      </c>
      <c r="G309" s="118">
        <v>74.417990000000003</v>
      </c>
    </row>
    <row r="310" spans="2:7" x14ac:dyDescent="0.2">
      <c r="B310" s="116" t="s">
        <v>670</v>
      </c>
      <c r="C310" s="117" t="s">
        <v>671</v>
      </c>
      <c r="D310" s="118">
        <v>1.04</v>
      </c>
      <c r="E310" s="118">
        <v>0.89</v>
      </c>
      <c r="F310" s="118">
        <v>0.82</v>
      </c>
      <c r="G310" s="118">
        <v>45.290999999999997</v>
      </c>
    </row>
    <row r="311" spans="2:7" x14ac:dyDescent="0.2">
      <c r="B311" s="116" t="s">
        <v>3653</v>
      </c>
      <c r="C311" s="117" t="s">
        <v>3654</v>
      </c>
      <c r="D311" s="118"/>
      <c r="E311" s="118">
        <v>0.74</v>
      </c>
      <c r="F311" s="118"/>
      <c r="G311" s="118">
        <v>46.808990000000001</v>
      </c>
    </row>
    <row r="312" spans="2:7" x14ac:dyDescent="0.2">
      <c r="B312" s="116" t="s">
        <v>672</v>
      </c>
      <c r="C312" s="117" t="s">
        <v>673</v>
      </c>
      <c r="D312" s="118"/>
      <c r="E312" s="118"/>
      <c r="F312" s="118">
        <v>2.82</v>
      </c>
      <c r="G312" s="118">
        <v>73.819000000000003</v>
      </c>
    </row>
    <row r="313" spans="2:7" x14ac:dyDescent="0.2">
      <c r="B313" s="116" t="s">
        <v>674</v>
      </c>
      <c r="C313" s="117" t="s">
        <v>675</v>
      </c>
      <c r="D313" s="118">
        <v>4.8099999999999996</v>
      </c>
      <c r="E313" s="118">
        <v>4.58</v>
      </c>
      <c r="F313" s="118">
        <v>1.51</v>
      </c>
      <c r="G313" s="118">
        <v>59.627989999999997</v>
      </c>
    </row>
    <row r="314" spans="2:7" x14ac:dyDescent="0.2">
      <c r="B314" s="116" t="s">
        <v>3655</v>
      </c>
      <c r="C314" s="117" t="s">
        <v>3656</v>
      </c>
      <c r="D314" s="118">
        <v>2.88</v>
      </c>
      <c r="E314" s="118">
        <v>8.9499999999999993</v>
      </c>
      <c r="F314" s="118">
        <v>7.0000000000000007E-2</v>
      </c>
      <c r="G314" s="118">
        <v>6.9738899999999999</v>
      </c>
    </row>
    <row r="315" spans="2:7" x14ac:dyDescent="0.2">
      <c r="B315" s="116" t="s">
        <v>676</v>
      </c>
      <c r="C315" s="117" t="s">
        <v>677</v>
      </c>
      <c r="D315" s="118">
        <v>0.86</v>
      </c>
      <c r="E315" s="118">
        <v>1.43</v>
      </c>
      <c r="F315" s="118"/>
      <c r="G315" s="118">
        <v>46.22</v>
      </c>
    </row>
    <row r="316" spans="2:7" x14ac:dyDescent="0.2">
      <c r="B316" s="116" t="s">
        <v>3657</v>
      </c>
      <c r="C316" s="117" t="s">
        <v>3658</v>
      </c>
      <c r="D316" s="118"/>
      <c r="E316" s="118"/>
      <c r="F316" s="118"/>
      <c r="G316" s="118"/>
    </row>
    <row r="317" spans="2:7" x14ac:dyDescent="0.2">
      <c r="B317" s="116" t="s">
        <v>680</v>
      </c>
      <c r="C317" s="117" t="s">
        <v>681</v>
      </c>
      <c r="D317" s="118">
        <v>0.99</v>
      </c>
      <c r="E317" s="118">
        <v>1.01</v>
      </c>
      <c r="F317" s="118">
        <v>1.4</v>
      </c>
      <c r="G317" s="118">
        <v>56.005000000000003</v>
      </c>
    </row>
    <row r="318" spans="2:7" x14ac:dyDescent="0.2">
      <c r="B318" s="116" t="s">
        <v>682</v>
      </c>
      <c r="C318" s="117" t="s">
        <v>683</v>
      </c>
      <c r="D318" s="118">
        <v>0.4</v>
      </c>
      <c r="E318" s="118">
        <v>0.52</v>
      </c>
      <c r="F318" s="118"/>
      <c r="G318" s="118">
        <v>25.913</v>
      </c>
    </row>
    <row r="319" spans="2:7" x14ac:dyDescent="0.2">
      <c r="B319" s="116" t="s">
        <v>684</v>
      </c>
      <c r="C319" s="117" t="s">
        <v>685</v>
      </c>
      <c r="D319" s="118">
        <v>2.38</v>
      </c>
      <c r="E319" s="118">
        <v>1.0900000000000001</v>
      </c>
      <c r="F319" s="118">
        <v>1.68</v>
      </c>
      <c r="G319" s="118">
        <v>62.666989999999998</v>
      </c>
    </row>
    <row r="320" spans="2:7" x14ac:dyDescent="0.2">
      <c r="B320" s="116" t="s">
        <v>687</v>
      </c>
      <c r="C320" s="117" t="s">
        <v>688</v>
      </c>
      <c r="D320" s="118">
        <v>17.07</v>
      </c>
      <c r="E320" s="118">
        <v>28.16</v>
      </c>
      <c r="F320" s="118">
        <v>1.89</v>
      </c>
      <c r="G320" s="118">
        <v>65.382999999999996</v>
      </c>
    </row>
    <row r="321" spans="2:7" x14ac:dyDescent="0.2">
      <c r="B321" s="116" t="s">
        <v>689</v>
      </c>
      <c r="C321" s="117" t="s">
        <v>690</v>
      </c>
      <c r="D321" s="118">
        <v>1.49</v>
      </c>
      <c r="E321" s="118">
        <v>1.49</v>
      </c>
      <c r="F321" s="118">
        <v>0.68</v>
      </c>
      <c r="G321" s="118">
        <v>40.557989999999997</v>
      </c>
    </row>
    <row r="322" spans="2:7" x14ac:dyDescent="0.2">
      <c r="B322" s="116" t="s">
        <v>692</v>
      </c>
      <c r="C322" s="117" t="s">
        <v>693</v>
      </c>
      <c r="D322" s="118">
        <v>0.83</v>
      </c>
      <c r="E322" s="118">
        <v>1.2</v>
      </c>
      <c r="F322" s="118">
        <v>1.03</v>
      </c>
      <c r="G322" s="118">
        <v>50.723990000000001</v>
      </c>
    </row>
    <row r="323" spans="2:7" x14ac:dyDescent="0.2">
      <c r="B323" s="116" t="s">
        <v>694</v>
      </c>
      <c r="C323" s="117" t="s">
        <v>695</v>
      </c>
      <c r="D323" s="118">
        <v>0.54</v>
      </c>
      <c r="E323" s="118">
        <v>1.28</v>
      </c>
      <c r="F323" s="118"/>
      <c r="G323" s="118">
        <v>58.807989999999997</v>
      </c>
    </row>
    <row r="324" spans="2:7" x14ac:dyDescent="0.2">
      <c r="B324" s="116" t="s">
        <v>696</v>
      </c>
      <c r="C324" s="117" t="s">
        <v>697</v>
      </c>
      <c r="D324" s="118">
        <v>0.54</v>
      </c>
      <c r="E324" s="118">
        <v>1.07</v>
      </c>
      <c r="F324" s="118">
        <v>1.2</v>
      </c>
      <c r="G324" s="118">
        <v>54.49</v>
      </c>
    </row>
    <row r="325" spans="2:7" x14ac:dyDescent="0.2">
      <c r="B325" s="116" t="s">
        <v>698</v>
      </c>
      <c r="C325" s="117" t="s">
        <v>699</v>
      </c>
      <c r="D325" s="118">
        <v>1.4</v>
      </c>
      <c r="E325" s="118">
        <v>1.9</v>
      </c>
      <c r="F325" s="118">
        <v>0.16</v>
      </c>
      <c r="G325" s="118">
        <v>13.553000000000001</v>
      </c>
    </row>
    <row r="326" spans="2:7" x14ac:dyDescent="0.2">
      <c r="B326" s="116" t="s">
        <v>3659</v>
      </c>
      <c r="C326" s="117" t="s">
        <v>3660</v>
      </c>
      <c r="D326" s="118"/>
      <c r="E326" s="118"/>
      <c r="F326" s="118"/>
      <c r="G326" s="118"/>
    </row>
    <row r="327" spans="2:7" x14ac:dyDescent="0.2">
      <c r="B327" s="116" t="s">
        <v>701</v>
      </c>
      <c r="C327" s="117" t="s">
        <v>702</v>
      </c>
      <c r="D327" s="118">
        <v>3.07</v>
      </c>
      <c r="E327" s="118">
        <v>2.68</v>
      </c>
      <c r="F327" s="118">
        <v>0.23</v>
      </c>
      <c r="G327" s="118">
        <v>18.802</v>
      </c>
    </row>
    <row r="328" spans="2:7" x14ac:dyDescent="0.2">
      <c r="B328" s="116" t="s">
        <v>704</v>
      </c>
      <c r="C328" s="117" t="s">
        <v>705</v>
      </c>
      <c r="D328" s="118">
        <v>0.23</v>
      </c>
      <c r="E328" s="118">
        <v>0.76</v>
      </c>
      <c r="F328" s="118">
        <v>0.88</v>
      </c>
      <c r="G328" s="118">
        <v>46.673990000000003</v>
      </c>
    </row>
    <row r="329" spans="2:7" x14ac:dyDescent="0.2">
      <c r="B329" s="116" t="s">
        <v>707</v>
      </c>
      <c r="C329" s="117" t="s">
        <v>708</v>
      </c>
      <c r="D329" s="118">
        <v>0.96</v>
      </c>
      <c r="E329" s="118">
        <v>1.43</v>
      </c>
      <c r="F329" s="118">
        <v>1.66</v>
      </c>
      <c r="G329" s="118">
        <v>62.469000000000001</v>
      </c>
    </row>
    <row r="330" spans="2:7" x14ac:dyDescent="0.2">
      <c r="B330" s="116" t="s">
        <v>710</v>
      </c>
      <c r="C330" s="117" t="s">
        <v>711</v>
      </c>
      <c r="D330" s="118">
        <v>0.32</v>
      </c>
      <c r="E330" s="118">
        <v>0.32</v>
      </c>
      <c r="F330" s="118">
        <v>0.25</v>
      </c>
      <c r="G330" s="118">
        <v>20.270990000000001</v>
      </c>
    </row>
    <row r="331" spans="2:7" x14ac:dyDescent="0.2">
      <c r="B331" s="116" t="s">
        <v>712</v>
      </c>
      <c r="C331" s="117" t="s">
        <v>713</v>
      </c>
      <c r="D331" s="118">
        <v>0.93</v>
      </c>
      <c r="E331" s="118">
        <v>0.96</v>
      </c>
      <c r="F331" s="118">
        <v>0.68</v>
      </c>
      <c r="G331" s="118">
        <v>40.325000000000003</v>
      </c>
    </row>
    <row r="332" spans="2:7" x14ac:dyDescent="0.2">
      <c r="B332" s="116" t="s">
        <v>3661</v>
      </c>
      <c r="C332" s="117" t="s">
        <v>3662</v>
      </c>
      <c r="D332" s="118">
        <v>1.01</v>
      </c>
      <c r="E332" s="118">
        <v>1.33</v>
      </c>
      <c r="F332" s="118"/>
      <c r="G332" s="118">
        <v>22.096</v>
      </c>
    </row>
    <row r="333" spans="2:7" x14ac:dyDescent="0.2">
      <c r="B333" s="116" t="s">
        <v>715</v>
      </c>
      <c r="C333" s="117" t="s">
        <v>716</v>
      </c>
      <c r="D333" s="118">
        <v>1.1499999999999999</v>
      </c>
      <c r="E333" s="118">
        <v>2.02</v>
      </c>
      <c r="F333" s="118">
        <v>0.28999999999999998</v>
      </c>
      <c r="G333" s="118">
        <v>22.561</v>
      </c>
    </row>
    <row r="334" spans="2:7" x14ac:dyDescent="0.2">
      <c r="B334" s="116" t="s">
        <v>718</v>
      </c>
      <c r="C334" s="117" t="s">
        <v>719</v>
      </c>
      <c r="D334" s="118">
        <v>9.1</v>
      </c>
      <c r="E334" s="118">
        <v>10.57</v>
      </c>
      <c r="F334" s="118">
        <v>0</v>
      </c>
      <c r="G334" s="118">
        <v>0</v>
      </c>
    </row>
    <row r="335" spans="2:7" x14ac:dyDescent="0.2">
      <c r="B335" s="116" t="s">
        <v>720</v>
      </c>
      <c r="C335" s="117" t="s">
        <v>721</v>
      </c>
      <c r="D335" s="118">
        <v>1.1599999999999999</v>
      </c>
      <c r="E335" s="118">
        <v>1.17</v>
      </c>
      <c r="F335" s="118">
        <v>0.51</v>
      </c>
      <c r="G335" s="118">
        <v>33.884990000000002</v>
      </c>
    </row>
    <row r="336" spans="2:7" x14ac:dyDescent="0.2">
      <c r="B336" s="116" t="s">
        <v>723</v>
      </c>
      <c r="C336" s="117" t="s">
        <v>724</v>
      </c>
      <c r="D336" s="118"/>
      <c r="E336" s="118">
        <v>0.62</v>
      </c>
      <c r="F336" s="118">
        <v>0.66</v>
      </c>
      <c r="G336" s="118">
        <v>39.811999999999998</v>
      </c>
    </row>
    <row r="337" spans="2:7" x14ac:dyDescent="0.2">
      <c r="B337" s="116" t="s">
        <v>726</v>
      </c>
      <c r="C337" s="117" t="s">
        <v>727</v>
      </c>
      <c r="D337" s="118">
        <v>1.04</v>
      </c>
      <c r="E337" s="118">
        <v>1.65</v>
      </c>
      <c r="F337" s="118">
        <v>2.15</v>
      </c>
      <c r="G337" s="118">
        <v>68.25</v>
      </c>
    </row>
    <row r="338" spans="2:7" x14ac:dyDescent="0.2">
      <c r="B338" s="116" t="s">
        <v>726</v>
      </c>
      <c r="C338" s="117" t="s">
        <v>3663</v>
      </c>
      <c r="D338" s="118">
        <v>1.04</v>
      </c>
      <c r="E338" s="118">
        <v>1.65</v>
      </c>
      <c r="F338" s="118">
        <v>2.15</v>
      </c>
      <c r="G338" s="118">
        <v>68.25</v>
      </c>
    </row>
    <row r="339" spans="2:7" x14ac:dyDescent="0.2">
      <c r="B339" s="116" t="s">
        <v>3664</v>
      </c>
      <c r="C339" s="117" t="s">
        <v>3665</v>
      </c>
      <c r="D339" s="118">
        <v>0.71</v>
      </c>
      <c r="E339" s="118">
        <v>0.71</v>
      </c>
      <c r="F339" s="118">
        <v>0</v>
      </c>
      <c r="G339" s="118">
        <v>0.14201</v>
      </c>
    </row>
    <row r="340" spans="2:7" x14ac:dyDescent="0.2">
      <c r="B340" s="116" t="s">
        <v>729</v>
      </c>
      <c r="C340" s="117" t="s">
        <v>730</v>
      </c>
      <c r="D340" s="118">
        <v>0.74</v>
      </c>
      <c r="E340" s="118">
        <v>0.81</v>
      </c>
      <c r="F340" s="118">
        <v>0.06</v>
      </c>
      <c r="G340" s="118">
        <v>5.2305000000000001</v>
      </c>
    </row>
    <row r="341" spans="2:7" x14ac:dyDescent="0.2">
      <c r="B341" s="116" t="s">
        <v>3666</v>
      </c>
      <c r="C341" s="117" t="s">
        <v>3667</v>
      </c>
      <c r="D341" s="118">
        <v>1.41</v>
      </c>
      <c r="E341" s="118">
        <v>0.61</v>
      </c>
      <c r="F341" s="118">
        <v>1.02</v>
      </c>
      <c r="G341" s="118">
        <v>50.427999999999997</v>
      </c>
    </row>
    <row r="342" spans="2:7" x14ac:dyDescent="0.2">
      <c r="B342" s="116" t="s">
        <v>731</v>
      </c>
      <c r="C342" s="117" t="s">
        <v>732</v>
      </c>
      <c r="D342" s="118"/>
      <c r="E342" s="118"/>
      <c r="F342" s="118"/>
      <c r="G342" s="118"/>
    </row>
    <row r="343" spans="2:7" x14ac:dyDescent="0.2">
      <c r="B343" s="116" t="s">
        <v>734</v>
      </c>
      <c r="C343" s="117" t="s">
        <v>735</v>
      </c>
      <c r="D343" s="118">
        <v>0.61</v>
      </c>
      <c r="E343" s="118">
        <v>0.84</v>
      </c>
      <c r="F343" s="118">
        <v>0.9</v>
      </c>
      <c r="G343" s="118">
        <v>47.256990000000002</v>
      </c>
    </row>
    <row r="344" spans="2:7" x14ac:dyDescent="0.2">
      <c r="B344" s="116" t="s">
        <v>737</v>
      </c>
      <c r="C344" s="117" t="s">
        <v>738</v>
      </c>
      <c r="D344" s="118">
        <v>0.98</v>
      </c>
      <c r="E344" s="118">
        <v>0.94</v>
      </c>
      <c r="F344" s="118">
        <v>0.88</v>
      </c>
      <c r="G344" s="118">
        <v>46.889989999999997</v>
      </c>
    </row>
    <row r="345" spans="2:7" x14ac:dyDescent="0.2">
      <c r="B345" s="116" t="s">
        <v>739</v>
      </c>
      <c r="C345" s="117" t="s">
        <v>740</v>
      </c>
      <c r="D345" s="118">
        <v>0.87</v>
      </c>
      <c r="E345" s="118">
        <v>0.76</v>
      </c>
      <c r="F345" s="118">
        <v>1.99</v>
      </c>
      <c r="G345" s="118">
        <v>66.522999999999996</v>
      </c>
    </row>
    <row r="346" spans="2:7" x14ac:dyDescent="0.2">
      <c r="B346" s="116" t="s">
        <v>741</v>
      </c>
      <c r="C346" s="117" t="s">
        <v>742</v>
      </c>
      <c r="D346" s="118">
        <v>1.84</v>
      </c>
      <c r="E346" s="118">
        <v>2.59</v>
      </c>
      <c r="F346" s="118">
        <v>0.2</v>
      </c>
      <c r="G346" s="118">
        <v>16.79899</v>
      </c>
    </row>
    <row r="347" spans="2:7" x14ac:dyDescent="0.2">
      <c r="B347" s="116" t="s">
        <v>743</v>
      </c>
      <c r="C347" s="117" t="s">
        <v>744</v>
      </c>
      <c r="D347" s="118">
        <v>0.61</v>
      </c>
      <c r="E347" s="118">
        <v>1.17</v>
      </c>
      <c r="F347" s="118">
        <v>5.13</v>
      </c>
      <c r="G347" s="118">
        <v>83.676000000000002</v>
      </c>
    </row>
    <row r="348" spans="2:7" x14ac:dyDescent="0.2">
      <c r="B348" s="116" t="s">
        <v>745</v>
      </c>
      <c r="C348" s="117" t="s">
        <v>746</v>
      </c>
      <c r="D348" s="118">
        <v>0.19</v>
      </c>
      <c r="E348" s="118">
        <v>0.27</v>
      </c>
      <c r="F348" s="118"/>
      <c r="G348" s="118">
        <v>27.358989999999999</v>
      </c>
    </row>
    <row r="349" spans="2:7" x14ac:dyDescent="0.2">
      <c r="B349" s="116" t="s">
        <v>748</v>
      </c>
      <c r="C349" s="117" t="s">
        <v>749</v>
      </c>
      <c r="D349" s="118">
        <v>1.33</v>
      </c>
      <c r="E349" s="118">
        <v>1.53</v>
      </c>
      <c r="F349" s="118">
        <v>1.24</v>
      </c>
      <c r="G349" s="118">
        <v>55.408999999999999</v>
      </c>
    </row>
    <row r="350" spans="2:7" x14ac:dyDescent="0.2">
      <c r="B350" s="116" t="s">
        <v>750</v>
      </c>
      <c r="C350" s="117" t="s">
        <v>751</v>
      </c>
      <c r="D350" s="118">
        <v>4.46</v>
      </c>
      <c r="E350" s="118">
        <v>3.06</v>
      </c>
      <c r="F350" s="118">
        <v>0.91</v>
      </c>
      <c r="G350" s="118">
        <v>47.57199</v>
      </c>
    </row>
    <row r="351" spans="2:7" x14ac:dyDescent="0.2">
      <c r="B351" s="116" t="s">
        <v>3668</v>
      </c>
      <c r="C351" s="117" t="s">
        <v>3669</v>
      </c>
      <c r="D351" s="118">
        <v>3.08</v>
      </c>
      <c r="E351" s="118">
        <v>5.77</v>
      </c>
      <c r="F351" s="118">
        <v>7.0000000000000007E-2</v>
      </c>
      <c r="G351" s="118">
        <v>6.7182899999999997</v>
      </c>
    </row>
    <row r="352" spans="2:7" x14ac:dyDescent="0.2">
      <c r="B352" s="116" t="s">
        <v>3670</v>
      </c>
      <c r="C352" s="117" t="s">
        <v>3671</v>
      </c>
      <c r="D352" s="118">
        <v>1.1200000000000001</v>
      </c>
      <c r="E352" s="118">
        <v>1.1200000000000001</v>
      </c>
      <c r="F352" s="118"/>
      <c r="G352" s="118">
        <v>47.027990000000003</v>
      </c>
    </row>
    <row r="353" spans="2:7" x14ac:dyDescent="0.2">
      <c r="B353" s="116" t="s">
        <v>752</v>
      </c>
      <c r="C353" s="117" t="s">
        <v>753</v>
      </c>
      <c r="D353" s="118">
        <v>0.68</v>
      </c>
      <c r="E353" s="118">
        <v>0.8</v>
      </c>
      <c r="F353" s="118"/>
      <c r="G353" s="118">
        <v>39.848990000000001</v>
      </c>
    </row>
    <row r="354" spans="2:7" x14ac:dyDescent="0.2">
      <c r="B354" s="116" t="s">
        <v>755</v>
      </c>
      <c r="C354" s="117" t="s">
        <v>756</v>
      </c>
      <c r="D354" s="118">
        <v>1.0900000000000001</v>
      </c>
      <c r="E354" s="118">
        <v>1.77</v>
      </c>
      <c r="F354" s="118">
        <v>0.18</v>
      </c>
      <c r="G354" s="118">
        <v>15.266999999999999</v>
      </c>
    </row>
    <row r="355" spans="2:7" x14ac:dyDescent="0.2">
      <c r="B355" s="116" t="s">
        <v>757</v>
      </c>
      <c r="C355" s="117" t="s">
        <v>758</v>
      </c>
      <c r="D355" s="118">
        <v>1.06</v>
      </c>
      <c r="E355" s="118">
        <v>1.06</v>
      </c>
      <c r="F355" s="118">
        <v>0.4</v>
      </c>
      <c r="G355" s="118">
        <v>28.357990000000001</v>
      </c>
    </row>
    <row r="356" spans="2:7" x14ac:dyDescent="0.2">
      <c r="B356" s="116" t="s">
        <v>759</v>
      </c>
      <c r="C356" s="117" t="s">
        <v>760</v>
      </c>
      <c r="D356" s="118">
        <v>1.27</v>
      </c>
      <c r="E356" s="118">
        <v>1.41</v>
      </c>
      <c r="F356" s="118">
        <v>0.52</v>
      </c>
      <c r="G356" s="118">
        <v>34.348990000000001</v>
      </c>
    </row>
    <row r="357" spans="2:7" x14ac:dyDescent="0.2">
      <c r="B357" s="116" t="s">
        <v>761</v>
      </c>
      <c r="C357" s="117" t="s">
        <v>762</v>
      </c>
      <c r="D357" s="118">
        <v>1.18</v>
      </c>
      <c r="E357" s="118">
        <v>1.18</v>
      </c>
      <c r="F357" s="118">
        <v>-3.72</v>
      </c>
      <c r="G357" s="118"/>
    </row>
    <row r="358" spans="2:7" x14ac:dyDescent="0.2">
      <c r="B358" s="116" t="s">
        <v>763</v>
      </c>
      <c r="C358" s="117" t="s">
        <v>764</v>
      </c>
      <c r="D358" s="118">
        <v>1.3</v>
      </c>
      <c r="E358" s="118">
        <v>1.6</v>
      </c>
      <c r="F358" s="118">
        <v>0.24</v>
      </c>
      <c r="G358" s="118">
        <v>19.459990000000001</v>
      </c>
    </row>
    <row r="359" spans="2:7" x14ac:dyDescent="0.2">
      <c r="B359" s="116" t="s">
        <v>765</v>
      </c>
      <c r="C359" s="117" t="s">
        <v>766</v>
      </c>
      <c r="D359" s="118">
        <v>1.19</v>
      </c>
      <c r="E359" s="118">
        <v>1.28</v>
      </c>
      <c r="F359" s="118">
        <v>3.57</v>
      </c>
      <c r="G359" s="118">
        <v>78.108000000000004</v>
      </c>
    </row>
    <row r="360" spans="2:7" x14ac:dyDescent="0.2">
      <c r="B360" s="116" t="s">
        <v>767</v>
      </c>
      <c r="C360" s="117" t="s">
        <v>768</v>
      </c>
      <c r="D360" s="118">
        <v>1.03</v>
      </c>
      <c r="E360" s="118">
        <v>2.04</v>
      </c>
      <c r="F360" s="118">
        <v>1.1200000000000001</v>
      </c>
      <c r="G360" s="118">
        <v>52.771990000000002</v>
      </c>
    </row>
    <row r="361" spans="2:7" x14ac:dyDescent="0.2">
      <c r="B361" s="116" t="s">
        <v>769</v>
      </c>
      <c r="C361" s="117" t="s">
        <v>770</v>
      </c>
      <c r="D361" s="118">
        <v>0.19</v>
      </c>
      <c r="E361" s="118">
        <v>0.22</v>
      </c>
      <c r="F361" s="118">
        <v>1.99</v>
      </c>
      <c r="G361" s="118">
        <v>66.588989999999995</v>
      </c>
    </row>
    <row r="362" spans="2:7" x14ac:dyDescent="0.2">
      <c r="B362" s="116" t="s">
        <v>771</v>
      </c>
      <c r="C362" s="117" t="s">
        <v>772</v>
      </c>
      <c r="D362" s="118">
        <v>2.12</v>
      </c>
      <c r="E362" s="118">
        <v>3.44</v>
      </c>
      <c r="F362" s="118">
        <v>1.97</v>
      </c>
      <c r="G362" s="118">
        <v>66.317999999999998</v>
      </c>
    </row>
    <row r="363" spans="2:7" x14ac:dyDescent="0.2">
      <c r="B363" s="116" t="s">
        <v>773</v>
      </c>
      <c r="C363" s="117" t="s">
        <v>774</v>
      </c>
      <c r="D363" s="118">
        <v>2.62</v>
      </c>
      <c r="E363" s="118">
        <v>2.21</v>
      </c>
      <c r="F363" s="118">
        <v>0.3</v>
      </c>
      <c r="G363" s="118">
        <v>22.976990000000001</v>
      </c>
    </row>
    <row r="364" spans="2:7" x14ac:dyDescent="0.2">
      <c r="B364" s="116" t="s">
        <v>776</v>
      </c>
      <c r="C364" s="117" t="s">
        <v>777</v>
      </c>
      <c r="D364" s="118">
        <v>2.38</v>
      </c>
      <c r="E364" s="118">
        <v>2.52</v>
      </c>
      <c r="F364" s="118">
        <v>0.22</v>
      </c>
      <c r="G364" s="118">
        <v>18.04299</v>
      </c>
    </row>
    <row r="365" spans="2:7" x14ac:dyDescent="0.2">
      <c r="B365" s="116" t="s">
        <v>779</v>
      </c>
      <c r="C365" s="117" t="s">
        <v>780</v>
      </c>
      <c r="D365" s="118">
        <v>1.37</v>
      </c>
      <c r="E365" s="118">
        <v>1.43</v>
      </c>
      <c r="F365" s="118">
        <v>0.72</v>
      </c>
      <c r="G365" s="118">
        <v>41.942</v>
      </c>
    </row>
    <row r="366" spans="2:7" x14ac:dyDescent="0.2">
      <c r="B366" s="116" t="s">
        <v>782</v>
      </c>
      <c r="C366" s="117" t="s">
        <v>783</v>
      </c>
      <c r="D366" s="118">
        <v>0.98</v>
      </c>
      <c r="E366" s="118">
        <v>0.96</v>
      </c>
      <c r="F366" s="118">
        <v>0.55000000000000004</v>
      </c>
      <c r="G366" s="118">
        <v>34.384990000000002</v>
      </c>
    </row>
    <row r="367" spans="2:7" x14ac:dyDescent="0.2">
      <c r="B367" s="116" t="s">
        <v>3672</v>
      </c>
      <c r="C367" s="117" t="s">
        <v>3673</v>
      </c>
      <c r="D367" s="118">
        <v>0.64</v>
      </c>
      <c r="E367" s="118">
        <v>0.6</v>
      </c>
      <c r="F367" s="118">
        <v>7.0000000000000007E-2</v>
      </c>
      <c r="G367" s="118">
        <v>5.9112999999999998</v>
      </c>
    </row>
    <row r="368" spans="2:7" x14ac:dyDescent="0.2">
      <c r="B368" s="116" t="s">
        <v>3674</v>
      </c>
      <c r="C368" s="117" t="s">
        <v>3675</v>
      </c>
      <c r="D368" s="118"/>
      <c r="E368" s="118"/>
      <c r="F368" s="118"/>
      <c r="G368" s="118"/>
    </row>
    <row r="369" spans="2:7" x14ac:dyDescent="0.2">
      <c r="B369" s="116" t="s">
        <v>785</v>
      </c>
      <c r="C369" s="117" t="s">
        <v>786</v>
      </c>
      <c r="D369" s="118">
        <v>1.22</v>
      </c>
      <c r="E369" s="118">
        <v>2.27</v>
      </c>
      <c r="F369" s="118">
        <v>1.29</v>
      </c>
      <c r="G369" s="118">
        <v>56.313989999999997</v>
      </c>
    </row>
    <row r="370" spans="2:7" x14ac:dyDescent="0.2">
      <c r="B370" s="116" t="s">
        <v>787</v>
      </c>
      <c r="C370" s="117" t="s">
        <v>788</v>
      </c>
      <c r="D370" s="118">
        <v>11.49</v>
      </c>
      <c r="E370" s="118">
        <v>10.37</v>
      </c>
      <c r="F370" s="118">
        <v>0.13</v>
      </c>
      <c r="G370" s="118">
        <v>11.788</v>
      </c>
    </row>
    <row r="371" spans="2:7" x14ac:dyDescent="0.2">
      <c r="B371" s="116" t="s">
        <v>3676</v>
      </c>
      <c r="C371" s="117" t="s">
        <v>3677</v>
      </c>
      <c r="D371" s="118">
        <v>1.45</v>
      </c>
      <c r="E371" s="118">
        <v>1.45</v>
      </c>
      <c r="F371" s="118"/>
      <c r="G371" s="118">
        <v>30.446999999999999</v>
      </c>
    </row>
    <row r="372" spans="2:7" x14ac:dyDescent="0.2">
      <c r="B372" s="116" t="s">
        <v>789</v>
      </c>
      <c r="C372" s="117" t="s">
        <v>790</v>
      </c>
      <c r="D372" s="118">
        <v>7.63</v>
      </c>
      <c r="E372" s="118">
        <v>7.92</v>
      </c>
      <c r="F372" s="118">
        <v>0.01</v>
      </c>
      <c r="G372" s="118">
        <v>1.00919</v>
      </c>
    </row>
    <row r="373" spans="2:7" x14ac:dyDescent="0.2">
      <c r="B373" s="116" t="s">
        <v>791</v>
      </c>
      <c r="C373" s="117" t="s">
        <v>792</v>
      </c>
      <c r="D373" s="118">
        <v>0.26</v>
      </c>
      <c r="E373" s="118">
        <v>0.3</v>
      </c>
      <c r="F373" s="118">
        <v>0.2</v>
      </c>
      <c r="G373" s="118">
        <v>16.726990000000001</v>
      </c>
    </row>
    <row r="374" spans="2:7" x14ac:dyDescent="0.2">
      <c r="B374" s="116" t="s">
        <v>3678</v>
      </c>
      <c r="C374" s="117" t="s">
        <v>3679</v>
      </c>
      <c r="D374" s="118"/>
      <c r="E374" s="118">
        <v>0.94</v>
      </c>
      <c r="F374" s="118">
        <v>0.55000000000000004</v>
      </c>
      <c r="G374" s="118">
        <v>35.523989999999998</v>
      </c>
    </row>
    <row r="375" spans="2:7" x14ac:dyDescent="0.2">
      <c r="B375" s="116" t="s">
        <v>3680</v>
      </c>
      <c r="C375" s="117" t="s">
        <v>3681</v>
      </c>
      <c r="D375" s="118"/>
      <c r="E375" s="118"/>
      <c r="F375" s="118"/>
      <c r="G375" s="118"/>
    </row>
    <row r="376" spans="2:7" x14ac:dyDescent="0.2">
      <c r="B376" s="116" t="s">
        <v>794</v>
      </c>
      <c r="C376" s="117" t="s">
        <v>795</v>
      </c>
      <c r="D376" s="118">
        <v>0.52</v>
      </c>
      <c r="E376" s="118">
        <v>0.78</v>
      </c>
      <c r="F376" s="118">
        <v>0.69</v>
      </c>
      <c r="G376" s="118">
        <v>40.984999999999999</v>
      </c>
    </row>
    <row r="377" spans="2:7" x14ac:dyDescent="0.2">
      <c r="B377" s="116" t="s">
        <v>797</v>
      </c>
      <c r="C377" s="117" t="s">
        <v>798</v>
      </c>
      <c r="D377" s="118">
        <v>0.94</v>
      </c>
      <c r="E377" s="118">
        <v>1.1299999999999999</v>
      </c>
      <c r="F377" s="118">
        <v>2.66</v>
      </c>
      <c r="G377" s="118">
        <v>72.66</v>
      </c>
    </row>
    <row r="378" spans="2:7" x14ac:dyDescent="0.2">
      <c r="B378" s="116" t="s">
        <v>800</v>
      </c>
      <c r="C378" s="117" t="s">
        <v>801</v>
      </c>
      <c r="D378" s="118">
        <v>0.8</v>
      </c>
      <c r="E378" s="118">
        <v>0.81</v>
      </c>
      <c r="F378" s="118">
        <v>0.25</v>
      </c>
      <c r="G378" s="118">
        <v>20.034990000000001</v>
      </c>
    </row>
    <row r="379" spans="2:7" x14ac:dyDescent="0.2">
      <c r="B379" s="116" t="s">
        <v>3682</v>
      </c>
      <c r="C379" s="117" t="s">
        <v>3683</v>
      </c>
      <c r="D379" s="118"/>
      <c r="E379" s="118"/>
      <c r="F379" s="118"/>
      <c r="G379" s="118"/>
    </row>
    <row r="380" spans="2:7" x14ac:dyDescent="0.2">
      <c r="B380" s="116" t="s">
        <v>802</v>
      </c>
      <c r="C380" s="117" t="s">
        <v>803</v>
      </c>
      <c r="D380" s="118">
        <v>8.2899999999999991</v>
      </c>
      <c r="E380" s="118">
        <v>13.22</v>
      </c>
      <c r="F380" s="118">
        <v>1.9</v>
      </c>
      <c r="G380" s="118">
        <v>65.541989999999998</v>
      </c>
    </row>
    <row r="381" spans="2:7" x14ac:dyDescent="0.2">
      <c r="B381" s="116" t="s">
        <v>804</v>
      </c>
      <c r="C381" s="117" t="s">
        <v>805</v>
      </c>
      <c r="D381" s="118">
        <v>0.77</v>
      </c>
      <c r="E381" s="118">
        <v>0.86</v>
      </c>
      <c r="F381" s="118">
        <v>-6.59</v>
      </c>
      <c r="G381" s="118"/>
    </row>
    <row r="382" spans="2:7" x14ac:dyDescent="0.2">
      <c r="B382" s="116" t="s">
        <v>807</v>
      </c>
      <c r="C382" s="117" t="s">
        <v>808</v>
      </c>
      <c r="D382" s="118">
        <v>1.74</v>
      </c>
      <c r="E382" s="118">
        <v>1.55</v>
      </c>
      <c r="F382" s="118">
        <v>0</v>
      </c>
      <c r="G382" s="118">
        <v>0</v>
      </c>
    </row>
    <row r="383" spans="2:7" x14ac:dyDescent="0.2">
      <c r="B383" s="116" t="s">
        <v>810</v>
      </c>
      <c r="C383" s="117" t="s">
        <v>811</v>
      </c>
      <c r="D383" s="118">
        <v>1.1100000000000001</v>
      </c>
      <c r="E383" s="118">
        <v>1.1100000000000001</v>
      </c>
      <c r="F383" s="118">
        <v>0.05</v>
      </c>
      <c r="G383" s="118">
        <v>4.9742899999999999</v>
      </c>
    </row>
    <row r="384" spans="2:7" x14ac:dyDescent="0.2">
      <c r="B384" s="116" t="s">
        <v>812</v>
      </c>
      <c r="C384" s="117" t="s">
        <v>813</v>
      </c>
      <c r="D384" s="118">
        <v>1.92</v>
      </c>
      <c r="E384" s="118">
        <v>1.81</v>
      </c>
      <c r="F384" s="118">
        <v>0.76</v>
      </c>
      <c r="G384" s="118">
        <v>43.040999999999997</v>
      </c>
    </row>
    <row r="385" spans="2:7" x14ac:dyDescent="0.2">
      <c r="B385" s="116" t="s">
        <v>3684</v>
      </c>
      <c r="C385" s="117" t="s">
        <v>3685</v>
      </c>
      <c r="D385" s="118">
        <v>1.21</v>
      </c>
      <c r="E385" s="118">
        <v>1.1499999999999999</v>
      </c>
      <c r="F385" s="118">
        <v>0.02</v>
      </c>
      <c r="G385" s="118">
        <v>2.117</v>
      </c>
    </row>
    <row r="386" spans="2:7" x14ac:dyDescent="0.2">
      <c r="B386" s="116" t="s">
        <v>814</v>
      </c>
      <c r="C386" s="117" t="s">
        <v>815</v>
      </c>
      <c r="D386" s="118">
        <v>0.23</v>
      </c>
      <c r="E386" s="118">
        <v>0.34</v>
      </c>
      <c r="F386" s="118">
        <v>1.67</v>
      </c>
      <c r="G386" s="118">
        <v>62.486989999999999</v>
      </c>
    </row>
    <row r="387" spans="2:7" x14ac:dyDescent="0.2">
      <c r="B387" s="116" t="s">
        <v>816</v>
      </c>
      <c r="C387" s="117" t="s">
        <v>817</v>
      </c>
      <c r="D387" s="118">
        <v>0.34</v>
      </c>
      <c r="E387" s="118">
        <v>0.38</v>
      </c>
      <c r="F387" s="118">
        <v>0.09</v>
      </c>
      <c r="G387" s="118">
        <v>8.5325000000000006</v>
      </c>
    </row>
    <row r="388" spans="2:7" x14ac:dyDescent="0.2">
      <c r="B388" s="116" t="s">
        <v>3686</v>
      </c>
      <c r="C388" s="117" t="s">
        <v>3687</v>
      </c>
      <c r="D388" s="118"/>
      <c r="E388" s="118">
        <v>0.56999999999999995</v>
      </c>
      <c r="F388" s="118">
        <v>-0.56000000000000005</v>
      </c>
      <c r="G388" s="118"/>
    </row>
    <row r="389" spans="2:7" x14ac:dyDescent="0.2">
      <c r="B389" s="116" t="s">
        <v>818</v>
      </c>
      <c r="C389" s="117" t="s">
        <v>819</v>
      </c>
      <c r="D389" s="118">
        <v>0.42</v>
      </c>
      <c r="E389" s="118">
        <v>0.7</v>
      </c>
      <c r="F389" s="118">
        <v>0.84</v>
      </c>
      <c r="G389" s="118">
        <v>45.724989999999998</v>
      </c>
    </row>
    <row r="390" spans="2:7" x14ac:dyDescent="0.2">
      <c r="B390" s="116" t="s">
        <v>3688</v>
      </c>
      <c r="C390" s="117" t="s">
        <v>3689</v>
      </c>
      <c r="D390" s="118">
        <v>1.01</v>
      </c>
      <c r="E390" s="118">
        <v>1.18</v>
      </c>
      <c r="F390" s="118">
        <v>0.16</v>
      </c>
      <c r="G390" s="118">
        <v>13.618</v>
      </c>
    </row>
    <row r="391" spans="2:7" x14ac:dyDescent="0.2">
      <c r="B391" s="116" t="s">
        <v>820</v>
      </c>
      <c r="C391" s="117" t="s">
        <v>821</v>
      </c>
      <c r="D391" s="118">
        <v>1.23</v>
      </c>
      <c r="E391" s="118">
        <v>1.0900000000000001</v>
      </c>
      <c r="F391" s="118">
        <v>0.7</v>
      </c>
      <c r="G391" s="118">
        <v>41.747</v>
      </c>
    </row>
    <row r="392" spans="2:7" x14ac:dyDescent="0.2">
      <c r="B392" s="116" t="s">
        <v>3690</v>
      </c>
      <c r="C392" s="117" t="s">
        <v>3691</v>
      </c>
      <c r="D392" s="118"/>
      <c r="E392" s="118"/>
      <c r="F392" s="118"/>
      <c r="G392" s="118"/>
    </row>
    <row r="393" spans="2:7" x14ac:dyDescent="0.2">
      <c r="B393" s="116" t="s">
        <v>822</v>
      </c>
      <c r="C393" s="117" t="s">
        <v>823</v>
      </c>
      <c r="D393" s="118"/>
      <c r="E393" s="118"/>
      <c r="F393" s="118"/>
      <c r="G393" s="118"/>
    </row>
    <row r="394" spans="2:7" x14ac:dyDescent="0.2">
      <c r="B394" s="116" t="s">
        <v>824</v>
      </c>
      <c r="C394" s="117" t="s">
        <v>825</v>
      </c>
      <c r="D394" s="118">
        <v>1.95</v>
      </c>
      <c r="E394" s="118">
        <v>2.9</v>
      </c>
      <c r="F394" s="118">
        <v>0.32</v>
      </c>
      <c r="G394" s="118">
        <v>24.343</v>
      </c>
    </row>
    <row r="395" spans="2:7" x14ac:dyDescent="0.2">
      <c r="B395" s="116" t="s">
        <v>3692</v>
      </c>
      <c r="C395" s="117" t="s">
        <v>3693</v>
      </c>
      <c r="D395" s="118">
        <v>1.19</v>
      </c>
      <c r="E395" s="118">
        <v>1.17</v>
      </c>
      <c r="F395" s="118"/>
      <c r="G395" s="118">
        <v>41.187989999999999</v>
      </c>
    </row>
    <row r="396" spans="2:7" x14ac:dyDescent="0.2">
      <c r="B396" s="116" t="s">
        <v>3694</v>
      </c>
      <c r="C396" s="117" t="s">
        <v>3695</v>
      </c>
      <c r="D396" s="118"/>
      <c r="E396" s="118"/>
      <c r="F396" s="118"/>
      <c r="G396" s="118"/>
    </row>
    <row r="397" spans="2:7" x14ac:dyDescent="0.2">
      <c r="B397" s="116" t="s">
        <v>827</v>
      </c>
      <c r="C397" s="117" t="s">
        <v>828</v>
      </c>
      <c r="D397" s="118">
        <v>0.01</v>
      </c>
      <c r="E397" s="118">
        <v>0.02</v>
      </c>
      <c r="F397" s="118">
        <v>2.02</v>
      </c>
      <c r="G397" s="118">
        <v>66.912000000000006</v>
      </c>
    </row>
    <row r="398" spans="2:7" x14ac:dyDescent="0.2">
      <c r="B398" s="116" t="s">
        <v>829</v>
      </c>
      <c r="C398" s="117" t="s">
        <v>830</v>
      </c>
      <c r="D398" s="118">
        <v>0.28000000000000003</v>
      </c>
      <c r="E398" s="118">
        <v>0.28999999999999998</v>
      </c>
      <c r="F398" s="118">
        <v>0.1</v>
      </c>
      <c r="G398" s="118">
        <v>8.8268000000000004</v>
      </c>
    </row>
    <row r="399" spans="2:7" x14ac:dyDescent="0.2">
      <c r="B399" s="116" t="s">
        <v>3696</v>
      </c>
      <c r="C399" s="117" t="s">
        <v>3697</v>
      </c>
      <c r="D399" s="118"/>
      <c r="E399" s="118">
        <v>1.1499999999999999</v>
      </c>
      <c r="F399" s="118"/>
      <c r="G399" s="118">
        <v>30.983989999999999</v>
      </c>
    </row>
    <row r="400" spans="2:7" x14ac:dyDescent="0.2">
      <c r="B400" s="116" t="s">
        <v>831</v>
      </c>
      <c r="C400" s="117" t="s">
        <v>832</v>
      </c>
      <c r="D400" s="118">
        <v>1.04</v>
      </c>
      <c r="E400" s="118">
        <v>0.94</v>
      </c>
      <c r="F400" s="118">
        <v>1.1299999999999999</v>
      </c>
      <c r="G400" s="118">
        <v>51.675989999999999</v>
      </c>
    </row>
    <row r="401" spans="2:7" x14ac:dyDescent="0.2">
      <c r="B401" s="116" t="s">
        <v>3698</v>
      </c>
      <c r="C401" s="117" t="s">
        <v>3699</v>
      </c>
      <c r="D401" s="118">
        <v>0.52</v>
      </c>
      <c r="E401" s="118">
        <v>1.96</v>
      </c>
      <c r="F401" s="118"/>
      <c r="G401" s="118">
        <v>7.6374000000000004</v>
      </c>
    </row>
    <row r="402" spans="2:7" x14ac:dyDescent="0.2">
      <c r="B402" s="116" t="s">
        <v>833</v>
      </c>
      <c r="C402" s="117" t="s">
        <v>834</v>
      </c>
      <c r="D402" s="118">
        <v>5.51</v>
      </c>
      <c r="E402" s="118">
        <v>6.89</v>
      </c>
      <c r="F402" s="118">
        <v>1.31</v>
      </c>
      <c r="G402" s="118">
        <v>56.643999999999998</v>
      </c>
    </row>
    <row r="403" spans="2:7" x14ac:dyDescent="0.2">
      <c r="B403" s="116" t="s">
        <v>3700</v>
      </c>
      <c r="C403" s="117" t="s">
        <v>3701</v>
      </c>
      <c r="D403" s="118">
        <v>1.44</v>
      </c>
      <c r="E403" s="118">
        <v>1.55</v>
      </c>
      <c r="F403" s="118"/>
      <c r="G403" s="118">
        <v>35.581000000000003</v>
      </c>
    </row>
    <row r="404" spans="2:7" x14ac:dyDescent="0.2">
      <c r="B404" s="116" t="s">
        <v>836</v>
      </c>
      <c r="C404" s="117" t="s">
        <v>837</v>
      </c>
      <c r="D404" s="118">
        <v>0.76</v>
      </c>
      <c r="E404" s="118">
        <v>1.1299999999999999</v>
      </c>
      <c r="F404" s="118">
        <v>-664</v>
      </c>
      <c r="G404" s="118">
        <v>96.992990000000006</v>
      </c>
    </row>
    <row r="405" spans="2:7" x14ac:dyDescent="0.2">
      <c r="B405" s="116" t="s">
        <v>838</v>
      </c>
      <c r="C405" s="117" t="s">
        <v>839</v>
      </c>
      <c r="D405" s="118">
        <v>1.27</v>
      </c>
      <c r="E405" s="118">
        <v>1.17</v>
      </c>
      <c r="F405" s="118">
        <v>1.75</v>
      </c>
      <c r="G405" s="118">
        <v>63.613990000000001</v>
      </c>
    </row>
    <row r="406" spans="2:7" x14ac:dyDescent="0.2">
      <c r="B406" s="116" t="s">
        <v>840</v>
      </c>
      <c r="C406" s="117" t="s">
        <v>841</v>
      </c>
      <c r="D406" s="118">
        <v>1.66</v>
      </c>
      <c r="E406" s="118">
        <v>1.91</v>
      </c>
      <c r="F406" s="118">
        <v>1.4</v>
      </c>
      <c r="G406" s="118">
        <v>58.34</v>
      </c>
    </row>
    <row r="407" spans="2:7" x14ac:dyDescent="0.2">
      <c r="B407" s="116" t="s">
        <v>3702</v>
      </c>
      <c r="C407" s="117" t="s">
        <v>3703</v>
      </c>
      <c r="D407" s="118">
        <v>0.83</v>
      </c>
      <c r="E407" s="118">
        <v>0.85</v>
      </c>
      <c r="F407" s="118"/>
      <c r="G407" s="118">
        <v>39.120989999999999</v>
      </c>
    </row>
    <row r="408" spans="2:7" x14ac:dyDescent="0.2">
      <c r="B408" s="116" t="s">
        <v>3704</v>
      </c>
      <c r="C408" s="117" t="s">
        <v>3705</v>
      </c>
      <c r="D408" s="118">
        <v>0.82</v>
      </c>
      <c r="E408" s="118">
        <v>1.1200000000000001</v>
      </c>
      <c r="F408" s="118"/>
      <c r="G408" s="118">
        <v>1.4055899999999999</v>
      </c>
    </row>
    <row r="409" spans="2:7" x14ac:dyDescent="0.2">
      <c r="B409" s="116" t="s">
        <v>843</v>
      </c>
      <c r="C409" s="117" t="s">
        <v>844</v>
      </c>
      <c r="D409" s="118">
        <v>0.71</v>
      </c>
      <c r="E409" s="118">
        <v>0.85</v>
      </c>
      <c r="F409" s="118"/>
      <c r="G409" s="118">
        <v>25.053999999999998</v>
      </c>
    </row>
    <row r="410" spans="2:7" x14ac:dyDescent="0.2">
      <c r="B410" s="116" t="s">
        <v>845</v>
      </c>
      <c r="C410" s="117" t="s">
        <v>846</v>
      </c>
      <c r="D410" s="118">
        <v>0.95</v>
      </c>
      <c r="E410" s="118">
        <v>1.03</v>
      </c>
      <c r="F410" s="118">
        <v>0.85</v>
      </c>
      <c r="G410" s="118">
        <v>45.804000000000002</v>
      </c>
    </row>
    <row r="411" spans="2:7" x14ac:dyDescent="0.2">
      <c r="B411" s="116" t="s">
        <v>847</v>
      </c>
      <c r="C411" s="117" t="s">
        <v>848</v>
      </c>
      <c r="D411" s="118">
        <v>0.55000000000000004</v>
      </c>
      <c r="E411" s="118">
        <v>0.91</v>
      </c>
      <c r="F411" s="118">
        <v>4.09</v>
      </c>
      <c r="G411" s="118">
        <v>80.358000000000004</v>
      </c>
    </row>
    <row r="412" spans="2:7" x14ac:dyDescent="0.2">
      <c r="B412" s="116" t="s">
        <v>849</v>
      </c>
      <c r="C412" s="117" t="s">
        <v>850</v>
      </c>
      <c r="D412" s="118">
        <v>0.93</v>
      </c>
      <c r="E412" s="118">
        <v>0.87</v>
      </c>
      <c r="F412" s="118">
        <v>0.16</v>
      </c>
      <c r="G412" s="118">
        <v>12.880990000000001</v>
      </c>
    </row>
    <row r="413" spans="2:7" x14ac:dyDescent="0.2">
      <c r="B413" s="116" t="s">
        <v>851</v>
      </c>
      <c r="C413" s="117" t="s">
        <v>852</v>
      </c>
      <c r="D413" s="118">
        <v>1.03</v>
      </c>
      <c r="E413" s="118">
        <v>1.02</v>
      </c>
      <c r="F413" s="118">
        <v>0.9</v>
      </c>
      <c r="G413" s="118">
        <v>47.243989999999997</v>
      </c>
    </row>
    <row r="414" spans="2:7" x14ac:dyDescent="0.2">
      <c r="B414" s="116" t="s">
        <v>3706</v>
      </c>
      <c r="C414" s="117" t="s">
        <v>3707</v>
      </c>
      <c r="D414" s="118"/>
      <c r="E414" s="118"/>
      <c r="F414" s="118"/>
      <c r="G414" s="118"/>
    </row>
    <row r="415" spans="2:7" x14ac:dyDescent="0.2">
      <c r="B415" s="116" t="s">
        <v>853</v>
      </c>
      <c r="C415" s="117" t="s">
        <v>854</v>
      </c>
      <c r="D415" s="118">
        <v>0.79</v>
      </c>
      <c r="E415" s="118">
        <v>0.69</v>
      </c>
      <c r="F415" s="118">
        <v>1.3</v>
      </c>
      <c r="G415" s="118">
        <v>56.859000000000002</v>
      </c>
    </row>
    <row r="416" spans="2:7" x14ac:dyDescent="0.2">
      <c r="B416" s="116" t="s">
        <v>855</v>
      </c>
      <c r="C416" s="117" t="s">
        <v>856</v>
      </c>
      <c r="D416" s="118"/>
      <c r="E416" s="118">
        <v>2.33</v>
      </c>
      <c r="F416" s="118"/>
      <c r="G416" s="118">
        <v>25.391999999999999</v>
      </c>
    </row>
    <row r="417" spans="2:7" x14ac:dyDescent="0.2">
      <c r="B417" s="116" t="s">
        <v>857</v>
      </c>
      <c r="C417" s="117" t="s">
        <v>858</v>
      </c>
      <c r="D417" s="118">
        <v>1.01</v>
      </c>
      <c r="E417" s="118">
        <v>1.05</v>
      </c>
      <c r="F417" s="118">
        <v>0.15</v>
      </c>
      <c r="G417" s="118">
        <v>13.329000000000001</v>
      </c>
    </row>
    <row r="418" spans="2:7" x14ac:dyDescent="0.2">
      <c r="B418" s="116" t="s">
        <v>859</v>
      </c>
      <c r="C418" s="117" t="s">
        <v>860</v>
      </c>
      <c r="D418" s="118">
        <v>1.76</v>
      </c>
      <c r="E418" s="118">
        <v>1.52</v>
      </c>
      <c r="F418" s="118">
        <v>1.65</v>
      </c>
      <c r="G418" s="118">
        <v>62.235999999999997</v>
      </c>
    </row>
    <row r="419" spans="2:7" x14ac:dyDescent="0.2">
      <c r="B419" s="116" t="s">
        <v>3708</v>
      </c>
      <c r="C419" s="117" t="s">
        <v>3709</v>
      </c>
      <c r="D419" s="118">
        <v>1.1499999999999999</v>
      </c>
      <c r="E419" s="118">
        <v>1.17</v>
      </c>
      <c r="F419" s="118"/>
      <c r="G419" s="118">
        <v>27.643989999999999</v>
      </c>
    </row>
    <row r="420" spans="2:7" x14ac:dyDescent="0.2">
      <c r="B420" s="116" t="s">
        <v>861</v>
      </c>
      <c r="C420" s="117" t="s">
        <v>862</v>
      </c>
      <c r="D420" s="118">
        <v>0.95</v>
      </c>
      <c r="E420" s="118">
        <v>1.66</v>
      </c>
      <c r="F420" s="118">
        <v>0.18</v>
      </c>
      <c r="G420" s="118">
        <v>15.008990000000001</v>
      </c>
    </row>
    <row r="421" spans="2:7" x14ac:dyDescent="0.2">
      <c r="B421" s="116" t="s">
        <v>864</v>
      </c>
      <c r="C421" s="117" t="s">
        <v>865</v>
      </c>
      <c r="D421" s="118">
        <v>0.74</v>
      </c>
      <c r="E421" s="118">
        <v>0.85</v>
      </c>
      <c r="F421" s="118"/>
      <c r="G421" s="118">
        <v>59.622</v>
      </c>
    </row>
    <row r="422" spans="2:7" x14ac:dyDescent="0.2">
      <c r="B422" s="116" t="s">
        <v>866</v>
      </c>
      <c r="C422" s="117" t="s">
        <v>867</v>
      </c>
      <c r="D422" s="118">
        <v>0.33</v>
      </c>
      <c r="E422" s="118">
        <v>0.46</v>
      </c>
      <c r="F422" s="118">
        <v>8</v>
      </c>
      <c r="G422" s="118">
        <v>89.44999</v>
      </c>
    </row>
    <row r="423" spans="2:7" x14ac:dyDescent="0.2">
      <c r="B423" s="116" t="s">
        <v>869</v>
      </c>
      <c r="C423" s="117" t="s">
        <v>870</v>
      </c>
      <c r="D423" s="118">
        <v>0.69</v>
      </c>
      <c r="E423" s="118">
        <v>0.94</v>
      </c>
      <c r="F423" s="118">
        <v>2.3199999999999998</v>
      </c>
      <c r="G423" s="118">
        <v>69.846000000000004</v>
      </c>
    </row>
    <row r="424" spans="2:7" x14ac:dyDescent="0.2">
      <c r="B424" s="116" t="s">
        <v>3710</v>
      </c>
      <c r="C424" s="117" t="s">
        <v>3711</v>
      </c>
      <c r="D424" s="118"/>
      <c r="E424" s="118"/>
      <c r="F424" s="118"/>
      <c r="G424" s="118"/>
    </row>
    <row r="425" spans="2:7" x14ac:dyDescent="0.2">
      <c r="B425" s="116" t="s">
        <v>871</v>
      </c>
      <c r="C425" s="117" t="s">
        <v>872</v>
      </c>
      <c r="D425" s="118">
        <v>0.24</v>
      </c>
      <c r="E425" s="118">
        <v>0.24</v>
      </c>
      <c r="F425" s="118">
        <v>0.22</v>
      </c>
      <c r="G425" s="118">
        <v>18.136990000000001</v>
      </c>
    </row>
    <row r="426" spans="2:7" x14ac:dyDescent="0.2">
      <c r="B426" s="116" t="s">
        <v>873</v>
      </c>
      <c r="C426" s="117" t="s">
        <v>874</v>
      </c>
      <c r="D426" s="118">
        <v>1</v>
      </c>
      <c r="E426" s="118">
        <v>1.07</v>
      </c>
      <c r="F426" s="118">
        <v>0.57999999999999996</v>
      </c>
      <c r="G426" s="118">
        <v>36.594999999999999</v>
      </c>
    </row>
    <row r="427" spans="2:7" x14ac:dyDescent="0.2">
      <c r="B427" s="116" t="s">
        <v>875</v>
      </c>
      <c r="C427" s="117" t="s">
        <v>876</v>
      </c>
      <c r="D427" s="118">
        <v>4.3099999999999996</v>
      </c>
      <c r="E427" s="118">
        <v>5.34</v>
      </c>
      <c r="F427" s="118">
        <v>4.4400000000000004</v>
      </c>
      <c r="G427" s="118">
        <v>81.637</v>
      </c>
    </row>
    <row r="428" spans="2:7" x14ac:dyDescent="0.2">
      <c r="B428" s="116" t="s">
        <v>877</v>
      </c>
      <c r="C428" s="117" t="s">
        <v>878</v>
      </c>
      <c r="D428" s="118">
        <v>0.62</v>
      </c>
      <c r="E428" s="118">
        <v>0.69</v>
      </c>
      <c r="F428" s="118">
        <v>0.66</v>
      </c>
      <c r="G428" s="118">
        <v>39.861989999999999</v>
      </c>
    </row>
    <row r="429" spans="2:7" x14ac:dyDescent="0.2">
      <c r="B429" s="116" t="s">
        <v>879</v>
      </c>
      <c r="C429" s="117" t="s">
        <v>880</v>
      </c>
      <c r="D429" s="118">
        <v>1.1399999999999999</v>
      </c>
      <c r="E429" s="118">
        <v>0.95</v>
      </c>
      <c r="F429" s="118">
        <v>2.08</v>
      </c>
      <c r="G429" s="118">
        <v>67.527000000000001</v>
      </c>
    </row>
    <row r="430" spans="2:7" x14ac:dyDescent="0.2">
      <c r="B430" s="116" t="s">
        <v>881</v>
      </c>
      <c r="C430" s="117" t="s">
        <v>882</v>
      </c>
      <c r="D430" s="118">
        <v>2.0099999999999998</v>
      </c>
      <c r="E430" s="118">
        <v>1.1100000000000001</v>
      </c>
      <c r="F430" s="118">
        <v>2.17</v>
      </c>
      <c r="G430" s="118">
        <v>63.101999999999997</v>
      </c>
    </row>
    <row r="431" spans="2:7" x14ac:dyDescent="0.2">
      <c r="B431" s="116" t="s">
        <v>883</v>
      </c>
      <c r="C431" s="117" t="s">
        <v>884</v>
      </c>
      <c r="D431" s="118">
        <v>0.43</v>
      </c>
      <c r="E431" s="118">
        <v>0.59</v>
      </c>
      <c r="F431" s="118">
        <v>0.56999999999999995</v>
      </c>
      <c r="G431" s="118">
        <v>36.313989999999997</v>
      </c>
    </row>
    <row r="432" spans="2:7" x14ac:dyDescent="0.2">
      <c r="B432" s="116" t="s">
        <v>886</v>
      </c>
      <c r="C432" s="117" t="s">
        <v>887</v>
      </c>
      <c r="D432" s="118">
        <v>1.01</v>
      </c>
      <c r="E432" s="118">
        <v>1</v>
      </c>
      <c r="F432" s="118">
        <v>0.88</v>
      </c>
      <c r="G432" s="118">
        <v>46.706000000000003</v>
      </c>
    </row>
    <row r="433" spans="2:7" x14ac:dyDescent="0.2">
      <c r="B433" s="116" t="s">
        <v>888</v>
      </c>
      <c r="C433" s="117" t="s">
        <v>889</v>
      </c>
      <c r="D433" s="118">
        <v>1.86</v>
      </c>
      <c r="E433" s="118">
        <v>2.7</v>
      </c>
      <c r="F433" s="118">
        <v>0.52</v>
      </c>
      <c r="G433" s="118">
        <v>34.215000000000003</v>
      </c>
    </row>
    <row r="434" spans="2:7" x14ac:dyDescent="0.2">
      <c r="B434" s="116" t="s">
        <v>890</v>
      </c>
      <c r="C434" s="117" t="s">
        <v>891</v>
      </c>
      <c r="D434" s="118">
        <v>2.02</v>
      </c>
      <c r="E434" s="118">
        <v>3.97</v>
      </c>
      <c r="F434" s="118">
        <v>0.31</v>
      </c>
      <c r="G434" s="118">
        <v>23.951989999999999</v>
      </c>
    </row>
    <row r="435" spans="2:7" x14ac:dyDescent="0.2">
      <c r="B435" s="116" t="s">
        <v>893</v>
      </c>
      <c r="C435" s="117" t="s">
        <v>894</v>
      </c>
      <c r="D435" s="118"/>
      <c r="E435" s="118"/>
      <c r="F435" s="118"/>
      <c r="G435" s="118"/>
    </row>
    <row r="436" spans="2:7" x14ac:dyDescent="0.2">
      <c r="B436" s="116" t="s">
        <v>895</v>
      </c>
      <c r="C436" s="117" t="s">
        <v>896</v>
      </c>
      <c r="D436" s="118">
        <v>0.26</v>
      </c>
      <c r="E436" s="118">
        <v>0.27</v>
      </c>
      <c r="F436" s="118">
        <v>7.0000000000000007E-2</v>
      </c>
      <c r="G436" s="118">
        <v>6.2504999999999997</v>
      </c>
    </row>
    <row r="437" spans="2:7" x14ac:dyDescent="0.2">
      <c r="B437" s="116" t="s">
        <v>897</v>
      </c>
      <c r="C437" s="117" t="s">
        <v>898</v>
      </c>
      <c r="D437" s="118">
        <v>2.17</v>
      </c>
      <c r="E437" s="118">
        <v>2.88</v>
      </c>
      <c r="F437" s="118">
        <v>0.21</v>
      </c>
      <c r="G437" s="118">
        <v>17.250990000000002</v>
      </c>
    </row>
    <row r="438" spans="2:7" x14ac:dyDescent="0.2">
      <c r="B438" s="116" t="s">
        <v>900</v>
      </c>
      <c r="C438" s="117" t="s">
        <v>901</v>
      </c>
      <c r="D438" s="118">
        <v>0.54</v>
      </c>
      <c r="E438" s="118">
        <v>1.58</v>
      </c>
      <c r="F438" s="118">
        <v>1.1599999999999999</v>
      </c>
      <c r="G438" s="118">
        <v>53.728999999999999</v>
      </c>
    </row>
    <row r="439" spans="2:7" x14ac:dyDescent="0.2">
      <c r="B439" s="116" t="s">
        <v>902</v>
      </c>
      <c r="C439" s="117" t="s">
        <v>903</v>
      </c>
      <c r="D439" s="118">
        <v>1.1599999999999999</v>
      </c>
      <c r="E439" s="118">
        <v>1.29</v>
      </c>
      <c r="F439" s="118">
        <v>0.39</v>
      </c>
      <c r="G439" s="118">
        <v>28.236989999999999</v>
      </c>
    </row>
    <row r="440" spans="2:7" x14ac:dyDescent="0.2">
      <c r="B440" s="116" t="s">
        <v>904</v>
      </c>
      <c r="C440" s="117" t="s">
        <v>905</v>
      </c>
      <c r="D440" s="118">
        <v>1.66</v>
      </c>
      <c r="E440" s="118">
        <v>1.76</v>
      </c>
      <c r="F440" s="118">
        <v>0.45</v>
      </c>
      <c r="G440" s="118">
        <v>30.927</v>
      </c>
    </row>
    <row r="441" spans="2:7" x14ac:dyDescent="0.2">
      <c r="B441" s="116" t="s">
        <v>906</v>
      </c>
      <c r="C441" s="117" t="s">
        <v>907</v>
      </c>
      <c r="D441" s="118">
        <v>0.15</v>
      </c>
      <c r="E441" s="118">
        <v>0.18</v>
      </c>
      <c r="F441" s="118">
        <v>4.74</v>
      </c>
      <c r="G441" s="118">
        <v>82.593000000000004</v>
      </c>
    </row>
    <row r="442" spans="2:7" x14ac:dyDescent="0.2">
      <c r="B442" s="116" t="s">
        <v>908</v>
      </c>
      <c r="C442" s="117" t="s">
        <v>909</v>
      </c>
      <c r="D442" s="118"/>
      <c r="E442" s="118">
        <v>0.98</v>
      </c>
      <c r="F442" s="118"/>
      <c r="G442" s="118">
        <v>24.460999999999999</v>
      </c>
    </row>
    <row r="443" spans="2:7" x14ac:dyDescent="0.2">
      <c r="B443" s="116" t="s">
        <v>910</v>
      </c>
      <c r="C443" s="117" t="s">
        <v>911</v>
      </c>
      <c r="D443" s="118">
        <v>0.61</v>
      </c>
      <c r="E443" s="118">
        <v>0.94</v>
      </c>
      <c r="F443" s="118">
        <v>1.63</v>
      </c>
      <c r="G443" s="118">
        <v>63.296999999999997</v>
      </c>
    </row>
    <row r="444" spans="2:7" x14ac:dyDescent="0.2">
      <c r="B444" s="116" t="s">
        <v>913</v>
      </c>
      <c r="C444" s="117" t="s">
        <v>914</v>
      </c>
      <c r="D444" s="118">
        <v>1.08</v>
      </c>
      <c r="E444" s="118">
        <v>2.13</v>
      </c>
      <c r="F444" s="118">
        <v>1.25</v>
      </c>
      <c r="G444" s="118">
        <v>55.561</v>
      </c>
    </row>
    <row r="445" spans="2:7" x14ac:dyDescent="0.2">
      <c r="B445" s="116" t="s">
        <v>915</v>
      </c>
      <c r="C445" s="117" t="s">
        <v>916</v>
      </c>
      <c r="D445" s="118">
        <v>1.19</v>
      </c>
      <c r="E445" s="118">
        <v>2.02</v>
      </c>
      <c r="F445" s="118">
        <v>0.33</v>
      </c>
      <c r="G445" s="118">
        <v>24.641999999999999</v>
      </c>
    </row>
    <row r="446" spans="2:7" x14ac:dyDescent="0.2">
      <c r="B446" s="116" t="s">
        <v>918</v>
      </c>
      <c r="C446" s="117" t="s">
        <v>919</v>
      </c>
      <c r="D446" s="118">
        <v>0.48</v>
      </c>
      <c r="E446" s="118">
        <v>0.67</v>
      </c>
      <c r="F446" s="118">
        <v>1.1499999999999999</v>
      </c>
      <c r="G446" s="118">
        <v>53.594999999999999</v>
      </c>
    </row>
    <row r="447" spans="2:7" x14ac:dyDescent="0.2">
      <c r="B447" s="116" t="s">
        <v>920</v>
      </c>
      <c r="C447" s="117" t="s">
        <v>921</v>
      </c>
      <c r="D447" s="118">
        <v>0.93</v>
      </c>
      <c r="E447" s="118">
        <v>0.96</v>
      </c>
      <c r="F447" s="118">
        <v>0.67</v>
      </c>
      <c r="G447" s="118">
        <v>39.963999999999999</v>
      </c>
    </row>
    <row r="448" spans="2:7" x14ac:dyDescent="0.2">
      <c r="B448" s="116" t="s">
        <v>922</v>
      </c>
      <c r="C448" s="117" t="s">
        <v>923</v>
      </c>
      <c r="D448" s="118"/>
      <c r="E448" s="118">
        <v>0.57999999999999996</v>
      </c>
      <c r="F448" s="118">
        <v>6.39</v>
      </c>
      <c r="G448" s="118">
        <v>86.463989999999995</v>
      </c>
    </row>
    <row r="449" spans="2:7" x14ac:dyDescent="0.2">
      <c r="B449" s="116" t="s">
        <v>924</v>
      </c>
      <c r="C449" s="117" t="s">
        <v>925</v>
      </c>
      <c r="D449" s="118">
        <v>0.61</v>
      </c>
      <c r="E449" s="118">
        <v>0.61</v>
      </c>
      <c r="F449" s="118"/>
      <c r="G449" s="118">
        <v>0</v>
      </c>
    </row>
    <row r="450" spans="2:7" x14ac:dyDescent="0.2">
      <c r="B450" s="116" t="s">
        <v>3712</v>
      </c>
      <c r="C450" s="117" t="s">
        <v>3713</v>
      </c>
      <c r="D450" s="118">
        <v>1.1200000000000001</v>
      </c>
      <c r="E450" s="118">
        <v>1.58</v>
      </c>
      <c r="F450" s="118">
        <v>0.97</v>
      </c>
      <c r="G450" s="118">
        <v>49.284990000000001</v>
      </c>
    </row>
    <row r="451" spans="2:7" x14ac:dyDescent="0.2">
      <c r="B451" s="116" t="s">
        <v>926</v>
      </c>
      <c r="C451" s="117" t="s">
        <v>927</v>
      </c>
      <c r="D451" s="118">
        <v>0.5</v>
      </c>
      <c r="E451" s="118">
        <v>1.03</v>
      </c>
      <c r="F451" s="118">
        <v>1.58</v>
      </c>
      <c r="G451" s="118">
        <v>61.234000000000002</v>
      </c>
    </row>
    <row r="452" spans="2:7" x14ac:dyDescent="0.2">
      <c r="B452" s="116" t="s">
        <v>928</v>
      </c>
      <c r="C452" s="117" t="s">
        <v>929</v>
      </c>
      <c r="D452" s="118"/>
      <c r="E452" s="118">
        <v>2.0699999999999998</v>
      </c>
      <c r="F452" s="118"/>
      <c r="G452" s="118">
        <v>19.766999999999999</v>
      </c>
    </row>
    <row r="453" spans="2:7" x14ac:dyDescent="0.2">
      <c r="B453" s="116" t="s">
        <v>931</v>
      </c>
      <c r="C453" s="117" t="s">
        <v>932</v>
      </c>
      <c r="D453" s="118">
        <v>0.33</v>
      </c>
      <c r="E453" s="118">
        <v>0.94</v>
      </c>
      <c r="F453" s="118">
        <v>0.67</v>
      </c>
      <c r="G453" s="118">
        <v>40.171999999999997</v>
      </c>
    </row>
    <row r="454" spans="2:7" x14ac:dyDescent="0.2">
      <c r="B454" s="116" t="s">
        <v>933</v>
      </c>
      <c r="C454" s="117" t="s">
        <v>934</v>
      </c>
      <c r="D454" s="118">
        <v>0.98</v>
      </c>
      <c r="E454" s="118">
        <v>0.9</v>
      </c>
      <c r="F454" s="118">
        <v>1.64</v>
      </c>
      <c r="G454" s="118">
        <v>62.137</v>
      </c>
    </row>
    <row r="455" spans="2:7" x14ac:dyDescent="0.2">
      <c r="B455" s="116" t="s">
        <v>935</v>
      </c>
      <c r="C455" s="117" t="s">
        <v>936</v>
      </c>
      <c r="D455" s="118">
        <v>2.11</v>
      </c>
      <c r="E455" s="118">
        <v>1.83</v>
      </c>
      <c r="F455" s="118">
        <v>20.98</v>
      </c>
      <c r="G455" s="118">
        <v>95.450990000000004</v>
      </c>
    </row>
    <row r="456" spans="2:7" x14ac:dyDescent="0.2">
      <c r="B456" s="116" t="s">
        <v>938</v>
      </c>
      <c r="C456" s="117" t="s">
        <v>939</v>
      </c>
      <c r="D456" s="118">
        <v>1.29</v>
      </c>
      <c r="E456" s="118">
        <v>2.17</v>
      </c>
      <c r="F456" s="118">
        <v>0.56000000000000005</v>
      </c>
      <c r="G456" s="118">
        <v>35.962000000000003</v>
      </c>
    </row>
    <row r="457" spans="2:7" x14ac:dyDescent="0.2">
      <c r="B457" s="116" t="s">
        <v>940</v>
      </c>
      <c r="C457" s="117" t="s">
        <v>941</v>
      </c>
      <c r="D457" s="118">
        <v>1.94</v>
      </c>
      <c r="E457" s="118">
        <v>1.94</v>
      </c>
      <c r="F457" s="118"/>
      <c r="G457" s="118">
        <v>83.849990000000005</v>
      </c>
    </row>
    <row r="458" spans="2:7" x14ac:dyDescent="0.2">
      <c r="B458" s="116" t="s">
        <v>942</v>
      </c>
      <c r="C458" s="117" t="s">
        <v>943</v>
      </c>
      <c r="D458" s="118">
        <v>4.57</v>
      </c>
      <c r="E458" s="118">
        <v>5.27</v>
      </c>
      <c r="F458" s="118">
        <v>0.23</v>
      </c>
      <c r="G458" s="118">
        <v>18.687000000000001</v>
      </c>
    </row>
    <row r="459" spans="2:7" x14ac:dyDescent="0.2">
      <c r="B459" s="116" t="s">
        <v>3714</v>
      </c>
      <c r="C459" s="117" t="s">
        <v>3715</v>
      </c>
      <c r="D459" s="118">
        <v>1.06</v>
      </c>
      <c r="E459" s="118">
        <v>1.35</v>
      </c>
      <c r="F459" s="118">
        <v>0.54</v>
      </c>
      <c r="G459" s="118">
        <v>35.247</v>
      </c>
    </row>
    <row r="460" spans="2:7" x14ac:dyDescent="0.2">
      <c r="B460" s="116" t="s">
        <v>3716</v>
      </c>
      <c r="C460" s="117" t="s">
        <v>3717</v>
      </c>
      <c r="D460" s="118">
        <v>0.17</v>
      </c>
      <c r="E460" s="118">
        <v>0.46</v>
      </c>
      <c r="F460" s="118"/>
      <c r="G460" s="118">
        <v>4.7570000000000001E-2</v>
      </c>
    </row>
    <row r="461" spans="2:7" x14ac:dyDescent="0.2">
      <c r="B461" s="116" t="s">
        <v>945</v>
      </c>
      <c r="C461" s="117" t="s">
        <v>946</v>
      </c>
      <c r="D461" s="118">
        <v>1.43</v>
      </c>
      <c r="E461" s="118">
        <v>2.2000000000000002</v>
      </c>
      <c r="F461" s="118">
        <v>0.73</v>
      </c>
      <c r="G461" s="118">
        <v>42.19699</v>
      </c>
    </row>
    <row r="462" spans="2:7" x14ac:dyDescent="0.2">
      <c r="B462" s="116" t="s">
        <v>947</v>
      </c>
      <c r="C462" s="117" t="s">
        <v>948</v>
      </c>
      <c r="D462" s="118">
        <v>1.38</v>
      </c>
      <c r="E462" s="118">
        <v>1.59</v>
      </c>
      <c r="F462" s="118">
        <v>1.47</v>
      </c>
      <c r="G462" s="118">
        <v>59.796999999999997</v>
      </c>
    </row>
    <row r="463" spans="2:7" x14ac:dyDescent="0.2">
      <c r="B463" s="116" t="s">
        <v>950</v>
      </c>
      <c r="C463" s="117" t="s">
        <v>951</v>
      </c>
      <c r="D463" s="118">
        <v>0.95</v>
      </c>
      <c r="E463" s="118">
        <v>0.97</v>
      </c>
      <c r="F463" s="118">
        <v>0.31</v>
      </c>
      <c r="G463" s="118">
        <v>23.63899</v>
      </c>
    </row>
    <row r="464" spans="2:7" x14ac:dyDescent="0.2">
      <c r="B464" s="116" t="s">
        <v>952</v>
      </c>
      <c r="C464" s="117" t="s">
        <v>953</v>
      </c>
      <c r="D464" s="118">
        <v>0.98</v>
      </c>
      <c r="E464" s="118">
        <v>1.68</v>
      </c>
      <c r="F464" s="118">
        <v>0</v>
      </c>
      <c r="G464" s="118">
        <v>0.25330000000000003</v>
      </c>
    </row>
    <row r="465" spans="2:7" x14ac:dyDescent="0.2">
      <c r="B465" s="116" t="s">
        <v>954</v>
      </c>
      <c r="C465" s="117" t="s">
        <v>955</v>
      </c>
      <c r="D465" s="118">
        <v>0.45</v>
      </c>
      <c r="E465" s="118">
        <v>0.5</v>
      </c>
      <c r="F465" s="118"/>
      <c r="G465" s="118">
        <v>47.243989999999997</v>
      </c>
    </row>
    <row r="466" spans="2:7" x14ac:dyDescent="0.2">
      <c r="B466" s="116" t="s">
        <v>956</v>
      </c>
      <c r="C466" s="117" t="s">
        <v>957</v>
      </c>
      <c r="D466" s="118">
        <v>0.54</v>
      </c>
      <c r="E466" s="118">
        <v>0.81</v>
      </c>
      <c r="F466" s="118"/>
      <c r="G466" s="118">
        <v>44.000990000000002</v>
      </c>
    </row>
    <row r="467" spans="2:7" x14ac:dyDescent="0.2">
      <c r="B467" s="116" t="s">
        <v>958</v>
      </c>
      <c r="C467" s="117" t="s">
        <v>959</v>
      </c>
      <c r="D467" s="118">
        <v>3.98</v>
      </c>
      <c r="E467" s="118">
        <v>4.3</v>
      </c>
      <c r="F467" s="118">
        <v>0.12</v>
      </c>
      <c r="G467" s="118">
        <v>10.93599</v>
      </c>
    </row>
    <row r="468" spans="2:7" x14ac:dyDescent="0.2">
      <c r="B468" s="116" t="s">
        <v>3718</v>
      </c>
      <c r="C468" s="117" t="s">
        <v>3719</v>
      </c>
      <c r="D468" s="118"/>
      <c r="E468" s="118">
        <v>2.94</v>
      </c>
      <c r="F468" s="118">
        <v>0</v>
      </c>
      <c r="G468" s="118">
        <v>0</v>
      </c>
    </row>
    <row r="469" spans="2:7" x14ac:dyDescent="0.2">
      <c r="B469" s="116" t="s">
        <v>3720</v>
      </c>
      <c r="C469" s="117" t="s">
        <v>3721</v>
      </c>
      <c r="D469" s="118">
        <v>0.99</v>
      </c>
      <c r="E469" s="118">
        <v>1.05</v>
      </c>
      <c r="F469" s="118"/>
      <c r="G469" s="118">
        <v>28.611989999999999</v>
      </c>
    </row>
    <row r="470" spans="2:7" x14ac:dyDescent="0.2">
      <c r="B470" s="116" t="s">
        <v>3722</v>
      </c>
      <c r="C470" s="117" t="s">
        <v>3723</v>
      </c>
      <c r="D470" s="118">
        <v>0.99</v>
      </c>
      <c r="E470" s="118">
        <v>1.05</v>
      </c>
      <c r="F470" s="118"/>
      <c r="G470" s="118">
        <v>0</v>
      </c>
    </row>
    <row r="471" spans="2:7" x14ac:dyDescent="0.2">
      <c r="B471" s="116" t="s">
        <v>960</v>
      </c>
      <c r="C471" s="117" t="s">
        <v>961</v>
      </c>
      <c r="D471" s="118">
        <v>1.36</v>
      </c>
      <c r="E471" s="118">
        <v>1.36</v>
      </c>
      <c r="F471" s="118">
        <v>3.6</v>
      </c>
      <c r="G471" s="118">
        <v>78.240989999999996</v>
      </c>
    </row>
    <row r="472" spans="2:7" x14ac:dyDescent="0.2">
      <c r="B472" s="116" t="s">
        <v>962</v>
      </c>
      <c r="C472" s="117" t="s">
        <v>963</v>
      </c>
      <c r="D472" s="118">
        <v>1.46</v>
      </c>
      <c r="E472" s="118">
        <v>1.51</v>
      </c>
      <c r="F472" s="118">
        <v>0.43</v>
      </c>
      <c r="G472" s="118">
        <v>30.126999999999999</v>
      </c>
    </row>
    <row r="473" spans="2:7" x14ac:dyDescent="0.2">
      <c r="B473" s="116" t="s">
        <v>965</v>
      </c>
      <c r="C473" s="117" t="s">
        <v>966</v>
      </c>
      <c r="D473" s="118">
        <v>0.88</v>
      </c>
      <c r="E473" s="118">
        <v>0.95</v>
      </c>
      <c r="F473" s="118">
        <v>0.19</v>
      </c>
      <c r="G473" s="118">
        <v>15.848990000000001</v>
      </c>
    </row>
    <row r="474" spans="2:7" x14ac:dyDescent="0.2">
      <c r="B474" s="116" t="s">
        <v>967</v>
      </c>
      <c r="C474" s="117" t="s">
        <v>968</v>
      </c>
      <c r="D474" s="118">
        <v>7.87</v>
      </c>
      <c r="E474" s="118">
        <v>7.17</v>
      </c>
      <c r="F474" s="118">
        <v>0</v>
      </c>
      <c r="G474" s="118">
        <v>0</v>
      </c>
    </row>
    <row r="475" spans="2:7" x14ac:dyDescent="0.2">
      <c r="B475" s="116" t="s">
        <v>3724</v>
      </c>
      <c r="C475" s="117" t="s">
        <v>3725</v>
      </c>
      <c r="D475" s="118">
        <v>2.23</v>
      </c>
      <c r="E475" s="118">
        <v>3.07</v>
      </c>
      <c r="F475" s="118">
        <v>0.28999999999999998</v>
      </c>
      <c r="G475" s="118">
        <v>22.430990000000001</v>
      </c>
    </row>
    <row r="476" spans="2:7" x14ac:dyDescent="0.2">
      <c r="B476" s="116" t="s">
        <v>969</v>
      </c>
      <c r="C476" s="117" t="s">
        <v>970</v>
      </c>
      <c r="D476" s="118">
        <v>2.69</v>
      </c>
      <c r="E476" s="118">
        <v>2.96</v>
      </c>
      <c r="F476" s="118">
        <v>0.62</v>
      </c>
      <c r="G476" s="118">
        <v>38.090989999999998</v>
      </c>
    </row>
    <row r="477" spans="2:7" x14ac:dyDescent="0.2">
      <c r="B477" s="116" t="s">
        <v>971</v>
      </c>
      <c r="C477" s="117" t="s">
        <v>972</v>
      </c>
      <c r="D477" s="118">
        <v>1.1399999999999999</v>
      </c>
      <c r="E477" s="118">
        <v>2.5299999999999998</v>
      </c>
      <c r="F477" s="118">
        <v>0.81</v>
      </c>
      <c r="G477" s="118">
        <v>44.685000000000002</v>
      </c>
    </row>
    <row r="478" spans="2:7" x14ac:dyDescent="0.2">
      <c r="B478" s="116" t="s">
        <v>973</v>
      </c>
      <c r="C478" s="117" t="s">
        <v>974</v>
      </c>
      <c r="D478" s="118">
        <v>1.43</v>
      </c>
      <c r="E478" s="118">
        <v>1.5</v>
      </c>
      <c r="F478" s="118">
        <v>3.76</v>
      </c>
      <c r="G478" s="118">
        <v>78.989990000000006</v>
      </c>
    </row>
    <row r="479" spans="2:7" x14ac:dyDescent="0.2">
      <c r="B479" s="116" t="s">
        <v>3726</v>
      </c>
      <c r="C479" s="117" t="s">
        <v>3727</v>
      </c>
      <c r="D479" s="118">
        <v>1.81</v>
      </c>
      <c r="E479" s="118">
        <v>1.79</v>
      </c>
      <c r="F479" s="118"/>
      <c r="G479" s="118">
        <v>10.644</v>
      </c>
    </row>
    <row r="480" spans="2:7" x14ac:dyDescent="0.2">
      <c r="B480" s="116" t="s">
        <v>975</v>
      </c>
      <c r="C480" s="117" t="s">
        <v>976</v>
      </c>
      <c r="D480" s="118">
        <v>1.2</v>
      </c>
      <c r="E480" s="118">
        <v>1.55</v>
      </c>
      <c r="F480" s="118">
        <v>1.26</v>
      </c>
      <c r="G480" s="118">
        <v>55.81</v>
      </c>
    </row>
    <row r="481" spans="2:7" x14ac:dyDescent="0.2">
      <c r="B481" s="116" t="s">
        <v>977</v>
      </c>
      <c r="C481" s="117" t="s">
        <v>978</v>
      </c>
      <c r="D481" s="118">
        <v>1.69</v>
      </c>
      <c r="E481" s="118">
        <v>1.98</v>
      </c>
      <c r="F481" s="118"/>
      <c r="G481" s="118">
        <v>45.800989999999999</v>
      </c>
    </row>
    <row r="482" spans="2:7" x14ac:dyDescent="0.2">
      <c r="B482" s="116" t="s">
        <v>980</v>
      </c>
      <c r="C482" s="117" t="s">
        <v>981</v>
      </c>
      <c r="D482" s="118">
        <v>0.69</v>
      </c>
      <c r="E482" s="118">
        <v>0.6</v>
      </c>
      <c r="F482" s="118">
        <v>2.5299999999999998</v>
      </c>
      <c r="G482" s="118">
        <v>71.682990000000004</v>
      </c>
    </row>
    <row r="483" spans="2:7" x14ac:dyDescent="0.2">
      <c r="B483" s="116" t="s">
        <v>983</v>
      </c>
      <c r="C483" s="117" t="s">
        <v>984</v>
      </c>
      <c r="D483" s="118">
        <v>1.7</v>
      </c>
      <c r="E483" s="118">
        <v>2.08</v>
      </c>
      <c r="F483" s="118">
        <v>1.71</v>
      </c>
      <c r="G483" s="118">
        <v>55.749000000000002</v>
      </c>
    </row>
    <row r="484" spans="2:7" x14ac:dyDescent="0.2">
      <c r="B484" s="116" t="s">
        <v>3728</v>
      </c>
      <c r="C484" s="117" t="s">
        <v>3729</v>
      </c>
      <c r="D484" s="118">
        <v>0.28999999999999998</v>
      </c>
      <c r="E484" s="118">
        <v>0.3</v>
      </c>
      <c r="F484" s="118"/>
      <c r="G484" s="118">
        <v>60.262</v>
      </c>
    </row>
    <row r="485" spans="2:7" x14ac:dyDescent="0.2">
      <c r="B485" s="116" t="s">
        <v>986</v>
      </c>
      <c r="C485" s="117" t="s">
        <v>987</v>
      </c>
      <c r="D485" s="118">
        <v>1.1499999999999999</v>
      </c>
      <c r="E485" s="118">
        <v>1.07</v>
      </c>
      <c r="F485" s="118">
        <v>0.24</v>
      </c>
      <c r="G485" s="118">
        <v>19.509</v>
      </c>
    </row>
    <row r="486" spans="2:7" x14ac:dyDescent="0.2">
      <c r="B486" s="116" t="s">
        <v>3730</v>
      </c>
      <c r="C486" s="117" t="s">
        <v>3731</v>
      </c>
      <c r="D486" s="118">
        <v>1.1399999999999999</v>
      </c>
      <c r="E486" s="118">
        <v>1.1200000000000001</v>
      </c>
      <c r="F486" s="118">
        <v>1.17</v>
      </c>
      <c r="G486" s="118">
        <v>53.942</v>
      </c>
    </row>
    <row r="487" spans="2:7" x14ac:dyDescent="0.2">
      <c r="B487" s="116" t="s">
        <v>988</v>
      </c>
      <c r="C487" s="117" t="s">
        <v>989</v>
      </c>
      <c r="D487" s="118">
        <v>3.12</v>
      </c>
      <c r="E487" s="118">
        <v>2.5499999999999998</v>
      </c>
      <c r="F487" s="118">
        <v>0.13</v>
      </c>
      <c r="G487" s="118">
        <v>11.68599</v>
      </c>
    </row>
    <row r="488" spans="2:7" x14ac:dyDescent="0.2">
      <c r="B488" s="116" t="s">
        <v>991</v>
      </c>
      <c r="C488" s="117" t="s">
        <v>992</v>
      </c>
      <c r="D488" s="118">
        <v>0.78</v>
      </c>
      <c r="E488" s="118">
        <v>1.03</v>
      </c>
      <c r="F488" s="118"/>
      <c r="G488" s="118">
        <v>10.897</v>
      </c>
    </row>
    <row r="489" spans="2:7" x14ac:dyDescent="0.2">
      <c r="B489" s="116" t="s">
        <v>3732</v>
      </c>
      <c r="C489" s="117" t="s">
        <v>3733</v>
      </c>
      <c r="D489" s="118"/>
      <c r="E489" s="118">
        <v>1.69</v>
      </c>
      <c r="F489" s="118">
        <v>0</v>
      </c>
      <c r="G489" s="118">
        <v>0.44553999999999999</v>
      </c>
    </row>
    <row r="490" spans="2:7" x14ac:dyDescent="0.2">
      <c r="B490" s="116" t="s">
        <v>993</v>
      </c>
      <c r="C490" s="117" t="s">
        <v>994</v>
      </c>
      <c r="D490" s="118">
        <v>0.71</v>
      </c>
      <c r="E490" s="118">
        <v>0.76</v>
      </c>
      <c r="F490" s="118">
        <v>1.86</v>
      </c>
      <c r="G490" s="118">
        <v>64.977990000000005</v>
      </c>
    </row>
    <row r="491" spans="2:7" x14ac:dyDescent="0.2">
      <c r="B491" s="116" t="s">
        <v>995</v>
      </c>
      <c r="C491" s="117" t="s">
        <v>996</v>
      </c>
      <c r="D491" s="118">
        <v>0.04</v>
      </c>
      <c r="E491" s="118">
        <v>0.09</v>
      </c>
      <c r="F491" s="118">
        <v>1.04</v>
      </c>
      <c r="G491" s="118">
        <v>51.83</v>
      </c>
    </row>
    <row r="492" spans="2:7" x14ac:dyDescent="0.2">
      <c r="B492" s="116" t="s">
        <v>745</v>
      </c>
      <c r="C492" s="117" t="s">
        <v>3734</v>
      </c>
      <c r="D492" s="118">
        <v>0.19</v>
      </c>
      <c r="E492" s="118">
        <v>0.27</v>
      </c>
      <c r="F492" s="118"/>
      <c r="G492" s="118">
        <v>27.358989999999999</v>
      </c>
    </row>
    <row r="493" spans="2:7" x14ac:dyDescent="0.2">
      <c r="B493" s="116" t="s">
        <v>997</v>
      </c>
      <c r="C493" s="117" t="s">
        <v>998</v>
      </c>
      <c r="D493" s="118">
        <v>0.46</v>
      </c>
      <c r="E493" s="118">
        <v>0.83</v>
      </c>
      <c r="F493" s="118"/>
      <c r="G493" s="118">
        <v>0.29354999999999998</v>
      </c>
    </row>
    <row r="494" spans="2:7" x14ac:dyDescent="0.2">
      <c r="B494" s="116" t="s">
        <v>999</v>
      </c>
      <c r="C494" s="117" t="s">
        <v>1000</v>
      </c>
      <c r="D494" s="118">
        <v>0.9</v>
      </c>
      <c r="E494" s="118">
        <v>0.72</v>
      </c>
      <c r="F494" s="118">
        <v>0.42</v>
      </c>
      <c r="G494" s="118">
        <v>29.603000000000002</v>
      </c>
    </row>
    <row r="495" spans="2:7" x14ac:dyDescent="0.2">
      <c r="B495" s="116" t="s">
        <v>1001</v>
      </c>
      <c r="C495" s="117" t="s">
        <v>1002</v>
      </c>
      <c r="D495" s="118">
        <v>0.85</v>
      </c>
      <c r="E495" s="118">
        <v>0.85</v>
      </c>
      <c r="F495" s="118">
        <v>0.01</v>
      </c>
      <c r="G495" s="118">
        <v>1.3133999999999999</v>
      </c>
    </row>
    <row r="496" spans="2:7" x14ac:dyDescent="0.2">
      <c r="B496" s="116" t="s">
        <v>1003</v>
      </c>
      <c r="C496" s="117" t="s">
        <v>1004</v>
      </c>
      <c r="D496" s="118">
        <v>0.84</v>
      </c>
      <c r="E496" s="118">
        <v>1.02</v>
      </c>
      <c r="F496" s="118">
        <v>0.41</v>
      </c>
      <c r="G496" s="118">
        <v>29.299990000000001</v>
      </c>
    </row>
    <row r="497" spans="2:7" x14ac:dyDescent="0.2">
      <c r="B497" s="116" t="s">
        <v>3735</v>
      </c>
      <c r="C497" s="117" t="s">
        <v>3736</v>
      </c>
      <c r="D497" s="118">
        <v>1.84</v>
      </c>
      <c r="E497" s="118">
        <v>2.4</v>
      </c>
      <c r="F497" s="118">
        <v>0.7</v>
      </c>
      <c r="G497" s="118">
        <v>41.090989999999998</v>
      </c>
    </row>
    <row r="498" spans="2:7" x14ac:dyDescent="0.2">
      <c r="B498" s="116" t="s">
        <v>1006</v>
      </c>
      <c r="C498" s="117" t="s">
        <v>1007</v>
      </c>
      <c r="D498" s="118">
        <v>0.76</v>
      </c>
      <c r="E498" s="118">
        <v>3.83</v>
      </c>
      <c r="F498" s="118">
        <v>2.1</v>
      </c>
      <c r="G498" s="118">
        <v>67.791989999999998</v>
      </c>
    </row>
    <row r="499" spans="2:7" x14ac:dyDescent="0.2">
      <c r="B499" s="116" t="s">
        <v>1008</v>
      </c>
      <c r="C499" s="117" t="s">
        <v>1009</v>
      </c>
      <c r="D499" s="118">
        <v>0.65</v>
      </c>
      <c r="E499" s="118">
        <v>0.95</v>
      </c>
      <c r="F499" s="118">
        <v>1.39</v>
      </c>
      <c r="G499" s="118">
        <v>58.207000000000001</v>
      </c>
    </row>
    <row r="500" spans="2:7" x14ac:dyDescent="0.2">
      <c r="B500" s="116" t="s">
        <v>1011</v>
      </c>
      <c r="C500" s="117" t="s">
        <v>1012</v>
      </c>
      <c r="D500" s="118">
        <v>1.04</v>
      </c>
      <c r="E500" s="118">
        <v>1.1499999999999999</v>
      </c>
      <c r="F500" s="118">
        <v>0.16</v>
      </c>
      <c r="G500" s="118">
        <v>13.73099</v>
      </c>
    </row>
    <row r="501" spans="2:7" x14ac:dyDescent="0.2">
      <c r="B501" s="116" t="s">
        <v>1013</v>
      </c>
      <c r="C501" s="117" t="s">
        <v>1014</v>
      </c>
      <c r="D501" s="118">
        <v>1.34</v>
      </c>
      <c r="E501" s="118">
        <v>2.1</v>
      </c>
      <c r="F501" s="118">
        <v>0.53</v>
      </c>
      <c r="G501" s="118">
        <v>34.731990000000003</v>
      </c>
    </row>
    <row r="502" spans="2:7" x14ac:dyDescent="0.2">
      <c r="B502" s="116" t="s">
        <v>1015</v>
      </c>
      <c r="C502" s="117" t="s">
        <v>1016</v>
      </c>
      <c r="D502" s="118">
        <v>1.02</v>
      </c>
      <c r="E502" s="118">
        <v>0.23</v>
      </c>
      <c r="F502" s="118">
        <v>2.13</v>
      </c>
      <c r="G502" s="118">
        <v>68.066000000000003</v>
      </c>
    </row>
    <row r="503" spans="2:7" x14ac:dyDescent="0.2">
      <c r="B503" s="116" t="s">
        <v>1018</v>
      </c>
      <c r="C503" s="117" t="s">
        <v>1019</v>
      </c>
      <c r="D503" s="118">
        <v>1.35</v>
      </c>
      <c r="E503" s="118">
        <v>1.1599999999999999</v>
      </c>
      <c r="F503" s="118">
        <v>2.42</v>
      </c>
      <c r="G503" s="118">
        <v>70.8</v>
      </c>
    </row>
    <row r="504" spans="2:7" x14ac:dyDescent="0.2">
      <c r="B504" s="116" t="s">
        <v>3737</v>
      </c>
      <c r="C504" s="117" t="s">
        <v>3738</v>
      </c>
      <c r="D504" s="118">
        <v>0.82</v>
      </c>
      <c r="E504" s="118">
        <v>1.07</v>
      </c>
      <c r="F504" s="118"/>
      <c r="G504" s="118">
        <v>33.241</v>
      </c>
    </row>
    <row r="505" spans="2:7" x14ac:dyDescent="0.2">
      <c r="B505" s="116" t="s">
        <v>3739</v>
      </c>
      <c r="C505" s="117" t="s">
        <v>3740</v>
      </c>
      <c r="D505" s="118">
        <v>0.31</v>
      </c>
      <c r="E505" s="118">
        <v>0.97</v>
      </c>
      <c r="F505" s="118">
        <v>0.73</v>
      </c>
      <c r="G505" s="118">
        <v>42.063989999999997</v>
      </c>
    </row>
    <row r="506" spans="2:7" x14ac:dyDescent="0.2">
      <c r="B506" s="116" t="s">
        <v>1020</v>
      </c>
      <c r="C506" s="117" t="s">
        <v>1021</v>
      </c>
      <c r="D506" s="118">
        <v>0.51</v>
      </c>
      <c r="E506" s="118">
        <v>0.74</v>
      </c>
      <c r="F506" s="118">
        <v>0.83</v>
      </c>
      <c r="G506" s="118">
        <v>45.314990000000002</v>
      </c>
    </row>
    <row r="507" spans="2:7" x14ac:dyDescent="0.2">
      <c r="B507" s="116" t="s">
        <v>1022</v>
      </c>
      <c r="C507" s="117" t="s">
        <v>1023</v>
      </c>
      <c r="D507" s="118">
        <v>1.01</v>
      </c>
      <c r="E507" s="118">
        <v>0.61</v>
      </c>
      <c r="F507" s="118">
        <v>0.24</v>
      </c>
      <c r="G507" s="118">
        <v>19.498999999999999</v>
      </c>
    </row>
    <row r="508" spans="2:7" x14ac:dyDescent="0.2">
      <c r="B508" s="116" t="s">
        <v>1024</v>
      </c>
      <c r="C508" s="117" t="s">
        <v>1025</v>
      </c>
      <c r="D508" s="118">
        <v>1.17</v>
      </c>
      <c r="E508" s="118">
        <v>1.91</v>
      </c>
      <c r="F508" s="118">
        <v>0.41</v>
      </c>
      <c r="G508" s="118">
        <v>28.829000000000001</v>
      </c>
    </row>
    <row r="509" spans="2:7" x14ac:dyDescent="0.2">
      <c r="B509" s="116" t="s">
        <v>3741</v>
      </c>
      <c r="C509" s="117" t="s">
        <v>3742</v>
      </c>
      <c r="D509" s="118"/>
      <c r="E509" s="118"/>
      <c r="F509" s="118"/>
      <c r="G509" s="118"/>
    </row>
    <row r="510" spans="2:7" x14ac:dyDescent="0.2">
      <c r="B510" s="116" t="s">
        <v>1027</v>
      </c>
      <c r="C510" s="117" t="s">
        <v>1028</v>
      </c>
      <c r="D510" s="118">
        <v>3.36</v>
      </c>
      <c r="E510" s="118">
        <v>3.42</v>
      </c>
      <c r="F510" s="118">
        <v>0</v>
      </c>
      <c r="G510" s="118">
        <v>0</v>
      </c>
    </row>
    <row r="511" spans="2:7" x14ac:dyDescent="0.2">
      <c r="B511" s="116" t="s">
        <v>1029</v>
      </c>
      <c r="C511" s="117" t="s">
        <v>1030</v>
      </c>
      <c r="D511" s="118"/>
      <c r="E511" s="118"/>
      <c r="F511" s="118"/>
      <c r="G511" s="118"/>
    </row>
    <row r="512" spans="2:7" x14ac:dyDescent="0.2">
      <c r="B512" s="116" t="s">
        <v>1031</v>
      </c>
      <c r="C512" s="117" t="s">
        <v>1032</v>
      </c>
      <c r="D512" s="118">
        <v>1.1100000000000001</v>
      </c>
      <c r="E512" s="118">
        <v>1.1499999999999999</v>
      </c>
      <c r="F512" s="118">
        <v>6.69</v>
      </c>
      <c r="G512" s="118">
        <v>87.000990000000002</v>
      </c>
    </row>
    <row r="513" spans="2:7" x14ac:dyDescent="0.2">
      <c r="B513" s="116" t="s">
        <v>1033</v>
      </c>
      <c r="C513" s="117" t="s">
        <v>1034</v>
      </c>
      <c r="D513" s="118">
        <v>1.8</v>
      </c>
      <c r="E513" s="118">
        <v>1.65</v>
      </c>
      <c r="F513" s="118">
        <v>1.64</v>
      </c>
      <c r="G513" s="118">
        <v>62.874000000000002</v>
      </c>
    </row>
    <row r="514" spans="2:7" x14ac:dyDescent="0.2">
      <c r="B514" s="116" t="s">
        <v>1035</v>
      </c>
      <c r="C514" s="117" t="s">
        <v>1036</v>
      </c>
      <c r="D514" s="118">
        <v>0.49</v>
      </c>
      <c r="E514" s="118">
        <v>0.6</v>
      </c>
      <c r="F514" s="118">
        <v>1.38</v>
      </c>
      <c r="G514" s="118">
        <v>56.625990000000002</v>
      </c>
    </row>
    <row r="515" spans="2:7" x14ac:dyDescent="0.2">
      <c r="B515" s="116" t="s">
        <v>1037</v>
      </c>
      <c r="C515" s="117" t="s">
        <v>1038</v>
      </c>
      <c r="D515" s="118">
        <v>0.28000000000000003</v>
      </c>
      <c r="E515" s="118">
        <v>0.34</v>
      </c>
      <c r="F515" s="118">
        <v>0.95</v>
      </c>
      <c r="G515" s="118">
        <v>48.69699</v>
      </c>
    </row>
    <row r="516" spans="2:7" x14ac:dyDescent="0.2">
      <c r="B516" s="116" t="s">
        <v>1039</v>
      </c>
      <c r="C516" s="117" t="s">
        <v>1040</v>
      </c>
      <c r="D516" s="118">
        <v>0.86</v>
      </c>
      <c r="E516" s="118">
        <v>1.04</v>
      </c>
      <c r="F516" s="118"/>
      <c r="G516" s="118">
        <v>46.425989999999999</v>
      </c>
    </row>
    <row r="517" spans="2:7" x14ac:dyDescent="0.2">
      <c r="B517" s="116" t="s">
        <v>1041</v>
      </c>
      <c r="C517" s="117" t="s">
        <v>1042</v>
      </c>
      <c r="D517" s="118">
        <v>1.03</v>
      </c>
      <c r="E517" s="118">
        <v>1.53</v>
      </c>
      <c r="F517" s="118">
        <v>0.72</v>
      </c>
      <c r="G517" s="118">
        <v>41.729990000000001</v>
      </c>
    </row>
    <row r="518" spans="2:7" x14ac:dyDescent="0.2">
      <c r="B518" s="116" t="s">
        <v>1043</v>
      </c>
      <c r="C518" s="117" t="s">
        <v>1044</v>
      </c>
      <c r="D518" s="118">
        <v>2.08</v>
      </c>
      <c r="E518" s="118">
        <v>1.93</v>
      </c>
      <c r="F518" s="118">
        <v>0.13</v>
      </c>
      <c r="G518" s="118">
        <v>11.80599</v>
      </c>
    </row>
    <row r="519" spans="2:7" x14ac:dyDescent="0.2">
      <c r="B519" s="116" t="s">
        <v>1045</v>
      </c>
      <c r="C519" s="117" t="s">
        <v>1046</v>
      </c>
      <c r="D519" s="118">
        <v>0.76</v>
      </c>
      <c r="E519" s="118">
        <v>0.72</v>
      </c>
      <c r="F519" s="118">
        <v>2.3199999999999998</v>
      </c>
      <c r="G519" s="118">
        <v>70.310990000000004</v>
      </c>
    </row>
    <row r="520" spans="2:7" x14ac:dyDescent="0.2">
      <c r="B520" s="116" t="s">
        <v>3743</v>
      </c>
      <c r="C520" s="117" t="s">
        <v>3744</v>
      </c>
      <c r="D520" s="118">
        <v>1.01</v>
      </c>
      <c r="E520" s="118">
        <v>1.02</v>
      </c>
      <c r="F520" s="118"/>
      <c r="G520" s="118">
        <v>0</v>
      </c>
    </row>
    <row r="521" spans="2:7" x14ac:dyDescent="0.2">
      <c r="B521" s="116" t="s">
        <v>1047</v>
      </c>
      <c r="C521" s="117" t="s">
        <v>1048</v>
      </c>
      <c r="D521" s="118">
        <v>0.94</v>
      </c>
      <c r="E521" s="118">
        <v>0.94</v>
      </c>
      <c r="F521" s="118"/>
      <c r="G521" s="118">
        <v>49.000990000000002</v>
      </c>
    </row>
    <row r="522" spans="2:7" x14ac:dyDescent="0.2">
      <c r="B522" s="116" t="s">
        <v>1049</v>
      </c>
      <c r="C522" s="117" t="s">
        <v>1050</v>
      </c>
      <c r="D522" s="118">
        <v>1.45</v>
      </c>
      <c r="E522" s="118">
        <v>1.18</v>
      </c>
      <c r="F522" s="118">
        <v>0.99</v>
      </c>
      <c r="G522" s="118">
        <v>49.682989999999997</v>
      </c>
    </row>
    <row r="523" spans="2:7" x14ac:dyDescent="0.2">
      <c r="B523" s="116" t="s">
        <v>1051</v>
      </c>
      <c r="C523" s="117" t="s">
        <v>1052</v>
      </c>
      <c r="D523" s="118"/>
      <c r="E523" s="118"/>
      <c r="F523" s="118"/>
      <c r="G523" s="118"/>
    </row>
    <row r="524" spans="2:7" x14ac:dyDescent="0.2">
      <c r="B524" s="116" t="s">
        <v>1054</v>
      </c>
      <c r="C524" s="117" t="s">
        <v>1055</v>
      </c>
      <c r="D524" s="118">
        <v>1.64</v>
      </c>
      <c r="E524" s="118">
        <v>2.3199999999999998</v>
      </c>
      <c r="F524" s="118">
        <v>0.65</v>
      </c>
      <c r="G524" s="118">
        <v>39.97</v>
      </c>
    </row>
    <row r="525" spans="2:7" x14ac:dyDescent="0.2">
      <c r="B525" s="116" t="s">
        <v>3745</v>
      </c>
      <c r="C525" s="117" t="s">
        <v>3746</v>
      </c>
      <c r="D525" s="118">
        <v>1.69</v>
      </c>
      <c r="E525" s="118">
        <v>1.85</v>
      </c>
      <c r="F525" s="118">
        <v>0.05</v>
      </c>
      <c r="G525" s="118">
        <v>4.3235900000000003</v>
      </c>
    </row>
    <row r="526" spans="2:7" x14ac:dyDescent="0.2">
      <c r="B526" s="116" t="s">
        <v>1057</v>
      </c>
      <c r="C526" s="117" t="s">
        <v>1058</v>
      </c>
      <c r="D526" s="118">
        <v>0.63</v>
      </c>
      <c r="E526" s="118">
        <v>0.46</v>
      </c>
      <c r="F526" s="118">
        <v>0.75</v>
      </c>
      <c r="G526" s="118">
        <v>40.192</v>
      </c>
    </row>
    <row r="527" spans="2:7" x14ac:dyDescent="0.2">
      <c r="B527" s="116" t="s">
        <v>1059</v>
      </c>
      <c r="C527" s="117" t="s">
        <v>1060</v>
      </c>
      <c r="D527" s="118">
        <v>1.33</v>
      </c>
      <c r="E527" s="118">
        <v>1.65</v>
      </c>
      <c r="F527" s="118">
        <v>0.37</v>
      </c>
      <c r="G527" s="118">
        <v>26.824999999999999</v>
      </c>
    </row>
    <row r="528" spans="2:7" x14ac:dyDescent="0.2">
      <c r="B528" s="116" t="s">
        <v>1061</v>
      </c>
      <c r="C528" s="117" t="s">
        <v>1062</v>
      </c>
      <c r="D528" s="118">
        <v>0.94</v>
      </c>
      <c r="E528" s="118">
        <v>1.1200000000000001</v>
      </c>
      <c r="F528" s="118">
        <v>1.44</v>
      </c>
      <c r="G528" s="118">
        <v>59.023989999999998</v>
      </c>
    </row>
    <row r="529" spans="2:7" x14ac:dyDescent="0.2">
      <c r="B529" s="116" t="s">
        <v>1063</v>
      </c>
      <c r="C529" s="117" t="s">
        <v>1064</v>
      </c>
      <c r="D529" s="118">
        <v>1.67</v>
      </c>
      <c r="E529" s="118">
        <v>1.99</v>
      </c>
      <c r="F529" s="118">
        <v>2.38</v>
      </c>
      <c r="G529" s="118">
        <v>70.451999999999998</v>
      </c>
    </row>
    <row r="530" spans="2:7" x14ac:dyDescent="0.2">
      <c r="B530" s="116" t="s">
        <v>1065</v>
      </c>
      <c r="C530" s="117" t="s">
        <v>1066</v>
      </c>
      <c r="D530" s="118">
        <v>3.26</v>
      </c>
      <c r="E530" s="118">
        <v>2.69</v>
      </c>
      <c r="F530" s="118">
        <v>0.24</v>
      </c>
      <c r="G530" s="118">
        <v>19.274000000000001</v>
      </c>
    </row>
    <row r="531" spans="2:7" x14ac:dyDescent="0.2">
      <c r="B531" s="116" t="s">
        <v>1067</v>
      </c>
      <c r="C531" s="117" t="s">
        <v>1068</v>
      </c>
      <c r="D531" s="118">
        <v>2.12</v>
      </c>
      <c r="E531" s="118">
        <v>3.74</v>
      </c>
      <c r="F531" s="118">
        <v>1.07</v>
      </c>
      <c r="G531" s="118">
        <v>51.573999999999998</v>
      </c>
    </row>
    <row r="532" spans="2:7" x14ac:dyDescent="0.2">
      <c r="B532" s="116" t="s">
        <v>1069</v>
      </c>
      <c r="C532" s="117" t="s">
        <v>1070</v>
      </c>
      <c r="D532" s="118">
        <v>0.72</v>
      </c>
      <c r="E532" s="118">
        <v>0.75</v>
      </c>
      <c r="F532" s="118">
        <v>14.85</v>
      </c>
      <c r="G532" s="118">
        <v>93.820989999999995</v>
      </c>
    </row>
    <row r="533" spans="2:7" x14ac:dyDescent="0.2">
      <c r="B533" s="116" t="s">
        <v>1071</v>
      </c>
      <c r="C533" s="117" t="s">
        <v>1072</v>
      </c>
      <c r="D533" s="118">
        <v>0.56000000000000005</v>
      </c>
      <c r="E533" s="118">
        <v>1.34</v>
      </c>
      <c r="F533" s="118">
        <v>1.06</v>
      </c>
      <c r="G533" s="118">
        <v>51.350999999999999</v>
      </c>
    </row>
    <row r="534" spans="2:7" x14ac:dyDescent="0.2">
      <c r="B534" s="116" t="s">
        <v>3747</v>
      </c>
      <c r="C534" s="117" t="s">
        <v>3748</v>
      </c>
      <c r="D534" s="118">
        <v>0.19</v>
      </c>
      <c r="E534" s="118">
        <v>0.45</v>
      </c>
      <c r="F534" s="118"/>
      <c r="G534" s="118">
        <v>0.96318999999999999</v>
      </c>
    </row>
    <row r="535" spans="2:7" x14ac:dyDescent="0.2">
      <c r="B535" s="116" t="s">
        <v>1073</v>
      </c>
      <c r="C535" s="117" t="s">
        <v>1074</v>
      </c>
      <c r="D535" s="118">
        <v>1.44</v>
      </c>
      <c r="E535" s="118">
        <v>1.33</v>
      </c>
      <c r="F535" s="118">
        <v>2.2999999999999998</v>
      </c>
      <c r="G535" s="118">
        <v>68.646000000000001</v>
      </c>
    </row>
    <row r="536" spans="2:7" x14ac:dyDescent="0.2">
      <c r="B536" s="116" t="s">
        <v>1075</v>
      </c>
      <c r="C536" s="117" t="s">
        <v>1076</v>
      </c>
      <c r="D536" s="118">
        <v>0.19</v>
      </c>
      <c r="E536" s="118">
        <v>1.1399999999999999</v>
      </c>
      <c r="F536" s="118">
        <v>1.49</v>
      </c>
      <c r="G536" s="118">
        <v>59.834989999999998</v>
      </c>
    </row>
    <row r="537" spans="2:7" x14ac:dyDescent="0.2">
      <c r="B537" s="116" t="s">
        <v>1077</v>
      </c>
      <c r="C537" s="117" t="s">
        <v>1078</v>
      </c>
      <c r="D537" s="118">
        <v>0.87</v>
      </c>
      <c r="E537" s="118">
        <v>0.82</v>
      </c>
      <c r="F537" s="118">
        <v>0.57999999999999996</v>
      </c>
      <c r="G537" s="118">
        <v>37.069000000000003</v>
      </c>
    </row>
    <row r="538" spans="2:7" x14ac:dyDescent="0.2">
      <c r="B538" s="116" t="s">
        <v>1079</v>
      </c>
      <c r="C538" s="117" t="s">
        <v>1080</v>
      </c>
      <c r="D538" s="118">
        <v>1.31</v>
      </c>
      <c r="E538" s="118">
        <v>6.91</v>
      </c>
      <c r="F538" s="118">
        <v>0.35</v>
      </c>
      <c r="G538" s="118">
        <v>26.011990000000001</v>
      </c>
    </row>
    <row r="539" spans="2:7" x14ac:dyDescent="0.2">
      <c r="B539" s="116" t="s">
        <v>1082</v>
      </c>
      <c r="C539" s="117" t="s">
        <v>1083</v>
      </c>
      <c r="D539" s="118">
        <v>1.07</v>
      </c>
      <c r="E539" s="118">
        <v>2.3199999999999998</v>
      </c>
      <c r="F539" s="118">
        <v>0.33</v>
      </c>
      <c r="G539" s="118">
        <v>23.948989999999998</v>
      </c>
    </row>
    <row r="540" spans="2:7" x14ac:dyDescent="0.2">
      <c r="B540" s="116" t="s">
        <v>3749</v>
      </c>
      <c r="C540" s="117" t="s">
        <v>3750</v>
      </c>
      <c r="D540" s="118"/>
      <c r="E540" s="118"/>
      <c r="F540" s="118"/>
      <c r="G540" s="118"/>
    </row>
    <row r="541" spans="2:7" x14ac:dyDescent="0.2">
      <c r="B541" s="116" t="s">
        <v>3751</v>
      </c>
      <c r="C541" s="117" t="s">
        <v>3752</v>
      </c>
      <c r="D541" s="118"/>
      <c r="E541" s="118"/>
      <c r="F541" s="118"/>
      <c r="G541" s="118"/>
    </row>
    <row r="542" spans="2:7" x14ac:dyDescent="0.2">
      <c r="B542" s="116" t="s">
        <v>3753</v>
      </c>
      <c r="C542" s="117" t="s">
        <v>3754</v>
      </c>
      <c r="D542" s="118">
        <v>0.33</v>
      </c>
      <c r="E542" s="118">
        <v>0.38</v>
      </c>
      <c r="F542" s="118"/>
      <c r="G542" s="118">
        <v>61.802999999999997</v>
      </c>
    </row>
    <row r="543" spans="2:7" x14ac:dyDescent="0.2">
      <c r="B543" s="116" t="s">
        <v>1084</v>
      </c>
      <c r="C543" s="117" t="s">
        <v>1085</v>
      </c>
      <c r="D543" s="118">
        <v>0.86</v>
      </c>
      <c r="E543" s="118">
        <v>0.7</v>
      </c>
      <c r="F543" s="118">
        <v>0.38</v>
      </c>
      <c r="G543" s="118">
        <v>31.934989999999999</v>
      </c>
    </row>
    <row r="544" spans="2:7" x14ac:dyDescent="0.2">
      <c r="B544" s="116" t="s">
        <v>1087</v>
      </c>
      <c r="C544" s="117" t="s">
        <v>1088</v>
      </c>
      <c r="D544" s="118">
        <v>1.06</v>
      </c>
      <c r="E544" s="118">
        <v>1.27</v>
      </c>
      <c r="F544" s="118">
        <v>1.32</v>
      </c>
      <c r="G544" s="118">
        <v>57.637</v>
      </c>
    </row>
    <row r="545" spans="2:7" x14ac:dyDescent="0.2">
      <c r="B545" s="116" t="s">
        <v>3755</v>
      </c>
      <c r="C545" s="117" t="s">
        <v>3756</v>
      </c>
      <c r="D545" s="118">
        <v>1.06</v>
      </c>
      <c r="E545" s="118">
        <v>1.27</v>
      </c>
      <c r="F545" s="118">
        <v>1.32</v>
      </c>
      <c r="G545" s="118">
        <v>57.637</v>
      </c>
    </row>
    <row r="546" spans="2:7" x14ac:dyDescent="0.2">
      <c r="B546" s="116" t="s">
        <v>3755</v>
      </c>
      <c r="C546" s="117" t="s">
        <v>3757</v>
      </c>
      <c r="D546" s="118">
        <v>1.06</v>
      </c>
      <c r="E546" s="118">
        <v>1.27</v>
      </c>
      <c r="F546" s="118">
        <v>1.32</v>
      </c>
      <c r="G546" s="118">
        <v>57.637</v>
      </c>
    </row>
    <row r="547" spans="2:7" x14ac:dyDescent="0.2">
      <c r="B547" s="116" t="s">
        <v>1089</v>
      </c>
      <c r="C547" s="117" t="s">
        <v>1090</v>
      </c>
      <c r="D547" s="118">
        <v>0.63</v>
      </c>
      <c r="E547" s="118">
        <v>0.63</v>
      </c>
      <c r="F547" s="118">
        <v>1.42</v>
      </c>
      <c r="G547" s="118">
        <v>59.5</v>
      </c>
    </row>
    <row r="548" spans="2:7" x14ac:dyDescent="0.2">
      <c r="B548" s="116" t="s">
        <v>1091</v>
      </c>
      <c r="C548" s="117" t="s">
        <v>1092</v>
      </c>
      <c r="D548" s="118"/>
      <c r="E548" s="118"/>
      <c r="F548" s="118"/>
      <c r="G548" s="118"/>
    </row>
    <row r="549" spans="2:7" x14ac:dyDescent="0.2">
      <c r="B549" s="116" t="s">
        <v>1094</v>
      </c>
      <c r="C549" s="117" t="s">
        <v>1095</v>
      </c>
      <c r="D549" s="118">
        <v>1.1499999999999999</v>
      </c>
      <c r="E549" s="118">
        <v>1.75</v>
      </c>
      <c r="F549" s="118">
        <v>0.26</v>
      </c>
      <c r="G549" s="118">
        <v>20.739989999999999</v>
      </c>
    </row>
    <row r="550" spans="2:7" x14ac:dyDescent="0.2">
      <c r="B550" s="116" t="s">
        <v>1097</v>
      </c>
      <c r="C550" s="117" t="s">
        <v>1098</v>
      </c>
      <c r="D550" s="118">
        <v>0.2</v>
      </c>
      <c r="E550" s="118">
        <v>1.28</v>
      </c>
      <c r="F550" s="118">
        <v>1.73</v>
      </c>
      <c r="G550" s="118">
        <v>63.314990000000002</v>
      </c>
    </row>
    <row r="551" spans="2:7" x14ac:dyDescent="0.2">
      <c r="B551" s="116" t="s">
        <v>3758</v>
      </c>
      <c r="C551" s="117" t="s">
        <v>3759</v>
      </c>
      <c r="D551" s="118">
        <v>0.6</v>
      </c>
      <c r="E551" s="118">
        <v>0.64</v>
      </c>
      <c r="F551" s="118">
        <v>0.83</v>
      </c>
      <c r="G551" s="118">
        <v>45.241999999999997</v>
      </c>
    </row>
    <row r="552" spans="2:7" x14ac:dyDescent="0.2">
      <c r="B552" s="116" t="s">
        <v>1100</v>
      </c>
      <c r="C552" s="117" t="s">
        <v>1101</v>
      </c>
      <c r="D552" s="118">
        <v>4.6900000000000004</v>
      </c>
      <c r="E552" s="118">
        <v>4.8099999999999996</v>
      </c>
      <c r="F552" s="118">
        <v>0</v>
      </c>
      <c r="G552" s="118">
        <v>0</v>
      </c>
    </row>
    <row r="553" spans="2:7" x14ac:dyDescent="0.2">
      <c r="B553" s="116" t="s">
        <v>3760</v>
      </c>
      <c r="C553" s="117" t="s">
        <v>3761</v>
      </c>
      <c r="D553" s="118">
        <v>2.09</v>
      </c>
      <c r="E553" s="118">
        <v>2.77</v>
      </c>
      <c r="F553" s="118"/>
      <c r="G553" s="118">
        <v>3.5309900000000001</v>
      </c>
    </row>
    <row r="554" spans="2:7" x14ac:dyDescent="0.2">
      <c r="B554" s="116" t="s">
        <v>1103</v>
      </c>
      <c r="C554" s="117" t="s">
        <v>1104</v>
      </c>
      <c r="D554" s="118">
        <v>0.21</v>
      </c>
      <c r="E554" s="118">
        <v>0.36</v>
      </c>
      <c r="F554" s="118">
        <v>1.1599999999999999</v>
      </c>
      <c r="G554" s="118">
        <v>50.904989999999998</v>
      </c>
    </row>
    <row r="555" spans="2:7" x14ac:dyDescent="0.2">
      <c r="B555" s="116" t="s">
        <v>1105</v>
      </c>
      <c r="C555" s="117" t="s">
        <v>1106</v>
      </c>
      <c r="D555" s="118">
        <v>0.36</v>
      </c>
      <c r="E555" s="118">
        <v>1.06</v>
      </c>
      <c r="F555" s="118">
        <v>1.41</v>
      </c>
      <c r="G555" s="118">
        <v>58.550989999999999</v>
      </c>
    </row>
    <row r="556" spans="2:7" x14ac:dyDescent="0.2">
      <c r="B556" s="116" t="s">
        <v>1107</v>
      </c>
      <c r="C556" s="117" t="s">
        <v>1108</v>
      </c>
      <c r="D556" s="118"/>
      <c r="E556" s="118"/>
      <c r="F556" s="118"/>
      <c r="G556" s="118"/>
    </row>
    <row r="557" spans="2:7" x14ac:dyDescent="0.2">
      <c r="B557" s="116" t="s">
        <v>3762</v>
      </c>
      <c r="C557" s="117" t="s">
        <v>3763</v>
      </c>
      <c r="D557" s="118">
        <v>2.0499999999999998</v>
      </c>
      <c r="E557" s="118">
        <v>1.72</v>
      </c>
      <c r="F557" s="118"/>
      <c r="G557" s="118">
        <v>79.847989999999996</v>
      </c>
    </row>
    <row r="558" spans="2:7" x14ac:dyDescent="0.2">
      <c r="B558" s="116" t="s">
        <v>3764</v>
      </c>
      <c r="C558" s="117" t="s">
        <v>3765</v>
      </c>
      <c r="D558" s="118">
        <v>1.87</v>
      </c>
      <c r="E558" s="118">
        <v>1.84</v>
      </c>
      <c r="F558" s="118">
        <v>8.5500000000000007</v>
      </c>
      <c r="G558" s="118">
        <v>89.531989999999993</v>
      </c>
    </row>
    <row r="559" spans="2:7" x14ac:dyDescent="0.2">
      <c r="B559" s="116" t="s">
        <v>1109</v>
      </c>
      <c r="C559" s="117" t="s">
        <v>1110</v>
      </c>
      <c r="D559" s="118">
        <v>1.51</v>
      </c>
      <c r="E559" s="118">
        <v>1.6</v>
      </c>
      <c r="F559" s="118">
        <v>-5.18</v>
      </c>
      <c r="G559" s="118"/>
    </row>
    <row r="560" spans="2:7" x14ac:dyDescent="0.2">
      <c r="B560" s="116" t="s">
        <v>3766</v>
      </c>
      <c r="C560" s="117" t="s">
        <v>3767</v>
      </c>
      <c r="D560" s="118"/>
      <c r="E560" s="118"/>
      <c r="F560" s="118"/>
      <c r="G560" s="118"/>
    </row>
    <row r="561" spans="2:7" x14ac:dyDescent="0.2">
      <c r="B561" s="116" t="s">
        <v>3768</v>
      </c>
      <c r="C561" s="117" t="s">
        <v>3769</v>
      </c>
      <c r="D561" s="118">
        <v>1.42</v>
      </c>
      <c r="E561" s="118">
        <v>1.71</v>
      </c>
      <c r="F561" s="118"/>
      <c r="G561" s="118">
        <v>6.2398999999999996</v>
      </c>
    </row>
    <row r="562" spans="2:7" x14ac:dyDescent="0.2">
      <c r="B562" s="116" t="s">
        <v>1111</v>
      </c>
      <c r="C562" s="117" t="s">
        <v>1112</v>
      </c>
      <c r="D562" s="118"/>
      <c r="E562" s="118">
        <v>2.08</v>
      </c>
      <c r="F562" s="118"/>
      <c r="G562" s="118">
        <v>9.9120899999999992</v>
      </c>
    </row>
    <row r="563" spans="2:7" x14ac:dyDescent="0.2">
      <c r="B563" s="116" t="s">
        <v>1113</v>
      </c>
      <c r="C563" s="117" t="s">
        <v>1114</v>
      </c>
      <c r="D563" s="118">
        <v>1.04</v>
      </c>
      <c r="E563" s="118">
        <v>1.24</v>
      </c>
      <c r="F563" s="118">
        <v>0.66</v>
      </c>
      <c r="G563" s="118">
        <v>39.993989999999997</v>
      </c>
    </row>
    <row r="564" spans="2:7" x14ac:dyDescent="0.2">
      <c r="B564" s="116" t="s">
        <v>1115</v>
      </c>
      <c r="C564" s="117" t="s">
        <v>1116</v>
      </c>
      <c r="D564" s="118">
        <v>1.91</v>
      </c>
      <c r="E564" s="118">
        <v>1.64</v>
      </c>
      <c r="F564" s="118">
        <v>1.06</v>
      </c>
      <c r="G564" s="118">
        <v>51.52899</v>
      </c>
    </row>
    <row r="565" spans="2:7" x14ac:dyDescent="0.2">
      <c r="B565" s="116" t="s">
        <v>1117</v>
      </c>
      <c r="C565" s="117" t="s">
        <v>1118</v>
      </c>
      <c r="D565" s="118">
        <v>0.32</v>
      </c>
      <c r="E565" s="118">
        <v>0.97</v>
      </c>
      <c r="F565" s="118">
        <v>-2.94</v>
      </c>
      <c r="G565" s="118"/>
    </row>
    <row r="566" spans="2:7" x14ac:dyDescent="0.2">
      <c r="B566" s="116" t="s">
        <v>1119</v>
      </c>
      <c r="C566" s="117" t="s">
        <v>1120</v>
      </c>
      <c r="D566" s="118">
        <v>0.96</v>
      </c>
      <c r="E566" s="118">
        <v>1.34</v>
      </c>
      <c r="F566" s="118">
        <v>1</v>
      </c>
      <c r="G566" s="118">
        <v>49.925989999999999</v>
      </c>
    </row>
    <row r="567" spans="2:7" x14ac:dyDescent="0.2">
      <c r="B567" s="116" t="s">
        <v>3770</v>
      </c>
      <c r="C567" s="117" t="s">
        <v>3771</v>
      </c>
      <c r="D567" s="118">
        <v>1.1599999999999999</v>
      </c>
      <c r="E567" s="118">
        <v>1.61</v>
      </c>
      <c r="F567" s="118">
        <v>1.02</v>
      </c>
      <c r="G567" s="118">
        <v>50.58</v>
      </c>
    </row>
    <row r="568" spans="2:7" x14ac:dyDescent="0.2">
      <c r="B568" s="116" t="s">
        <v>1121</v>
      </c>
      <c r="C568" s="117" t="s">
        <v>1122</v>
      </c>
      <c r="D568" s="118">
        <v>1.33</v>
      </c>
      <c r="E568" s="118">
        <v>1.39</v>
      </c>
      <c r="F568" s="118">
        <v>0</v>
      </c>
      <c r="G568" s="118">
        <v>0</v>
      </c>
    </row>
    <row r="569" spans="2:7" x14ac:dyDescent="0.2">
      <c r="B569" s="116" t="s">
        <v>3772</v>
      </c>
      <c r="C569" s="117" t="s">
        <v>3773</v>
      </c>
      <c r="D569" s="118"/>
      <c r="E569" s="118"/>
      <c r="F569" s="118"/>
      <c r="G569" s="118"/>
    </row>
    <row r="570" spans="2:7" x14ac:dyDescent="0.2">
      <c r="B570" s="116" t="s">
        <v>1123</v>
      </c>
      <c r="C570" s="117" t="s">
        <v>1124</v>
      </c>
      <c r="D570" s="118">
        <v>0.92</v>
      </c>
      <c r="E570" s="118">
        <v>0.9</v>
      </c>
      <c r="F570" s="118">
        <v>1.1100000000000001</v>
      </c>
      <c r="G570" s="118">
        <v>52.704999999999998</v>
      </c>
    </row>
    <row r="571" spans="2:7" x14ac:dyDescent="0.2">
      <c r="B571" s="116" t="s">
        <v>1125</v>
      </c>
      <c r="C571" s="117" t="s">
        <v>1126</v>
      </c>
      <c r="D571" s="118">
        <v>1.37</v>
      </c>
      <c r="E571" s="118">
        <v>1.56</v>
      </c>
      <c r="F571" s="118">
        <v>-1.24</v>
      </c>
      <c r="G571" s="118"/>
    </row>
    <row r="572" spans="2:7" x14ac:dyDescent="0.2">
      <c r="B572" s="116" t="s">
        <v>1127</v>
      </c>
      <c r="C572" s="117" t="s">
        <v>1128</v>
      </c>
      <c r="D572" s="118">
        <v>2.5</v>
      </c>
      <c r="E572" s="118">
        <v>1.9</v>
      </c>
      <c r="F572" s="118">
        <v>0.6</v>
      </c>
      <c r="G572" s="118">
        <v>37.646990000000002</v>
      </c>
    </row>
    <row r="573" spans="2:7" x14ac:dyDescent="0.2">
      <c r="B573" s="116" t="s">
        <v>1129</v>
      </c>
      <c r="C573" s="117" t="s">
        <v>1130</v>
      </c>
      <c r="D573" s="118">
        <v>0.46</v>
      </c>
      <c r="E573" s="118">
        <v>0.43</v>
      </c>
      <c r="F573" s="118">
        <v>2.1800000000000002</v>
      </c>
      <c r="G573" s="118">
        <v>68.563000000000002</v>
      </c>
    </row>
    <row r="574" spans="2:7" x14ac:dyDescent="0.2">
      <c r="B574" s="116" t="s">
        <v>1131</v>
      </c>
      <c r="C574" s="117" t="s">
        <v>1132</v>
      </c>
      <c r="D574" s="118">
        <v>3.36</v>
      </c>
      <c r="E574" s="118">
        <v>4.51</v>
      </c>
      <c r="F574" s="118"/>
      <c r="G574" s="118">
        <v>0</v>
      </c>
    </row>
    <row r="575" spans="2:7" x14ac:dyDescent="0.2">
      <c r="B575" s="116" t="s">
        <v>1134</v>
      </c>
      <c r="C575" s="117" t="s">
        <v>1135</v>
      </c>
      <c r="D575" s="118">
        <v>1.1100000000000001</v>
      </c>
      <c r="E575" s="118">
        <v>1.1599999999999999</v>
      </c>
      <c r="F575" s="118"/>
      <c r="G575" s="118">
        <v>31.209990000000001</v>
      </c>
    </row>
    <row r="576" spans="2:7" x14ac:dyDescent="0.2">
      <c r="B576" s="116" t="s">
        <v>3774</v>
      </c>
      <c r="C576" s="117" t="s">
        <v>3775</v>
      </c>
      <c r="D576" s="118">
        <v>1.19</v>
      </c>
      <c r="E576" s="118">
        <v>1.19</v>
      </c>
      <c r="F576" s="118"/>
      <c r="G576" s="118">
        <v>68.233000000000004</v>
      </c>
    </row>
    <row r="577" spans="2:7" x14ac:dyDescent="0.2">
      <c r="B577" s="116" t="s">
        <v>1136</v>
      </c>
      <c r="C577" s="117" t="s">
        <v>1137</v>
      </c>
      <c r="D577" s="118">
        <v>1.03</v>
      </c>
      <c r="E577" s="118">
        <v>0.87</v>
      </c>
      <c r="F577" s="118">
        <v>0.04</v>
      </c>
      <c r="G577" s="118">
        <v>3.9045000000000001</v>
      </c>
    </row>
    <row r="578" spans="2:7" x14ac:dyDescent="0.2">
      <c r="B578" s="116" t="s">
        <v>3776</v>
      </c>
      <c r="C578" s="117" t="s">
        <v>3777</v>
      </c>
      <c r="D578" s="118"/>
      <c r="E578" s="118"/>
      <c r="F578" s="118"/>
      <c r="G578" s="118"/>
    </row>
    <row r="579" spans="2:7" x14ac:dyDescent="0.2">
      <c r="B579" s="116" t="s">
        <v>3778</v>
      </c>
      <c r="C579" s="117" t="s">
        <v>3779</v>
      </c>
      <c r="D579" s="118"/>
      <c r="E579" s="118">
        <v>0.2</v>
      </c>
      <c r="F579" s="118">
        <v>-2.29</v>
      </c>
      <c r="G579" s="118"/>
    </row>
    <row r="580" spans="2:7" x14ac:dyDescent="0.2">
      <c r="B580" s="116" t="s">
        <v>1138</v>
      </c>
      <c r="C580" s="117" t="s">
        <v>1139</v>
      </c>
      <c r="D580" s="118">
        <v>0.55000000000000004</v>
      </c>
      <c r="E580" s="118">
        <v>0.75</v>
      </c>
      <c r="F580" s="118">
        <v>1.29</v>
      </c>
      <c r="G580" s="118">
        <v>56.398989999999998</v>
      </c>
    </row>
    <row r="581" spans="2:7" x14ac:dyDescent="0.2">
      <c r="B581" s="116" t="s">
        <v>1140</v>
      </c>
      <c r="C581" s="117" t="s">
        <v>1141</v>
      </c>
      <c r="D581" s="118">
        <v>0.69</v>
      </c>
      <c r="E581" s="118">
        <v>0.62</v>
      </c>
      <c r="F581" s="118">
        <v>1.54</v>
      </c>
      <c r="G581" s="118">
        <v>60.698999999999998</v>
      </c>
    </row>
    <row r="582" spans="2:7" x14ac:dyDescent="0.2">
      <c r="B582" s="116" t="s">
        <v>3780</v>
      </c>
      <c r="C582" s="117" t="s">
        <v>3781</v>
      </c>
      <c r="D582" s="118">
        <v>0.67</v>
      </c>
      <c r="E582" s="118">
        <v>0.81</v>
      </c>
      <c r="F582" s="118">
        <v>2.3199999999999998</v>
      </c>
      <c r="G582" s="118">
        <v>69.906989999999993</v>
      </c>
    </row>
    <row r="583" spans="2:7" x14ac:dyDescent="0.2">
      <c r="B583" s="116" t="s">
        <v>1142</v>
      </c>
      <c r="C583" s="117" t="s">
        <v>1143</v>
      </c>
      <c r="D583" s="118">
        <v>0.44</v>
      </c>
      <c r="E583" s="118">
        <v>0.71</v>
      </c>
      <c r="F583" s="118">
        <v>1.26</v>
      </c>
      <c r="G583" s="118">
        <v>55.194989999999997</v>
      </c>
    </row>
    <row r="584" spans="2:7" x14ac:dyDescent="0.2">
      <c r="B584" s="116" t="s">
        <v>1144</v>
      </c>
      <c r="C584" s="117" t="s">
        <v>1145</v>
      </c>
      <c r="D584" s="118">
        <v>1.7</v>
      </c>
      <c r="E584" s="118">
        <v>1.1200000000000001</v>
      </c>
      <c r="F584" s="118">
        <v>1.9</v>
      </c>
      <c r="G584" s="118">
        <v>68.559989999999999</v>
      </c>
    </row>
    <row r="585" spans="2:7" x14ac:dyDescent="0.2">
      <c r="B585" s="116" t="s">
        <v>1146</v>
      </c>
      <c r="C585" s="117" t="s">
        <v>1147</v>
      </c>
      <c r="D585" s="118">
        <v>1.49</v>
      </c>
      <c r="E585" s="118">
        <v>2.35</v>
      </c>
      <c r="F585" s="118"/>
      <c r="G585" s="118">
        <v>26.472989999999999</v>
      </c>
    </row>
    <row r="586" spans="2:7" x14ac:dyDescent="0.2">
      <c r="B586" s="116" t="s">
        <v>1148</v>
      </c>
      <c r="C586" s="117" t="s">
        <v>1149</v>
      </c>
      <c r="D586" s="118">
        <v>1.99</v>
      </c>
      <c r="E586" s="118">
        <v>1.49</v>
      </c>
      <c r="F586" s="118">
        <v>0.61</v>
      </c>
      <c r="G586" s="118">
        <v>38.04</v>
      </c>
    </row>
    <row r="587" spans="2:7" x14ac:dyDescent="0.2">
      <c r="B587" s="116" t="s">
        <v>3782</v>
      </c>
      <c r="C587" s="117" t="s">
        <v>3783</v>
      </c>
      <c r="D587" s="118"/>
      <c r="E587" s="118"/>
      <c r="F587" s="118"/>
      <c r="G587" s="118"/>
    </row>
    <row r="588" spans="2:7" x14ac:dyDescent="0.2">
      <c r="B588" s="116" t="s">
        <v>3784</v>
      </c>
      <c r="C588" s="117" t="s">
        <v>3785</v>
      </c>
      <c r="D588" s="118"/>
      <c r="E588" s="118"/>
      <c r="F588" s="118"/>
      <c r="G588" s="118"/>
    </row>
    <row r="589" spans="2:7" x14ac:dyDescent="0.2">
      <c r="B589" s="116" t="s">
        <v>1150</v>
      </c>
      <c r="C589" s="117" t="s">
        <v>1151</v>
      </c>
      <c r="D589" s="118"/>
      <c r="E589" s="118"/>
      <c r="F589" s="118"/>
      <c r="G589" s="118"/>
    </row>
    <row r="590" spans="2:7" x14ac:dyDescent="0.2">
      <c r="B590" s="116" t="s">
        <v>1152</v>
      </c>
      <c r="C590" s="117" t="s">
        <v>1153</v>
      </c>
      <c r="D590" s="118">
        <v>0.96</v>
      </c>
      <c r="E590" s="118">
        <v>0.88</v>
      </c>
      <c r="F590" s="118">
        <v>0.8</v>
      </c>
      <c r="G590" s="118">
        <v>44.576990000000002</v>
      </c>
    </row>
    <row r="591" spans="2:7" x14ac:dyDescent="0.2">
      <c r="B591" s="116" t="s">
        <v>1154</v>
      </c>
      <c r="C591" s="117" t="s">
        <v>1155</v>
      </c>
      <c r="D591" s="118">
        <v>7.32</v>
      </c>
      <c r="E591" s="118">
        <v>6.05</v>
      </c>
      <c r="F591" s="118">
        <v>1.56</v>
      </c>
      <c r="G591" s="118">
        <v>60.895989999999998</v>
      </c>
    </row>
    <row r="592" spans="2:7" x14ac:dyDescent="0.2">
      <c r="B592" s="116" t="s">
        <v>1156</v>
      </c>
      <c r="C592" s="117" t="s">
        <v>1157</v>
      </c>
      <c r="D592" s="118">
        <v>1.23</v>
      </c>
      <c r="E592" s="118">
        <v>1.3</v>
      </c>
      <c r="F592" s="118">
        <v>0.47</v>
      </c>
      <c r="G592" s="118">
        <v>31.822990000000001</v>
      </c>
    </row>
    <row r="593" spans="2:7" x14ac:dyDescent="0.2">
      <c r="B593" s="116" t="s">
        <v>1158</v>
      </c>
      <c r="C593" s="117" t="s">
        <v>1159</v>
      </c>
      <c r="D593" s="118">
        <v>2.82</v>
      </c>
      <c r="E593" s="118">
        <v>3.52</v>
      </c>
      <c r="F593" s="118">
        <v>0.15</v>
      </c>
      <c r="G593" s="118">
        <v>13.302</v>
      </c>
    </row>
    <row r="594" spans="2:7" x14ac:dyDescent="0.2">
      <c r="B594" s="116" t="s">
        <v>3786</v>
      </c>
      <c r="C594" s="117" t="s">
        <v>3787</v>
      </c>
      <c r="D594" s="118">
        <v>0.44</v>
      </c>
      <c r="E594" s="118">
        <v>0.98</v>
      </c>
      <c r="F594" s="118">
        <v>2.2599999999999998</v>
      </c>
      <c r="G594" s="118">
        <v>69.311989999999994</v>
      </c>
    </row>
    <row r="595" spans="2:7" x14ac:dyDescent="0.2">
      <c r="B595" s="116" t="s">
        <v>1160</v>
      </c>
      <c r="C595" s="117" t="s">
        <v>1161</v>
      </c>
      <c r="D595" s="118">
        <v>1.05</v>
      </c>
      <c r="E595" s="118">
        <v>3.39</v>
      </c>
      <c r="F595" s="118">
        <v>-2.89</v>
      </c>
      <c r="G595" s="118"/>
    </row>
    <row r="596" spans="2:7" x14ac:dyDescent="0.2">
      <c r="B596" s="116" t="s">
        <v>1163</v>
      </c>
      <c r="C596" s="117" t="s">
        <v>1164</v>
      </c>
      <c r="D596" s="118">
        <v>1.6</v>
      </c>
      <c r="E596" s="118">
        <v>1.31</v>
      </c>
      <c r="F596" s="118">
        <v>1.89</v>
      </c>
      <c r="G596" s="118">
        <v>65.402990000000003</v>
      </c>
    </row>
    <row r="597" spans="2:7" x14ac:dyDescent="0.2">
      <c r="B597" s="116" t="s">
        <v>1165</v>
      </c>
      <c r="C597" s="117" t="s">
        <v>1166</v>
      </c>
      <c r="D597" s="118">
        <v>0.13</v>
      </c>
      <c r="E597" s="118">
        <v>0.13</v>
      </c>
      <c r="F597" s="118"/>
      <c r="G597" s="118">
        <v>0</v>
      </c>
    </row>
    <row r="598" spans="2:7" x14ac:dyDescent="0.2">
      <c r="B598" s="116" t="s">
        <v>3788</v>
      </c>
      <c r="C598" s="117" t="s">
        <v>3789</v>
      </c>
      <c r="D598" s="118">
        <v>1.26</v>
      </c>
      <c r="E598" s="118">
        <v>1.48</v>
      </c>
      <c r="F598" s="118">
        <v>0.73</v>
      </c>
      <c r="G598" s="118">
        <v>42.151000000000003</v>
      </c>
    </row>
    <row r="599" spans="2:7" x14ac:dyDescent="0.2">
      <c r="B599" s="116" t="s">
        <v>3790</v>
      </c>
      <c r="C599" s="117" t="s">
        <v>3791</v>
      </c>
      <c r="D599" s="118">
        <v>1.26</v>
      </c>
      <c r="E599" s="118">
        <v>1.48</v>
      </c>
      <c r="F599" s="118">
        <v>0.73</v>
      </c>
      <c r="G599" s="118">
        <v>42.151000000000003</v>
      </c>
    </row>
    <row r="600" spans="2:7" x14ac:dyDescent="0.2">
      <c r="B600" s="116" t="s">
        <v>1167</v>
      </c>
      <c r="C600" s="117" t="s">
        <v>1168</v>
      </c>
      <c r="D600" s="118">
        <v>1.23</v>
      </c>
      <c r="E600" s="118">
        <v>1.26</v>
      </c>
      <c r="F600" s="118">
        <v>0.59</v>
      </c>
      <c r="G600" s="118">
        <v>36.95899</v>
      </c>
    </row>
    <row r="601" spans="2:7" x14ac:dyDescent="0.2">
      <c r="B601" s="116" t="s">
        <v>1169</v>
      </c>
      <c r="C601" s="117" t="s">
        <v>1170</v>
      </c>
      <c r="D601" s="118">
        <v>1.1299999999999999</v>
      </c>
      <c r="E601" s="118">
        <v>0.8</v>
      </c>
      <c r="F601" s="118">
        <v>0.7</v>
      </c>
      <c r="G601" s="118">
        <v>41.319989999999997</v>
      </c>
    </row>
    <row r="602" spans="2:7" x14ac:dyDescent="0.2">
      <c r="B602" s="116" t="s">
        <v>1171</v>
      </c>
      <c r="C602" s="117" t="s">
        <v>1172</v>
      </c>
      <c r="D602" s="118">
        <v>1.1100000000000001</v>
      </c>
      <c r="E602" s="118">
        <v>1.38</v>
      </c>
      <c r="F602" s="118"/>
      <c r="G602" s="118">
        <v>0</v>
      </c>
    </row>
    <row r="603" spans="2:7" x14ac:dyDescent="0.2">
      <c r="B603" s="116" t="s">
        <v>1173</v>
      </c>
      <c r="C603" s="117" t="s">
        <v>1174</v>
      </c>
      <c r="D603" s="118">
        <v>0.85</v>
      </c>
      <c r="E603" s="118">
        <v>1.18</v>
      </c>
      <c r="F603" s="118">
        <v>0.72</v>
      </c>
      <c r="G603" s="118">
        <v>41.995989999999999</v>
      </c>
    </row>
    <row r="604" spans="2:7" x14ac:dyDescent="0.2">
      <c r="B604" s="116" t="s">
        <v>1175</v>
      </c>
      <c r="C604" s="117" t="s">
        <v>1176</v>
      </c>
      <c r="D604" s="118">
        <v>0.56000000000000005</v>
      </c>
      <c r="E604" s="118">
        <v>0.62</v>
      </c>
      <c r="F604" s="118">
        <v>1.03</v>
      </c>
      <c r="G604" s="118">
        <v>50.625</v>
      </c>
    </row>
    <row r="605" spans="2:7" x14ac:dyDescent="0.2">
      <c r="B605" s="116" t="s">
        <v>3792</v>
      </c>
      <c r="C605" s="117" t="s">
        <v>3793</v>
      </c>
      <c r="D605" s="118">
        <v>0.85</v>
      </c>
      <c r="E605" s="118">
        <v>0.9</v>
      </c>
      <c r="F605" s="118"/>
      <c r="G605" s="118"/>
    </row>
    <row r="606" spans="2:7" x14ac:dyDescent="0.2">
      <c r="B606" s="116" t="s">
        <v>3794</v>
      </c>
      <c r="C606" s="117" t="s">
        <v>3795</v>
      </c>
      <c r="D606" s="118">
        <v>0.75</v>
      </c>
      <c r="E606" s="118">
        <v>0.89</v>
      </c>
      <c r="F606" s="118"/>
      <c r="G606" s="118">
        <v>50.75</v>
      </c>
    </row>
    <row r="607" spans="2:7" x14ac:dyDescent="0.2">
      <c r="B607" s="116" t="s">
        <v>1177</v>
      </c>
      <c r="C607" s="117" t="s">
        <v>1178</v>
      </c>
      <c r="D607" s="118">
        <v>1.71</v>
      </c>
      <c r="E607" s="118">
        <v>1.73</v>
      </c>
      <c r="F607" s="118"/>
      <c r="G607" s="118">
        <v>3.6793900000000002</v>
      </c>
    </row>
    <row r="608" spans="2:7" x14ac:dyDescent="0.2">
      <c r="B608" s="116" t="s">
        <v>1179</v>
      </c>
      <c r="C608" s="117" t="s">
        <v>1180</v>
      </c>
      <c r="D608" s="118">
        <v>1.51</v>
      </c>
      <c r="E608" s="118">
        <v>1.82</v>
      </c>
      <c r="F608" s="118">
        <v>0.96</v>
      </c>
      <c r="G608" s="118">
        <v>48.905990000000003</v>
      </c>
    </row>
    <row r="609" spans="2:7" x14ac:dyDescent="0.2">
      <c r="B609" s="116" t="s">
        <v>3796</v>
      </c>
      <c r="C609" s="117" t="s">
        <v>3797</v>
      </c>
      <c r="D609" s="118"/>
      <c r="E609" s="118"/>
      <c r="F609" s="118"/>
      <c r="G609" s="118"/>
    </row>
    <row r="610" spans="2:7" x14ac:dyDescent="0.2">
      <c r="B610" s="116" t="s">
        <v>3798</v>
      </c>
      <c r="C610" s="117" t="s">
        <v>3799</v>
      </c>
      <c r="D610" s="118"/>
      <c r="E610" s="118"/>
      <c r="F610" s="118"/>
      <c r="G610" s="118"/>
    </row>
    <row r="611" spans="2:7" x14ac:dyDescent="0.2">
      <c r="B611" s="116" t="s">
        <v>1181</v>
      </c>
      <c r="C611" s="117" t="s">
        <v>1182</v>
      </c>
      <c r="D611" s="118">
        <v>1.0900000000000001</v>
      </c>
      <c r="E611" s="118">
        <v>0.54</v>
      </c>
      <c r="F611" s="118">
        <v>1.0900000000000001</v>
      </c>
      <c r="G611" s="118">
        <v>52.262999999999998</v>
      </c>
    </row>
    <row r="612" spans="2:7" x14ac:dyDescent="0.2">
      <c r="B612" s="116" t="s">
        <v>3800</v>
      </c>
      <c r="C612" s="117" t="s">
        <v>3801</v>
      </c>
      <c r="D612" s="118">
        <v>1.06</v>
      </c>
      <c r="E612" s="118">
        <v>1.17</v>
      </c>
      <c r="F612" s="118"/>
      <c r="G612" s="118">
        <v>57.173000000000002</v>
      </c>
    </row>
    <row r="613" spans="2:7" x14ac:dyDescent="0.2">
      <c r="B613" s="116" t="s">
        <v>1183</v>
      </c>
      <c r="C613" s="117" t="s">
        <v>1184</v>
      </c>
      <c r="D613" s="118">
        <v>0</v>
      </c>
      <c r="E613" s="118">
        <v>0</v>
      </c>
      <c r="F613" s="118">
        <v>1.1299999999999999</v>
      </c>
      <c r="G613" s="118">
        <v>52.948999999999998</v>
      </c>
    </row>
    <row r="614" spans="2:7" x14ac:dyDescent="0.2">
      <c r="B614" s="116" t="s">
        <v>1185</v>
      </c>
      <c r="C614" s="117" t="s">
        <v>1186</v>
      </c>
      <c r="D614" s="118">
        <v>0.98</v>
      </c>
      <c r="E614" s="118">
        <v>1.1200000000000001</v>
      </c>
      <c r="F614" s="118">
        <v>1.87</v>
      </c>
      <c r="G614" s="118">
        <v>67.691000000000003</v>
      </c>
    </row>
    <row r="615" spans="2:7" x14ac:dyDescent="0.2">
      <c r="B615" s="116" t="s">
        <v>1187</v>
      </c>
      <c r="C615" s="117" t="s">
        <v>1188</v>
      </c>
      <c r="D615" s="118">
        <v>0.56999999999999995</v>
      </c>
      <c r="E615" s="118">
        <v>0.69</v>
      </c>
      <c r="F615" s="118">
        <v>1.23</v>
      </c>
      <c r="G615" s="118">
        <v>55.156999999999996</v>
      </c>
    </row>
    <row r="616" spans="2:7" x14ac:dyDescent="0.2">
      <c r="B616" s="116" t="s">
        <v>1189</v>
      </c>
      <c r="C616" s="117" t="s">
        <v>1190</v>
      </c>
      <c r="D616" s="118">
        <v>0.97</v>
      </c>
      <c r="E616" s="118">
        <v>0.6</v>
      </c>
      <c r="F616" s="118"/>
      <c r="G616" s="118">
        <v>34.204999999999998</v>
      </c>
    </row>
    <row r="617" spans="2:7" x14ac:dyDescent="0.2">
      <c r="B617" s="116" t="s">
        <v>1191</v>
      </c>
      <c r="C617" s="117" t="s">
        <v>1192</v>
      </c>
      <c r="D617" s="118">
        <v>0.86</v>
      </c>
      <c r="E617" s="118">
        <v>1.08</v>
      </c>
      <c r="F617" s="118"/>
      <c r="G617" s="118">
        <v>31.384</v>
      </c>
    </row>
    <row r="618" spans="2:7" x14ac:dyDescent="0.2">
      <c r="B618" s="116" t="s">
        <v>1193</v>
      </c>
      <c r="C618" s="117" t="s">
        <v>1194</v>
      </c>
      <c r="D618" s="118">
        <v>1.1299999999999999</v>
      </c>
      <c r="E618" s="118">
        <v>1.57</v>
      </c>
      <c r="F618" s="118">
        <v>0.66</v>
      </c>
      <c r="G618" s="118">
        <v>39.632989999999999</v>
      </c>
    </row>
    <row r="619" spans="2:7" x14ac:dyDescent="0.2">
      <c r="B619" s="116" t="s">
        <v>1195</v>
      </c>
      <c r="C619" s="117" t="s">
        <v>1196</v>
      </c>
      <c r="D619" s="118">
        <v>1.55</v>
      </c>
      <c r="E619" s="118">
        <v>3.07</v>
      </c>
      <c r="F619" s="118">
        <v>0.45</v>
      </c>
      <c r="G619" s="118">
        <v>31.146989999999999</v>
      </c>
    </row>
    <row r="620" spans="2:7" x14ac:dyDescent="0.2">
      <c r="B620" s="116" t="s">
        <v>3802</v>
      </c>
      <c r="C620" s="117" t="s">
        <v>3803</v>
      </c>
      <c r="D620" s="118">
        <v>0.98</v>
      </c>
      <c r="E620" s="118">
        <v>1.1599999999999999</v>
      </c>
      <c r="F620" s="118">
        <v>0.5</v>
      </c>
      <c r="G620" s="118">
        <v>33.250990000000002</v>
      </c>
    </row>
    <row r="621" spans="2:7" x14ac:dyDescent="0.2">
      <c r="B621" s="116" t="s">
        <v>3804</v>
      </c>
      <c r="C621" s="117" t="s">
        <v>3805</v>
      </c>
      <c r="D621" s="118">
        <v>0.98</v>
      </c>
      <c r="E621" s="118">
        <v>1.1599999999999999</v>
      </c>
      <c r="F621" s="118">
        <v>0.5</v>
      </c>
      <c r="G621" s="118">
        <v>33.250990000000002</v>
      </c>
    </row>
    <row r="622" spans="2:7" x14ac:dyDescent="0.2">
      <c r="B622" s="116" t="s">
        <v>1197</v>
      </c>
      <c r="C622" s="117" t="s">
        <v>1198</v>
      </c>
      <c r="D622" s="118">
        <v>0.04</v>
      </c>
      <c r="E622" s="118">
        <v>0.06</v>
      </c>
      <c r="F622" s="118">
        <v>0.15</v>
      </c>
      <c r="G622" s="118">
        <v>13.19699</v>
      </c>
    </row>
    <row r="623" spans="2:7" x14ac:dyDescent="0.2">
      <c r="B623" s="116" t="s">
        <v>1199</v>
      </c>
      <c r="C623" s="117" t="s">
        <v>1200</v>
      </c>
      <c r="D623" s="118">
        <v>0.66</v>
      </c>
      <c r="E623" s="118">
        <v>0.93</v>
      </c>
      <c r="F623" s="118">
        <v>0.47</v>
      </c>
      <c r="G623" s="118">
        <v>31.944990000000001</v>
      </c>
    </row>
    <row r="624" spans="2:7" x14ac:dyDescent="0.2">
      <c r="B624" s="116" t="s">
        <v>3806</v>
      </c>
      <c r="C624" s="117" t="s">
        <v>3807</v>
      </c>
      <c r="D624" s="118"/>
      <c r="E624" s="118"/>
      <c r="F624" s="118"/>
      <c r="G624" s="118"/>
    </row>
    <row r="625" spans="2:7" x14ac:dyDescent="0.2">
      <c r="B625" s="116" t="s">
        <v>1202</v>
      </c>
      <c r="C625" s="117" t="s">
        <v>1203</v>
      </c>
      <c r="D625" s="118">
        <v>1.35</v>
      </c>
      <c r="E625" s="118">
        <v>1.42</v>
      </c>
      <c r="F625" s="118">
        <v>0.25</v>
      </c>
      <c r="G625" s="118">
        <v>19.928999999999998</v>
      </c>
    </row>
    <row r="626" spans="2:7" x14ac:dyDescent="0.2">
      <c r="B626" s="116" t="s">
        <v>1204</v>
      </c>
      <c r="C626" s="117" t="s">
        <v>1205</v>
      </c>
      <c r="D626" s="118">
        <v>0.96</v>
      </c>
      <c r="E626" s="118">
        <v>1.58</v>
      </c>
      <c r="F626" s="118">
        <v>0.95</v>
      </c>
      <c r="G626" s="118">
        <v>48.607999999999997</v>
      </c>
    </row>
    <row r="627" spans="2:7" x14ac:dyDescent="0.2">
      <c r="B627" s="116" t="s">
        <v>1206</v>
      </c>
      <c r="C627" s="117" t="s">
        <v>1207</v>
      </c>
      <c r="D627" s="118">
        <v>0.78</v>
      </c>
      <c r="E627" s="118">
        <v>1.18</v>
      </c>
      <c r="F627" s="118">
        <v>0.49</v>
      </c>
      <c r="G627" s="118">
        <v>32.997999999999998</v>
      </c>
    </row>
    <row r="628" spans="2:7" x14ac:dyDescent="0.2">
      <c r="B628" s="116" t="s">
        <v>1208</v>
      </c>
      <c r="C628" s="117" t="s">
        <v>1209</v>
      </c>
      <c r="D628" s="118">
        <v>0.49</v>
      </c>
      <c r="E628" s="118">
        <v>0.63</v>
      </c>
      <c r="F628" s="118">
        <v>0.92</v>
      </c>
      <c r="G628" s="118">
        <v>45.186</v>
      </c>
    </row>
    <row r="629" spans="2:7" x14ac:dyDescent="0.2">
      <c r="B629" s="116" t="s">
        <v>1210</v>
      </c>
      <c r="C629" s="117" t="s">
        <v>1211</v>
      </c>
      <c r="D629" s="118">
        <v>0.25</v>
      </c>
      <c r="E629" s="118">
        <v>0.3</v>
      </c>
      <c r="F629" s="118">
        <v>0.48</v>
      </c>
      <c r="G629" s="118">
        <v>31.481000000000002</v>
      </c>
    </row>
    <row r="630" spans="2:7" x14ac:dyDescent="0.2">
      <c r="B630" s="116" t="s">
        <v>3808</v>
      </c>
      <c r="C630" s="117" t="s">
        <v>3809</v>
      </c>
      <c r="D630" s="118">
        <v>2.75</v>
      </c>
      <c r="E630" s="118">
        <v>1.45</v>
      </c>
      <c r="F630" s="118"/>
      <c r="G630" s="118">
        <v>66.015990000000002</v>
      </c>
    </row>
    <row r="631" spans="2:7" x14ac:dyDescent="0.2">
      <c r="B631" s="116" t="s">
        <v>3810</v>
      </c>
      <c r="C631" s="117" t="s">
        <v>3811</v>
      </c>
      <c r="D631" s="118">
        <v>1</v>
      </c>
      <c r="E631" s="118">
        <v>1.07</v>
      </c>
      <c r="F631" s="118"/>
      <c r="G631" s="118">
        <v>39.276000000000003</v>
      </c>
    </row>
    <row r="632" spans="2:7" x14ac:dyDescent="0.2">
      <c r="B632" s="116" t="s">
        <v>1212</v>
      </c>
      <c r="C632" s="117" t="s">
        <v>1213</v>
      </c>
      <c r="D632" s="118">
        <v>0.63</v>
      </c>
      <c r="E632" s="118">
        <v>0.71</v>
      </c>
      <c r="F632" s="118">
        <v>0</v>
      </c>
      <c r="G632" s="118">
        <v>0</v>
      </c>
    </row>
    <row r="633" spans="2:7" x14ac:dyDescent="0.2">
      <c r="B633" s="116" t="s">
        <v>3812</v>
      </c>
      <c r="C633" s="117" t="s">
        <v>3813</v>
      </c>
      <c r="D633" s="118">
        <v>0.77</v>
      </c>
      <c r="E633" s="118">
        <v>0.82</v>
      </c>
      <c r="F633" s="118"/>
      <c r="G633" s="118">
        <v>0</v>
      </c>
    </row>
    <row r="634" spans="2:7" x14ac:dyDescent="0.2">
      <c r="B634" s="116" t="s">
        <v>3814</v>
      </c>
      <c r="C634" s="117" t="s">
        <v>3815</v>
      </c>
      <c r="D634" s="118">
        <v>0.84</v>
      </c>
      <c r="E634" s="118">
        <v>0.91</v>
      </c>
      <c r="F634" s="118"/>
      <c r="G634" s="118">
        <v>50.402000000000001</v>
      </c>
    </row>
    <row r="635" spans="2:7" x14ac:dyDescent="0.2">
      <c r="B635" s="116" t="s">
        <v>1214</v>
      </c>
      <c r="C635" s="117" t="s">
        <v>1215</v>
      </c>
      <c r="D635" s="118">
        <v>0.81</v>
      </c>
      <c r="E635" s="118">
        <v>0.99</v>
      </c>
      <c r="F635" s="118">
        <v>0.93</v>
      </c>
      <c r="G635" s="118">
        <v>48.283000000000001</v>
      </c>
    </row>
    <row r="636" spans="2:7" x14ac:dyDescent="0.2">
      <c r="B636" s="116" t="s">
        <v>1217</v>
      </c>
      <c r="C636" s="117" t="s">
        <v>1218</v>
      </c>
      <c r="D636" s="118">
        <v>1.4</v>
      </c>
      <c r="E636" s="118">
        <v>2.44</v>
      </c>
      <c r="F636" s="118">
        <v>0.85</v>
      </c>
      <c r="G636" s="118">
        <v>45.997999999999998</v>
      </c>
    </row>
    <row r="637" spans="2:7" x14ac:dyDescent="0.2">
      <c r="B637" s="116" t="s">
        <v>1220</v>
      </c>
      <c r="C637" s="117" t="s">
        <v>1221</v>
      </c>
      <c r="D637" s="118">
        <v>2.82</v>
      </c>
      <c r="E637" s="118">
        <v>4.87</v>
      </c>
      <c r="F637" s="118">
        <v>0.85</v>
      </c>
      <c r="G637" s="118">
        <v>45.853000000000002</v>
      </c>
    </row>
    <row r="638" spans="2:7" x14ac:dyDescent="0.2">
      <c r="B638" s="116" t="s">
        <v>3816</v>
      </c>
      <c r="C638" s="117" t="s">
        <v>3817</v>
      </c>
      <c r="D638" s="118"/>
      <c r="E638" s="118"/>
      <c r="F638" s="118"/>
      <c r="G638" s="118"/>
    </row>
    <row r="639" spans="2:7" x14ac:dyDescent="0.2">
      <c r="B639" s="116" t="s">
        <v>1223</v>
      </c>
      <c r="C639" s="117" t="s">
        <v>1224</v>
      </c>
      <c r="D639" s="118">
        <v>1.1100000000000001</v>
      </c>
      <c r="E639" s="118">
        <v>0.54</v>
      </c>
      <c r="F639" s="118">
        <v>0.61</v>
      </c>
      <c r="G639" s="118">
        <v>37.965000000000003</v>
      </c>
    </row>
    <row r="640" spans="2:7" x14ac:dyDescent="0.2">
      <c r="B640" s="116" t="s">
        <v>3818</v>
      </c>
      <c r="C640" s="117" t="s">
        <v>3819</v>
      </c>
      <c r="D640" s="118">
        <v>1.06</v>
      </c>
      <c r="E640" s="118">
        <v>1.1299999999999999</v>
      </c>
      <c r="F640" s="118"/>
      <c r="G640" s="118">
        <v>0</v>
      </c>
    </row>
    <row r="641" spans="2:7" x14ac:dyDescent="0.2">
      <c r="B641" s="116" t="s">
        <v>1225</v>
      </c>
      <c r="C641" s="117" t="s">
        <v>1226</v>
      </c>
      <c r="D641" s="118">
        <v>1.1299999999999999</v>
      </c>
      <c r="E641" s="118">
        <v>1.02</v>
      </c>
      <c r="F641" s="118">
        <v>0.2</v>
      </c>
      <c r="G641" s="118">
        <v>16.79899</v>
      </c>
    </row>
    <row r="642" spans="2:7" x14ac:dyDescent="0.2">
      <c r="B642" s="116" t="s">
        <v>1227</v>
      </c>
      <c r="C642" s="117" t="s">
        <v>1228</v>
      </c>
      <c r="D642" s="118">
        <v>1.49</v>
      </c>
      <c r="E642" s="118">
        <v>1.35</v>
      </c>
      <c r="F642" s="118">
        <v>1.1100000000000001</v>
      </c>
      <c r="G642" s="118">
        <v>52.536990000000003</v>
      </c>
    </row>
    <row r="643" spans="2:7" x14ac:dyDescent="0.2">
      <c r="B643" s="116" t="s">
        <v>1229</v>
      </c>
      <c r="C643" s="117" t="s">
        <v>1230</v>
      </c>
      <c r="D643" s="118">
        <v>4.5599999999999996</v>
      </c>
      <c r="E643" s="118">
        <v>4.72</v>
      </c>
      <c r="F643" s="118">
        <v>0.13</v>
      </c>
      <c r="G643" s="118">
        <v>11.40799</v>
      </c>
    </row>
    <row r="644" spans="2:7" x14ac:dyDescent="0.2">
      <c r="B644" s="116" t="s">
        <v>1231</v>
      </c>
      <c r="C644" s="117" t="s">
        <v>1232</v>
      </c>
      <c r="D644" s="118">
        <v>0.63</v>
      </c>
      <c r="E644" s="118">
        <v>1</v>
      </c>
      <c r="F644" s="118">
        <v>1.06</v>
      </c>
      <c r="G644" s="118">
        <v>51.372</v>
      </c>
    </row>
    <row r="645" spans="2:7" x14ac:dyDescent="0.2">
      <c r="B645" s="116" t="s">
        <v>1233</v>
      </c>
      <c r="C645" s="117" t="s">
        <v>1234</v>
      </c>
      <c r="D645" s="118">
        <v>3.77</v>
      </c>
      <c r="E645" s="118">
        <v>5.32</v>
      </c>
      <c r="F645" s="118">
        <v>1.06</v>
      </c>
      <c r="G645" s="118">
        <v>51.370989999999999</v>
      </c>
    </row>
    <row r="646" spans="2:7" x14ac:dyDescent="0.2">
      <c r="B646" s="116" t="s">
        <v>1235</v>
      </c>
      <c r="C646" s="117" t="s">
        <v>1236</v>
      </c>
      <c r="D646" s="118">
        <v>43.37</v>
      </c>
      <c r="E646" s="118">
        <v>86.78</v>
      </c>
      <c r="F646" s="118">
        <v>0.01</v>
      </c>
      <c r="G646" s="118">
        <v>0.71253</v>
      </c>
    </row>
    <row r="647" spans="2:7" x14ac:dyDescent="0.2">
      <c r="B647" s="116" t="s">
        <v>1237</v>
      </c>
      <c r="C647" s="117" t="s">
        <v>1238</v>
      </c>
      <c r="D647" s="118"/>
      <c r="E647" s="118"/>
      <c r="F647" s="118"/>
      <c r="G647" s="118"/>
    </row>
    <row r="648" spans="2:7" x14ac:dyDescent="0.2">
      <c r="B648" s="116" t="s">
        <v>1239</v>
      </c>
      <c r="C648" s="117" t="s">
        <v>1240</v>
      </c>
      <c r="D648" s="118">
        <v>1</v>
      </c>
      <c r="E648" s="118">
        <v>1.59</v>
      </c>
      <c r="F648" s="118">
        <v>1.34</v>
      </c>
      <c r="G648" s="118">
        <v>57.198999999999998</v>
      </c>
    </row>
    <row r="649" spans="2:7" x14ac:dyDescent="0.2">
      <c r="B649" s="116" t="s">
        <v>1241</v>
      </c>
      <c r="C649" s="117" t="s">
        <v>1242</v>
      </c>
      <c r="D649" s="118">
        <v>0.55000000000000004</v>
      </c>
      <c r="E649" s="118">
        <v>0.43</v>
      </c>
      <c r="F649" s="118">
        <v>0.92</v>
      </c>
      <c r="G649" s="118">
        <v>42.919989999999999</v>
      </c>
    </row>
    <row r="650" spans="2:7" x14ac:dyDescent="0.2">
      <c r="B650" s="116" t="s">
        <v>1243</v>
      </c>
      <c r="C650" s="117" t="s">
        <v>1244</v>
      </c>
      <c r="D650" s="118">
        <v>1.44</v>
      </c>
      <c r="E650" s="118">
        <v>1.43</v>
      </c>
      <c r="F650" s="118">
        <v>0.57999999999999996</v>
      </c>
      <c r="G650" s="118">
        <v>36.837000000000003</v>
      </c>
    </row>
    <row r="651" spans="2:7" x14ac:dyDescent="0.2">
      <c r="B651" s="116" t="s">
        <v>1245</v>
      </c>
      <c r="C651" s="117" t="s">
        <v>1246</v>
      </c>
      <c r="D651" s="118">
        <v>0.28999999999999998</v>
      </c>
      <c r="E651" s="118">
        <v>1.45</v>
      </c>
      <c r="F651" s="118">
        <v>0.88</v>
      </c>
      <c r="G651" s="118">
        <v>47.962000000000003</v>
      </c>
    </row>
    <row r="652" spans="2:7" x14ac:dyDescent="0.2">
      <c r="B652" s="116" t="s">
        <v>3820</v>
      </c>
      <c r="C652" s="117" t="s">
        <v>3821</v>
      </c>
      <c r="D652" s="118">
        <v>1.1299999999999999</v>
      </c>
      <c r="E652" s="118">
        <v>1.18</v>
      </c>
      <c r="F652" s="118"/>
      <c r="G652" s="118">
        <v>50.401000000000003</v>
      </c>
    </row>
    <row r="653" spans="2:7" x14ac:dyDescent="0.2">
      <c r="B653" s="116" t="s">
        <v>1249</v>
      </c>
      <c r="C653" s="117" t="s">
        <v>1250</v>
      </c>
      <c r="D653" s="118">
        <v>1.37</v>
      </c>
      <c r="E653" s="118">
        <v>1.83</v>
      </c>
      <c r="F653" s="118">
        <v>3.67</v>
      </c>
      <c r="G653" s="118">
        <v>78.585989999999995</v>
      </c>
    </row>
    <row r="654" spans="2:7" x14ac:dyDescent="0.2">
      <c r="B654" s="116" t="s">
        <v>1251</v>
      </c>
      <c r="C654" s="117" t="s">
        <v>1252</v>
      </c>
      <c r="D654" s="118">
        <v>1.19</v>
      </c>
      <c r="E654" s="118">
        <v>1.42</v>
      </c>
      <c r="F654" s="118">
        <v>0.48</v>
      </c>
      <c r="G654" s="118">
        <v>32.520000000000003</v>
      </c>
    </row>
    <row r="655" spans="2:7" x14ac:dyDescent="0.2">
      <c r="B655" s="116" t="s">
        <v>3822</v>
      </c>
      <c r="C655" s="117" t="s">
        <v>3823</v>
      </c>
      <c r="D655" s="118">
        <v>2.06</v>
      </c>
      <c r="E655" s="118">
        <v>2.12</v>
      </c>
      <c r="F655" s="118">
        <v>0.09</v>
      </c>
      <c r="G655" s="118">
        <v>8.3476999999999997</v>
      </c>
    </row>
    <row r="656" spans="2:7" x14ac:dyDescent="0.2">
      <c r="B656" s="116" t="s">
        <v>1254</v>
      </c>
      <c r="C656" s="117" t="s">
        <v>1255</v>
      </c>
      <c r="D656" s="118">
        <v>1.51</v>
      </c>
      <c r="E656" s="118">
        <v>2.17</v>
      </c>
      <c r="F656" s="118">
        <v>0.85</v>
      </c>
      <c r="G656" s="118">
        <v>45.985999999999997</v>
      </c>
    </row>
    <row r="657" spans="2:7" x14ac:dyDescent="0.2">
      <c r="B657" s="116" t="s">
        <v>1256</v>
      </c>
      <c r="C657" s="117" t="s">
        <v>1257</v>
      </c>
      <c r="D657" s="118">
        <v>0.5</v>
      </c>
      <c r="E657" s="118">
        <v>0.61</v>
      </c>
      <c r="F657" s="118">
        <v>1.0900000000000001</v>
      </c>
      <c r="G657" s="118">
        <v>52.465989999999998</v>
      </c>
    </row>
    <row r="658" spans="2:7" x14ac:dyDescent="0.2">
      <c r="B658" s="116" t="s">
        <v>1258</v>
      </c>
      <c r="C658" s="117" t="s">
        <v>1259</v>
      </c>
      <c r="D658" s="118">
        <v>1.67</v>
      </c>
      <c r="E658" s="118">
        <v>1.91</v>
      </c>
      <c r="F658" s="118">
        <v>0.14000000000000001</v>
      </c>
      <c r="G658" s="118">
        <v>12.452999999999999</v>
      </c>
    </row>
    <row r="659" spans="2:7" x14ac:dyDescent="0.2">
      <c r="B659" s="116" t="s">
        <v>3824</v>
      </c>
      <c r="C659" s="117" t="s">
        <v>3825</v>
      </c>
      <c r="D659" s="118">
        <v>1.06</v>
      </c>
      <c r="E659" s="118">
        <v>1.1000000000000001</v>
      </c>
      <c r="F659" s="118">
        <v>0.37</v>
      </c>
      <c r="G659" s="118">
        <v>29.922000000000001</v>
      </c>
    </row>
    <row r="660" spans="2:7" x14ac:dyDescent="0.2">
      <c r="B660" s="116" t="s">
        <v>3826</v>
      </c>
      <c r="C660" s="117" t="s">
        <v>3827</v>
      </c>
      <c r="D660" s="118">
        <v>0.71</v>
      </c>
      <c r="E660" s="118">
        <v>1</v>
      </c>
      <c r="F660" s="118"/>
      <c r="G660" s="118">
        <v>7.2034000000000002</v>
      </c>
    </row>
    <row r="661" spans="2:7" x14ac:dyDescent="0.2">
      <c r="B661" s="116" t="s">
        <v>3828</v>
      </c>
      <c r="C661" s="117" t="s">
        <v>3829</v>
      </c>
      <c r="D661" s="118">
        <v>0.73</v>
      </c>
      <c r="E661" s="118">
        <v>1.1499999999999999</v>
      </c>
      <c r="F661" s="118">
        <v>0.21</v>
      </c>
      <c r="G661" s="118">
        <v>17.350000000000001</v>
      </c>
    </row>
    <row r="662" spans="2:7" x14ac:dyDescent="0.2">
      <c r="B662" s="116" t="s">
        <v>1260</v>
      </c>
      <c r="C662" s="117" t="s">
        <v>1261</v>
      </c>
      <c r="D662" s="118">
        <v>0.45</v>
      </c>
      <c r="E662" s="118">
        <v>0.55000000000000004</v>
      </c>
      <c r="F662" s="118">
        <v>0</v>
      </c>
      <c r="G662" s="118">
        <v>0</v>
      </c>
    </row>
    <row r="663" spans="2:7" x14ac:dyDescent="0.2">
      <c r="B663" s="116" t="s">
        <v>1263</v>
      </c>
      <c r="C663" s="117" t="s">
        <v>1264</v>
      </c>
      <c r="D663" s="118">
        <v>1.76</v>
      </c>
      <c r="E663" s="118">
        <v>0.92</v>
      </c>
      <c r="F663" s="118">
        <v>0.92</v>
      </c>
      <c r="G663" s="118">
        <v>48.09</v>
      </c>
    </row>
    <row r="664" spans="2:7" x14ac:dyDescent="0.2">
      <c r="B664" s="116" t="s">
        <v>1265</v>
      </c>
      <c r="C664" s="117" t="s">
        <v>1266</v>
      </c>
      <c r="D664" s="118">
        <v>2.11</v>
      </c>
      <c r="E664" s="118">
        <v>2.06</v>
      </c>
      <c r="F664" s="118">
        <v>0.11</v>
      </c>
      <c r="G664" s="118">
        <v>9.5304000000000002</v>
      </c>
    </row>
    <row r="665" spans="2:7" x14ac:dyDescent="0.2">
      <c r="B665" s="116" t="s">
        <v>1267</v>
      </c>
      <c r="C665" s="117" t="s">
        <v>1268</v>
      </c>
      <c r="D665" s="118">
        <v>0.54</v>
      </c>
      <c r="E665" s="118">
        <v>1.1200000000000001</v>
      </c>
      <c r="F665" s="118">
        <v>1.48</v>
      </c>
      <c r="G665" s="118">
        <v>59.634990000000002</v>
      </c>
    </row>
    <row r="666" spans="2:7" x14ac:dyDescent="0.2">
      <c r="B666" s="116" t="s">
        <v>1269</v>
      </c>
      <c r="C666" s="117" t="s">
        <v>1270</v>
      </c>
      <c r="D666" s="118">
        <v>0.28000000000000003</v>
      </c>
      <c r="E666" s="118">
        <v>0.27</v>
      </c>
      <c r="F666" s="118">
        <v>0.28000000000000003</v>
      </c>
      <c r="G666" s="118">
        <v>19.93</v>
      </c>
    </row>
    <row r="667" spans="2:7" x14ac:dyDescent="0.2">
      <c r="B667" s="116" t="s">
        <v>1271</v>
      </c>
      <c r="C667" s="117" t="s">
        <v>1272</v>
      </c>
      <c r="D667" s="118">
        <v>0.93</v>
      </c>
      <c r="E667" s="118">
        <v>1.83</v>
      </c>
      <c r="F667" s="118">
        <v>0.51</v>
      </c>
      <c r="G667" s="118">
        <v>33.89799</v>
      </c>
    </row>
    <row r="668" spans="2:7" x14ac:dyDescent="0.2">
      <c r="B668" s="116" t="s">
        <v>1273</v>
      </c>
      <c r="C668" s="117" t="s">
        <v>1274</v>
      </c>
      <c r="D668" s="118">
        <v>0.38</v>
      </c>
      <c r="E668" s="118">
        <v>0.73</v>
      </c>
      <c r="F668" s="118">
        <v>1.76</v>
      </c>
      <c r="G668" s="118">
        <v>63.201990000000002</v>
      </c>
    </row>
    <row r="669" spans="2:7" x14ac:dyDescent="0.2">
      <c r="B669" s="116" t="s">
        <v>1275</v>
      </c>
      <c r="C669" s="117" t="s">
        <v>1276</v>
      </c>
      <c r="D669" s="118">
        <v>1.04</v>
      </c>
      <c r="E669" s="118">
        <v>0.48</v>
      </c>
      <c r="F669" s="118">
        <v>0.86</v>
      </c>
      <c r="G669" s="118">
        <v>46.344000000000001</v>
      </c>
    </row>
    <row r="670" spans="2:7" x14ac:dyDescent="0.2">
      <c r="B670" s="116" t="s">
        <v>1277</v>
      </c>
      <c r="C670" s="117" t="s">
        <v>1278</v>
      </c>
      <c r="D670" s="118">
        <v>6.07</v>
      </c>
      <c r="E670" s="118">
        <v>4.47</v>
      </c>
      <c r="F670" s="118">
        <v>0.77</v>
      </c>
      <c r="G670" s="118">
        <v>43.563989999999997</v>
      </c>
    </row>
    <row r="671" spans="2:7" x14ac:dyDescent="0.2">
      <c r="B671" s="116" t="s">
        <v>1279</v>
      </c>
      <c r="C671" s="117" t="s">
        <v>1280</v>
      </c>
      <c r="D671" s="118"/>
      <c r="E671" s="118"/>
      <c r="F671" s="118"/>
      <c r="G671" s="118"/>
    </row>
    <row r="672" spans="2:7" x14ac:dyDescent="0.2">
      <c r="B672" s="116" t="s">
        <v>1282</v>
      </c>
      <c r="C672" s="117" t="s">
        <v>1283</v>
      </c>
      <c r="D672" s="118">
        <v>5.67</v>
      </c>
      <c r="E672" s="118">
        <v>11.85</v>
      </c>
      <c r="F672" s="118">
        <v>1.98</v>
      </c>
      <c r="G672" s="118">
        <v>69.611000000000004</v>
      </c>
    </row>
    <row r="673" spans="2:7" x14ac:dyDescent="0.2">
      <c r="B673" s="116" t="s">
        <v>1284</v>
      </c>
      <c r="C673" s="117" t="s">
        <v>1285</v>
      </c>
      <c r="D673" s="118">
        <v>1.98</v>
      </c>
      <c r="E673" s="118">
        <v>2.58</v>
      </c>
      <c r="F673" s="118">
        <v>0.36</v>
      </c>
      <c r="G673" s="118">
        <v>26.600989999999999</v>
      </c>
    </row>
    <row r="674" spans="2:7" x14ac:dyDescent="0.2">
      <c r="B674" s="116" t="s">
        <v>1286</v>
      </c>
      <c r="C674" s="117" t="s">
        <v>1287</v>
      </c>
      <c r="D674" s="118">
        <v>0.41</v>
      </c>
      <c r="E674" s="118">
        <v>0.44</v>
      </c>
      <c r="F674" s="118">
        <v>0.81</v>
      </c>
      <c r="G674" s="118">
        <v>44.643999999999998</v>
      </c>
    </row>
    <row r="675" spans="2:7" x14ac:dyDescent="0.2">
      <c r="B675" s="116" t="s">
        <v>3830</v>
      </c>
      <c r="C675" s="117" t="s">
        <v>3831</v>
      </c>
      <c r="D675" s="118"/>
      <c r="E675" s="118"/>
      <c r="F675" s="118"/>
      <c r="G675" s="118"/>
    </row>
    <row r="676" spans="2:7" x14ac:dyDescent="0.2">
      <c r="B676" s="116" t="s">
        <v>1288</v>
      </c>
      <c r="C676" s="117" t="s">
        <v>1289</v>
      </c>
      <c r="D676" s="118">
        <v>1.24</v>
      </c>
      <c r="E676" s="118">
        <v>1.36</v>
      </c>
      <c r="F676" s="118"/>
      <c r="G676" s="118">
        <v>26.315989999999999</v>
      </c>
    </row>
    <row r="677" spans="2:7" x14ac:dyDescent="0.2">
      <c r="B677" s="116" t="s">
        <v>1290</v>
      </c>
      <c r="C677" s="117" t="s">
        <v>1291</v>
      </c>
      <c r="D677" s="118">
        <v>1.92</v>
      </c>
      <c r="E677" s="118">
        <v>3.38</v>
      </c>
      <c r="F677" s="118">
        <v>0.18</v>
      </c>
      <c r="G677" s="118">
        <v>15.55</v>
      </c>
    </row>
    <row r="678" spans="2:7" x14ac:dyDescent="0.2">
      <c r="B678" s="116" t="s">
        <v>1292</v>
      </c>
      <c r="C678" s="117" t="s">
        <v>1293</v>
      </c>
      <c r="D678" s="118">
        <v>1.01</v>
      </c>
      <c r="E678" s="118">
        <v>1.03</v>
      </c>
      <c r="F678" s="118">
        <v>0.19</v>
      </c>
      <c r="G678" s="118">
        <v>15.936999999999999</v>
      </c>
    </row>
    <row r="679" spans="2:7" x14ac:dyDescent="0.2">
      <c r="B679" s="116" t="s">
        <v>3832</v>
      </c>
      <c r="C679" s="117" t="s">
        <v>3833</v>
      </c>
      <c r="D679" s="118"/>
      <c r="E679" s="118"/>
      <c r="F679" s="118"/>
      <c r="G679" s="118"/>
    </row>
    <row r="680" spans="2:7" x14ac:dyDescent="0.2">
      <c r="B680" s="116" t="s">
        <v>3834</v>
      </c>
      <c r="C680" s="117" t="s">
        <v>3835</v>
      </c>
      <c r="D680" s="118"/>
      <c r="E680" s="118"/>
      <c r="F680" s="118"/>
      <c r="G680" s="118"/>
    </row>
    <row r="681" spans="2:7" x14ac:dyDescent="0.2">
      <c r="B681" s="116" t="s">
        <v>3836</v>
      </c>
      <c r="C681" s="117" t="s">
        <v>3837</v>
      </c>
      <c r="D681" s="118"/>
      <c r="E681" s="118"/>
      <c r="F681" s="118"/>
      <c r="G681" s="118"/>
    </row>
    <row r="682" spans="2:7" x14ac:dyDescent="0.2">
      <c r="B682" s="116" t="s">
        <v>1294</v>
      </c>
      <c r="C682" s="117" t="s">
        <v>1295</v>
      </c>
      <c r="D682" s="118">
        <v>8.6999999999999993</v>
      </c>
      <c r="E682" s="118">
        <v>2.79</v>
      </c>
      <c r="F682" s="118">
        <v>0.65</v>
      </c>
      <c r="G682" s="118">
        <v>39.222000000000001</v>
      </c>
    </row>
    <row r="683" spans="2:7" x14ac:dyDescent="0.2">
      <c r="B683" s="116" t="s">
        <v>1296</v>
      </c>
      <c r="C683" s="117" t="s">
        <v>1297</v>
      </c>
      <c r="D683" s="118">
        <v>1.02</v>
      </c>
      <c r="E683" s="118">
        <v>0.9</v>
      </c>
      <c r="F683" s="118">
        <v>0.95</v>
      </c>
      <c r="G683" s="118">
        <v>48.785989999999998</v>
      </c>
    </row>
    <row r="684" spans="2:7" x14ac:dyDescent="0.2">
      <c r="B684" s="116" t="s">
        <v>1298</v>
      </c>
      <c r="C684" s="117" t="s">
        <v>1299</v>
      </c>
      <c r="D684" s="118">
        <v>8.41</v>
      </c>
      <c r="E684" s="118">
        <v>8.64</v>
      </c>
      <c r="F684" s="118">
        <v>0.02</v>
      </c>
      <c r="G684" s="118">
        <v>1.4917899999999999</v>
      </c>
    </row>
    <row r="685" spans="2:7" x14ac:dyDescent="0.2">
      <c r="B685" s="116" t="s">
        <v>1300</v>
      </c>
      <c r="C685" s="117" t="s">
        <v>1301</v>
      </c>
      <c r="D685" s="118">
        <v>0.85</v>
      </c>
      <c r="E685" s="118">
        <v>2.42</v>
      </c>
      <c r="F685" s="118">
        <v>0.85</v>
      </c>
      <c r="G685" s="118">
        <v>45.923000000000002</v>
      </c>
    </row>
    <row r="686" spans="2:7" x14ac:dyDescent="0.2">
      <c r="B686" s="116" t="s">
        <v>1302</v>
      </c>
      <c r="C686" s="117" t="s">
        <v>1303</v>
      </c>
      <c r="D686" s="118">
        <v>2.06</v>
      </c>
      <c r="E686" s="118">
        <v>2.12</v>
      </c>
      <c r="F686" s="118">
        <v>0.15</v>
      </c>
      <c r="G686" s="118">
        <v>13.33399</v>
      </c>
    </row>
    <row r="687" spans="2:7" x14ac:dyDescent="0.2">
      <c r="B687" s="116" t="s">
        <v>1304</v>
      </c>
      <c r="C687" s="117" t="s">
        <v>1305</v>
      </c>
      <c r="D687" s="118">
        <v>0.64</v>
      </c>
      <c r="E687" s="118">
        <v>0.76</v>
      </c>
      <c r="F687" s="118">
        <v>0.71</v>
      </c>
      <c r="G687" s="118">
        <v>41.612990000000003</v>
      </c>
    </row>
    <row r="688" spans="2:7" x14ac:dyDescent="0.2">
      <c r="B688" s="116" t="s">
        <v>1306</v>
      </c>
      <c r="C688" s="117" t="s">
        <v>1307</v>
      </c>
      <c r="D688" s="118">
        <v>0.44</v>
      </c>
      <c r="E688" s="118">
        <v>0.44</v>
      </c>
      <c r="F688" s="118"/>
      <c r="G688" s="118">
        <v>50.594000000000001</v>
      </c>
    </row>
    <row r="689" spans="2:7" x14ac:dyDescent="0.2">
      <c r="B689" s="116" t="s">
        <v>1308</v>
      </c>
      <c r="C689" s="117" t="s">
        <v>1309</v>
      </c>
      <c r="D689" s="118">
        <v>3.32</v>
      </c>
      <c r="E689" s="118">
        <v>3.6</v>
      </c>
      <c r="F689" s="118">
        <v>0.05</v>
      </c>
      <c r="G689" s="118">
        <v>4.8871000000000002</v>
      </c>
    </row>
    <row r="690" spans="2:7" x14ac:dyDescent="0.2">
      <c r="B690" s="116" t="s">
        <v>1310</v>
      </c>
      <c r="C690" s="117" t="s">
        <v>1311</v>
      </c>
      <c r="D690" s="118">
        <v>0.72</v>
      </c>
      <c r="E690" s="118">
        <v>0.48</v>
      </c>
      <c r="F690" s="118">
        <v>1.78</v>
      </c>
      <c r="G690" s="118">
        <v>64.041989999999998</v>
      </c>
    </row>
    <row r="691" spans="2:7" x14ac:dyDescent="0.2">
      <c r="B691" s="116" t="s">
        <v>3838</v>
      </c>
      <c r="C691" s="117" t="s">
        <v>3839</v>
      </c>
      <c r="D691" s="118">
        <v>0.88</v>
      </c>
      <c r="E691" s="118">
        <v>1.1200000000000001</v>
      </c>
      <c r="F691" s="118"/>
      <c r="G691" s="118">
        <v>8.5422999999999991</v>
      </c>
    </row>
    <row r="692" spans="2:7" x14ac:dyDescent="0.2">
      <c r="B692" s="116" t="s">
        <v>3840</v>
      </c>
      <c r="C692" s="117" t="s">
        <v>3841</v>
      </c>
      <c r="D692" s="118"/>
      <c r="E692" s="118"/>
      <c r="F692" s="118"/>
      <c r="G692" s="118"/>
    </row>
    <row r="693" spans="2:7" x14ac:dyDescent="0.2">
      <c r="B693" s="116" t="s">
        <v>1312</v>
      </c>
      <c r="C693" s="117" t="s">
        <v>1313</v>
      </c>
      <c r="D693" s="118">
        <v>1.08</v>
      </c>
      <c r="E693" s="118">
        <v>1.2</v>
      </c>
      <c r="F693" s="118">
        <v>2.86</v>
      </c>
      <c r="G693" s="118">
        <v>74.067999999999998</v>
      </c>
    </row>
    <row r="694" spans="2:7" x14ac:dyDescent="0.2">
      <c r="B694" s="116" t="s">
        <v>1315</v>
      </c>
      <c r="C694" s="117" t="s">
        <v>1316</v>
      </c>
      <c r="D694" s="118">
        <v>0.74</v>
      </c>
      <c r="E694" s="118">
        <v>0.8</v>
      </c>
      <c r="F694" s="118">
        <v>0</v>
      </c>
      <c r="G694" s="118">
        <v>0</v>
      </c>
    </row>
    <row r="695" spans="2:7" x14ac:dyDescent="0.2">
      <c r="B695" s="116" t="s">
        <v>1317</v>
      </c>
      <c r="C695" s="117" t="s">
        <v>1318</v>
      </c>
      <c r="D695" s="118">
        <v>0.87</v>
      </c>
      <c r="E695" s="118">
        <v>0.82</v>
      </c>
      <c r="F695" s="118">
        <v>0.28999999999999998</v>
      </c>
      <c r="G695" s="118">
        <v>22.447990000000001</v>
      </c>
    </row>
    <row r="696" spans="2:7" x14ac:dyDescent="0.2">
      <c r="B696" s="116" t="s">
        <v>1319</v>
      </c>
      <c r="C696" s="117" t="s">
        <v>1320</v>
      </c>
      <c r="D696" s="118">
        <v>5.56</v>
      </c>
      <c r="E696" s="118">
        <v>6.72</v>
      </c>
      <c r="F696" s="118"/>
      <c r="G696" s="118">
        <v>0</v>
      </c>
    </row>
    <row r="697" spans="2:7" x14ac:dyDescent="0.2">
      <c r="B697" s="116" t="s">
        <v>1322</v>
      </c>
      <c r="C697" s="117" t="s">
        <v>1323</v>
      </c>
      <c r="D697" s="118">
        <v>2.37</v>
      </c>
      <c r="E697" s="118">
        <v>4.68</v>
      </c>
      <c r="F697" s="118">
        <v>0.25</v>
      </c>
      <c r="G697" s="118">
        <v>20.309989999999999</v>
      </c>
    </row>
    <row r="698" spans="2:7" x14ac:dyDescent="0.2">
      <c r="B698" s="116" t="s">
        <v>1325</v>
      </c>
      <c r="C698" s="117" t="s">
        <v>1326</v>
      </c>
      <c r="D698" s="118">
        <v>7.19</v>
      </c>
      <c r="E698" s="118">
        <v>4.47</v>
      </c>
      <c r="F698" s="118">
        <v>0.08</v>
      </c>
      <c r="G698" s="118">
        <v>7.4276999999999997</v>
      </c>
    </row>
    <row r="699" spans="2:7" x14ac:dyDescent="0.2">
      <c r="B699" s="116" t="s">
        <v>1327</v>
      </c>
      <c r="C699" s="117" t="s">
        <v>1328</v>
      </c>
      <c r="D699" s="118">
        <v>0.68</v>
      </c>
      <c r="E699" s="118">
        <v>1.1299999999999999</v>
      </c>
      <c r="F699" s="118">
        <v>0.77</v>
      </c>
      <c r="G699" s="118">
        <v>43.595999999999997</v>
      </c>
    </row>
    <row r="700" spans="2:7" x14ac:dyDescent="0.2">
      <c r="B700" s="116" t="s">
        <v>1329</v>
      </c>
      <c r="C700" s="117" t="s">
        <v>1330</v>
      </c>
      <c r="D700" s="118">
        <v>0.59</v>
      </c>
      <c r="E700" s="118">
        <v>0.81</v>
      </c>
      <c r="F700" s="118">
        <v>0.3</v>
      </c>
      <c r="G700" s="118">
        <v>22.99399</v>
      </c>
    </row>
    <row r="701" spans="2:7" x14ac:dyDescent="0.2">
      <c r="B701" s="116" t="s">
        <v>1331</v>
      </c>
      <c r="C701" s="117" t="s">
        <v>1332</v>
      </c>
      <c r="D701" s="118">
        <v>3.87</v>
      </c>
      <c r="E701" s="118">
        <v>3.91</v>
      </c>
      <c r="F701" s="118">
        <v>0.36</v>
      </c>
      <c r="G701" s="118">
        <v>26.58699</v>
      </c>
    </row>
    <row r="702" spans="2:7" x14ac:dyDescent="0.2">
      <c r="B702" s="116" t="s">
        <v>1333</v>
      </c>
      <c r="C702" s="117" t="s">
        <v>1334</v>
      </c>
      <c r="D702" s="118">
        <v>2</v>
      </c>
      <c r="E702" s="118">
        <v>2.2000000000000002</v>
      </c>
      <c r="F702" s="118">
        <v>0.2</v>
      </c>
      <c r="G702" s="118">
        <v>16.995000000000001</v>
      </c>
    </row>
    <row r="703" spans="2:7" x14ac:dyDescent="0.2">
      <c r="B703" s="116" t="s">
        <v>3842</v>
      </c>
      <c r="C703" s="117" t="s">
        <v>3843</v>
      </c>
      <c r="D703" s="118">
        <v>0.85</v>
      </c>
      <c r="E703" s="118">
        <v>0.85</v>
      </c>
      <c r="F703" s="118">
        <v>0.06</v>
      </c>
      <c r="G703" s="118">
        <v>5.2264999999999997</v>
      </c>
    </row>
    <row r="704" spans="2:7" x14ac:dyDescent="0.2">
      <c r="B704" s="116" t="s">
        <v>1335</v>
      </c>
      <c r="C704" s="117" t="s">
        <v>1336</v>
      </c>
      <c r="D704" s="118">
        <v>1.79</v>
      </c>
      <c r="E704" s="118">
        <v>2.66</v>
      </c>
      <c r="F704" s="118">
        <v>0.56000000000000005</v>
      </c>
      <c r="G704" s="118">
        <v>35.745989999999999</v>
      </c>
    </row>
    <row r="705" spans="2:7" x14ac:dyDescent="0.2">
      <c r="B705" s="116" t="s">
        <v>3844</v>
      </c>
      <c r="C705" s="117" t="s">
        <v>3845</v>
      </c>
      <c r="D705" s="118"/>
      <c r="E705" s="118"/>
      <c r="F705" s="118"/>
      <c r="G705" s="118"/>
    </row>
    <row r="706" spans="2:7" x14ac:dyDescent="0.2">
      <c r="B706" s="116" t="s">
        <v>1337</v>
      </c>
      <c r="C706" s="117" t="s">
        <v>1338</v>
      </c>
      <c r="D706" s="118"/>
      <c r="E706" s="118">
        <v>2.87</v>
      </c>
      <c r="F706" s="118"/>
      <c r="G706" s="118">
        <v>46.732999999999997</v>
      </c>
    </row>
    <row r="707" spans="2:7" x14ac:dyDescent="0.2">
      <c r="B707" s="116" t="s">
        <v>1339</v>
      </c>
      <c r="C707" s="117" t="s">
        <v>1340</v>
      </c>
      <c r="D707" s="118">
        <v>1.39</v>
      </c>
      <c r="E707" s="118">
        <v>1.31</v>
      </c>
      <c r="F707" s="118">
        <v>1.7</v>
      </c>
      <c r="G707" s="118">
        <v>62.948</v>
      </c>
    </row>
    <row r="708" spans="2:7" x14ac:dyDescent="0.2">
      <c r="B708" s="116" t="s">
        <v>1342</v>
      </c>
      <c r="C708" s="117" t="s">
        <v>1343</v>
      </c>
      <c r="D708" s="118">
        <v>0.46</v>
      </c>
      <c r="E708" s="118">
        <v>0.6</v>
      </c>
      <c r="F708" s="118">
        <v>2.63</v>
      </c>
      <c r="G708" s="118">
        <v>72.384</v>
      </c>
    </row>
    <row r="709" spans="2:7" x14ac:dyDescent="0.2">
      <c r="B709" s="116" t="s">
        <v>1344</v>
      </c>
      <c r="C709" s="117" t="s">
        <v>1345</v>
      </c>
      <c r="D709" s="118"/>
      <c r="E709" s="118"/>
      <c r="F709" s="118"/>
      <c r="G709" s="118"/>
    </row>
    <row r="710" spans="2:7" x14ac:dyDescent="0.2">
      <c r="B710" s="116" t="s">
        <v>1346</v>
      </c>
      <c r="C710" s="117" t="s">
        <v>1347</v>
      </c>
      <c r="D710" s="118">
        <v>2.0299999999999998</v>
      </c>
      <c r="E710" s="118">
        <v>1.56</v>
      </c>
      <c r="F710" s="118">
        <v>1.3</v>
      </c>
      <c r="G710" s="118">
        <v>56.533999999999999</v>
      </c>
    </row>
    <row r="711" spans="2:7" x14ac:dyDescent="0.2">
      <c r="B711" s="116" t="s">
        <v>1348</v>
      </c>
      <c r="C711" s="117" t="s">
        <v>1349</v>
      </c>
      <c r="D711" s="118">
        <v>0.62</v>
      </c>
      <c r="E711" s="118">
        <v>0.64</v>
      </c>
      <c r="F711" s="118">
        <v>0</v>
      </c>
      <c r="G711" s="118">
        <v>0</v>
      </c>
    </row>
    <row r="712" spans="2:7" x14ac:dyDescent="0.2">
      <c r="B712" s="116" t="s">
        <v>1350</v>
      </c>
      <c r="C712" s="117" t="s">
        <v>1351</v>
      </c>
      <c r="D712" s="118">
        <v>1.45</v>
      </c>
      <c r="E712" s="118">
        <v>1.4</v>
      </c>
      <c r="F712" s="118">
        <v>0</v>
      </c>
      <c r="G712" s="118">
        <v>0</v>
      </c>
    </row>
    <row r="713" spans="2:7" x14ac:dyDescent="0.2">
      <c r="B713" s="116" t="s">
        <v>1352</v>
      </c>
      <c r="C713" s="117" t="s">
        <v>1353</v>
      </c>
      <c r="D713" s="118">
        <v>7.75</v>
      </c>
      <c r="E713" s="118">
        <v>9.73</v>
      </c>
      <c r="F713" s="118">
        <v>7.0000000000000007E-2</v>
      </c>
      <c r="G713" s="118">
        <v>6.5071000000000003</v>
      </c>
    </row>
    <row r="714" spans="2:7" x14ac:dyDescent="0.2">
      <c r="B714" s="116" t="s">
        <v>1354</v>
      </c>
      <c r="C714" s="117" t="s">
        <v>1355</v>
      </c>
      <c r="D714" s="118">
        <v>0.82</v>
      </c>
      <c r="E714" s="118">
        <v>0.82</v>
      </c>
      <c r="F714" s="118">
        <v>0.15</v>
      </c>
      <c r="G714" s="118">
        <v>13.07499</v>
      </c>
    </row>
    <row r="715" spans="2:7" x14ac:dyDescent="0.2">
      <c r="B715" s="116" t="s">
        <v>1356</v>
      </c>
      <c r="C715" s="117" t="s">
        <v>1357</v>
      </c>
      <c r="D715" s="118">
        <v>0.92</v>
      </c>
      <c r="E715" s="118">
        <v>0.95</v>
      </c>
      <c r="F715" s="118">
        <v>0.25</v>
      </c>
      <c r="G715" s="118">
        <v>19.413</v>
      </c>
    </row>
    <row r="716" spans="2:7" x14ac:dyDescent="0.2">
      <c r="B716" s="116" t="s">
        <v>1358</v>
      </c>
      <c r="C716" s="117" t="s">
        <v>1359</v>
      </c>
      <c r="D716" s="118">
        <v>0.8</v>
      </c>
      <c r="E716" s="118">
        <v>0.95</v>
      </c>
      <c r="F716" s="118">
        <v>2.25</v>
      </c>
      <c r="G716" s="118">
        <v>69.260999999999996</v>
      </c>
    </row>
    <row r="717" spans="2:7" x14ac:dyDescent="0.2">
      <c r="B717" s="116" t="s">
        <v>1360</v>
      </c>
      <c r="C717" s="117" t="s">
        <v>1361</v>
      </c>
      <c r="D717" s="118">
        <v>1.49</v>
      </c>
      <c r="E717" s="118">
        <v>2.23</v>
      </c>
      <c r="F717" s="118">
        <v>0.26</v>
      </c>
      <c r="G717" s="118">
        <v>32.534990000000001</v>
      </c>
    </row>
    <row r="718" spans="2:7" x14ac:dyDescent="0.2">
      <c r="B718" s="116" t="s">
        <v>3846</v>
      </c>
      <c r="C718" s="117" t="s">
        <v>3847</v>
      </c>
      <c r="D718" s="118">
        <v>0.55000000000000004</v>
      </c>
      <c r="E718" s="118">
        <v>0.91</v>
      </c>
      <c r="F718" s="118"/>
      <c r="G718" s="118">
        <v>43.148989999999998</v>
      </c>
    </row>
    <row r="719" spans="2:7" x14ac:dyDescent="0.2">
      <c r="B719" s="116" t="s">
        <v>1362</v>
      </c>
      <c r="C719" s="117" t="s">
        <v>1363</v>
      </c>
      <c r="D719" s="118">
        <v>1.19</v>
      </c>
      <c r="E719" s="118">
        <v>3</v>
      </c>
      <c r="F719" s="118">
        <v>1.67</v>
      </c>
      <c r="G719" s="118">
        <v>62.54</v>
      </c>
    </row>
    <row r="720" spans="2:7" x14ac:dyDescent="0.2">
      <c r="B720" s="116" t="s">
        <v>1364</v>
      </c>
      <c r="C720" s="117" t="s">
        <v>1365</v>
      </c>
      <c r="D720" s="118">
        <v>1.1100000000000001</v>
      </c>
      <c r="E720" s="118">
        <v>4.97</v>
      </c>
      <c r="F720" s="118">
        <v>5.4</v>
      </c>
      <c r="G720" s="118">
        <v>84.373999999999995</v>
      </c>
    </row>
    <row r="721" spans="2:7" x14ac:dyDescent="0.2">
      <c r="B721" s="116" t="s">
        <v>1366</v>
      </c>
      <c r="C721" s="117" t="s">
        <v>1367</v>
      </c>
      <c r="D721" s="118">
        <v>0.88</v>
      </c>
      <c r="E721" s="118">
        <v>0.9</v>
      </c>
      <c r="F721" s="118">
        <v>0.82</v>
      </c>
      <c r="G721" s="118">
        <v>43.296999999999997</v>
      </c>
    </row>
    <row r="722" spans="2:7" x14ac:dyDescent="0.2">
      <c r="B722" s="116" t="s">
        <v>1368</v>
      </c>
      <c r="C722" s="117" t="s">
        <v>1369</v>
      </c>
      <c r="D722" s="118">
        <v>1.57</v>
      </c>
      <c r="E722" s="118">
        <v>1.98</v>
      </c>
      <c r="F722" s="118">
        <v>1.08</v>
      </c>
      <c r="G722" s="118">
        <v>51.834989999999998</v>
      </c>
    </row>
    <row r="723" spans="2:7" x14ac:dyDescent="0.2">
      <c r="B723" s="116" t="s">
        <v>1370</v>
      </c>
      <c r="C723" s="117" t="s">
        <v>1371</v>
      </c>
      <c r="D723" s="118">
        <v>6.96</v>
      </c>
      <c r="E723" s="118">
        <v>6.41</v>
      </c>
      <c r="F723" s="118">
        <v>1.27</v>
      </c>
      <c r="G723" s="118">
        <v>55.902000000000001</v>
      </c>
    </row>
    <row r="724" spans="2:7" x14ac:dyDescent="0.2">
      <c r="B724" s="116" t="s">
        <v>1372</v>
      </c>
      <c r="C724" s="117" t="s">
        <v>1373</v>
      </c>
      <c r="D724" s="118">
        <v>1.27</v>
      </c>
      <c r="E724" s="118">
        <v>1.45</v>
      </c>
      <c r="F724" s="118">
        <v>0.24</v>
      </c>
      <c r="G724" s="118">
        <v>19.204989999999999</v>
      </c>
    </row>
    <row r="725" spans="2:7" x14ac:dyDescent="0.2">
      <c r="B725" s="116" t="s">
        <v>1374</v>
      </c>
      <c r="C725" s="117" t="s">
        <v>1375</v>
      </c>
      <c r="D725" s="118">
        <v>1.63</v>
      </c>
      <c r="E725" s="118">
        <v>1.99</v>
      </c>
      <c r="F725" s="118">
        <v>1.1399999999999999</v>
      </c>
      <c r="G725" s="118">
        <v>53.351999999999997</v>
      </c>
    </row>
    <row r="726" spans="2:7" x14ac:dyDescent="0.2">
      <c r="B726" s="116" t="s">
        <v>1376</v>
      </c>
      <c r="C726" s="117" t="s">
        <v>1377</v>
      </c>
      <c r="D726" s="118">
        <v>0.71</v>
      </c>
      <c r="E726" s="118">
        <v>1.26</v>
      </c>
      <c r="F726" s="118">
        <v>1.17</v>
      </c>
      <c r="G726" s="118">
        <v>53.951000000000001</v>
      </c>
    </row>
    <row r="727" spans="2:7" x14ac:dyDescent="0.2">
      <c r="B727" s="116" t="s">
        <v>1378</v>
      </c>
      <c r="C727" s="117" t="s">
        <v>1379</v>
      </c>
      <c r="D727" s="118">
        <v>2.98</v>
      </c>
      <c r="E727" s="118">
        <v>2.4700000000000002</v>
      </c>
      <c r="F727" s="118">
        <v>0.34</v>
      </c>
      <c r="G727" s="118">
        <v>25.513000000000002</v>
      </c>
    </row>
    <row r="728" spans="2:7" x14ac:dyDescent="0.2">
      <c r="B728" s="116" t="s">
        <v>1381</v>
      </c>
      <c r="C728" s="117" t="s">
        <v>1382</v>
      </c>
      <c r="D728" s="118">
        <v>1.05</v>
      </c>
      <c r="E728" s="118">
        <v>1.1499999999999999</v>
      </c>
      <c r="F728" s="118">
        <v>0.96</v>
      </c>
      <c r="G728" s="118">
        <v>48.86</v>
      </c>
    </row>
    <row r="729" spans="2:7" x14ac:dyDescent="0.2">
      <c r="B729" s="116" t="s">
        <v>1383</v>
      </c>
      <c r="C729" s="117" t="s">
        <v>1384</v>
      </c>
      <c r="D729" s="118">
        <v>1.62</v>
      </c>
      <c r="E729" s="118">
        <v>2.2799999999999998</v>
      </c>
      <c r="F729" s="118">
        <v>0.88</v>
      </c>
      <c r="G729" s="118">
        <v>46.81</v>
      </c>
    </row>
    <row r="730" spans="2:7" x14ac:dyDescent="0.2">
      <c r="B730" s="116" t="s">
        <v>1385</v>
      </c>
      <c r="C730" s="117" t="s">
        <v>1386</v>
      </c>
      <c r="D730" s="118">
        <v>0.86</v>
      </c>
      <c r="E730" s="118">
        <v>0.92</v>
      </c>
      <c r="F730" s="118">
        <v>0.7</v>
      </c>
      <c r="G730" s="118">
        <v>41.049990000000001</v>
      </c>
    </row>
    <row r="731" spans="2:7" x14ac:dyDescent="0.2">
      <c r="B731" s="116" t="s">
        <v>1387</v>
      </c>
      <c r="C731" s="117" t="s">
        <v>1388</v>
      </c>
      <c r="D731" s="118">
        <v>0.98</v>
      </c>
      <c r="E731" s="118">
        <v>1.27</v>
      </c>
      <c r="F731" s="118">
        <v>0.77</v>
      </c>
      <c r="G731" s="118">
        <v>43.414000000000001</v>
      </c>
    </row>
    <row r="732" spans="2:7" x14ac:dyDescent="0.2">
      <c r="B732" s="116" t="s">
        <v>1389</v>
      </c>
      <c r="C732" s="117" t="s">
        <v>1390</v>
      </c>
      <c r="D732" s="118">
        <v>1.02</v>
      </c>
      <c r="E732" s="118">
        <v>0.99</v>
      </c>
      <c r="F732" s="118">
        <v>0.77</v>
      </c>
      <c r="G732" s="118">
        <v>43.478999999999999</v>
      </c>
    </row>
    <row r="733" spans="2:7" x14ac:dyDescent="0.2">
      <c r="B733" s="116" t="s">
        <v>1391</v>
      </c>
      <c r="C733" s="117" t="s">
        <v>1392</v>
      </c>
      <c r="D733" s="118">
        <v>1.4</v>
      </c>
      <c r="E733" s="118">
        <v>1.4</v>
      </c>
      <c r="F733" s="118">
        <v>0.43</v>
      </c>
      <c r="G733" s="118">
        <v>30.097989999999999</v>
      </c>
    </row>
    <row r="734" spans="2:7" x14ac:dyDescent="0.2">
      <c r="B734" s="116" t="s">
        <v>1393</v>
      </c>
      <c r="C734" s="117" t="s">
        <v>1394</v>
      </c>
      <c r="D734" s="118">
        <v>0.81</v>
      </c>
      <c r="E734" s="118">
        <v>0.84</v>
      </c>
      <c r="F734" s="118">
        <v>0.28999999999999998</v>
      </c>
      <c r="G734" s="118">
        <v>21.966989999999999</v>
      </c>
    </row>
    <row r="735" spans="2:7" x14ac:dyDescent="0.2">
      <c r="B735" s="116" t="s">
        <v>1395</v>
      </c>
      <c r="C735" s="117" t="s">
        <v>1396</v>
      </c>
      <c r="D735" s="118">
        <v>0.22</v>
      </c>
      <c r="E735" s="118">
        <v>1.33</v>
      </c>
      <c r="F735" s="118">
        <v>1.32</v>
      </c>
      <c r="G735" s="118">
        <v>56.965000000000003</v>
      </c>
    </row>
    <row r="736" spans="2:7" x14ac:dyDescent="0.2">
      <c r="B736" s="116" t="s">
        <v>1398</v>
      </c>
      <c r="C736" s="117" t="s">
        <v>1399</v>
      </c>
      <c r="D736" s="118">
        <v>0.84</v>
      </c>
      <c r="E736" s="118">
        <v>0.95</v>
      </c>
      <c r="F736" s="118">
        <v>0.17</v>
      </c>
      <c r="G736" s="118">
        <v>19.27</v>
      </c>
    </row>
    <row r="737" spans="2:7" x14ac:dyDescent="0.2">
      <c r="B737" s="116" t="s">
        <v>1400</v>
      </c>
      <c r="C737" s="117" t="s">
        <v>1401</v>
      </c>
      <c r="D737" s="118"/>
      <c r="E737" s="118"/>
      <c r="F737" s="118"/>
      <c r="G737" s="118"/>
    </row>
    <row r="738" spans="2:7" x14ac:dyDescent="0.2">
      <c r="B738" s="116" t="s">
        <v>3848</v>
      </c>
      <c r="C738" s="117" t="s">
        <v>3849</v>
      </c>
      <c r="D738" s="118">
        <v>0.99</v>
      </c>
      <c r="E738" s="118">
        <v>0.99</v>
      </c>
      <c r="F738" s="118">
        <v>0</v>
      </c>
      <c r="G738" s="118">
        <v>0</v>
      </c>
    </row>
    <row r="739" spans="2:7" x14ac:dyDescent="0.2">
      <c r="B739" s="116" t="s">
        <v>1402</v>
      </c>
      <c r="C739" s="117" t="s">
        <v>1403</v>
      </c>
      <c r="D739" s="118">
        <v>7.14</v>
      </c>
      <c r="E739" s="118">
        <v>2.67</v>
      </c>
      <c r="F739" s="118">
        <v>0.06</v>
      </c>
      <c r="G739" s="118">
        <v>5.4183000000000003</v>
      </c>
    </row>
    <row r="740" spans="2:7" x14ac:dyDescent="0.2">
      <c r="B740" s="116" t="s">
        <v>1404</v>
      </c>
      <c r="C740" s="117" t="s">
        <v>3850</v>
      </c>
      <c r="D740" s="118">
        <v>3.12</v>
      </c>
      <c r="E740" s="118">
        <v>3.78</v>
      </c>
      <c r="F740" s="118">
        <v>0.68</v>
      </c>
      <c r="G740" s="118">
        <v>41.069989999999997</v>
      </c>
    </row>
    <row r="741" spans="2:7" x14ac:dyDescent="0.2">
      <c r="B741" s="116" t="s">
        <v>1404</v>
      </c>
      <c r="C741" s="117" t="s">
        <v>1405</v>
      </c>
      <c r="D741" s="118">
        <v>3.12</v>
      </c>
      <c r="E741" s="118">
        <v>3.78</v>
      </c>
      <c r="F741" s="118">
        <v>0.68</v>
      </c>
      <c r="G741" s="118">
        <v>41.069989999999997</v>
      </c>
    </row>
    <row r="742" spans="2:7" x14ac:dyDescent="0.2">
      <c r="B742" s="116" t="s">
        <v>3851</v>
      </c>
      <c r="C742" s="117" t="s">
        <v>3852</v>
      </c>
      <c r="D742" s="118">
        <v>1.26</v>
      </c>
      <c r="E742" s="118">
        <v>1.99</v>
      </c>
      <c r="F742" s="118"/>
      <c r="G742" s="118">
        <v>39.875990000000002</v>
      </c>
    </row>
    <row r="743" spans="2:7" x14ac:dyDescent="0.2">
      <c r="B743" s="116" t="s">
        <v>1406</v>
      </c>
      <c r="C743" s="117" t="s">
        <v>1407</v>
      </c>
      <c r="D743" s="118">
        <v>1.18</v>
      </c>
      <c r="E743" s="118">
        <v>0.88</v>
      </c>
      <c r="F743" s="118">
        <v>0.83</v>
      </c>
      <c r="G743" s="118">
        <v>45.206000000000003</v>
      </c>
    </row>
    <row r="744" spans="2:7" x14ac:dyDescent="0.2">
      <c r="B744" s="116" t="s">
        <v>1408</v>
      </c>
      <c r="C744" s="117" t="s">
        <v>1409</v>
      </c>
      <c r="D744" s="118">
        <v>0.99</v>
      </c>
      <c r="E744" s="118">
        <v>1.01</v>
      </c>
      <c r="F744" s="118">
        <v>1.34</v>
      </c>
      <c r="G744" s="118">
        <v>54.570990000000002</v>
      </c>
    </row>
    <row r="745" spans="2:7" x14ac:dyDescent="0.2">
      <c r="B745" s="116" t="s">
        <v>3853</v>
      </c>
      <c r="C745" s="117" t="s">
        <v>3854</v>
      </c>
      <c r="D745" s="118">
        <v>5.51</v>
      </c>
      <c r="E745" s="118">
        <v>5.85</v>
      </c>
      <c r="F745" s="118">
        <v>0.49</v>
      </c>
      <c r="G745" s="118">
        <v>31.20599</v>
      </c>
    </row>
    <row r="746" spans="2:7" x14ac:dyDescent="0.2">
      <c r="B746" s="116" t="s">
        <v>3855</v>
      </c>
      <c r="C746" s="117" t="s">
        <v>3856</v>
      </c>
      <c r="D746" s="118">
        <v>1.39</v>
      </c>
      <c r="E746" s="118">
        <v>1.36</v>
      </c>
      <c r="F746" s="118"/>
      <c r="G746" s="118">
        <v>52.195990000000002</v>
      </c>
    </row>
    <row r="747" spans="2:7" x14ac:dyDescent="0.2">
      <c r="B747" s="116" t="s">
        <v>1410</v>
      </c>
      <c r="C747" s="117" t="s">
        <v>1411</v>
      </c>
      <c r="D747" s="118">
        <v>1.33</v>
      </c>
      <c r="E747" s="118">
        <v>1.55</v>
      </c>
      <c r="F747" s="118">
        <v>1.41</v>
      </c>
      <c r="G747" s="118">
        <v>57.801990000000004</v>
      </c>
    </row>
    <row r="748" spans="2:7" x14ac:dyDescent="0.2">
      <c r="B748" s="116" t="s">
        <v>3857</v>
      </c>
      <c r="C748" s="117" t="s">
        <v>3858</v>
      </c>
      <c r="D748" s="118">
        <v>2.13</v>
      </c>
      <c r="E748" s="118">
        <v>2.25</v>
      </c>
      <c r="F748" s="118">
        <v>0.84</v>
      </c>
      <c r="G748" s="118">
        <v>45.643000000000001</v>
      </c>
    </row>
    <row r="749" spans="2:7" x14ac:dyDescent="0.2">
      <c r="B749" s="116" t="s">
        <v>1412</v>
      </c>
      <c r="C749" s="117" t="s">
        <v>1413</v>
      </c>
      <c r="D749" s="118">
        <v>4.1100000000000003</v>
      </c>
      <c r="E749" s="118">
        <v>4.05</v>
      </c>
      <c r="F749" s="118">
        <v>0.09</v>
      </c>
      <c r="G749" s="118">
        <v>8.1060999999999996</v>
      </c>
    </row>
    <row r="750" spans="2:7" x14ac:dyDescent="0.2">
      <c r="B750" s="116" t="s">
        <v>3859</v>
      </c>
      <c r="C750" s="117" t="s">
        <v>3860</v>
      </c>
      <c r="D750" s="118">
        <v>0.87</v>
      </c>
      <c r="E750" s="118">
        <v>1.0900000000000001</v>
      </c>
      <c r="F750" s="118"/>
      <c r="G750" s="118">
        <v>44.793990000000001</v>
      </c>
    </row>
    <row r="751" spans="2:7" x14ac:dyDescent="0.2">
      <c r="B751" s="116" t="s">
        <v>1414</v>
      </c>
      <c r="C751" s="117" t="s">
        <v>1415</v>
      </c>
      <c r="D751" s="118"/>
      <c r="E751" s="118"/>
      <c r="F751" s="118"/>
      <c r="G751" s="118"/>
    </row>
    <row r="752" spans="2:7" x14ac:dyDescent="0.2">
      <c r="B752" s="116" t="s">
        <v>1417</v>
      </c>
      <c r="C752" s="117" t="s">
        <v>1418</v>
      </c>
      <c r="D752" s="118">
        <v>1.45</v>
      </c>
      <c r="E752" s="118">
        <v>1.46</v>
      </c>
      <c r="F752" s="118">
        <v>4.32</v>
      </c>
      <c r="G752" s="118">
        <v>83.44699</v>
      </c>
    </row>
    <row r="753" spans="2:7" x14ac:dyDescent="0.2">
      <c r="B753" s="116" t="s">
        <v>1419</v>
      </c>
      <c r="C753" s="117" t="s">
        <v>1420</v>
      </c>
      <c r="D753" s="118">
        <v>0.96</v>
      </c>
      <c r="E753" s="118">
        <v>1.1299999999999999</v>
      </c>
      <c r="F753" s="118">
        <v>-3.58</v>
      </c>
      <c r="G753" s="118"/>
    </row>
    <row r="754" spans="2:7" x14ac:dyDescent="0.2">
      <c r="B754" s="116" t="s">
        <v>1421</v>
      </c>
      <c r="C754" s="117" t="s">
        <v>1422</v>
      </c>
      <c r="D754" s="118">
        <v>1.1499999999999999</v>
      </c>
      <c r="E754" s="118">
        <v>1.18</v>
      </c>
      <c r="F754" s="118">
        <v>0.43</v>
      </c>
      <c r="G754" s="118">
        <v>30.309000000000001</v>
      </c>
    </row>
    <row r="755" spans="2:7" x14ac:dyDescent="0.2">
      <c r="B755" s="116" t="s">
        <v>1423</v>
      </c>
      <c r="C755" s="117" t="s">
        <v>1424</v>
      </c>
      <c r="D755" s="118">
        <v>1.7</v>
      </c>
      <c r="E755" s="118">
        <v>1.82</v>
      </c>
      <c r="F755" s="118">
        <v>0</v>
      </c>
      <c r="G755" s="118">
        <v>0</v>
      </c>
    </row>
    <row r="756" spans="2:7" x14ac:dyDescent="0.2">
      <c r="B756" s="116" t="s">
        <v>1425</v>
      </c>
      <c r="C756" s="117" t="s">
        <v>1426</v>
      </c>
      <c r="D756" s="118">
        <v>0.67</v>
      </c>
      <c r="E756" s="118">
        <v>0.62</v>
      </c>
      <c r="F756" s="118">
        <v>1.31</v>
      </c>
      <c r="G756" s="118">
        <v>54.527990000000003</v>
      </c>
    </row>
    <row r="757" spans="2:7" x14ac:dyDescent="0.2">
      <c r="B757" s="116" t="s">
        <v>1427</v>
      </c>
      <c r="C757" s="117" t="s">
        <v>1428</v>
      </c>
      <c r="D757" s="118">
        <v>1.18</v>
      </c>
      <c r="E757" s="118">
        <v>1.23</v>
      </c>
      <c r="F757" s="118">
        <v>0.76</v>
      </c>
      <c r="G757" s="118">
        <v>43.228000000000002</v>
      </c>
    </row>
    <row r="758" spans="2:7" x14ac:dyDescent="0.2">
      <c r="B758" s="116" t="s">
        <v>1429</v>
      </c>
      <c r="C758" s="117" t="s">
        <v>1430</v>
      </c>
      <c r="D758" s="118">
        <v>1.42</v>
      </c>
      <c r="E758" s="118">
        <v>1.78</v>
      </c>
      <c r="F758" s="118">
        <v>0.06</v>
      </c>
      <c r="G758" s="118">
        <v>5.2754899999999996</v>
      </c>
    </row>
    <row r="759" spans="2:7" x14ac:dyDescent="0.2">
      <c r="B759" s="116" t="s">
        <v>1431</v>
      </c>
      <c r="C759" s="117" t="s">
        <v>1432</v>
      </c>
      <c r="D759" s="118">
        <v>1.93</v>
      </c>
      <c r="E759" s="118">
        <v>2.4500000000000002</v>
      </c>
      <c r="F759" s="118">
        <v>0.16</v>
      </c>
      <c r="G759" s="118">
        <v>13.667999999999999</v>
      </c>
    </row>
    <row r="760" spans="2:7" x14ac:dyDescent="0.2">
      <c r="B760" s="116" t="s">
        <v>1434</v>
      </c>
      <c r="C760" s="117" t="s">
        <v>1435</v>
      </c>
      <c r="D760" s="118">
        <v>0.72</v>
      </c>
      <c r="E760" s="118">
        <v>1.39</v>
      </c>
      <c r="F760" s="118">
        <v>-21.46</v>
      </c>
      <c r="G760" s="118">
        <v>98.081999999999994</v>
      </c>
    </row>
    <row r="761" spans="2:7" x14ac:dyDescent="0.2">
      <c r="B761" s="116" t="s">
        <v>3861</v>
      </c>
      <c r="C761" s="117" t="s">
        <v>3862</v>
      </c>
      <c r="D761" s="118"/>
      <c r="E761" s="118"/>
      <c r="F761" s="118"/>
      <c r="G761" s="118"/>
    </row>
    <row r="762" spans="2:7" x14ac:dyDescent="0.2">
      <c r="B762" s="116" t="s">
        <v>1436</v>
      </c>
      <c r="C762" s="117" t="s">
        <v>3863</v>
      </c>
      <c r="D762" s="118">
        <v>0.33</v>
      </c>
      <c r="E762" s="118">
        <v>0.49</v>
      </c>
      <c r="F762" s="118">
        <v>0.64</v>
      </c>
      <c r="G762" s="118">
        <v>39.062989999999999</v>
      </c>
    </row>
    <row r="763" spans="2:7" x14ac:dyDescent="0.2">
      <c r="B763" s="116" t="s">
        <v>3864</v>
      </c>
      <c r="C763" s="117" t="s">
        <v>3865</v>
      </c>
      <c r="D763" s="118">
        <v>0.33</v>
      </c>
      <c r="E763" s="118">
        <v>0.49</v>
      </c>
      <c r="F763" s="118">
        <v>0.64</v>
      </c>
      <c r="G763" s="118">
        <v>39.062989999999999</v>
      </c>
    </row>
    <row r="764" spans="2:7" x14ac:dyDescent="0.2">
      <c r="B764" s="116" t="s">
        <v>1436</v>
      </c>
      <c r="C764" s="117" t="s">
        <v>1437</v>
      </c>
      <c r="D764" s="118">
        <v>0.33</v>
      </c>
      <c r="E764" s="118">
        <v>0.49</v>
      </c>
      <c r="F764" s="118">
        <v>0.64</v>
      </c>
      <c r="G764" s="118">
        <v>39.062989999999999</v>
      </c>
    </row>
    <row r="765" spans="2:7" x14ac:dyDescent="0.2">
      <c r="B765" s="116" t="s">
        <v>3866</v>
      </c>
      <c r="C765" s="117" t="s">
        <v>3867</v>
      </c>
      <c r="D765" s="118"/>
      <c r="E765" s="118"/>
      <c r="F765" s="118"/>
      <c r="G765" s="118"/>
    </row>
    <row r="766" spans="2:7" x14ac:dyDescent="0.2">
      <c r="B766" s="116" t="s">
        <v>1438</v>
      </c>
      <c r="C766" s="117" t="s">
        <v>1439</v>
      </c>
      <c r="D766" s="118">
        <v>1.39</v>
      </c>
      <c r="E766" s="118">
        <v>1.46</v>
      </c>
      <c r="F766" s="118">
        <v>0.78</v>
      </c>
      <c r="G766" s="118">
        <v>43.901000000000003</v>
      </c>
    </row>
    <row r="767" spans="2:7" x14ac:dyDescent="0.2">
      <c r="B767" s="116" t="s">
        <v>1440</v>
      </c>
      <c r="C767" s="117" t="s">
        <v>1441</v>
      </c>
      <c r="D767" s="118">
        <v>0.85</v>
      </c>
      <c r="E767" s="118">
        <v>0.87</v>
      </c>
      <c r="F767" s="118">
        <v>0.28000000000000003</v>
      </c>
      <c r="G767" s="118">
        <v>21.954989999999999</v>
      </c>
    </row>
    <row r="768" spans="2:7" x14ac:dyDescent="0.2">
      <c r="B768" s="116" t="s">
        <v>3868</v>
      </c>
      <c r="C768" s="117" t="s">
        <v>3869</v>
      </c>
      <c r="D768" s="118">
        <v>1.02</v>
      </c>
      <c r="E768" s="118">
        <v>0.82</v>
      </c>
      <c r="F768" s="118"/>
      <c r="G768" s="118">
        <v>19.764990000000001</v>
      </c>
    </row>
    <row r="769" spans="2:7" x14ac:dyDescent="0.2">
      <c r="B769" s="116" t="s">
        <v>1442</v>
      </c>
      <c r="C769" s="117" t="s">
        <v>1443</v>
      </c>
      <c r="D769" s="118">
        <v>14.38</v>
      </c>
      <c r="E769" s="118">
        <v>16.79</v>
      </c>
      <c r="F769" s="118">
        <v>0.03</v>
      </c>
      <c r="G769" s="118">
        <v>3.3022</v>
      </c>
    </row>
    <row r="770" spans="2:7" x14ac:dyDescent="0.2">
      <c r="B770" s="116" t="s">
        <v>3870</v>
      </c>
      <c r="C770" s="117" t="s">
        <v>3871</v>
      </c>
      <c r="D770" s="118"/>
      <c r="E770" s="118"/>
      <c r="F770" s="118"/>
      <c r="G770" s="118"/>
    </row>
    <row r="771" spans="2:7" x14ac:dyDescent="0.2">
      <c r="B771" s="116" t="s">
        <v>1444</v>
      </c>
      <c r="C771" s="117" t="s">
        <v>1445</v>
      </c>
      <c r="D771" s="118">
        <v>0.83</v>
      </c>
      <c r="E771" s="118">
        <v>1.0900000000000001</v>
      </c>
      <c r="F771" s="118">
        <v>0.7</v>
      </c>
      <c r="G771" s="118">
        <v>41.07199</v>
      </c>
    </row>
    <row r="772" spans="2:7" x14ac:dyDescent="0.2">
      <c r="B772" s="116" t="s">
        <v>1446</v>
      </c>
      <c r="C772" s="117" t="s">
        <v>1447</v>
      </c>
      <c r="D772" s="118">
        <v>0.76</v>
      </c>
      <c r="E772" s="118">
        <v>0.85</v>
      </c>
      <c r="F772" s="118">
        <v>2.64</v>
      </c>
      <c r="G772" s="118">
        <v>72.498000000000005</v>
      </c>
    </row>
    <row r="773" spans="2:7" x14ac:dyDescent="0.2">
      <c r="B773" s="116" t="s">
        <v>1449</v>
      </c>
      <c r="C773" s="117" t="s">
        <v>1450</v>
      </c>
      <c r="D773" s="118">
        <v>1.35</v>
      </c>
      <c r="E773" s="118">
        <v>2.48</v>
      </c>
      <c r="F773" s="118">
        <v>0.91</v>
      </c>
      <c r="G773" s="118">
        <v>47.626989999999999</v>
      </c>
    </row>
    <row r="774" spans="2:7" x14ac:dyDescent="0.2">
      <c r="B774" s="116" t="s">
        <v>1451</v>
      </c>
      <c r="C774" s="117" t="s">
        <v>1452</v>
      </c>
      <c r="D774" s="118">
        <v>0.87</v>
      </c>
      <c r="E774" s="118">
        <v>2.0099999999999998</v>
      </c>
      <c r="F774" s="118">
        <v>1.56</v>
      </c>
      <c r="G774" s="118">
        <v>58.097990000000003</v>
      </c>
    </row>
    <row r="775" spans="2:7" x14ac:dyDescent="0.2">
      <c r="B775" s="116" t="s">
        <v>1453</v>
      </c>
      <c r="C775" s="117" t="s">
        <v>1454</v>
      </c>
      <c r="D775" s="118">
        <v>1.52</v>
      </c>
      <c r="E775" s="118">
        <v>1.73</v>
      </c>
      <c r="F775" s="118">
        <v>1.65</v>
      </c>
      <c r="G775" s="118">
        <v>62.313989999999997</v>
      </c>
    </row>
    <row r="776" spans="2:7" x14ac:dyDescent="0.2">
      <c r="B776" s="116" t="s">
        <v>1455</v>
      </c>
      <c r="C776" s="117" t="s">
        <v>1456</v>
      </c>
      <c r="D776" s="118">
        <v>0.99</v>
      </c>
      <c r="E776" s="118">
        <v>1.32</v>
      </c>
      <c r="F776" s="118"/>
      <c r="G776" s="118">
        <v>13.35</v>
      </c>
    </row>
    <row r="777" spans="2:7" x14ac:dyDescent="0.2">
      <c r="B777" s="116" t="s">
        <v>1457</v>
      </c>
      <c r="C777" s="117" t="s">
        <v>1458</v>
      </c>
      <c r="D777" s="118"/>
      <c r="E777" s="118"/>
      <c r="F777" s="118"/>
      <c r="G777" s="118"/>
    </row>
    <row r="778" spans="2:7" x14ac:dyDescent="0.2">
      <c r="B778" s="116" t="s">
        <v>1459</v>
      </c>
      <c r="C778" s="117" t="s">
        <v>1460</v>
      </c>
      <c r="D778" s="118">
        <v>0.88</v>
      </c>
      <c r="E778" s="118">
        <v>0.98</v>
      </c>
      <c r="F778" s="118"/>
      <c r="G778" s="118">
        <v>4.3182</v>
      </c>
    </row>
    <row r="779" spans="2:7" x14ac:dyDescent="0.2">
      <c r="B779" s="116" t="s">
        <v>3872</v>
      </c>
      <c r="C779" s="117" t="s">
        <v>3873</v>
      </c>
      <c r="D779" s="118">
        <v>1.62</v>
      </c>
      <c r="E779" s="118">
        <v>1.66</v>
      </c>
      <c r="F779" s="118"/>
      <c r="G779" s="118">
        <v>0</v>
      </c>
    </row>
    <row r="780" spans="2:7" x14ac:dyDescent="0.2">
      <c r="B780" s="116" t="s">
        <v>1461</v>
      </c>
      <c r="C780" s="117" t="s">
        <v>1462</v>
      </c>
      <c r="D780" s="118">
        <v>0.9</v>
      </c>
      <c r="E780" s="118">
        <v>1.61</v>
      </c>
      <c r="F780" s="118">
        <v>0.81</v>
      </c>
      <c r="G780" s="118">
        <v>44.735999999999997</v>
      </c>
    </row>
    <row r="781" spans="2:7" x14ac:dyDescent="0.2">
      <c r="B781" s="116" t="s">
        <v>1463</v>
      </c>
      <c r="C781" s="117" t="s">
        <v>1464</v>
      </c>
      <c r="D781" s="118">
        <v>1.1200000000000001</v>
      </c>
      <c r="E781" s="118">
        <v>1.17</v>
      </c>
      <c r="F781" s="118"/>
      <c r="G781" s="118">
        <v>70.170990000000003</v>
      </c>
    </row>
    <row r="782" spans="2:7" x14ac:dyDescent="0.2">
      <c r="B782" s="116" t="s">
        <v>1465</v>
      </c>
      <c r="C782" s="117" t="s">
        <v>1466</v>
      </c>
      <c r="D782" s="118">
        <v>0.98</v>
      </c>
      <c r="E782" s="118">
        <v>2.19</v>
      </c>
      <c r="F782" s="118">
        <v>0.5</v>
      </c>
      <c r="G782" s="118">
        <v>33.389989999999997</v>
      </c>
    </row>
    <row r="783" spans="2:7" x14ac:dyDescent="0.2">
      <c r="B783" s="116" t="s">
        <v>1468</v>
      </c>
      <c r="C783" s="117" t="s">
        <v>1469</v>
      </c>
      <c r="D783" s="118">
        <v>1.47</v>
      </c>
      <c r="E783" s="118">
        <v>2.2200000000000002</v>
      </c>
      <c r="F783" s="118">
        <v>0.19</v>
      </c>
      <c r="G783" s="118">
        <v>16.20599</v>
      </c>
    </row>
    <row r="784" spans="2:7" x14ac:dyDescent="0.2">
      <c r="B784" s="116" t="s">
        <v>1470</v>
      </c>
      <c r="C784" s="117" t="s">
        <v>1471</v>
      </c>
      <c r="D784" s="118">
        <v>9.8000000000000007</v>
      </c>
      <c r="E784" s="118">
        <v>10.59</v>
      </c>
      <c r="F784" s="118">
        <v>0</v>
      </c>
      <c r="G784" s="118">
        <v>9.7999999999999997E-3</v>
      </c>
    </row>
    <row r="785" spans="2:7" x14ac:dyDescent="0.2">
      <c r="B785" s="116" t="s">
        <v>3874</v>
      </c>
      <c r="C785" s="117" t="s">
        <v>3875</v>
      </c>
      <c r="D785" s="118">
        <v>1.8</v>
      </c>
      <c r="E785" s="118">
        <v>1.82</v>
      </c>
      <c r="F785" s="118">
        <v>0.27</v>
      </c>
      <c r="G785" s="118">
        <v>21.34</v>
      </c>
    </row>
    <row r="786" spans="2:7" x14ac:dyDescent="0.2">
      <c r="B786" s="116" t="s">
        <v>1472</v>
      </c>
      <c r="C786" s="117" t="s">
        <v>1473</v>
      </c>
      <c r="D786" s="118">
        <v>0.69</v>
      </c>
      <c r="E786" s="118">
        <v>1.0900000000000001</v>
      </c>
      <c r="F786" s="118">
        <v>0.35</v>
      </c>
      <c r="G786" s="118">
        <v>26.186</v>
      </c>
    </row>
    <row r="787" spans="2:7" x14ac:dyDescent="0.2">
      <c r="B787" s="116" t="s">
        <v>1474</v>
      </c>
      <c r="C787" s="117" t="s">
        <v>1475</v>
      </c>
      <c r="D787" s="118">
        <v>1.28</v>
      </c>
      <c r="E787" s="118">
        <v>4.33</v>
      </c>
      <c r="F787" s="118">
        <v>0.55000000000000004</v>
      </c>
      <c r="G787" s="118">
        <v>35.305990000000001</v>
      </c>
    </row>
    <row r="788" spans="2:7" x14ac:dyDescent="0.2">
      <c r="B788" s="116" t="s">
        <v>1476</v>
      </c>
      <c r="C788" s="117" t="s">
        <v>1477</v>
      </c>
      <c r="D788" s="118">
        <v>3.3</v>
      </c>
      <c r="E788" s="118">
        <v>3.76</v>
      </c>
      <c r="F788" s="118">
        <v>1.1299999999999999</v>
      </c>
      <c r="G788" s="118">
        <v>53.005000000000003</v>
      </c>
    </row>
    <row r="789" spans="2:7" x14ac:dyDescent="0.2">
      <c r="B789" s="116" t="s">
        <v>1478</v>
      </c>
      <c r="C789" s="117" t="s">
        <v>1479</v>
      </c>
      <c r="D789" s="118">
        <v>0.37</v>
      </c>
      <c r="E789" s="118">
        <v>0.62</v>
      </c>
      <c r="F789" s="118">
        <v>1.51</v>
      </c>
      <c r="G789" s="118">
        <v>60.158000000000001</v>
      </c>
    </row>
    <row r="790" spans="2:7" x14ac:dyDescent="0.2">
      <c r="B790" s="116" t="s">
        <v>1480</v>
      </c>
      <c r="C790" s="117" t="s">
        <v>1481</v>
      </c>
      <c r="D790" s="118">
        <v>0.56999999999999995</v>
      </c>
      <c r="E790" s="118">
        <v>0.66</v>
      </c>
      <c r="F790" s="118"/>
      <c r="G790" s="118">
        <v>49.453989999999997</v>
      </c>
    </row>
    <row r="791" spans="2:7" x14ac:dyDescent="0.2">
      <c r="B791" s="116" t="s">
        <v>1482</v>
      </c>
      <c r="C791" s="117" t="s">
        <v>1483</v>
      </c>
      <c r="D791" s="118">
        <v>0.06</v>
      </c>
      <c r="E791" s="118">
        <v>0.06</v>
      </c>
      <c r="F791" s="118">
        <v>0.2</v>
      </c>
      <c r="G791" s="118">
        <v>16.803999999999998</v>
      </c>
    </row>
    <row r="792" spans="2:7" x14ac:dyDescent="0.2">
      <c r="B792" s="116" t="s">
        <v>1484</v>
      </c>
      <c r="C792" s="117" t="s">
        <v>1485</v>
      </c>
      <c r="D792" s="118">
        <v>1.1299999999999999</v>
      </c>
      <c r="E792" s="118">
        <v>1.87</v>
      </c>
      <c r="F792" s="118"/>
      <c r="G792" s="118">
        <v>0</v>
      </c>
    </row>
    <row r="793" spans="2:7" x14ac:dyDescent="0.2">
      <c r="B793" s="116" t="s">
        <v>3876</v>
      </c>
      <c r="C793" s="117" t="s">
        <v>3877</v>
      </c>
      <c r="D793" s="118"/>
      <c r="E793" s="118"/>
      <c r="F793" s="118"/>
      <c r="G793" s="118"/>
    </row>
    <row r="794" spans="2:7" x14ac:dyDescent="0.2">
      <c r="B794" s="116" t="s">
        <v>1487</v>
      </c>
      <c r="C794" s="117" t="s">
        <v>1488</v>
      </c>
      <c r="D794" s="118">
        <v>0.69</v>
      </c>
      <c r="E794" s="118">
        <v>0.59</v>
      </c>
      <c r="F794" s="118">
        <v>0.4</v>
      </c>
      <c r="G794" s="118">
        <v>30.250990000000002</v>
      </c>
    </row>
    <row r="795" spans="2:7" x14ac:dyDescent="0.2">
      <c r="B795" s="116" t="s">
        <v>1489</v>
      </c>
      <c r="C795" s="117" t="s">
        <v>1490</v>
      </c>
      <c r="D795" s="118">
        <v>0.59</v>
      </c>
      <c r="E795" s="118">
        <v>1.1000000000000001</v>
      </c>
      <c r="F795" s="118"/>
      <c r="G795" s="118">
        <v>37.261000000000003</v>
      </c>
    </row>
    <row r="796" spans="2:7" x14ac:dyDescent="0.2">
      <c r="B796" s="116" t="s">
        <v>1491</v>
      </c>
      <c r="C796" s="117" t="s">
        <v>1492</v>
      </c>
      <c r="D796" s="118">
        <v>2.29</v>
      </c>
      <c r="E796" s="118">
        <v>2.2599999999999998</v>
      </c>
      <c r="F796" s="118">
        <v>0.14000000000000001</v>
      </c>
      <c r="G796" s="118">
        <v>12.10599</v>
      </c>
    </row>
    <row r="797" spans="2:7" x14ac:dyDescent="0.2">
      <c r="B797" s="116" t="s">
        <v>1494</v>
      </c>
      <c r="C797" s="117" t="s">
        <v>1495</v>
      </c>
      <c r="D797" s="118">
        <v>1.35</v>
      </c>
      <c r="E797" s="118">
        <v>1.4</v>
      </c>
      <c r="F797" s="118">
        <v>0.59</v>
      </c>
      <c r="G797" s="118">
        <v>36.957000000000001</v>
      </c>
    </row>
    <row r="798" spans="2:7" x14ac:dyDescent="0.2">
      <c r="B798" s="116" t="s">
        <v>1496</v>
      </c>
      <c r="C798" s="117" t="s">
        <v>1497</v>
      </c>
      <c r="D798" s="118">
        <v>6.04</v>
      </c>
      <c r="E798" s="118">
        <v>6.4</v>
      </c>
      <c r="F798" s="118">
        <v>0.02</v>
      </c>
      <c r="G798" s="118">
        <v>1.75779</v>
      </c>
    </row>
    <row r="799" spans="2:7" x14ac:dyDescent="0.2">
      <c r="B799" s="116" t="s">
        <v>1498</v>
      </c>
      <c r="C799" s="117" t="s">
        <v>1499</v>
      </c>
      <c r="D799" s="118">
        <v>3.6</v>
      </c>
      <c r="E799" s="118">
        <v>4.8</v>
      </c>
      <c r="F799" s="118">
        <v>2.78</v>
      </c>
      <c r="G799" s="118">
        <v>73.537999999999997</v>
      </c>
    </row>
    <row r="800" spans="2:7" x14ac:dyDescent="0.2">
      <c r="B800" s="116" t="s">
        <v>1500</v>
      </c>
      <c r="C800" s="117" t="s">
        <v>1501</v>
      </c>
      <c r="D800" s="118">
        <v>1.51</v>
      </c>
      <c r="E800" s="118">
        <v>1.85</v>
      </c>
      <c r="F800" s="118">
        <v>0.54</v>
      </c>
      <c r="G800" s="118">
        <v>31.018989999999999</v>
      </c>
    </row>
    <row r="801" spans="2:7" x14ac:dyDescent="0.2">
      <c r="B801" s="116" t="s">
        <v>1502</v>
      </c>
      <c r="C801" s="117" t="s">
        <v>1503</v>
      </c>
      <c r="D801" s="118">
        <v>0.8</v>
      </c>
      <c r="E801" s="118">
        <v>0.96</v>
      </c>
      <c r="F801" s="118">
        <v>1.56</v>
      </c>
      <c r="G801" s="118">
        <v>60.921999999999997</v>
      </c>
    </row>
    <row r="802" spans="2:7" x14ac:dyDescent="0.2">
      <c r="B802" s="116" t="s">
        <v>1504</v>
      </c>
      <c r="C802" s="117" t="s">
        <v>1505</v>
      </c>
      <c r="D802" s="118">
        <v>5.2</v>
      </c>
      <c r="E802" s="118">
        <v>6.94</v>
      </c>
      <c r="F802" s="118">
        <v>0</v>
      </c>
      <c r="G802" s="118">
        <v>0</v>
      </c>
    </row>
    <row r="803" spans="2:7" x14ac:dyDescent="0.2">
      <c r="B803" s="116" t="s">
        <v>3878</v>
      </c>
      <c r="C803" s="117" t="s">
        <v>3879</v>
      </c>
      <c r="D803" s="118">
        <v>0.96</v>
      </c>
      <c r="E803" s="118">
        <v>0.87</v>
      </c>
      <c r="F803" s="118">
        <v>0.05</v>
      </c>
      <c r="G803" s="118">
        <v>4.6725000000000003</v>
      </c>
    </row>
    <row r="804" spans="2:7" x14ac:dyDescent="0.2">
      <c r="B804" s="116" t="s">
        <v>3880</v>
      </c>
      <c r="C804" s="117" t="s">
        <v>3881</v>
      </c>
      <c r="D804" s="118">
        <v>16.77</v>
      </c>
      <c r="E804" s="118">
        <v>14.89</v>
      </c>
      <c r="F804" s="118">
        <v>0.02</v>
      </c>
      <c r="G804" s="118">
        <v>1.9269000000000001</v>
      </c>
    </row>
    <row r="805" spans="2:7" x14ac:dyDescent="0.2">
      <c r="B805" s="116" t="s">
        <v>1506</v>
      </c>
      <c r="C805" s="117" t="s">
        <v>1507</v>
      </c>
      <c r="D805" s="118">
        <v>1.0900000000000001</v>
      </c>
      <c r="E805" s="118">
        <v>0.89</v>
      </c>
      <c r="F805" s="118"/>
      <c r="G805" s="118">
        <v>42.588999999999999</v>
      </c>
    </row>
    <row r="806" spans="2:7" x14ac:dyDescent="0.2">
      <c r="B806" s="116" t="s">
        <v>1508</v>
      </c>
      <c r="C806" s="117" t="s">
        <v>1509</v>
      </c>
      <c r="D806" s="118">
        <v>1.03</v>
      </c>
      <c r="E806" s="118">
        <v>2.19</v>
      </c>
      <c r="F806" s="118">
        <v>1.18</v>
      </c>
      <c r="G806" s="118">
        <v>55.505000000000003</v>
      </c>
    </row>
    <row r="807" spans="2:7" x14ac:dyDescent="0.2">
      <c r="B807" s="116" t="s">
        <v>1511</v>
      </c>
      <c r="C807" s="117" t="s">
        <v>1512</v>
      </c>
      <c r="D807" s="118">
        <v>3.7</v>
      </c>
      <c r="E807" s="118">
        <v>5.24</v>
      </c>
      <c r="F807" s="118">
        <v>0</v>
      </c>
      <c r="G807" s="118">
        <v>0</v>
      </c>
    </row>
    <row r="808" spans="2:7" x14ac:dyDescent="0.2">
      <c r="B808" s="116" t="s">
        <v>3882</v>
      </c>
      <c r="C808" s="117" t="s">
        <v>3883</v>
      </c>
      <c r="D808" s="118"/>
      <c r="E808" s="118">
        <v>1.4</v>
      </c>
      <c r="F808" s="118">
        <v>1.64</v>
      </c>
      <c r="G808" s="118">
        <v>62.139989999999997</v>
      </c>
    </row>
    <row r="809" spans="2:7" x14ac:dyDescent="0.2">
      <c r="B809" s="116" t="s">
        <v>1513</v>
      </c>
      <c r="C809" s="117" t="s">
        <v>1514</v>
      </c>
      <c r="D809" s="118">
        <v>1.27</v>
      </c>
      <c r="E809" s="118">
        <v>2.72</v>
      </c>
      <c r="F809" s="118">
        <v>0.3</v>
      </c>
      <c r="G809" s="118">
        <v>22.960999999999999</v>
      </c>
    </row>
    <row r="810" spans="2:7" x14ac:dyDescent="0.2">
      <c r="B810" s="116" t="s">
        <v>1515</v>
      </c>
      <c r="C810" s="117" t="s">
        <v>3884</v>
      </c>
      <c r="D810" s="118">
        <v>3.89</v>
      </c>
      <c r="E810" s="118">
        <v>3.98</v>
      </c>
      <c r="F810" s="118">
        <v>7.0000000000000007E-2</v>
      </c>
      <c r="G810" s="118">
        <v>6.4093900000000001</v>
      </c>
    </row>
    <row r="811" spans="2:7" x14ac:dyDescent="0.2">
      <c r="B811" s="116" t="s">
        <v>1515</v>
      </c>
      <c r="C811" s="117" t="s">
        <v>1516</v>
      </c>
      <c r="D811" s="118">
        <v>3.89</v>
      </c>
      <c r="E811" s="118">
        <v>3.98</v>
      </c>
      <c r="F811" s="118">
        <v>7.0000000000000007E-2</v>
      </c>
      <c r="G811" s="118">
        <v>6.4093900000000001</v>
      </c>
    </row>
    <row r="812" spans="2:7" x14ac:dyDescent="0.2">
      <c r="B812" s="116" t="s">
        <v>1517</v>
      </c>
      <c r="C812" s="117" t="s">
        <v>1518</v>
      </c>
      <c r="D812" s="118">
        <v>1.07</v>
      </c>
      <c r="E812" s="118">
        <v>3.38</v>
      </c>
      <c r="F812" s="118">
        <v>1.47</v>
      </c>
      <c r="G812" s="118">
        <v>59.487990000000003</v>
      </c>
    </row>
    <row r="813" spans="2:7" x14ac:dyDescent="0.2">
      <c r="B813" s="116" t="s">
        <v>1519</v>
      </c>
      <c r="C813" s="117" t="s">
        <v>1520</v>
      </c>
      <c r="D813" s="118">
        <v>0.67</v>
      </c>
      <c r="E813" s="118">
        <v>1.26</v>
      </c>
      <c r="F813" s="118">
        <v>0.98</v>
      </c>
      <c r="G813" s="118">
        <v>49.366999999999997</v>
      </c>
    </row>
    <row r="814" spans="2:7" x14ac:dyDescent="0.2">
      <c r="B814" s="116" t="s">
        <v>3885</v>
      </c>
      <c r="C814" s="117" t="s">
        <v>3886</v>
      </c>
      <c r="D814" s="118"/>
      <c r="E814" s="118"/>
      <c r="F814" s="118"/>
      <c r="G814" s="118"/>
    </row>
    <row r="815" spans="2:7" x14ac:dyDescent="0.2">
      <c r="B815" s="116" t="s">
        <v>1521</v>
      </c>
      <c r="C815" s="117" t="s">
        <v>1522</v>
      </c>
      <c r="D815" s="118">
        <v>0.64</v>
      </c>
      <c r="E815" s="118">
        <v>1.7</v>
      </c>
      <c r="F815" s="118">
        <v>1.46</v>
      </c>
      <c r="G815" s="118">
        <v>61.366</v>
      </c>
    </row>
    <row r="816" spans="2:7" x14ac:dyDescent="0.2">
      <c r="B816" s="116" t="s">
        <v>1523</v>
      </c>
      <c r="C816" s="117" t="s">
        <v>1524</v>
      </c>
      <c r="D816" s="118">
        <v>1.03</v>
      </c>
      <c r="E816" s="118">
        <v>1.01</v>
      </c>
      <c r="F816" s="118">
        <v>1.2</v>
      </c>
      <c r="G816" s="118">
        <v>54.497999999999998</v>
      </c>
    </row>
    <row r="817" spans="2:7" x14ac:dyDescent="0.2">
      <c r="B817" s="116" t="s">
        <v>3887</v>
      </c>
      <c r="C817" s="117" t="s">
        <v>3888</v>
      </c>
      <c r="D817" s="118">
        <v>1.57</v>
      </c>
      <c r="E817" s="118">
        <v>2.33</v>
      </c>
      <c r="F817" s="118"/>
      <c r="G817" s="118">
        <v>5.3892899999999999</v>
      </c>
    </row>
    <row r="818" spans="2:7" x14ac:dyDescent="0.2">
      <c r="B818" s="116" t="s">
        <v>1525</v>
      </c>
      <c r="C818" s="117" t="s">
        <v>1526</v>
      </c>
      <c r="D818" s="118">
        <v>0.98</v>
      </c>
      <c r="E818" s="118">
        <v>1.46</v>
      </c>
      <c r="F818" s="118">
        <v>1.9</v>
      </c>
      <c r="G818" s="118">
        <v>65.534999999999997</v>
      </c>
    </row>
    <row r="819" spans="2:7" x14ac:dyDescent="0.2">
      <c r="B819" s="116" t="s">
        <v>1527</v>
      </c>
      <c r="C819" s="117" t="s">
        <v>1528</v>
      </c>
      <c r="D819" s="118">
        <v>1.1200000000000001</v>
      </c>
      <c r="E819" s="118">
        <v>1.48</v>
      </c>
      <c r="F819" s="118">
        <v>5.0599999999999996</v>
      </c>
      <c r="G819" s="118">
        <v>83.5</v>
      </c>
    </row>
    <row r="820" spans="2:7" x14ac:dyDescent="0.2">
      <c r="B820" s="116" t="s">
        <v>1529</v>
      </c>
      <c r="C820" s="117" t="s">
        <v>1530</v>
      </c>
      <c r="D820" s="118">
        <v>1.22</v>
      </c>
      <c r="E820" s="118">
        <v>2.68</v>
      </c>
      <c r="F820" s="118">
        <v>1.38</v>
      </c>
      <c r="G820" s="118">
        <v>57.974989999999998</v>
      </c>
    </row>
    <row r="821" spans="2:7" x14ac:dyDescent="0.2">
      <c r="B821" s="116" t="s">
        <v>1531</v>
      </c>
      <c r="C821" s="117" t="s">
        <v>1532</v>
      </c>
      <c r="D821" s="118">
        <v>2.2799999999999998</v>
      </c>
      <c r="E821" s="118">
        <v>2.39</v>
      </c>
      <c r="F821" s="118">
        <v>0.01</v>
      </c>
      <c r="G821" s="118">
        <v>1.1026899999999999</v>
      </c>
    </row>
    <row r="822" spans="2:7" x14ac:dyDescent="0.2">
      <c r="B822" s="116" t="s">
        <v>1533</v>
      </c>
      <c r="C822" s="117" t="s">
        <v>1534</v>
      </c>
      <c r="D822" s="118">
        <v>1.63</v>
      </c>
      <c r="E822" s="118">
        <v>2.42</v>
      </c>
      <c r="F822" s="118">
        <v>0.41</v>
      </c>
      <c r="G822" s="118">
        <v>29.076000000000001</v>
      </c>
    </row>
    <row r="823" spans="2:7" x14ac:dyDescent="0.2">
      <c r="B823" s="116" t="s">
        <v>1535</v>
      </c>
      <c r="C823" s="117" t="s">
        <v>1536</v>
      </c>
      <c r="D823" s="118">
        <v>0.92</v>
      </c>
      <c r="E823" s="118">
        <v>0.85</v>
      </c>
      <c r="F823" s="118">
        <v>2.78</v>
      </c>
      <c r="G823" s="118">
        <v>70.870999999999995</v>
      </c>
    </row>
    <row r="824" spans="2:7" x14ac:dyDescent="0.2">
      <c r="B824" s="116" t="s">
        <v>1537</v>
      </c>
      <c r="C824" s="117" t="s">
        <v>1538</v>
      </c>
      <c r="D824" s="118">
        <v>0.51</v>
      </c>
      <c r="E824" s="118">
        <v>0.71</v>
      </c>
      <c r="F824" s="118">
        <v>7.86</v>
      </c>
      <c r="G824" s="118">
        <v>88.709990000000005</v>
      </c>
    </row>
    <row r="825" spans="2:7" x14ac:dyDescent="0.2">
      <c r="B825" s="116" t="s">
        <v>3889</v>
      </c>
      <c r="C825" s="117" t="s">
        <v>3890</v>
      </c>
      <c r="D825" s="118"/>
      <c r="E825" s="118"/>
      <c r="F825" s="118"/>
      <c r="G825" s="118"/>
    </row>
    <row r="826" spans="2:7" x14ac:dyDescent="0.2">
      <c r="B826" s="116" t="s">
        <v>1539</v>
      </c>
      <c r="C826" s="117" t="s">
        <v>1540</v>
      </c>
      <c r="D826" s="118">
        <v>0.64</v>
      </c>
      <c r="E826" s="118">
        <v>1.33</v>
      </c>
      <c r="F826" s="118">
        <v>1.27</v>
      </c>
      <c r="G826" s="118">
        <v>56.014989999999997</v>
      </c>
    </row>
    <row r="827" spans="2:7" x14ac:dyDescent="0.2">
      <c r="B827" s="116" t="s">
        <v>3891</v>
      </c>
      <c r="C827" s="117" t="s">
        <v>3892</v>
      </c>
      <c r="D827" s="118">
        <v>1.44</v>
      </c>
      <c r="E827" s="118">
        <v>1.72</v>
      </c>
      <c r="F827" s="118"/>
      <c r="G827" s="118">
        <v>24.11899</v>
      </c>
    </row>
    <row r="828" spans="2:7" x14ac:dyDescent="0.2">
      <c r="B828" s="116" t="s">
        <v>1541</v>
      </c>
      <c r="C828" s="117" t="s">
        <v>1542</v>
      </c>
      <c r="D828" s="118"/>
      <c r="E828" s="118">
        <v>8.31</v>
      </c>
      <c r="F828" s="118">
        <v>0.03</v>
      </c>
      <c r="G828" s="118">
        <v>2.7583000000000002</v>
      </c>
    </row>
    <row r="829" spans="2:7" x14ac:dyDescent="0.2">
      <c r="B829" s="116" t="s">
        <v>1543</v>
      </c>
      <c r="C829" s="117" t="s">
        <v>1544</v>
      </c>
      <c r="D829" s="118">
        <v>1.19</v>
      </c>
      <c r="E829" s="118">
        <v>1.0900000000000001</v>
      </c>
      <c r="F829" s="118">
        <v>0.62</v>
      </c>
      <c r="G829" s="118">
        <v>38.198</v>
      </c>
    </row>
    <row r="830" spans="2:7" x14ac:dyDescent="0.2">
      <c r="B830" s="116" t="s">
        <v>1545</v>
      </c>
      <c r="C830" s="117" t="s">
        <v>1546</v>
      </c>
      <c r="D830" s="118"/>
      <c r="E830" s="118">
        <v>6.38</v>
      </c>
      <c r="F830" s="118"/>
      <c r="G830" s="118">
        <v>17.074999999999999</v>
      </c>
    </row>
    <row r="831" spans="2:7" x14ac:dyDescent="0.2">
      <c r="B831" s="116" t="s">
        <v>1547</v>
      </c>
      <c r="C831" s="117" t="s">
        <v>1548</v>
      </c>
      <c r="D831" s="118">
        <v>1.34</v>
      </c>
      <c r="E831" s="118">
        <v>2.38</v>
      </c>
      <c r="F831" s="118">
        <v>0.98</v>
      </c>
      <c r="G831" s="118">
        <v>49.594999999999999</v>
      </c>
    </row>
    <row r="832" spans="2:7" x14ac:dyDescent="0.2">
      <c r="B832" s="116" t="s">
        <v>3893</v>
      </c>
      <c r="C832" s="117" t="s">
        <v>3894</v>
      </c>
      <c r="D832" s="118">
        <v>0.91</v>
      </c>
      <c r="E832" s="118">
        <v>1.51</v>
      </c>
      <c r="F832" s="118"/>
      <c r="G832" s="118">
        <v>27.710999999999999</v>
      </c>
    </row>
    <row r="833" spans="2:7" x14ac:dyDescent="0.2">
      <c r="B833" s="116" t="s">
        <v>1549</v>
      </c>
      <c r="C833" s="117" t="s">
        <v>1550</v>
      </c>
      <c r="D833" s="118">
        <v>1.25</v>
      </c>
      <c r="E833" s="118">
        <v>1.17</v>
      </c>
      <c r="F833" s="118">
        <v>0.56000000000000005</v>
      </c>
      <c r="G833" s="118">
        <v>35.723990000000001</v>
      </c>
    </row>
    <row r="834" spans="2:7" x14ac:dyDescent="0.2">
      <c r="B834" s="116" t="s">
        <v>1551</v>
      </c>
      <c r="C834" s="117" t="s">
        <v>1552</v>
      </c>
      <c r="D834" s="118">
        <v>1.62</v>
      </c>
      <c r="E834" s="118">
        <v>2.1</v>
      </c>
      <c r="F834" s="118">
        <v>0.54</v>
      </c>
      <c r="G834" s="118">
        <v>34.994990000000001</v>
      </c>
    </row>
    <row r="835" spans="2:7" x14ac:dyDescent="0.2">
      <c r="B835" s="116" t="s">
        <v>1553</v>
      </c>
      <c r="C835" s="117" t="s">
        <v>1554</v>
      </c>
      <c r="D835" s="118">
        <v>1.69</v>
      </c>
      <c r="E835" s="118">
        <v>2.2599999999999998</v>
      </c>
      <c r="F835" s="118">
        <v>1.1599999999999999</v>
      </c>
      <c r="G835" s="118">
        <v>53.749000000000002</v>
      </c>
    </row>
    <row r="836" spans="2:7" x14ac:dyDescent="0.2">
      <c r="B836" s="116" t="s">
        <v>1555</v>
      </c>
      <c r="C836" s="117" t="s">
        <v>1556</v>
      </c>
      <c r="D836" s="118">
        <v>2.0699999999999998</v>
      </c>
      <c r="E836" s="118">
        <v>2.64</v>
      </c>
      <c r="F836" s="118">
        <v>0.99</v>
      </c>
      <c r="G836" s="118">
        <v>49.706000000000003</v>
      </c>
    </row>
    <row r="837" spans="2:7" x14ac:dyDescent="0.2">
      <c r="B837" s="116" t="s">
        <v>3895</v>
      </c>
      <c r="C837" s="117" t="s">
        <v>3896</v>
      </c>
      <c r="D837" s="118"/>
      <c r="E837" s="118"/>
      <c r="F837" s="118"/>
      <c r="G837" s="118"/>
    </row>
    <row r="838" spans="2:7" x14ac:dyDescent="0.2">
      <c r="B838" s="116" t="s">
        <v>1557</v>
      </c>
      <c r="C838" s="117" t="s">
        <v>1558</v>
      </c>
      <c r="D838" s="118">
        <v>0.86</v>
      </c>
      <c r="E838" s="118">
        <v>0.9</v>
      </c>
      <c r="F838" s="118">
        <v>0.86</v>
      </c>
      <c r="G838" s="118">
        <v>43.472000000000001</v>
      </c>
    </row>
    <row r="839" spans="2:7" x14ac:dyDescent="0.2">
      <c r="B839" s="116" t="s">
        <v>1559</v>
      </c>
      <c r="C839" s="117" t="s">
        <v>1560</v>
      </c>
      <c r="D839" s="118">
        <v>0.72</v>
      </c>
      <c r="E839" s="118">
        <v>1.77</v>
      </c>
      <c r="F839" s="118">
        <v>3.56</v>
      </c>
      <c r="G839" s="118">
        <v>78.082999999999998</v>
      </c>
    </row>
    <row r="840" spans="2:7" x14ac:dyDescent="0.2">
      <c r="B840" s="116" t="s">
        <v>1561</v>
      </c>
      <c r="C840" s="117" t="s">
        <v>1562</v>
      </c>
      <c r="D840" s="118">
        <v>1.1200000000000001</v>
      </c>
      <c r="E840" s="118">
        <v>1.44</v>
      </c>
      <c r="F840" s="118">
        <v>-19.28</v>
      </c>
      <c r="G840" s="118"/>
    </row>
    <row r="841" spans="2:7" x14ac:dyDescent="0.2">
      <c r="B841" s="116" t="s">
        <v>1564</v>
      </c>
      <c r="C841" s="117" t="s">
        <v>1565</v>
      </c>
      <c r="D841" s="118">
        <v>1.49</v>
      </c>
      <c r="E841" s="118">
        <v>1.88</v>
      </c>
      <c r="F841" s="118">
        <v>0.16</v>
      </c>
      <c r="G841" s="118">
        <v>13.517989999999999</v>
      </c>
    </row>
    <row r="842" spans="2:7" x14ac:dyDescent="0.2">
      <c r="B842" s="116" t="s">
        <v>3897</v>
      </c>
      <c r="C842" s="117" t="s">
        <v>3898</v>
      </c>
      <c r="D842" s="118">
        <v>0.8</v>
      </c>
      <c r="E842" s="118">
        <v>1.27</v>
      </c>
      <c r="F842" s="118">
        <v>0.42</v>
      </c>
      <c r="G842" s="118">
        <v>29.489000000000001</v>
      </c>
    </row>
    <row r="843" spans="2:7" x14ac:dyDescent="0.2">
      <c r="B843" s="116" t="s">
        <v>1566</v>
      </c>
      <c r="C843" s="117" t="s">
        <v>1567</v>
      </c>
      <c r="D843" s="118">
        <v>0.64</v>
      </c>
      <c r="E843" s="118">
        <v>0.9</v>
      </c>
      <c r="F843" s="118">
        <v>0.95</v>
      </c>
      <c r="G843" s="118">
        <v>48.726999999999997</v>
      </c>
    </row>
    <row r="844" spans="2:7" x14ac:dyDescent="0.2">
      <c r="B844" s="116" t="s">
        <v>1568</v>
      </c>
      <c r="C844" s="117" t="s">
        <v>1569</v>
      </c>
      <c r="D844" s="118">
        <v>0.28000000000000003</v>
      </c>
      <c r="E844" s="118">
        <v>1.1000000000000001</v>
      </c>
      <c r="F844" s="118">
        <v>-27.87</v>
      </c>
      <c r="G844" s="118"/>
    </row>
    <row r="845" spans="2:7" x14ac:dyDescent="0.2">
      <c r="B845" s="116" t="s">
        <v>1570</v>
      </c>
      <c r="C845" s="117" t="s">
        <v>1571</v>
      </c>
      <c r="D845" s="118">
        <v>0.96</v>
      </c>
      <c r="E845" s="118">
        <v>0.96</v>
      </c>
      <c r="F845" s="118"/>
      <c r="G845" s="118">
        <v>38.972990000000003</v>
      </c>
    </row>
    <row r="846" spans="2:7" x14ac:dyDescent="0.2">
      <c r="B846" s="116" t="s">
        <v>3899</v>
      </c>
      <c r="C846" s="117" t="s">
        <v>3900</v>
      </c>
      <c r="D846" s="118">
        <v>0.87</v>
      </c>
      <c r="E846" s="118">
        <v>0.93</v>
      </c>
      <c r="F846" s="118">
        <v>0.46</v>
      </c>
      <c r="G846" s="118">
        <v>31.684989999999999</v>
      </c>
    </row>
    <row r="847" spans="2:7" x14ac:dyDescent="0.2">
      <c r="B847" s="116" t="s">
        <v>1572</v>
      </c>
      <c r="C847" s="117" t="s">
        <v>1573</v>
      </c>
      <c r="D847" s="118">
        <v>1.1000000000000001</v>
      </c>
      <c r="E847" s="118">
        <v>2.0499999999999998</v>
      </c>
      <c r="F847" s="118">
        <v>1.66</v>
      </c>
      <c r="G847" s="118">
        <v>62.372</v>
      </c>
    </row>
    <row r="848" spans="2:7" x14ac:dyDescent="0.2">
      <c r="B848" s="116" t="s">
        <v>1574</v>
      </c>
      <c r="C848" s="117" t="s">
        <v>1575</v>
      </c>
      <c r="D848" s="118">
        <v>0.08</v>
      </c>
      <c r="E848" s="118">
        <v>0.08</v>
      </c>
      <c r="F848" s="118">
        <v>0.96</v>
      </c>
      <c r="G848" s="118">
        <v>49.259990000000002</v>
      </c>
    </row>
    <row r="849" spans="2:7" x14ac:dyDescent="0.2">
      <c r="B849" s="116" t="s">
        <v>1576</v>
      </c>
      <c r="C849" s="117" t="s">
        <v>1577</v>
      </c>
      <c r="D849" s="118">
        <v>1.08</v>
      </c>
      <c r="E849" s="118">
        <v>1.26</v>
      </c>
      <c r="F849" s="118"/>
      <c r="G849" s="118">
        <v>19.965</v>
      </c>
    </row>
    <row r="850" spans="2:7" x14ac:dyDescent="0.2">
      <c r="B850" s="116" t="s">
        <v>1578</v>
      </c>
      <c r="C850" s="117" t="s">
        <v>1579</v>
      </c>
      <c r="D850" s="118">
        <v>1.18</v>
      </c>
      <c r="E850" s="118">
        <v>2.98</v>
      </c>
      <c r="F850" s="118">
        <v>0.39</v>
      </c>
      <c r="G850" s="118">
        <v>33.237990000000003</v>
      </c>
    </row>
    <row r="851" spans="2:7" x14ac:dyDescent="0.2">
      <c r="B851" s="116" t="s">
        <v>1578</v>
      </c>
      <c r="C851" s="117" t="s">
        <v>3901</v>
      </c>
      <c r="D851" s="118"/>
      <c r="E851" s="118">
        <v>2.98</v>
      </c>
      <c r="F851" s="118">
        <v>0.39</v>
      </c>
      <c r="G851" s="118">
        <v>33.237990000000003</v>
      </c>
    </row>
    <row r="852" spans="2:7" x14ac:dyDescent="0.2">
      <c r="B852" s="116" t="s">
        <v>1580</v>
      </c>
      <c r="C852" s="117" t="s">
        <v>1581</v>
      </c>
      <c r="D852" s="118">
        <v>0.68</v>
      </c>
      <c r="E852" s="118">
        <v>0.87</v>
      </c>
      <c r="F852" s="118"/>
      <c r="G852" s="118">
        <v>44.831000000000003</v>
      </c>
    </row>
    <row r="853" spans="2:7" x14ac:dyDescent="0.2">
      <c r="B853" s="116" t="s">
        <v>1582</v>
      </c>
      <c r="C853" s="117" t="s">
        <v>1583</v>
      </c>
      <c r="D853" s="118">
        <v>0.97</v>
      </c>
      <c r="E853" s="118">
        <v>2.2000000000000002</v>
      </c>
      <c r="F853" s="118"/>
      <c r="G853" s="118">
        <v>25.93899</v>
      </c>
    </row>
    <row r="854" spans="2:7" x14ac:dyDescent="0.2">
      <c r="B854" s="116" t="s">
        <v>1584</v>
      </c>
      <c r="C854" s="117" t="s">
        <v>1585</v>
      </c>
      <c r="D854" s="118">
        <v>0.73</v>
      </c>
      <c r="E854" s="118">
        <v>0.95</v>
      </c>
      <c r="F854" s="118">
        <v>0.06</v>
      </c>
      <c r="G854" s="118">
        <v>5.5995900000000001</v>
      </c>
    </row>
    <row r="855" spans="2:7" x14ac:dyDescent="0.2">
      <c r="B855" s="116" t="s">
        <v>1586</v>
      </c>
      <c r="C855" s="117" t="s">
        <v>1587</v>
      </c>
      <c r="D855" s="118">
        <v>1.91</v>
      </c>
      <c r="E855" s="118">
        <v>1.58</v>
      </c>
      <c r="F855" s="118">
        <v>0.68</v>
      </c>
      <c r="G855" s="118">
        <v>40.445990000000002</v>
      </c>
    </row>
    <row r="856" spans="2:7" x14ac:dyDescent="0.2">
      <c r="B856" s="116" t="s">
        <v>1588</v>
      </c>
      <c r="C856" s="117" t="s">
        <v>1589</v>
      </c>
      <c r="D856" s="118">
        <v>1.66</v>
      </c>
      <c r="E856" s="118">
        <v>2.08</v>
      </c>
      <c r="F856" s="118">
        <v>0.43</v>
      </c>
      <c r="G856" s="118">
        <v>29.92099</v>
      </c>
    </row>
    <row r="857" spans="2:7" x14ac:dyDescent="0.2">
      <c r="B857" s="116" t="s">
        <v>3902</v>
      </c>
      <c r="C857" s="117" t="s">
        <v>3903</v>
      </c>
      <c r="D857" s="118">
        <v>1.34</v>
      </c>
      <c r="E857" s="118">
        <v>1.34</v>
      </c>
      <c r="F857" s="118"/>
      <c r="G857" s="118">
        <v>3.95079</v>
      </c>
    </row>
    <row r="858" spans="2:7" x14ac:dyDescent="0.2">
      <c r="B858" s="116" t="s">
        <v>1590</v>
      </c>
      <c r="C858" s="117" t="s">
        <v>1591</v>
      </c>
      <c r="D858" s="118">
        <v>1.24</v>
      </c>
      <c r="E858" s="118">
        <v>1.64</v>
      </c>
      <c r="F858" s="118">
        <v>1.04</v>
      </c>
      <c r="G858" s="118">
        <v>51.035989999999998</v>
      </c>
    </row>
    <row r="859" spans="2:7" x14ac:dyDescent="0.2">
      <c r="B859" s="116" t="s">
        <v>1592</v>
      </c>
      <c r="C859" s="117" t="s">
        <v>1593</v>
      </c>
      <c r="D859" s="118">
        <v>0.32</v>
      </c>
      <c r="E859" s="118">
        <v>0.28000000000000003</v>
      </c>
      <c r="F859" s="118">
        <v>0.27</v>
      </c>
      <c r="G859" s="118">
        <v>20.93899</v>
      </c>
    </row>
    <row r="860" spans="2:7" x14ac:dyDescent="0.2">
      <c r="B860" s="116" t="s">
        <v>1594</v>
      </c>
      <c r="C860" s="117" t="s">
        <v>1595</v>
      </c>
      <c r="D860" s="118">
        <v>0.88</v>
      </c>
      <c r="E860" s="118">
        <v>1.1200000000000001</v>
      </c>
      <c r="F860" s="118">
        <v>1.1499999999999999</v>
      </c>
      <c r="G860" s="118">
        <v>53.551990000000004</v>
      </c>
    </row>
    <row r="861" spans="2:7" x14ac:dyDescent="0.2">
      <c r="B861" s="116" t="s">
        <v>1596</v>
      </c>
      <c r="C861" s="117" t="s">
        <v>1597</v>
      </c>
      <c r="D861" s="118">
        <v>0.73</v>
      </c>
      <c r="E861" s="118">
        <v>1.1399999999999999</v>
      </c>
      <c r="F861" s="118"/>
      <c r="G861" s="118">
        <v>6.2272999999999996</v>
      </c>
    </row>
    <row r="862" spans="2:7" x14ac:dyDescent="0.2">
      <c r="B862" s="116" t="s">
        <v>1598</v>
      </c>
      <c r="C862" s="117" t="s">
        <v>1599</v>
      </c>
      <c r="D862" s="118">
        <v>1.2</v>
      </c>
      <c r="E862" s="118">
        <v>1.0900000000000001</v>
      </c>
      <c r="F862" s="118">
        <v>0.99</v>
      </c>
      <c r="G862" s="118">
        <v>50.715989999999998</v>
      </c>
    </row>
    <row r="863" spans="2:7" x14ac:dyDescent="0.2">
      <c r="B863" s="116" t="s">
        <v>1600</v>
      </c>
      <c r="C863" s="117" t="s">
        <v>1601</v>
      </c>
      <c r="D863" s="118">
        <v>1.28</v>
      </c>
      <c r="E863" s="118">
        <v>1.87</v>
      </c>
      <c r="F863" s="118"/>
      <c r="G863" s="118">
        <v>24.878</v>
      </c>
    </row>
    <row r="864" spans="2:7" x14ac:dyDescent="0.2">
      <c r="B864" s="116" t="s">
        <v>1602</v>
      </c>
      <c r="C864" s="117" t="s">
        <v>1603</v>
      </c>
      <c r="D864" s="118">
        <v>2.16</v>
      </c>
      <c r="E864" s="118">
        <v>1.97</v>
      </c>
      <c r="F864" s="118">
        <v>0.23</v>
      </c>
      <c r="G864" s="118">
        <v>18.613</v>
      </c>
    </row>
    <row r="865" spans="2:7" x14ac:dyDescent="0.2">
      <c r="B865" s="116" t="s">
        <v>1604</v>
      </c>
      <c r="C865" s="117" t="s">
        <v>1605</v>
      </c>
      <c r="D865" s="118">
        <v>0.9</v>
      </c>
      <c r="E865" s="118">
        <v>1.26</v>
      </c>
      <c r="F865" s="118">
        <v>-3.63</v>
      </c>
      <c r="G865" s="118"/>
    </row>
    <row r="866" spans="2:7" x14ac:dyDescent="0.2">
      <c r="B866" s="116" t="s">
        <v>1606</v>
      </c>
      <c r="C866" s="117" t="s">
        <v>1607</v>
      </c>
      <c r="D866" s="118">
        <v>0.76</v>
      </c>
      <c r="E866" s="118">
        <v>1.01</v>
      </c>
      <c r="F866" s="118">
        <v>0.18</v>
      </c>
      <c r="G866" s="118">
        <v>15.57699</v>
      </c>
    </row>
    <row r="867" spans="2:7" x14ac:dyDescent="0.2">
      <c r="B867" s="116" t="s">
        <v>1608</v>
      </c>
      <c r="C867" s="117" t="s">
        <v>1609</v>
      </c>
      <c r="D867" s="118">
        <v>1.6</v>
      </c>
      <c r="E867" s="118">
        <v>2.2799999999999998</v>
      </c>
      <c r="F867" s="118"/>
      <c r="G867" s="118">
        <v>20.541</v>
      </c>
    </row>
    <row r="868" spans="2:7" x14ac:dyDescent="0.2">
      <c r="B868" s="116" t="s">
        <v>1610</v>
      </c>
      <c r="C868" s="117" t="s">
        <v>1611</v>
      </c>
      <c r="D868" s="118">
        <v>1.92</v>
      </c>
      <c r="E868" s="118">
        <v>2.35</v>
      </c>
      <c r="F868" s="118">
        <v>0.46</v>
      </c>
      <c r="G868" s="118">
        <v>31.476990000000001</v>
      </c>
    </row>
    <row r="869" spans="2:7" x14ac:dyDescent="0.2">
      <c r="B869" s="116" t="s">
        <v>3904</v>
      </c>
      <c r="C869" s="117" t="s">
        <v>3905</v>
      </c>
      <c r="D869" s="118">
        <v>1.5</v>
      </c>
      <c r="E869" s="118">
        <v>1.5</v>
      </c>
      <c r="F869" s="118"/>
      <c r="G869" s="118">
        <v>14.74699</v>
      </c>
    </row>
    <row r="870" spans="2:7" x14ac:dyDescent="0.2">
      <c r="B870" s="116" t="s">
        <v>1612</v>
      </c>
      <c r="C870" s="117" t="s">
        <v>1613</v>
      </c>
      <c r="D870" s="118">
        <v>0.76</v>
      </c>
      <c r="E870" s="118">
        <v>0.8</v>
      </c>
      <c r="F870" s="118">
        <v>-384.26</v>
      </c>
      <c r="G870" s="118">
        <v>98.736000000000004</v>
      </c>
    </row>
    <row r="871" spans="2:7" x14ac:dyDescent="0.2">
      <c r="B871" s="116" t="s">
        <v>3906</v>
      </c>
      <c r="C871" s="117" t="s">
        <v>3907</v>
      </c>
      <c r="D871" s="118">
        <v>0.85</v>
      </c>
      <c r="E871" s="118">
        <v>0.87</v>
      </c>
      <c r="F871" s="118"/>
      <c r="G871" s="118">
        <v>38.01699</v>
      </c>
    </row>
    <row r="872" spans="2:7" x14ac:dyDescent="0.2">
      <c r="B872" s="116" t="s">
        <v>1614</v>
      </c>
      <c r="C872" s="117" t="s">
        <v>1615</v>
      </c>
      <c r="D872" s="118">
        <v>1.31</v>
      </c>
      <c r="E872" s="118">
        <v>1.32</v>
      </c>
      <c r="F872" s="118"/>
      <c r="G872" s="118">
        <v>3.3803899999999998</v>
      </c>
    </row>
    <row r="873" spans="2:7" x14ac:dyDescent="0.2">
      <c r="B873" s="116" t="s">
        <v>1616</v>
      </c>
      <c r="C873" s="117" t="s">
        <v>1617</v>
      </c>
      <c r="D873" s="118">
        <v>0.96</v>
      </c>
      <c r="E873" s="118">
        <v>1.26</v>
      </c>
      <c r="F873" s="118">
        <v>0.49</v>
      </c>
      <c r="G873" s="118">
        <v>32.89199</v>
      </c>
    </row>
    <row r="874" spans="2:7" x14ac:dyDescent="0.2">
      <c r="B874" s="116" t="s">
        <v>1618</v>
      </c>
      <c r="C874" s="117" t="s">
        <v>1619</v>
      </c>
      <c r="D874" s="118">
        <v>4.4000000000000004</v>
      </c>
      <c r="E874" s="118">
        <v>6.72</v>
      </c>
      <c r="F874" s="118">
        <v>0.32</v>
      </c>
      <c r="G874" s="118">
        <v>24.378</v>
      </c>
    </row>
    <row r="875" spans="2:7" x14ac:dyDescent="0.2">
      <c r="B875" s="116" t="s">
        <v>3908</v>
      </c>
      <c r="C875" s="117" t="s">
        <v>3909</v>
      </c>
      <c r="D875" s="118">
        <v>1.73</v>
      </c>
      <c r="E875" s="118">
        <v>1.73</v>
      </c>
      <c r="F875" s="118"/>
      <c r="G875" s="118">
        <v>9.75</v>
      </c>
    </row>
    <row r="876" spans="2:7" x14ac:dyDescent="0.2">
      <c r="B876" s="116" t="s">
        <v>3910</v>
      </c>
      <c r="C876" s="117" t="s">
        <v>3911</v>
      </c>
      <c r="D876" s="118">
        <v>1.23</v>
      </c>
      <c r="E876" s="118">
        <v>1.23</v>
      </c>
      <c r="F876" s="118"/>
      <c r="G876" s="118">
        <v>15.32999</v>
      </c>
    </row>
    <row r="877" spans="2:7" x14ac:dyDescent="0.2">
      <c r="B877" s="116" t="s">
        <v>3912</v>
      </c>
      <c r="C877" s="117" t="s">
        <v>3913</v>
      </c>
      <c r="D877" s="118">
        <v>0.54</v>
      </c>
      <c r="E877" s="118">
        <v>1.18</v>
      </c>
      <c r="F877" s="118"/>
      <c r="G877" s="118">
        <v>0</v>
      </c>
    </row>
    <row r="878" spans="2:7" x14ac:dyDescent="0.2">
      <c r="B878" s="116" t="s">
        <v>1620</v>
      </c>
      <c r="C878" s="117" t="s">
        <v>1621</v>
      </c>
      <c r="D878" s="118">
        <v>0.38</v>
      </c>
      <c r="E878" s="118">
        <v>0.41</v>
      </c>
      <c r="F878" s="118">
        <v>1.19</v>
      </c>
      <c r="G878" s="118">
        <v>54.424990000000001</v>
      </c>
    </row>
    <row r="879" spans="2:7" x14ac:dyDescent="0.2">
      <c r="B879" s="116" t="s">
        <v>1622</v>
      </c>
      <c r="C879" s="117" t="s">
        <v>1623</v>
      </c>
      <c r="D879" s="118">
        <v>3.84</v>
      </c>
      <c r="E879" s="118">
        <v>4.55</v>
      </c>
      <c r="F879" s="118"/>
      <c r="G879" s="118">
        <v>0.14380999999999999</v>
      </c>
    </row>
    <row r="880" spans="2:7" x14ac:dyDescent="0.2">
      <c r="B880" s="116" t="s">
        <v>1624</v>
      </c>
      <c r="C880" s="117" t="s">
        <v>1625</v>
      </c>
      <c r="D880" s="118">
        <v>1.0900000000000001</v>
      </c>
      <c r="E880" s="118">
        <v>1.1499999999999999</v>
      </c>
      <c r="F880" s="118">
        <v>2.4500000000000002</v>
      </c>
      <c r="G880" s="118">
        <v>71.046989999999994</v>
      </c>
    </row>
    <row r="881" spans="2:7" x14ac:dyDescent="0.2">
      <c r="B881" s="116" t="s">
        <v>3914</v>
      </c>
      <c r="C881" s="117" t="s">
        <v>3915</v>
      </c>
      <c r="D881" s="118">
        <v>0.69</v>
      </c>
      <c r="E881" s="118">
        <v>0.79</v>
      </c>
      <c r="F881" s="118"/>
      <c r="G881" s="118">
        <v>28.229990000000001</v>
      </c>
    </row>
    <row r="882" spans="2:7" x14ac:dyDescent="0.2">
      <c r="B882" s="116" t="s">
        <v>1626</v>
      </c>
      <c r="C882" s="117" t="s">
        <v>1627</v>
      </c>
      <c r="D882" s="118">
        <v>0.95</v>
      </c>
      <c r="E882" s="118">
        <v>1.57</v>
      </c>
      <c r="F882" s="118">
        <v>1.27</v>
      </c>
      <c r="G882" s="118">
        <v>55.914000000000001</v>
      </c>
    </row>
    <row r="883" spans="2:7" x14ac:dyDescent="0.2">
      <c r="B883" s="116" t="s">
        <v>1628</v>
      </c>
      <c r="C883" s="117" t="s">
        <v>1629</v>
      </c>
      <c r="D883" s="118">
        <v>1.05</v>
      </c>
      <c r="E883" s="118">
        <v>1</v>
      </c>
      <c r="F883" s="118">
        <v>0.52</v>
      </c>
      <c r="G883" s="118">
        <v>34.380000000000003</v>
      </c>
    </row>
    <row r="884" spans="2:7" x14ac:dyDescent="0.2">
      <c r="B884" s="116" t="s">
        <v>1630</v>
      </c>
      <c r="C884" s="117" t="s">
        <v>1631</v>
      </c>
      <c r="D884" s="118">
        <v>1.06</v>
      </c>
      <c r="E884" s="118">
        <v>1.19</v>
      </c>
      <c r="F884" s="118">
        <v>0.48</v>
      </c>
      <c r="G884" s="118">
        <v>32.295999999999999</v>
      </c>
    </row>
    <row r="885" spans="2:7" x14ac:dyDescent="0.2">
      <c r="B885" s="116" t="s">
        <v>1632</v>
      </c>
      <c r="C885" s="117" t="s">
        <v>1633</v>
      </c>
      <c r="D885" s="118">
        <v>2.54</v>
      </c>
      <c r="E885" s="118">
        <v>2.86</v>
      </c>
      <c r="F885" s="118">
        <v>0.12</v>
      </c>
      <c r="G885" s="118">
        <v>10.71899</v>
      </c>
    </row>
    <row r="886" spans="2:7" x14ac:dyDescent="0.2">
      <c r="B886" s="116" t="s">
        <v>1635</v>
      </c>
      <c r="C886" s="117" t="s">
        <v>1636</v>
      </c>
      <c r="D886" s="118">
        <v>0.86</v>
      </c>
      <c r="E886" s="118">
        <v>0.88</v>
      </c>
      <c r="F886" s="118">
        <v>0.59</v>
      </c>
      <c r="G886" s="118">
        <v>37.287990000000001</v>
      </c>
    </row>
    <row r="887" spans="2:7" x14ac:dyDescent="0.2">
      <c r="B887" s="116" t="s">
        <v>1638</v>
      </c>
      <c r="C887" s="117" t="s">
        <v>1639</v>
      </c>
      <c r="D887" s="118">
        <v>1.28</v>
      </c>
      <c r="E887" s="118">
        <v>1.02</v>
      </c>
      <c r="F887" s="118">
        <v>0.89</v>
      </c>
      <c r="G887" s="118">
        <v>48.020989999999998</v>
      </c>
    </row>
    <row r="888" spans="2:7" x14ac:dyDescent="0.2">
      <c r="B888" s="116" t="s">
        <v>1640</v>
      </c>
      <c r="C888" s="117" t="s">
        <v>1641</v>
      </c>
      <c r="D888" s="118">
        <v>0.61</v>
      </c>
      <c r="E888" s="118">
        <v>0.8</v>
      </c>
      <c r="F888" s="118">
        <v>-4.18</v>
      </c>
      <c r="G888" s="118"/>
    </row>
    <row r="889" spans="2:7" x14ac:dyDescent="0.2">
      <c r="B889" s="116" t="s">
        <v>1642</v>
      </c>
      <c r="C889" s="117" t="s">
        <v>1643</v>
      </c>
      <c r="D889" s="118">
        <v>0.36</v>
      </c>
      <c r="E889" s="118">
        <v>0.18</v>
      </c>
      <c r="F889" s="118">
        <v>1.54</v>
      </c>
      <c r="G889" s="118">
        <v>60.615000000000002</v>
      </c>
    </row>
    <row r="890" spans="2:7" x14ac:dyDescent="0.2">
      <c r="B890" s="116" t="s">
        <v>1644</v>
      </c>
      <c r="C890" s="117" t="s">
        <v>1645</v>
      </c>
      <c r="D890" s="118">
        <v>13.58</v>
      </c>
      <c r="E890" s="118">
        <v>22.98</v>
      </c>
      <c r="F890" s="118">
        <v>0.04</v>
      </c>
      <c r="G890" s="118">
        <v>3.3875000000000002</v>
      </c>
    </row>
    <row r="891" spans="2:7" x14ac:dyDescent="0.2">
      <c r="B891" s="116" t="s">
        <v>3916</v>
      </c>
      <c r="C891" s="117" t="s">
        <v>3917</v>
      </c>
      <c r="D891" s="118">
        <v>0.1</v>
      </c>
      <c r="E891" s="118">
        <v>0.13</v>
      </c>
      <c r="F891" s="118">
        <v>0.82</v>
      </c>
      <c r="G891" s="118">
        <v>44.914999999999999</v>
      </c>
    </row>
    <row r="892" spans="2:7" x14ac:dyDescent="0.2">
      <c r="B892" s="116" t="s">
        <v>1646</v>
      </c>
      <c r="C892" s="117" t="s">
        <v>1647</v>
      </c>
      <c r="D892" s="118">
        <v>2.16</v>
      </c>
      <c r="E892" s="118">
        <v>1.29</v>
      </c>
      <c r="F892" s="118">
        <v>6.14</v>
      </c>
      <c r="G892" s="118">
        <v>85.998000000000005</v>
      </c>
    </row>
    <row r="893" spans="2:7" x14ac:dyDescent="0.2">
      <c r="B893" s="116" t="s">
        <v>1648</v>
      </c>
      <c r="C893" s="117" t="s">
        <v>1649</v>
      </c>
      <c r="D893" s="118">
        <v>1.3</v>
      </c>
      <c r="E893" s="118">
        <v>1.51</v>
      </c>
      <c r="F893" s="118">
        <v>1.1200000000000001</v>
      </c>
      <c r="G893" s="118">
        <v>52.88899</v>
      </c>
    </row>
    <row r="894" spans="2:7" x14ac:dyDescent="0.2">
      <c r="B894" s="116" t="s">
        <v>3918</v>
      </c>
      <c r="C894" s="117" t="s">
        <v>3919</v>
      </c>
      <c r="D894" s="118">
        <v>1.49</v>
      </c>
      <c r="E894" s="118">
        <v>1.95</v>
      </c>
      <c r="F894" s="118"/>
      <c r="G894" s="118">
        <v>9.1469999999999996E-2</v>
      </c>
    </row>
    <row r="895" spans="2:7" x14ac:dyDescent="0.2">
      <c r="B895" s="116" t="s">
        <v>1650</v>
      </c>
      <c r="C895" s="117" t="s">
        <v>1651</v>
      </c>
      <c r="D895" s="118">
        <v>1.81</v>
      </c>
      <c r="E895" s="118">
        <v>1.81</v>
      </c>
      <c r="F895" s="118">
        <v>0</v>
      </c>
      <c r="G895" s="118">
        <v>0</v>
      </c>
    </row>
    <row r="896" spans="2:7" x14ac:dyDescent="0.2">
      <c r="B896" s="116" t="s">
        <v>1652</v>
      </c>
      <c r="C896" s="117" t="s">
        <v>1653</v>
      </c>
      <c r="D896" s="118">
        <v>0.95</v>
      </c>
      <c r="E896" s="118">
        <v>2.09</v>
      </c>
      <c r="F896" s="118">
        <v>0.04</v>
      </c>
      <c r="G896" s="118">
        <v>4.0707899999999997</v>
      </c>
    </row>
    <row r="897" spans="2:7" x14ac:dyDescent="0.2">
      <c r="B897" s="116" t="s">
        <v>1655</v>
      </c>
      <c r="C897" s="117" t="s">
        <v>1656</v>
      </c>
      <c r="D897" s="118">
        <v>0.91</v>
      </c>
      <c r="E897" s="118">
        <v>0.89</v>
      </c>
      <c r="F897" s="118">
        <v>0.63</v>
      </c>
      <c r="G897" s="118">
        <v>38.652000000000001</v>
      </c>
    </row>
    <row r="898" spans="2:7" x14ac:dyDescent="0.2">
      <c r="B898" s="116" t="s">
        <v>1657</v>
      </c>
      <c r="C898" s="117" t="s">
        <v>1658</v>
      </c>
      <c r="D898" s="118">
        <v>0.68</v>
      </c>
      <c r="E898" s="118">
        <v>1.7</v>
      </c>
      <c r="F898" s="118">
        <v>0.33</v>
      </c>
      <c r="G898" s="118">
        <v>29.457999999999998</v>
      </c>
    </row>
    <row r="899" spans="2:7" x14ac:dyDescent="0.2">
      <c r="B899" s="116" t="s">
        <v>1659</v>
      </c>
      <c r="C899" s="117" t="s">
        <v>1660</v>
      </c>
      <c r="D899" s="118">
        <v>0.83</v>
      </c>
      <c r="E899" s="118">
        <v>0.84</v>
      </c>
      <c r="F899" s="118">
        <v>0.21</v>
      </c>
      <c r="G899" s="118">
        <v>17.309000000000001</v>
      </c>
    </row>
    <row r="900" spans="2:7" x14ac:dyDescent="0.2">
      <c r="B900" s="116" t="s">
        <v>1661</v>
      </c>
      <c r="C900" s="117" t="s">
        <v>1662</v>
      </c>
      <c r="D900" s="118">
        <v>5.51</v>
      </c>
      <c r="E900" s="118">
        <v>5.12</v>
      </c>
      <c r="F900" s="118">
        <v>0.52</v>
      </c>
      <c r="G900" s="118">
        <v>34.889989999999997</v>
      </c>
    </row>
    <row r="901" spans="2:7" x14ac:dyDescent="0.2">
      <c r="B901" s="116" t="s">
        <v>1663</v>
      </c>
      <c r="C901" s="117" t="s">
        <v>1664</v>
      </c>
      <c r="D901" s="118">
        <v>0.6</v>
      </c>
      <c r="E901" s="118">
        <v>0.88</v>
      </c>
      <c r="F901" s="118">
        <v>1.71</v>
      </c>
      <c r="G901" s="118">
        <v>63.165999999999997</v>
      </c>
    </row>
    <row r="902" spans="2:7" x14ac:dyDescent="0.2">
      <c r="B902" s="116" t="s">
        <v>1666</v>
      </c>
      <c r="C902" s="117" t="s">
        <v>1667</v>
      </c>
      <c r="D902" s="118">
        <v>1.21</v>
      </c>
      <c r="E902" s="118">
        <v>1.41</v>
      </c>
      <c r="F902" s="118">
        <v>0.79</v>
      </c>
      <c r="G902" s="118">
        <v>44.273989999999998</v>
      </c>
    </row>
    <row r="903" spans="2:7" x14ac:dyDescent="0.2">
      <c r="B903" s="116" t="s">
        <v>3920</v>
      </c>
      <c r="C903" s="117" t="s">
        <v>3921</v>
      </c>
      <c r="D903" s="118">
        <v>0.74</v>
      </c>
      <c r="E903" s="118">
        <v>1.43</v>
      </c>
      <c r="F903" s="118"/>
      <c r="G903" s="118">
        <v>19.965</v>
      </c>
    </row>
    <row r="904" spans="2:7" x14ac:dyDescent="0.2">
      <c r="B904" s="116" t="s">
        <v>1668</v>
      </c>
      <c r="C904" s="117" t="s">
        <v>1669</v>
      </c>
      <c r="D904" s="118">
        <v>1.02</v>
      </c>
      <c r="E904" s="118">
        <v>1.38</v>
      </c>
      <c r="F904" s="118">
        <v>0.2</v>
      </c>
      <c r="G904" s="118">
        <v>16.638000000000002</v>
      </c>
    </row>
    <row r="905" spans="2:7" x14ac:dyDescent="0.2">
      <c r="B905" s="116" t="s">
        <v>1670</v>
      </c>
      <c r="C905" s="117" t="s">
        <v>1671</v>
      </c>
      <c r="D905" s="118">
        <v>1.1599999999999999</v>
      </c>
      <c r="E905" s="118">
        <v>0.53</v>
      </c>
      <c r="F905" s="118">
        <v>3.46</v>
      </c>
      <c r="G905" s="118">
        <v>77.581000000000003</v>
      </c>
    </row>
    <row r="906" spans="2:7" x14ac:dyDescent="0.2">
      <c r="B906" s="116" t="s">
        <v>1672</v>
      </c>
      <c r="C906" s="117" t="s">
        <v>1673</v>
      </c>
      <c r="D906" s="118">
        <v>1.18</v>
      </c>
      <c r="E906" s="118">
        <v>1.98</v>
      </c>
      <c r="F906" s="118">
        <v>0.93</v>
      </c>
      <c r="G906" s="118">
        <v>48.152000000000001</v>
      </c>
    </row>
    <row r="907" spans="2:7" x14ac:dyDescent="0.2">
      <c r="B907" s="116" t="s">
        <v>1675</v>
      </c>
      <c r="C907" s="117" t="s">
        <v>1676</v>
      </c>
      <c r="D907" s="118">
        <v>3.01</v>
      </c>
      <c r="E907" s="118">
        <v>3.97</v>
      </c>
      <c r="F907" s="118">
        <v>0.91</v>
      </c>
      <c r="G907" s="118">
        <v>47.71799</v>
      </c>
    </row>
    <row r="908" spans="2:7" x14ac:dyDescent="0.2">
      <c r="B908" s="116" t="s">
        <v>1677</v>
      </c>
      <c r="C908" s="117" t="s">
        <v>1678</v>
      </c>
      <c r="D908" s="118">
        <v>1.68</v>
      </c>
      <c r="E908" s="118">
        <v>1.75</v>
      </c>
      <c r="F908" s="118">
        <v>0.37</v>
      </c>
      <c r="G908" s="118">
        <v>26.937000000000001</v>
      </c>
    </row>
    <row r="909" spans="2:7" x14ac:dyDescent="0.2">
      <c r="B909" s="116" t="s">
        <v>1679</v>
      </c>
      <c r="C909" s="117" t="s">
        <v>1680</v>
      </c>
      <c r="D909" s="118">
        <v>1.1299999999999999</v>
      </c>
      <c r="E909" s="118">
        <v>1.83</v>
      </c>
      <c r="F909" s="118">
        <v>0.96</v>
      </c>
      <c r="G909" s="118">
        <v>48.875990000000002</v>
      </c>
    </row>
    <row r="910" spans="2:7" x14ac:dyDescent="0.2">
      <c r="B910" s="116" t="s">
        <v>3922</v>
      </c>
      <c r="C910" s="117" t="s">
        <v>3923</v>
      </c>
      <c r="D910" s="118">
        <v>4.78</v>
      </c>
      <c r="E910" s="118">
        <v>4.83</v>
      </c>
      <c r="F910" s="118">
        <v>0.01</v>
      </c>
      <c r="G910" s="118">
        <v>1.0142899999999999</v>
      </c>
    </row>
    <row r="911" spans="2:7" x14ac:dyDescent="0.2">
      <c r="B911" s="116" t="s">
        <v>1681</v>
      </c>
      <c r="C911" s="117" t="s">
        <v>1682</v>
      </c>
      <c r="D911" s="118">
        <v>0.18</v>
      </c>
      <c r="E911" s="118">
        <v>0.19</v>
      </c>
      <c r="F911" s="118">
        <v>0.24</v>
      </c>
      <c r="G911" s="118">
        <v>19.631</v>
      </c>
    </row>
    <row r="912" spans="2:7" x14ac:dyDescent="0.2">
      <c r="B912" s="116" t="s">
        <v>3924</v>
      </c>
      <c r="C912" s="117" t="s">
        <v>3925</v>
      </c>
      <c r="D912" s="118">
        <v>0.82</v>
      </c>
      <c r="E912" s="118">
        <v>0.83</v>
      </c>
      <c r="F912" s="118">
        <v>0.11</v>
      </c>
      <c r="G912" s="118">
        <v>9.8215900000000005</v>
      </c>
    </row>
    <row r="913" spans="2:7" x14ac:dyDescent="0.2">
      <c r="B913" s="116" t="s">
        <v>1683</v>
      </c>
      <c r="C913" s="117" t="s">
        <v>1684</v>
      </c>
      <c r="D913" s="118"/>
      <c r="E913" s="118"/>
      <c r="F913" s="118"/>
      <c r="G913" s="118"/>
    </row>
    <row r="914" spans="2:7" x14ac:dyDescent="0.2">
      <c r="B914" s="116" t="s">
        <v>1685</v>
      </c>
      <c r="C914" s="117" t="s">
        <v>1686</v>
      </c>
      <c r="D914" s="118">
        <v>1.1599999999999999</v>
      </c>
      <c r="E914" s="118">
        <v>2.2200000000000002</v>
      </c>
      <c r="F914" s="118">
        <v>0.77</v>
      </c>
      <c r="G914" s="118">
        <v>43.616999999999997</v>
      </c>
    </row>
    <row r="915" spans="2:7" x14ac:dyDescent="0.2">
      <c r="B915" s="116" t="s">
        <v>3926</v>
      </c>
      <c r="C915" s="117" t="s">
        <v>3927</v>
      </c>
      <c r="D915" s="118"/>
      <c r="E915" s="118"/>
      <c r="F915" s="118"/>
      <c r="G915" s="118"/>
    </row>
    <row r="916" spans="2:7" x14ac:dyDescent="0.2">
      <c r="B916" s="116" t="s">
        <v>3928</v>
      </c>
      <c r="C916" s="117" t="s">
        <v>3929</v>
      </c>
      <c r="D916" s="118"/>
      <c r="E916" s="118"/>
      <c r="F916" s="118"/>
      <c r="G916" s="118"/>
    </row>
    <row r="917" spans="2:7" x14ac:dyDescent="0.2">
      <c r="B917" s="116" t="s">
        <v>3930</v>
      </c>
      <c r="C917" s="117" t="s">
        <v>3931</v>
      </c>
      <c r="D917" s="118">
        <v>2.62</v>
      </c>
      <c r="E917" s="118">
        <v>3.57</v>
      </c>
      <c r="F917" s="118"/>
      <c r="G917" s="118">
        <v>5.03749</v>
      </c>
    </row>
    <row r="918" spans="2:7" x14ac:dyDescent="0.2">
      <c r="B918" s="116" t="s">
        <v>1687</v>
      </c>
      <c r="C918" s="117" t="s">
        <v>1688</v>
      </c>
      <c r="D918" s="118">
        <v>1.97</v>
      </c>
      <c r="E918" s="118">
        <v>2.2000000000000002</v>
      </c>
      <c r="F918" s="118">
        <v>0.9</v>
      </c>
      <c r="G918" s="118">
        <v>47.332000000000001</v>
      </c>
    </row>
    <row r="919" spans="2:7" x14ac:dyDescent="0.2">
      <c r="B919" s="116" t="s">
        <v>1689</v>
      </c>
      <c r="C919" s="117" t="s">
        <v>1690</v>
      </c>
      <c r="D919" s="118">
        <v>1.28</v>
      </c>
      <c r="E919" s="118">
        <v>1.86</v>
      </c>
      <c r="F919" s="118">
        <v>-3.05</v>
      </c>
      <c r="G919" s="118"/>
    </row>
    <row r="920" spans="2:7" x14ac:dyDescent="0.2">
      <c r="B920" s="116" t="s">
        <v>3932</v>
      </c>
      <c r="C920" s="117" t="s">
        <v>3933</v>
      </c>
      <c r="D920" s="118"/>
      <c r="E920" s="118"/>
      <c r="F920" s="118"/>
      <c r="G920" s="118"/>
    </row>
    <row r="921" spans="2:7" x14ac:dyDescent="0.2">
      <c r="B921" s="116" t="s">
        <v>1691</v>
      </c>
      <c r="C921" s="117" t="s">
        <v>1692</v>
      </c>
      <c r="D921" s="118">
        <v>3.13</v>
      </c>
      <c r="E921" s="118">
        <v>4.1100000000000003</v>
      </c>
      <c r="F921" s="118">
        <v>0.82</v>
      </c>
      <c r="G921" s="118">
        <v>45.57799</v>
      </c>
    </row>
    <row r="922" spans="2:7" x14ac:dyDescent="0.2">
      <c r="B922" s="116" t="s">
        <v>1693</v>
      </c>
      <c r="C922" s="117" t="s">
        <v>1694</v>
      </c>
      <c r="D922" s="118">
        <v>1.88</v>
      </c>
      <c r="E922" s="118">
        <v>2.76</v>
      </c>
      <c r="F922" s="118">
        <v>0.99</v>
      </c>
      <c r="G922" s="118">
        <v>49.648989999999998</v>
      </c>
    </row>
    <row r="923" spans="2:7" x14ac:dyDescent="0.2">
      <c r="B923" s="116" t="s">
        <v>3934</v>
      </c>
      <c r="C923" s="117" t="s">
        <v>3935</v>
      </c>
      <c r="D923" s="118">
        <v>4934.6499999999996</v>
      </c>
      <c r="E923" s="118">
        <v>4696.71</v>
      </c>
      <c r="F923" s="118"/>
      <c r="G923" s="118">
        <v>0</v>
      </c>
    </row>
    <row r="924" spans="2:7" x14ac:dyDescent="0.2">
      <c r="B924" s="116" t="s">
        <v>3936</v>
      </c>
      <c r="C924" s="117" t="s">
        <v>3937</v>
      </c>
      <c r="D924" s="118"/>
      <c r="E924" s="118"/>
      <c r="F924" s="118"/>
      <c r="G924" s="118"/>
    </row>
    <row r="925" spans="2:7" x14ac:dyDescent="0.2">
      <c r="B925" s="116" t="s">
        <v>3938</v>
      </c>
      <c r="C925" s="117" t="s">
        <v>3939</v>
      </c>
      <c r="D925" s="118">
        <v>0.68</v>
      </c>
      <c r="E925" s="118">
        <v>0.82</v>
      </c>
      <c r="F925" s="118"/>
      <c r="G925" s="118">
        <v>40.145000000000003</v>
      </c>
    </row>
    <row r="926" spans="2:7" x14ac:dyDescent="0.2">
      <c r="B926" s="116" t="s">
        <v>1695</v>
      </c>
      <c r="C926" s="117" t="s">
        <v>1696</v>
      </c>
      <c r="D926" s="118">
        <v>0.91</v>
      </c>
      <c r="E926" s="118">
        <v>0.96</v>
      </c>
      <c r="F926" s="118">
        <v>0.34</v>
      </c>
      <c r="G926" s="118">
        <v>24.492999999999999</v>
      </c>
    </row>
    <row r="927" spans="2:7" x14ac:dyDescent="0.2">
      <c r="B927" s="116" t="s">
        <v>1697</v>
      </c>
      <c r="C927" s="117" t="s">
        <v>1698</v>
      </c>
      <c r="D927" s="118">
        <v>1.0900000000000001</v>
      </c>
      <c r="E927" s="118">
        <v>1.1200000000000001</v>
      </c>
      <c r="F927" s="118">
        <v>0</v>
      </c>
      <c r="G927" s="118">
        <v>0</v>
      </c>
    </row>
    <row r="928" spans="2:7" x14ac:dyDescent="0.2">
      <c r="B928" s="116" t="s">
        <v>1699</v>
      </c>
      <c r="C928" s="117" t="s">
        <v>1700</v>
      </c>
      <c r="D928" s="118">
        <v>1.24</v>
      </c>
      <c r="E928" s="118">
        <v>1.83</v>
      </c>
      <c r="F928" s="118">
        <v>3.51</v>
      </c>
      <c r="G928" s="118">
        <v>77.825990000000004</v>
      </c>
    </row>
    <row r="929" spans="2:7" x14ac:dyDescent="0.2">
      <c r="B929" s="116" t="s">
        <v>1701</v>
      </c>
      <c r="C929" s="117" t="s">
        <v>1702</v>
      </c>
      <c r="D929" s="118">
        <v>1.08</v>
      </c>
      <c r="E929" s="118">
        <v>1.05</v>
      </c>
      <c r="F929" s="118">
        <v>1.69</v>
      </c>
      <c r="G929" s="118">
        <v>62.77</v>
      </c>
    </row>
    <row r="930" spans="2:7" x14ac:dyDescent="0.2">
      <c r="B930" s="116" t="s">
        <v>3940</v>
      </c>
      <c r="C930" s="117" t="s">
        <v>3941</v>
      </c>
      <c r="D930" s="118">
        <v>0.87</v>
      </c>
      <c r="E930" s="118">
        <v>0.85</v>
      </c>
      <c r="F930" s="118">
        <v>1.69</v>
      </c>
      <c r="G930" s="118">
        <v>62.784990000000001</v>
      </c>
    </row>
    <row r="931" spans="2:7" x14ac:dyDescent="0.2">
      <c r="B931" s="116" t="s">
        <v>1703</v>
      </c>
      <c r="C931" s="117" t="s">
        <v>1704</v>
      </c>
      <c r="D931" s="118">
        <v>1.01</v>
      </c>
      <c r="E931" s="118">
        <v>1</v>
      </c>
      <c r="F931" s="118">
        <v>0.4</v>
      </c>
      <c r="G931" s="118">
        <v>28.587990000000001</v>
      </c>
    </row>
    <row r="932" spans="2:7" x14ac:dyDescent="0.2">
      <c r="B932" s="116" t="s">
        <v>1705</v>
      </c>
      <c r="C932" s="117" t="s">
        <v>1706</v>
      </c>
      <c r="D932" s="118">
        <v>0.75</v>
      </c>
      <c r="E932" s="118">
        <v>1.51</v>
      </c>
      <c r="F932" s="118">
        <v>0.53</v>
      </c>
      <c r="G932" s="118">
        <v>34.479990000000001</v>
      </c>
    </row>
    <row r="933" spans="2:7" x14ac:dyDescent="0.2">
      <c r="B933" s="116" t="s">
        <v>1707</v>
      </c>
      <c r="C933" s="117" t="s">
        <v>1708</v>
      </c>
      <c r="D933" s="118">
        <v>2.1800000000000002</v>
      </c>
      <c r="E933" s="118">
        <v>2.0699999999999998</v>
      </c>
      <c r="F933" s="118">
        <v>0.28000000000000003</v>
      </c>
      <c r="G933" s="118">
        <v>21.911999999999999</v>
      </c>
    </row>
    <row r="934" spans="2:7" x14ac:dyDescent="0.2">
      <c r="B934" s="116" t="s">
        <v>1709</v>
      </c>
      <c r="C934" s="117" t="s">
        <v>1710</v>
      </c>
      <c r="D934" s="118">
        <v>2.4700000000000002</v>
      </c>
      <c r="E934" s="118">
        <v>3.58</v>
      </c>
      <c r="F934" s="118">
        <v>0</v>
      </c>
      <c r="G934" s="118">
        <v>0</v>
      </c>
    </row>
    <row r="935" spans="2:7" x14ac:dyDescent="0.2">
      <c r="B935" s="116" t="s">
        <v>1711</v>
      </c>
      <c r="C935" s="117" t="s">
        <v>1712</v>
      </c>
      <c r="D935" s="118">
        <v>1.91</v>
      </c>
      <c r="E935" s="118">
        <v>2.0299999999999998</v>
      </c>
      <c r="F935" s="118">
        <v>0.76</v>
      </c>
      <c r="G935" s="118">
        <v>43.24</v>
      </c>
    </row>
    <row r="936" spans="2:7" x14ac:dyDescent="0.2">
      <c r="B936" s="116" t="s">
        <v>3942</v>
      </c>
      <c r="C936" s="117" t="s">
        <v>3943</v>
      </c>
      <c r="D936" s="118">
        <v>0.9</v>
      </c>
      <c r="E936" s="118">
        <v>0.91</v>
      </c>
      <c r="F936" s="118"/>
      <c r="G936" s="118">
        <v>52.825000000000003</v>
      </c>
    </row>
    <row r="937" spans="2:7" x14ac:dyDescent="0.2">
      <c r="B937" s="116" t="s">
        <v>1713</v>
      </c>
      <c r="C937" s="117" t="s">
        <v>1714</v>
      </c>
      <c r="D937" s="118">
        <v>1.47</v>
      </c>
      <c r="E937" s="118">
        <v>1.35</v>
      </c>
      <c r="F937" s="118"/>
      <c r="G937" s="118">
        <v>27.018989999999999</v>
      </c>
    </row>
    <row r="938" spans="2:7" x14ac:dyDescent="0.2">
      <c r="B938" s="116" t="s">
        <v>3944</v>
      </c>
      <c r="C938" s="117" t="s">
        <v>3945</v>
      </c>
      <c r="D938" s="118"/>
      <c r="E938" s="118"/>
      <c r="F938" s="118"/>
      <c r="G938" s="118"/>
    </row>
    <row r="939" spans="2:7" x14ac:dyDescent="0.2">
      <c r="B939" s="116" t="s">
        <v>1715</v>
      </c>
      <c r="C939" s="117" t="s">
        <v>1716</v>
      </c>
      <c r="D939" s="118">
        <v>0.62</v>
      </c>
      <c r="E939" s="118">
        <v>1.1499999999999999</v>
      </c>
      <c r="F939" s="118">
        <v>4.49</v>
      </c>
      <c r="G939" s="118">
        <v>81.777990000000003</v>
      </c>
    </row>
    <row r="940" spans="2:7" x14ac:dyDescent="0.2">
      <c r="B940" s="116" t="s">
        <v>3946</v>
      </c>
      <c r="C940" s="117" t="s">
        <v>3947</v>
      </c>
      <c r="D940" s="118"/>
      <c r="E940" s="118"/>
      <c r="F940" s="118"/>
      <c r="G940" s="118"/>
    </row>
    <row r="941" spans="2:7" x14ac:dyDescent="0.2">
      <c r="B941" s="116" t="s">
        <v>3948</v>
      </c>
      <c r="C941" s="117" t="s">
        <v>3949</v>
      </c>
      <c r="D941" s="118">
        <v>8.5500000000000007</v>
      </c>
      <c r="E941" s="118">
        <v>6.54</v>
      </c>
      <c r="F941" s="118">
        <v>0.76</v>
      </c>
      <c r="G941" s="118">
        <v>43.066000000000003</v>
      </c>
    </row>
    <row r="942" spans="2:7" x14ac:dyDescent="0.2">
      <c r="B942" s="116" t="s">
        <v>1717</v>
      </c>
      <c r="C942" s="117" t="s">
        <v>1718</v>
      </c>
      <c r="D942" s="118">
        <v>2.23</v>
      </c>
      <c r="E942" s="118">
        <v>3.36</v>
      </c>
      <c r="F942" s="118">
        <v>0.4</v>
      </c>
      <c r="G942" s="118">
        <v>28.661999999999999</v>
      </c>
    </row>
    <row r="943" spans="2:7" x14ac:dyDescent="0.2">
      <c r="B943" s="116" t="s">
        <v>1719</v>
      </c>
      <c r="C943" s="117" t="s">
        <v>1720</v>
      </c>
      <c r="D943" s="118">
        <v>1.65</v>
      </c>
      <c r="E943" s="118">
        <v>2.6</v>
      </c>
      <c r="F943" s="118">
        <v>0.71</v>
      </c>
      <c r="G943" s="118">
        <v>42.255000000000003</v>
      </c>
    </row>
    <row r="944" spans="2:7" x14ac:dyDescent="0.2">
      <c r="B944" s="116" t="s">
        <v>1721</v>
      </c>
      <c r="C944" s="117" t="s">
        <v>1722</v>
      </c>
      <c r="D944" s="118">
        <v>1.81</v>
      </c>
      <c r="E944" s="118">
        <v>2.77</v>
      </c>
      <c r="F944" s="118"/>
      <c r="G944" s="118">
        <v>18.582999999999998</v>
      </c>
    </row>
    <row r="945" spans="2:7" x14ac:dyDescent="0.2">
      <c r="B945" s="116" t="s">
        <v>3950</v>
      </c>
      <c r="C945" s="117" t="s">
        <v>3951</v>
      </c>
      <c r="D945" s="118"/>
      <c r="E945" s="118"/>
      <c r="F945" s="118"/>
      <c r="G945" s="118"/>
    </row>
    <row r="946" spans="2:7" x14ac:dyDescent="0.2">
      <c r="B946" s="116" t="s">
        <v>3952</v>
      </c>
      <c r="C946" s="117" t="s">
        <v>3953</v>
      </c>
      <c r="D946" s="118"/>
      <c r="E946" s="118"/>
      <c r="F946" s="118"/>
      <c r="G946" s="118"/>
    </row>
    <row r="947" spans="2:7" x14ac:dyDescent="0.2">
      <c r="B947" s="116" t="s">
        <v>1723</v>
      </c>
      <c r="C947" s="117" t="s">
        <v>1724</v>
      </c>
      <c r="D947" s="118">
        <v>1</v>
      </c>
      <c r="E947" s="118">
        <v>0.8</v>
      </c>
      <c r="F947" s="118">
        <v>-2.06</v>
      </c>
      <c r="G947" s="118"/>
    </row>
    <row r="948" spans="2:7" x14ac:dyDescent="0.2">
      <c r="B948" s="116" t="s">
        <v>1725</v>
      </c>
      <c r="C948" s="117" t="s">
        <v>1726</v>
      </c>
      <c r="D948" s="118">
        <v>0.66</v>
      </c>
      <c r="E948" s="118">
        <v>1.2</v>
      </c>
      <c r="F948" s="118"/>
      <c r="G948" s="118">
        <v>36.576000000000001</v>
      </c>
    </row>
    <row r="949" spans="2:7" x14ac:dyDescent="0.2">
      <c r="B949" s="116" t="s">
        <v>3954</v>
      </c>
      <c r="C949" s="117" t="s">
        <v>3955</v>
      </c>
      <c r="D949" s="118"/>
      <c r="E949" s="118"/>
      <c r="F949" s="118"/>
      <c r="G949" s="118"/>
    </row>
    <row r="950" spans="2:7" x14ac:dyDescent="0.2">
      <c r="B950" s="116" t="s">
        <v>3956</v>
      </c>
      <c r="C950" s="117" t="s">
        <v>3957</v>
      </c>
      <c r="D950" s="118"/>
      <c r="E950" s="118"/>
      <c r="F950" s="118"/>
      <c r="G950" s="118"/>
    </row>
    <row r="951" spans="2:7" x14ac:dyDescent="0.2">
      <c r="B951" s="116" t="s">
        <v>3958</v>
      </c>
      <c r="C951" s="117" t="s">
        <v>3959</v>
      </c>
      <c r="D951" s="118"/>
      <c r="E951" s="118"/>
      <c r="F951" s="118"/>
      <c r="G951" s="118"/>
    </row>
    <row r="952" spans="2:7" x14ac:dyDescent="0.2">
      <c r="B952" s="116" t="s">
        <v>3960</v>
      </c>
      <c r="C952" s="117" t="s">
        <v>3961</v>
      </c>
      <c r="D952" s="118"/>
      <c r="E952" s="118"/>
      <c r="F952" s="118"/>
      <c r="G952" s="118"/>
    </row>
    <row r="953" spans="2:7" x14ac:dyDescent="0.2">
      <c r="B953" s="116" t="s">
        <v>3962</v>
      </c>
      <c r="C953" s="117" t="s">
        <v>3963</v>
      </c>
      <c r="D953" s="118"/>
      <c r="E953" s="118"/>
      <c r="F953" s="118"/>
      <c r="G953" s="118"/>
    </row>
    <row r="954" spans="2:7" x14ac:dyDescent="0.2">
      <c r="B954" s="116" t="s">
        <v>3964</v>
      </c>
      <c r="C954" s="117" t="s">
        <v>3965</v>
      </c>
      <c r="D954" s="118"/>
      <c r="E954" s="118"/>
      <c r="F954" s="118"/>
      <c r="G954" s="118"/>
    </row>
    <row r="955" spans="2:7" x14ac:dyDescent="0.2">
      <c r="B955" s="116" t="s">
        <v>1727</v>
      </c>
      <c r="C955" s="117" t="s">
        <v>1728</v>
      </c>
      <c r="D955" s="118">
        <v>1.23</v>
      </c>
      <c r="E955" s="118">
        <v>1.25</v>
      </c>
      <c r="F955" s="118"/>
      <c r="G955" s="118">
        <v>48.247999999999998</v>
      </c>
    </row>
    <row r="956" spans="2:7" x14ac:dyDescent="0.2">
      <c r="B956" s="116" t="s">
        <v>1729</v>
      </c>
      <c r="C956" s="117" t="s">
        <v>1730</v>
      </c>
      <c r="D956" s="118">
        <v>2.27</v>
      </c>
      <c r="E956" s="118">
        <v>6.79</v>
      </c>
      <c r="F956" s="118">
        <v>0.42</v>
      </c>
      <c r="G956" s="118">
        <v>29.561</v>
      </c>
    </row>
    <row r="957" spans="2:7" x14ac:dyDescent="0.2">
      <c r="B957" s="116" t="s">
        <v>3966</v>
      </c>
      <c r="C957" s="117" t="s">
        <v>3967</v>
      </c>
      <c r="D957" s="118">
        <v>0.76</v>
      </c>
      <c r="E957" s="118">
        <v>0.81</v>
      </c>
      <c r="F957" s="118"/>
      <c r="G957" s="118">
        <v>68.882000000000005</v>
      </c>
    </row>
    <row r="958" spans="2:7" x14ac:dyDescent="0.2">
      <c r="B958" s="116" t="s">
        <v>1731</v>
      </c>
      <c r="C958" s="117" t="s">
        <v>1732</v>
      </c>
      <c r="D958" s="118">
        <v>0.32</v>
      </c>
      <c r="E958" s="118"/>
      <c r="F958" s="118"/>
      <c r="G958" s="118"/>
    </row>
    <row r="959" spans="2:7" x14ac:dyDescent="0.2">
      <c r="B959" s="116" t="s">
        <v>1733</v>
      </c>
      <c r="C959" s="117" t="s">
        <v>1734</v>
      </c>
      <c r="D959" s="118"/>
      <c r="E959" s="118"/>
      <c r="F959" s="118"/>
      <c r="G959" s="118"/>
    </row>
    <row r="960" spans="2:7" x14ac:dyDescent="0.2">
      <c r="B960" s="116" t="s">
        <v>1735</v>
      </c>
      <c r="C960" s="117" t="s">
        <v>1736</v>
      </c>
      <c r="D960" s="118"/>
      <c r="E960" s="118">
        <v>9.93</v>
      </c>
      <c r="F960" s="118">
        <v>0.06</v>
      </c>
      <c r="G960" s="118">
        <v>5.8211899999999996</v>
      </c>
    </row>
    <row r="961" spans="2:7" x14ac:dyDescent="0.2">
      <c r="B961" s="116" t="s">
        <v>1737</v>
      </c>
      <c r="C961" s="117" t="s">
        <v>1738</v>
      </c>
      <c r="D961" s="118">
        <v>1.03</v>
      </c>
      <c r="E961" s="118">
        <v>1.44</v>
      </c>
      <c r="F961" s="118">
        <v>0.2</v>
      </c>
      <c r="G961" s="118">
        <v>16.565989999999999</v>
      </c>
    </row>
    <row r="962" spans="2:7" x14ac:dyDescent="0.2">
      <c r="B962" s="116" t="s">
        <v>1739</v>
      </c>
      <c r="C962" s="117" t="s">
        <v>1740</v>
      </c>
      <c r="D962" s="118"/>
      <c r="E962" s="118"/>
      <c r="F962" s="118"/>
      <c r="G962" s="118"/>
    </row>
    <row r="963" spans="2:7" x14ac:dyDescent="0.2">
      <c r="B963" s="116" t="s">
        <v>1741</v>
      </c>
      <c r="C963" s="117" t="s">
        <v>1742</v>
      </c>
      <c r="D963" s="118">
        <v>4.29</v>
      </c>
      <c r="E963" s="118">
        <v>5.61</v>
      </c>
      <c r="F963" s="118">
        <v>0.02</v>
      </c>
      <c r="G963" s="118">
        <v>2.1554899999999999</v>
      </c>
    </row>
    <row r="964" spans="2:7" x14ac:dyDescent="0.2">
      <c r="B964" s="116" t="s">
        <v>1743</v>
      </c>
      <c r="C964" s="117" t="s">
        <v>1744</v>
      </c>
      <c r="D964" s="118">
        <v>0.47</v>
      </c>
      <c r="E964" s="118">
        <v>0.66</v>
      </c>
      <c r="F964" s="118"/>
      <c r="G964" s="118">
        <v>36.929000000000002</v>
      </c>
    </row>
    <row r="965" spans="2:7" x14ac:dyDescent="0.2">
      <c r="B965" s="116" t="s">
        <v>1745</v>
      </c>
      <c r="C965" s="117" t="s">
        <v>1746</v>
      </c>
      <c r="D965" s="118">
        <v>2.84</v>
      </c>
      <c r="E965" s="118">
        <v>2.08</v>
      </c>
      <c r="F965" s="118">
        <v>0</v>
      </c>
      <c r="G965" s="118">
        <v>0</v>
      </c>
    </row>
    <row r="966" spans="2:7" x14ac:dyDescent="0.2">
      <c r="B966" s="116" t="s">
        <v>1747</v>
      </c>
      <c r="C966" s="117" t="s">
        <v>1748</v>
      </c>
      <c r="D966" s="118">
        <v>1.1299999999999999</v>
      </c>
      <c r="E966" s="118">
        <v>0.96</v>
      </c>
      <c r="F966" s="118">
        <v>2.34</v>
      </c>
      <c r="G966" s="118">
        <v>70.101990000000001</v>
      </c>
    </row>
    <row r="967" spans="2:7" x14ac:dyDescent="0.2">
      <c r="B967" s="116" t="s">
        <v>3968</v>
      </c>
      <c r="C967" s="117" t="s">
        <v>3969</v>
      </c>
      <c r="D967" s="118">
        <v>1.08</v>
      </c>
      <c r="E967" s="118">
        <v>1.17</v>
      </c>
      <c r="F967" s="118"/>
      <c r="G967" s="118">
        <v>50.187989999999999</v>
      </c>
    </row>
    <row r="968" spans="2:7" x14ac:dyDescent="0.2">
      <c r="B968" s="116" t="s">
        <v>1749</v>
      </c>
      <c r="C968" s="117" t="s">
        <v>1750</v>
      </c>
      <c r="D968" s="118">
        <v>1.39</v>
      </c>
      <c r="E968" s="118">
        <v>2.48</v>
      </c>
      <c r="F968" s="118">
        <v>0.79</v>
      </c>
      <c r="G968" s="118">
        <v>44.056989999999999</v>
      </c>
    </row>
    <row r="969" spans="2:7" x14ac:dyDescent="0.2">
      <c r="B969" s="116" t="s">
        <v>1751</v>
      </c>
      <c r="C969" s="117" t="s">
        <v>1752</v>
      </c>
      <c r="D969" s="118">
        <v>1.3</v>
      </c>
      <c r="E969" s="118">
        <v>1.48</v>
      </c>
      <c r="F969" s="118">
        <v>0.33</v>
      </c>
      <c r="G969" s="118">
        <v>25.079989999999999</v>
      </c>
    </row>
    <row r="970" spans="2:7" x14ac:dyDescent="0.2">
      <c r="B970" s="116" t="s">
        <v>1754</v>
      </c>
      <c r="C970" s="117" t="s">
        <v>1755</v>
      </c>
      <c r="D970" s="118">
        <v>1.83</v>
      </c>
      <c r="E970" s="118">
        <v>1.83</v>
      </c>
      <c r="F970" s="118">
        <v>0.1</v>
      </c>
      <c r="G970" s="118">
        <v>9.3348899999999997</v>
      </c>
    </row>
    <row r="971" spans="2:7" x14ac:dyDescent="0.2">
      <c r="B971" s="116" t="s">
        <v>1756</v>
      </c>
      <c r="C971" s="117" t="s">
        <v>1757</v>
      </c>
      <c r="D971" s="118">
        <v>0.85</v>
      </c>
      <c r="E971" s="118">
        <v>0.34</v>
      </c>
      <c r="F971" s="118">
        <v>1.1299999999999999</v>
      </c>
      <c r="G971" s="118">
        <v>53.145989999999998</v>
      </c>
    </row>
    <row r="972" spans="2:7" x14ac:dyDescent="0.2">
      <c r="B972" s="116" t="s">
        <v>3970</v>
      </c>
      <c r="C972" s="117" t="s">
        <v>3971</v>
      </c>
      <c r="D972" s="118">
        <v>1.26</v>
      </c>
      <c r="E972" s="118">
        <v>0.68</v>
      </c>
      <c r="F972" s="118">
        <v>2.5099999999999998</v>
      </c>
      <c r="G972" s="118">
        <v>71.512</v>
      </c>
    </row>
    <row r="973" spans="2:7" x14ac:dyDescent="0.2">
      <c r="B973" s="116" t="s">
        <v>1758</v>
      </c>
      <c r="C973" s="117" t="s">
        <v>1759</v>
      </c>
      <c r="D973" s="118">
        <v>7.85</v>
      </c>
      <c r="E973" s="118">
        <v>10.01</v>
      </c>
      <c r="F973" s="118">
        <v>0.45</v>
      </c>
      <c r="G973" s="118">
        <v>31.263000000000002</v>
      </c>
    </row>
    <row r="974" spans="2:7" x14ac:dyDescent="0.2">
      <c r="B974" s="116" t="s">
        <v>1760</v>
      </c>
      <c r="C974" s="117" t="s">
        <v>1761</v>
      </c>
      <c r="D974" s="118">
        <v>1.01</v>
      </c>
      <c r="E974" s="118">
        <v>1.46</v>
      </c>
      <c r="F974" s="118">
        <v>1.38</v>
      </c>
      <c r="G974" s="118">
        <v>57.942</v>
      </c>
    </row>
    <row r="975" spans="2:7" x14ac:dyDescent="0.2">
      <c r="B975" s="116" t="s">
        <v>1762</v>
      </c>
      <c r="C975" s="117" t="s">
        <v>1763</v>
      </c>
      <c r="D975" s="118">
        <v>1.01</v>
      </c>
      <c r="E975" s="118">
        <v>0.97</v>
      </c>
      <c r="F975" s="118">
        <v>2.04</v>
      </c>
      <c r="G975" s="118">
        <v>67.962990000000005</v>
      </c>
    </row>
    <row r="976" spans="2:7" x14ac:dyDescent="0.2">
      <c r="B976" s="116" t="s">
        <v>1765</v>
      </c>
      <c r="C976" s="117" t="s">
        <v>1766</v>
      </c>
      <c r="D976" s="118">
        <v>5.7</v>
      </c>
      <c r="E976" s="118">
        <v>8.3800000000000008</v>
      </c>
      <c r="F976" s="118">
        <v>0.02</v>
      </c>
      <c r="G976" s="118">
        <v>1.6553</v>
      </c>
    </row>
    <row r="977" spans="2:7" x14ac:dyDescent="0.2">
      <c r="B977" s="116" t="s">
        <v>1768</v>
      </c>
      <c r="C977" s="117" t="s">
        <v>1769</v>
      </c>
      <c r="D977" s="118">
        <v>1.03</v>
      </c>
      <c r="E977" s="118">
        <v>1.24</v>
      </c>
      <c r="F977" s="118"/>
      <c r="G977" s="118">
        <v>0</v>
      </c>
    </row>
    <row r="978" spans="2:7" x14ac:dyDescent="0.2">
      <c r="B978" s="116" t="s">
        <v>3972</v>
      </c>
      <c r="C978" s="117" t="s">
        <v>3973</v>
      </c>
      <c r="D978" s="118">
        <v>1.1200000000000001</v>
      </c>
      <c r="E978" s="118">
        <v>1.23</v>
      </c>
      <c r="F978" s="118"/>
      <c r="G978" s="118">
        <v>23.738</v>
      </c>
    </row>
    <row r="979" spans="2:7" x14ac:dyDescent="0.2">
      <c r="B979" s="116" t="s">
        <v>1770</v>
      </c>
      <c r="C979" s="117" t="s">
        <v>1771</v>
      </c>
      <c r="D979" s="118">
        <v>1</v>
      </c>
      <c r="E979" s="118">
        <v>1.1599999999999999</v>
      </c>
      <c r="F979" s="118">
        <v>0.82</v>
      </c>
      <c r="G979" s="118">
        <v>45.030990000000003</v>
      </c>
    </row>
    <row r="980" spans="2:7" x14ac:dyDescent="0.2">
      <c r="B980" s="116" t="s">
        <v>1773</v>
      </c>
      <c r="C980" s="117" t="s">
        <v>1774</v>
      </c>
      <c r="D980" s="118">
        <v>1.1000000000000001</v>
      </c>
      <c r="E980" s="118">
        <v>1.1399999999999999</v>
      </c>
      <c r="F980" s="118">
        <v>1.72</v>
      </c>
      <c r="G980" s="118">
        <v>63.301990000000004</v>
      </c>
    </row>
    <row r="981" spans="2:7" x14ac:dyDescent="0.2">
      <c r="B981" s="116" t="s">
        <v>1775</v>
      </c>
      <c r="C981" s="117" t="s">
        <v>1776</v>
      </c>
      <c r="D981" s="118">
        <v>0.94</v>
      </c>
      <c r="E981" s="118">
        <v>1.23</v>
      </c>
      <c r="F981" s="118">
        <v>0.69</v>
      </c>
      <c r="G981" s="118">
        <v>40.687989999999999</v>
      </c>
    </row>
    <row r="982" spans="2:7" x14ac:dyDescent="0.2">
      <c r="B982" s="116" t="s">
        <v>1779</v>
      </c>
      <c r="C982" s="117" t="s">
        <v>1780</v>
      </c>
      <c r="D982" s="118">
        <v>0.83</v>
      </c>
      <c r="E982" s="118">
        <v>0.75</v>
      </c>
      <c r="F982" s="118">
        <v>6.06</v>
      </c>
      <c r="G982" s="118">
        <v>85.914000000000001</v>
      </c>
    </row>
    <row r="983" spans="2:7" x14ac:dyDescent="0.2">
      <c r="B983" s="116" t="s">
        <v>1781</v>
      </c>
      <c r="C983" s="117" t="s">
        <v>1782</v>
      </c>
      <c r="D983" s="118">
        <v>1.23</v>
      </c>
      <c r="E983" s="118">
        <v>1.25</v>
      </c>
      <c r="F983" s="118">
        <v>2.14</v>
      </c>
      <c r="G983" s="118">
        <v>68.203000000000003</v>
      </c>
    </row>
    <row r="984" spans="2:7" x14ac:dyDescent="0.2">
      <c r="B984" s="116" t="s">
        <v>1783</v>
      </c>
      <c r="C984" s="117" t="s">
        <v>1784</v>
      </c>
      <c r="D984" s="118"/>
      <c r="E984" s="118"/>
      <c r="F984" s="118"/>
      <c r="G984" s="118"/>
    </row>
    <row r="985" spans="2:7" x14ac:dyDescent="0.2">
      <c r="B985" s="116" t="s">
        <v>1785</v>
      </c>
      <c r="C985" s="117" t="s">
        <v>1786</v>
      </c>
      <c r="D985" s="118">
        <v>4.78</v>
      </c>
      <c r="E985" s="118">
        <v>5.04</v>
      </c>
      <c r="F985" s="118">
        <v>0</v>
      </c>
      <c r="G985" s="118">
        <v>0</v>
      </c>
    </row>
    <row r="986" spans="2:7" x14ac:dyDescent="0.2">
      <c r="B986" s="116" t="s">
        <v>3974</v>
      </c>
      <c r="C986" s="117" t="s">
        <v>3975</v>
      </c>
      <c r="D986" s="118">
        <v>1.29</v>
      </c>
      <c r="E986" s="118">
        <v>1.79</v>
      </c>
      <c r="F986" s="118">
        <v>0.2</v>
      </c>
      <c r="G986" s="118">
        <v>16.881</v>
      </c>
    </row>
    <row r="987" spans="2:7" x14ac:dyDescent="0.2">
      <c r="B987" s="116" t="s">
        <v>1787</v>
      </c>
      <c r="C987" s="117" t="s">
        <v>1788</v>
      </c>
      <c r="D987" s="118">
        <v>0.69</v>
      </c>
      <c r="E987" s="118">
        <v>0.68</v>
      </c>
      <c r="F987" s="118">
        <v>2.93</v>
      </c>
      <c r="G987" s="118">
        <v>74.578000000000003</v>
      </c>
    </row>
    <row r="988" spans="2:7" x14ac:dyDescent="0.2">
      <c r="B988" s="116" t="s">
        <v>3976</v>
      </c>
      <c r="C988" s="117" t="s">
        <v>3977</v>
      </c>
      <c r="D988" s="118">
        <v>1.65</v>
      </c>
      <c r="E988" s="118">
        <v>1.79</v>
      </c>
      <c r="F988" s="118">
        <v>2.46</v>
      </c>
      <c r="G988" s="118">
        <v>71.075990000000004</v>
      </c>
    </row>
    <row r="989" spans="2:7" x14ac:dyDescent="0.2">
      <c r="B989" s="116" t="s">
        <v>3978</v>
      </c>
      <c r="C989" s="117" t="s">
        <v>3979</v>
      </c>
      <c r="D989" s="118">
        <v>1.04</v>
      </c>
      <c r="E989" s="118">
        <v>1.24</v>
      </c>
      <c r="F989" s="118">
        <v>0.91</v>
      </c>
      <c r="G989" s="118">
        <v>47.747999999999998</v>
      </c>
    </row>
    <row r="990" spans="2:7" x14ac:dyDescent="0.2">
      <c r="B990" s="116" t="s">
        <v>1789</v>
      </c>
      <c r="C990" s="117" t="s">
        <v>1790</v>
      </c>
      <c r="D990" s="118">
        <v>1.03</v>
      </c>
      <c r="E990" s="118">
        <v>1.44</v>
      </c>
      <c r="F990" s="118">
        <v>1.39</v>
      </c>
      <c r="G990" s="118">
        <v>58.166989999999998</v>
      </c>
    </row>
    <row r="991" spans="2:7" x14ac:dyDescent="0.2">
      <c r="B991" s="116" t="s">
        <v>1791</v>
      </c>
      <c r="C991" s="117" t="s">
        <v>1792</v>
      </c>
      <c r="D991" s="118">
        <v>1.45</v>
      </c>
      <c r="E991" s="118">
        <v>1.91</v>
      </c>
      <c r="F991" s="118">
        <v>0</v>
      </c>
      <c r="G991" s="118">
        <v>0</v>
      </c>
    </row>
    <row r="992" spans="2:7" x14ac:dyDescent="0.2">
      <c r="B992" s="116" t="s">
        <v>1793</v>
      </c>
      <c r="C992" s="117" t="s">
        <v>1794</v>
      </c>
      <c r="D992" s="118">
        <v>1.33</v>
      </c>
      <c r="E992" s="118">
        <v>1.73</v>
      </c>
      <c r="F992" s="118">
        <v>1.74</v>
      </c>
      <c r="G992" s="118">
        <v>63.451000000000001</v>
      </c>
    </row>
    <row r="993" spans="2:7" x14ac:dyDescent="0.2">
      <c r="B993" s="116" t="s">
        <v>3980</v>
      </c>
      <c r="C993" s="117" t="s">
        <v>3981</v>
      </c>
      <c r="D993" s="118">
        <v>0.87</v>
      </c>
      <c r="E993" s="118">
        <v>1.1000000000000001</v>
      </c>
      <c r="F993" s="118"/>
      <c r="G993" s="118">
        <v>53.908999999999999</v>
      </c>
    </row>
    <row r="994" spans="2:7" x14ac:dyDescent="0.2">
      <c r="B994" s="116" t="s">
        <v>1795</v>
      </c>
      <c r="C994" s="117" t="s">
        <v>1796</v>
      </c>
      <c r="D994" s="118">
        <v>1.26</v>
      </c>
      <c r="E994" s="118">
        <v>2.87</v>
      </c>
      <c r="F994" s="118">
        <v>2.52</v>
      </c>
      <c r="G994" s="118">
        <v>71.615989999999996</v>
      </c>
    </row>
    <row r="995" spans="2:7" x14ac:dyDescent="0.2">
      <c r="B995" s="116" t="s">
        <v>3982</v>
      </c>
      <c r="C995" s="117" t="s">
        <v>3983</v>
      </c>
      <c r="D995" s="118"/>
      <c r="E995" s="118"/>
      <c r="F995" s="118"/>
      <c r="G995" s="118"/>
    </row>
    <row r="996" spans="2:7" x14ac:dyDescent="0.2">
      <c r="B996" s="116" t="s">
        <v>1797</v>
      </c>
      <c r="C996" s="117" t="s">
        <v>1798</v>
      </c>
      <c r="D996" s="118">
        <v>1.54</v>
      </c>
      <c r="E996" s="118">
        <v>1.45</v>
      </c>
      <c r="F996" s="118">
        <v>0.71</v>
      </c>
      <c r="G996" s="118">
        <v>34.901000000000003</v>
      </c>
    </row>
    <row r="997" spans="2:7" x14ac:dyDescent="0.2">
      <c r="B997" s="116" t="s">
        <v>3984</v>
      </c>
      <c r="C997" s="117" t="s">
        <v>3985</v>
      </c>
      <c r="D997" s="118"/>
      <c r="E997" s="118"/>
      <c r="F997" s="118"/>
      <c r="G997" s="118"/>
    </row>
    <row r="998" spans="2:7" x14ac:dyDescent="0.2">
      <c r="B998" s="116" t="s">
        <v>3986</v>
      </c>
      <c r="C998" s="117" t="s">
        <v>3987</v>
      </c>
      <c r="D998" s="118"/>
      <c r="E998" s="118"/>
      <c r="F998" s="118"/>
      <c r="G998" s="118"/>
    </row>
    <row r="999" spans="2:7" x14ac:dyDescent="0.2">
      <c r="B999" s="116" t="s">
        <v>3988</v>
      </c>
      <c r="C999" s="117" t="s">
        <v>3989</v>
      </c>
      <c r="D999" s="118"/>
      <c r="E999" s="118"/>
      <c r="F999" s="118"/>
      <c r="G999" s="118"/>
    </row>
    <row r="1000" spans="2:7" x14ac:dyDescent="0.2">
      <c r="B1000" s="116" t="s">
        <v>3990</v>
      </c>
      <c r="C1000" s="117" t="s">
        <v>3991</v>
      </c>
      <c r="D1000" s="118"/>
      <c r="E1000" s="118"/>
      <c r="F1000" s="118"/>
      <c r="G1000" s="118"/>
    </row>
    <row r="1001" spans="2:7" x14ac:dyDescent="0.2">
      <c r="B1001" s="116" t="s">
        <v>3992</v>
      </c>
      <c r="C1001" s="117" t="s">
        <v>3993</v>
      </c>
      <c r="D1001" s="118"/>
      <c r="E1001" s="118"/>
      <c r="F1001" s="118"/>
      <c r="G1001" s="118"/>
    </row>
    <row r="1002" spans="2:7" x14ac:dyDescent="0.2">
      <c r="B1002" s="116" t="s">
        <v>3994</v>
      </c>
      <c r="C1002" s="117" t="s">
        <v>3995</v>
      </c>
      <c r="D1002" s="118"/>
      <c r="E1002" s="118"/>
      <c r="F1002" s="118"/>
      <c r="G1002" s="118"/>
    </row>
    <row r="1003" spans="2:7" x14ac:dyDescent="0.2">
      <c r="B1003" s="116" t="s">
        <v>3996</v>
      </c>
      <c r="C1003" s="117" t="s">
        <v>3997</v>
      </c>
      <c r="D1003" s="118"/>
      <c r="E1003" s="118"/>
      <c r="F1003" s="118"/>
      <c r="G1003" s="118"/>
    </row>
    <row r="1004" spans="2:7" x14ac:dyDescent="0.2">
      <c r="B1004" s="116" t="s">
        <v>3998</v>
      </c>
      <c r="C1004" s="117" t="s">
        <v>3999</v>
      </c>
      <c r="D1004" s="118"/>
      <c r="E1004" s="118"/>
      <c r="F1004" s="118"/>
      <c r="G1004" s="118"/>
    </row>
    <row r="1005" spans="2:7" x14ac:dyDescent="0.2">
      <c r="B1005" s="116" t="s">
        <v>1799</v>
      </c>
      <c r="C1005" s="117" t="s">
        <v>1800</v>
      </c>
      <c r="D1005" s="118">
        <v>1.52</v>
      </c>
      <c r="E1005" s="118">
        <v>1.54</v>
      </c>
      <c r="F1005" s="118">
        <v>1.4</v>
      </c>
      <c r="G1005" s="118">
        <v>58.317999999999998</v>
      </c>
    </row>
    <row r="1006" spans="2:7" x14ac:dyDescent="0.2">
      <c r="B1006" s="116" t="s">
        <v>4000</v>
      </c>
      <c r="C1006" s="117" t="s">
        <v>4001</v>
      </c>
      <c r="D1006" s="118"/>
      <c r="E1006" s="118"/>
      <c r="F1006" s="118"/>
      <c r="G1006" s="118"/>
    </row>
    <row r="1007" spans="2:7" x14ac:dyDescent="0.2">
      <c r="B1007" s="116" t="s">
        <v>4002</v>
      </c>
      <c r="C1007" s="117" t="s">
        <v>4003</v>
      </c>
      <c r="D1007" s="118"/>
      <c r="E1007" s="118"/>
      <c r="F1007" s="118"/>
      <c r="G1007" s="118"/>
    </row>
    <row r="1008" spans="2:7" x14ac:dyDescent="0.2">
      <c r="B1008" s="116" t="s">
        <v>1801</v>
      </c>
      <c r="C1008" s="117" t="s">
        <v>1802</v>
      </c>
      <c r="D1008" s="118">
        <v>0.81</v>
      </c>
      <c r="E1008" s="118">
        <v>1.21</v>
      </c>
      <c r="F1008" s="118"/>
      <c r="G1008" s="118">
        <v>21.37199</v>
      </c>
    </row>
    <row r="1009" spans="2:7" x14ac:dyDescent="0.2">
      <c r="B1009" s="116" t="s">
        <v>4004</v>
      </c>
      <c r="C1009" s="117" t="s">
        <v>4005</v>
      </c>
      <c r="D1009" s="118">
        <v>1.63</v>
      </c>
      <c r="E1009" s="118">
        <v>1.68</v>
      </c>
      <c r="F1009" s="118"/>
      <c r="G1009" s="118">
        <v>9.50319</v>
      </c>
    </row>
    <row r="1010" spans="2:7" x14ac:dyDescent="0.2">
      <c r="B1010" s="116" t="s">
        <v>1803</v>
      </c>
      <c r="C1010" s="117" t="s">
        <v>1804</v>
      </c>
      <c r="D1010" s="118">
        <v>3.42</v>
      </c>
      <c r="E1010" s="118">
        <v>3.71</v>
      </c>
      <c r="F1010" s="118">
        <v>0.57999999999999996</v>
      </c>
      <c r="G1010" s="118">
        <v>36.625</v>
      </c>
    </row>
    <row r="1011" spans="2:7" x14ac:dyDescent="0.2">
      <c r="B1011" s="116" t="s">
        <v>1805</v>
      </c>
      <c r="C1011" s="117" t="s">
        <v>1806</v>
      </c>
      <c r="D1011" s="118">
        <v>4.5</v>
      </c>
      <c r="E1011" s="118">
        <v>3.65</v>
      </c>
      <c r="F1011" s="118">
        <v>0.48</v>
      </c>
      <c r="G1011" s="118">
        <v>32.497</v>
      </c>
    </row>
    <row r="1012" spans="2:7" x14ac:dyDescent="0.2">
      <c r="B1012" s="116" t="s">
        <v>1807</v>
      </c>
      <c r="C1012" s="117" t="s">
        <v>1808</v>
      </c>
      <c r="D1012" s="118">
        <v>1.1000000000000001</v>
      </c>
      <c r="E1012" s="118">
        <v>1.3</v>
      </c>
      <c r="F1012" s="118">
        <v>0.64</v>
      </c>
      <c r="G1012" s="118">
        <v>39.119990000000001</v>
      </c>
    </row>
    <row r="1013" spans="2:7" x14ac:dyDescent="0.2">
      <c r="B1013" s="116" t="s">
        <v>1810</v>
      </c>
      <c r="C1013" s="117" t="s">
        <v>1811</v>
      </c>
      <c r="D1013" s="118"/>
      <c r="E1013" s="118">
        <v>1.01</v>
      </c>
      <c r="F1013" s="118"/>
      <c r="G1013" s="118">
        <v>57.01699</v>
      </c>
    </row>
    <row r="1014" spans="2:7" x14ac:dyDescent="0.2">
      <c r="B1014" s="116" t="s">
        <v>1813</v>
      </c>
      <c r="C1014" s="117" t="s">
        <v>1814</v>
      </c>
      <c r="D1014" s="118">
        <v>0.57999999999999996</v>
      </c>
      <c r="E1014" s="118">
        <v>0.51</v>
      </c>
      <c r="F1014" s="118">
        <v>0.42</v>
      </c>
      <c r="G1014" s="118">
        <v>29.54899</v>
      </c>
    </row>
    <row r="1015" spans="2:7" x14ac:dyDescent="0.2">
      <c r="B1015" s="116" t="s">
        <v>4006</v>
      </c>
      <c r="C1015" s="117" t="s">
        <v>4007</v>
      </c>
      <c r="D1015" s="118">
        <v>1.04</v>
      </c>
      <c r="E1015" s="118">
        <v>1.65</v>
      </c>
      <c r="F1015" s="118"/>
      <c r="G1015" s="118">
        <v>65.652990000000003</v>
      </c>
    </row>
    <row r="1016" spans="2:7" x14ac:dyDescent="0.2">
      <c r="B1016" s="116" t="s">
        <v>1815</v>
      </c>
      <c r="C1016" s="117" t="s">
        <v>1816</v>
      </c>
      <c r="D1016" s="118">
        <v>0.85</v>
      </c>
      <c r="E1016" s="118">
        <v>1.48</v>
      </c>
      <c r="F1016" s="118">
        <v>1.54</v>
      </c>
      <c r="G1016" s="118">
        <v>60.675989999999999</v>
      </c>
    </row>
    <row r="1017" spans="2:7" x14ac:dyDescent="0.2">
      <c r="B1017" s="116" t="s">
        <v>4008</v>
      </c>
      <c r="C1017" s="117" t="s">
        <v>4009</v>
      </c>
      <c r="D1017" s="118">
        <v>0.8</v>
      </c>
      <c r="E1017" s="118">
        <v>0.9</v>
      </c>
      <c r="F1017" s="118"/>
      <c r="G1017" s="118">
        <v>31.838999999999999</v>
      </c>
    </row>
    <row r="1018" spans="2:7" x14ac:dyDescent="0.2">
      <c r="B1018" s="116" t="s">
        <v>1818</v>
      </c>
      <c r="C1018" s="117" t="s">
        <v>1819</v>
      </c>
      <c r="D1018" s="118">
        <v>0.76</v>
      </c>
      <c r="E1018" s="118">
        <v>1.41</v>
      </c>
      <c r="F1018" s="118">
        <v>0.32</v>
      </c>
      <c r="G1018" s="118">
        <v>24.117000000000001</v>
      </c>
    </row>
    <row r="1019" spans="2:7" x14ac:dyDescent="0.2">
      <c r="B1019" s="116" t="s">
        <v>1820</v>
      </c>
      <c r="C1019" s="117" t="s">
        <v>1821</v>
      </c>
      <c r="D1019" s="118">
        <v>1.5</v>
      </c>
      <c r="E1019" s="118">
        <v>0.94</v>
      </c>
      <c r="F1019" s="118">
        <v>1.0900000000000001</v>
      </c>
      <c r="G1019" s="118">
        <v>52.236989999999999</v>
      </c>
    </row>
    <row r="1020" spans="2:7" x14ac:dyDescent="0.2">
      <c r="B1020" s="116" t="s">
        <v>1822</v>
      </c>
      <c r="C1020" s="117" t="s">
        <v>1823</v>
      </c>
      <c r="D1020" s="118">
        <v>0.5</v>
      </c>
      <c r="E1020" s="118">
        <v>0.91</v>
      </c>
      <c r="F1020" s="118">
        <v>0.19</v>
      </c>
      <c r="G1020" s="118">
        <v>29.266999999999999</v>
      </c>
    </row>
    <row r="1021" spans="2:7" x14ac:dyDescent="0.2">
      <c r="B1021" s="116" t="s">
        <v>1824</v>
      </c>
      <c r="C1021" s="117" t="s">
        <v>1825</v>
      </c>
      <c r="D1021" s="118">
        <v>1.45</v>
      </c>
      <c r="E1021" s="118">
        <v>1.36</v>
      </c>
      <c r="F1021" s="118">
        <v>0.17</v>
      </c>
      <c r="G1021" s="118">
        <v>14.37199</v>
      </c>
    </row>
    <row r="1022" spans="2:7" x14ac:dyDescent="0.2">
      <c r="B1022" s="116" t="s">
        <v>4010</v>
      </c>
      <c r="C1022" s="117" t="s">
        <v>4011</v>
      </c>
      <c r="D1022" s="118">
        <v>1.36</v>
      </c>
      <c r="E1022" s="118">
        <v>1.37</v>
      </c>
      <c r="F1022" s="118"/>
      <c r="G1022" s="118">
        <v>51.126989999999999</v>
      </c>
    </row>
    <row r="1023" spans="2:7" x14ac:dyDescent="0.2">
      <c r="B1023" s="116" t="s">
        <v>4012</v>
      </c>
      <c r="C1023" s="117" t="s">
        <v>4013</v>
      </c>
      <c r="D1023" s="118"/>
      <c r="E1023" s="118"/>
      <c r="F1023" s="118"/>
      <c r="G1023" s="118"/>
    </row>
    <row r="1024" spans="2:7" x14ac:dyDescent="0.2">
      <c r="B1024" s="116" t="s">
        <v>1826</v>
      </c>
      <c r="C1024" s="117" t="s">
        <v>1827</v>
      </c>
      <c r="D1024" s="118"/>
      <c r="E1024" s="118">
        <v>1.73</v>
      </c>
      <c r="F1024" s="118"/>
      <c r="G1024" s="118">
        <v>35.361989999999999</v>
      </c>
    </row>
    <row r="1025" spans="2:7" x14ac:dyDescent="0.2">
      <c r="B1025" s="116" t="s">
        <v>1828</v>
      </c>
      <c r="C1025" s="117" t="s">
        <v>1829</v>
      </c>
      <c r="D1025" s="118">
        <v>1.98</v>
      </c>
      <c r="E1025" s="118">
        <v>2.93</v>
      </c>
      <c r="F1025" s="118">
        <v>7.0000000000000007E-2</v>
      </c>
      <c r="G1025" s="118">
        <v>8.9062000000000001</v>
      </c>
    </row>
    <row r="1026" spans="2:7" x14ac:dyDescent="0.2">
      <c r="B1026" s="116" t="s">
        <v>4014</v>
      </c>
      <c r="C1026" s="117" t="s">
        <v>4015</v>
      </c>
      <c r="D1026" s="118">
        <v>0.9</v>
      </c>
      <c r="E1026" s="118">
        <v>1.18</v>
      </c>
      <c r="F1026" s="118">
        <v>1.38</v>
      </c>
      <c r="G1026" s="118">
        <v>57.956000000000003</v>
      </c>
    </row>
    <row r="1027" spans="2:7" x14ac:dyDescent="0.2">
      <c r="B1027" s="116" t="s">
        <v>1830</v>
      </c>
      <c r="C1027" s="117" t="s">
        <v>1831</v>
      </c>
      <c r="D1027" s="118">
        <v>2.29</v>
      </c>
      <c r="E1027" s="118">
        <v>3.58</v>
      </c>
      <c r="F1027" s="118">
        <v>0</v>
      </c>
      <c r="G1027" s="118">
        <v>8.8099999999999998E-2</v>
      </c>
    </row>
    <row r="1028" spans="2:7" x14ac:dyDescent="0.2">
      <c r="B1028" s="116" t="s">
        <v>1832</v>
      </c>
      <c r="C1028" s="117" t="s">
        <v>1833</v>
      </c>
      <c r="D1028" s="118">
        <v>1.21</v>
      </c>
      <c r="E1028" s="118">
        <v>1.21</v>
      </c>
      <c r="F1028" s="118">
        <v>0</v>
      </c>
      <c r="G1028" s="118">
        <v>0</v>
      </c>
    </row>
    <row r="1029" spans="2:7" x14ac:dyDescent="0.2">
      <c r="B1029" s="116" t="s">
        <v>1835</v>
      </c>
      <c r="C1029" s="117" t="s">
        <v>1836</v>
      </c>
      <c r="D1029" s="118">
        <v>1.65</v>
      </c>
      <c r="E1029" s="118">
        <v>1.95</v>
      </c>
      <c r="F1029" s="118">
        <v>0.44</v>
      </c>
      <c r="G1029" s="118">
        <v>30.697990000000001</v>
      </c>
    </row>
    <row r="1030" spans="2:7" x14ac:dyDescent="0.2">
      <c r="B1030" s="116" t="s">
        <v>4016</v>
      </c>
      <c r="C1030" s="117" t="s">
        <v>4017</v>
      </c>
      <c r="D1030" s="118">
        <v>0.85</v>
      </c>
      <c r="E1030" s="118">
        <v>1.06</v>
      </c>
      <c r="F1030" s="118"/>
      <c r="G1030" s="118">
        <v>11.132999999999999</v>
      </c>
    </row>
    <row r="1031" spans="2:7" x14ac:dyDescent="0.2">
      <c r="B1031" s="116" t="s">
        <v>1837</v>
      </c>
      <c r="C1031" s="117" t="s">
        <v>1838</v>
      </c>
      <c r="D1031" s="118">
        <v>1</v>
      </c>
      <c r="E1031" s="118">
        <v>1.64</v>
      </c>
      <c r="F1031" s="118"/>
      <c r="G1031" s="118">
        <v>29.125990000000002</v>
      </c>
    </row>
    <row r="1032" spans="2:7" x14ac:dyDescent="0.2">
      <c r="B1032" s="116" t="s">
        <v>1839</v>
      </c>
      <c r="C1032" s="117" t="s">
        <v>1840</v>
      </c>
      <c r="D1032" s="118">
        <v>1.2</v>
      </c>
      <c r="E1032" s="118">
        <v>1.33</v>
      </c>
      <c r="F1032" s="118">
        <v>0.46</v>
      </c>
      <c r="G1032" s="118">
        <v>31.303999999999998</v>
      </c>
    </row>
    <row r="1033" spans="2:7" x14ac:dyDescent="0.2">
      <c r="B1033" s="116" t="s">
        <v>4018</v>
      </c>
      <c r="C1033" s="117" t="s">
        <v>4019</v>
      </c>
      <c r="D1033" s="118"/>
      <c r="E1033" s="118"/>
      <c r="F1033" s="118"/>
      <c r="G1033" s="118"/>
    </row>
    <row r="1034" spans="2:7" x14ac:dyDescent="0.2">
      <c r="B1034" s="116" t="s">
        <v>1841</v>
      </c>
      <c r="C1034" s="117" t="s">
        <v>1842</v>
      </c>
      <c r="D1034" s="118">
        <v>2.4900000000000002</v>
      </c>
      <c r="E1034" s="118">
        <v>2.13</v>
      </c>
      <c r="F1034" s="118">
        <v>0.32</v>
      </c>
      <c r="G1034" s="118">
        <v>24.507989999999999</v>
      </c>
    </row>
    <row r="1035" spans="2:7" x14ac:dyDescent="0.2">
      <c r="B1035" s="116" t="s">
        <v>4020</v>
      </c>
      <c r="C1035" s="117" t="s">
        <v>4021</v>
      </c>
      <c r="D1035" s="118">
        <v>2.2999999999999998</v>
      </c>
      <c r="E1035" s="118">
        <v>4.0999999999999996</v>
      </c>
      <c r="F1035" s="118">
        <v>0.01</v>
      </c>
      <c r="G1035" s="118">
        <v>0.60855000000000004</v>
      </c>
    </row>
    <row r="1036" spans="2:7" x14ac:dyDescent="0.2">
      <c r="B1036" s="116" t="s">
        <v>1843</v>
      </c>
      <c r="C1036" s="117" t="s">
        <v>1844</v>
      </c>
      <c r="D1036" s="118">
        <v>1</v>
      </c>
      <c r="E1036" s="118">
        <v>0.97</v>
      </c>
      <c r="F1036" s="118">
        <v>1.22</v>
      </c>
      <c r="G1036" s="118">
        <v>54.435000000000002</v>
      </c>
    </row>
    <row r="1037" spans="2:7" x14ac:dyDescent="0.2">
      <c r="B1037" s="116" t="s">
        <v>1845</v>
      </c>
      <c r="C1037" s="117" t="s">
        <v>1846</v>
      </c>
      <c r="D1037" s="118">
        <v>0.24</v>
      </c>
      <c r="E1037" s="118">
        <v>0.41</v>
      </c>
      <c r="F1037" s="118">
        <v>1.1599999999999999</v>
      </c>
      <c r="G1037" s="118">
        <v>53.664000000000001</v>
      </c>
    </row>
    <row r="1038" spans="2:7" x14ac:dyDescent="0.2">
      <c r="B1038" s="116" t="s">
        <v>1847</v>
      </c>
      <c r="C1038" s="117" t="s">
        <v>1848</v>
      </c>
      <c r="D1038" s="118">
        <v>0.5</v>
      </c>
      <c r="E1038" s="118">
        <v>0.66</v>
      </c>
      <c r="F1038" s="118"/>
      <c r="G1038" s="118">
        <v>10.1</v>
      </c>
    </row>
    <row r="1039" spans="2:7" x14ac:dyDescent="0.2">
      <c r="B1039" s="116" t="s">
        <v>1849</v>
      </c>
      <c r="C1039" s="117" t="s">
        <v>1850</v>
      </c>
      <c r="D1039" s="118">
        <v>1.29</v>
      </c>
      <c r="E1039" s="118">
        <v>2.16</v>
      </c>
      <c r="F1039" s="118">
        <v>0.13</v>
      </c>
      <c r="G1039" s="118">
        <v>11.331</v>
      </c>
    </row>
    <row r="1040" spans="2:7" x14ac:dyDescent="0.2">
      <c r="B1040" s="116" t="s">
        <v>4022</v>
      </c>
      <c r="C1040" s="117" t="s">
        <v>4023</v>
      </c>
      <c r="D1040" s="118">
        <v>0.85</v>
      </c>
      <c r="E1040" s="118">
        <v>1.06</v>
      </c>
      <c r="F1040" s="118"/>
      <c r="G1040" s="118">
        <v>11.132999999999999</v>
      </c>
    </row>
    <row r="1041" spans="2:7" x14ac:dyDescent="0.2">
      <c r="B1041" s="116" t="s">
        <v>1851</v>
      </c>
      <c r="C1041" s="117" t="s">
        <v>1852</v>
      </c>
      <c r="D1041" s="118">
        <v>0.41</v>
      </c>
      <c r="E1041" s="118">
        <v>0.79</v>
      </c>
      <c r="F1041" s="118">
        <v>5.39</v>
      </c>
      <c r="G1041" s="118">
        <v>84.346999999999994</v>
      </c>
    </row>
    <row r="1042" spans="2:7" x14ac:dyDescent="0.2">
      <c r="B1042" s="116" t="s">
        <v>1853</v>
      </c>
      <c r="C1042" s="117" t="s">
        <v>1854</v>
      </c>
      <c r="D1042" s="118">
        <v>0.4</v>
      </c>
      <c r="E1042" s="118">
        <v>0.7</v>
      </c>
      <c r="F1042" s="118">
        <v>2.67</v>
      </c>
      <c r="G1042" s="118">
        <v>72.767989999999998</v>
      </c>
    </row>
    <row r="1043" spans="2:7" x14ac:dyDescent="0.2">
      <c r="B1043" s="116" t="s">
        <v>1855</v>
      </c>
      <c r="C1043" s="117" t="s">
        <v>1856</v>
      </c>
      <c r="D1043" s="118">
        <v>1.26</v>
      </c>
      <c r="E1043" s="118">
        <v>1.1399999999999999</v>
      </c>
      <c r="F1043" s="118">
        <v>1</v>
      </c>
      <c r="G1043" s="118">
        <v>50.052999999999997</v>
      </c>
    </row>
    <row r="1044" spans="2:7" x14ac:dyDescent="0.2">
      <c r="B1044" s="116" t="s">
        <v>1857</v>
      </c>
      <c r="C1044" s="117" t="s">
        <v>1858</v>
      </c>
      <c r="D1044" s="118">
        <v>1.64</v>
      </c>
      <c r="E1044" s="118">
        <v>1782.84</v>
      </c>
      <c r="F1044" s="118">
        <v>2.1800000000000002</v>
      </c>
      <c r="G1044" s="118">
        <v>68.544989999999999</v>
      </c>
    </row>
    <row r="1045" spans="2:7" x14ac:dyDescent="0.2">
      <c r="B1045" s="116" t="s">
        <v>1859</v>
      </c>
      <c r="C1045" s="117" t="s">
        <v>1860</v>
      </c>
      <c r="D1045" s="118"/>
      <c r="E1045" s="118"/>
      <c r="F1045" s="118"/>
      <c r="G1045" s="118">
        <v>0</v>
      </c>
    </row>
    <row r="1046" spans="2:7" x14ac:dyDescent="0.2">
      <c r="B1046" s="116" t="s">
        <v>1861</v>
      </c>
      <c r="C1046" s="117" t="s">
        <v>1862</v>
      </c>
      <c r="D1046" s="118">
        <v>1.38</v>
      </c>
      <c r="E1046" s="118">
        <v>1.27</v>
      </c>
      <c r="F1046" s="118">
        <v>0.78</v>
      </c>
      <c r="G1046" s="118">
        <v>43.866999999999997</v>
      </c>
    </row>
    <row r="1047" spans="2:7" x14ac:dyDescent="0.2">
      <c r="B1047" s="116" t="s">
        <v>4024</v>
      </c>
      <c r="C1047" s="117" t="s">
        <v>4025</v>
      </c>
      <c r="D1047" s="118">
        <v>1.18</v>
      </c>
      <c r="E1047" s="118">
        <v>1.1200000000000001</v>
      </c>
      <c r="F1047" s="118"/>
      <c r="G1047" s="118">
        <v>94.184989999999999</v>
      </c>
    </row>
    <row r="1048" spans="2:7" x14ac:dyDescent="0.2">
      <c r="B1048" s="116" t="s">
        <v>4026</v>
      </c>
      <c r="C1048" s="117" t="s">
        <v>4027</v>
      </c>
      <c r="D1048" s="118"/>
      <c r="E1048" s="118"/>
      <c r="F1048" s="118"/>
      <c r="G1048" s="118"/>
    </row>
    <row r="1049" spans="2:7" x14ac:dyDescent="0.2">
      <c r="B1049" s="116" t="s">
        <v>1863</v>
      </c>
      <c r="C1049" s="117" t="s">
        <v>1864</v>
      </c>
      <c r="D1049" s="118">
        <v>0.27</v>
      </c>
      <c r="E1049" s="118">
        <v>0.33</v>
      </c>
      <c r="F1049" s="118">
        <v>0.57999999999999996</v>
      </c>
      <c r="G1049" s="118">
        <v>36.518999999999998</v>
      </c>
    </row>
    <row r="1050" spans="2:7" x14ac:dyDescent="0.2">
      <c r="B1050" s="116" t="s">
        <v>1865</v>
      </c>
      <c r="C1050" s="117" t="s">
        <v>1866</v>
      </c>
      <c r="D1050" s="118">
        <v>0.56999999999999995</v>
      </c>
      <c r="E1050" s="118">
        <v>0.84</v>
      </c>
      <c r="F1050" s="118">
        <v>0.79</v>
      </c>
      <c r="G1050" s="118">
        <v>44.279989999999998</v>
      </c>
    </row>
    <row r="1051" spans="2:7" x14ac:dyDescent="0.2">
      <c r="B1051" s="116" t="s">
        <v>1867</v>
      </c>
      <c r="C1051" s="117" t="s">
        <v>1868</v>
      </c>
      <c r="D1051" s="118">
        <v>0.97</v>
      </c>
      <c r="E1051" s="118">
        <v>2</v>
      </c>
      <c r="F1051" s="118">
        <v>0.52</v>
      </c>
      <c r="G1051" s="118">
        <v>34.26399</v>
      </c>
    </row>
    <row r="1052" spans="2:7" x14ac:dyDescent="0.2">
      <c r="B1052" s="116" t="s">
        <v>1869</v>
      </c>
      <c r="C1052" s="117" t="s">
        <v>1870</v>
      </c>
      <c r="D1052" s="118">
        <v>0.88</v>
      </c>
      <c r="E1052" s="118">
        <v>0.91</v>
      </c>
      <c r="F1052" s="118">
        <v>0.95</v>
      </c>
      <c r="G1052" s="118">
        <v>45.75</v>
      </c>
    </row>
    <row r="1053" spans="2:7" x14ac:dyDescent="0.2">
      <c r="B1053" s="116" t="s">
        <v>1871</v>
      </c>
      <c r="C1053" s="117" t="s">
        <v>1872</v>
      </c>
      <c r="D1053" s="118">
        <v>1.2</v>
      </c>
      <c r="E1053" s="118">
        <v>2.0499999999999998</v>
      </c>
      <c r="F1053" s="118">
        <v>0.44</v>
      </c>
      <c r="G1053" s="118">
        <v>30.544</v>
      </c>
    </row>
    <row r="1054" spans="2:7" x14ac:dyDescent="0.2">
      <c r="B1054" s="116" t="s">
        <v>1873</v>
      </c>
      <c r="C1054" s="117" t="s">
        <v>1874</v>
      </c>
      <c r="D1054" s="118">
        <v>0.89</v>
      </c>
      <c r="E1054" s="118">
        <v>2.88</v>
      </c>
      <c r="F1054" s="118">
        <v>0.41</v>
      </c>
      <c r="G1054" s="118">
        <v>29.027989999999999</v>
      </c>
    </row>
    <row r="1055" spans="2:7" x14ac:dyDescent="0.2">
      <c r="B1055" s="116" t="s">
        <v>1875</v>
      </c>
      <c r="C1055" s="117" t="s">
        <v>1876</v>
      </c>
      <c r="D1055" s="118">
        <v>1.69</v>
      </c>
      <c r="E1055" s="118">
        <v>1.69</v>
      </c>
      <c r="F1055" s="118"/>
      <c r="G1055" s="118">
        <v>3.1393</v>
      </c>
    </row>
    <row r="1056" spans="2:7" x14ac:dyDescent="0.2">
      <c r="B1056" s="116" t="s">
        <v>1877</v>
      </c>
      <c r="C1056" s="117" t="s">
        <v>1878</v>
      </c>
      <c r="D1056" s="118">
        <v>0.3</v>
      </c>
      <c r="E1056" s="118">
        <v>1.28</v>
      </c>
      <c r="F1056" s="118"/>
      <c r="G1056" s="118">
        <v>2.3756900000000001</v>
      </c>
    </row>
    <row r="1057" spans="2:7" x14ac:dyDescent="0.2">
      <c r="B1057" s="116" t="s">
        <v>1879</v>
      </c>
      <c r="C1057" s="117" t="s">
        <v>1880</v>
      </c>
      <c r="D1057" s="118">
        <v>0.85</v>
      </c>
      <c r="E1057" s="118">
        <v>1.18</v>
      </c>
      <c r="F1057" s="118">
        <v>0.57999999999999996</v>
      </c>
      <c r="G1057" s="118">
        <v>36.601999999999997</v>
      </c>
    </row>
    <row r="1058" spans="2:7" x14ac:dyDescent="0.2">
      <c r="B1058" s="116" t="s">
        <v>1881</v>
      </c>
      <c r="C1058" s="117" t="s">
        <v>1882</v>
      </c>
      <c r="D1058" s="118">
        <v>1.04</v>
      </c>
      <c r="E1058" s="118">
        <v>0.97</v>
      </c>
      <c r="F1058" s="118"/>
      <c r="G1058" s="118">
        <v>34.203989999999997</v>
      </c>
    </row>
    <row r="1059" spans="2:7" x14ac:dyDescent="0.2">
      <c r="B1059" s="116" t="s">
        <v>1883</v>
      </c>
      <c r="C1059" s="117" t="s">
        <v>1884</v>
      </c>
      <c r="D1059" s="118">
        <v>0.5</v>
      </c>
      <c r="E1059" s="118">
        <v>0.76</v>
      </c>
      <c r="F1059" s="118"/>
      <c r="G1059" s="118">
        <v>38.189990000000002</v>
      </c>
    </row>
    <row r="1060" spans="2:7" x14ac:dyDescent="0.2">
      <c r="B1060" s="116" t="s">
        <v>4028</v>
      </c>
      <c r="C1060" s="117" t="s">
        <v>4029</v>
      </c>
      <c r="D1060" s="118">
        <v>1.96</v>
      </c>
      <c r="E1060" s="118">
        <v>1.96</v>
      </c>
      <c r="F1060" s="118">
        <v>0.93</v>
      </c>
      <c r="G1060" s="118">
        <v>48.34</v>
      </c>
    </row>
    <row r="1061" spans="2:7" x14ac:dyDescent="0.2">
      <c r="B1061" s="116" t="s">
        <v>4030</v>
      </c>
      <c r="C1061" s="117" t="s">
        <v>4031</v>
      </c>
      <c r="D1061" s="118">
        <v>2.72</v>
      </c>
      <c r="E1061" s="118">
        <v>3.79</v>
      </c>
      <c r="F1061" s="118"/>
      <c r="G1061" s="118">
        <v>0</v>
      </c>
    </row>
    <row r="1062" spans="2:7" x14ac:dyDescent="0.2">
      <c r="B1062" s="116" t="s">
        <v>1885</v>
      </c>
      <c r="C1062" s="117" t="s">
        <v>1886</v>
      </c>
      <c r="D1062" s="118"/>
      <c r="E1062" s="118"/>
      <c r="F1062" s="118"/>
      <c r="G1062" s="118"/>
    </row>
    <row r="1063" spans="2:7" x14ac:dyDescent="0.2">
      <c r="B1063" s="116" t="s">
        <v>1885</v>
      </c>
      <c r="C1063" s="117" t="s">
        <v>4032</v>
      </c>
      <c r="D1063" s="118">
        <v>0.87</v>
      </c>
      <c r="E1063" s="118">
        <v>0.9</v>
      </c>
      <c r="F1063" s="118"/>
      <c r="G1063" s="118">
        <v>78.221999999999994</v>
      </c>
    </row>
    <row r="1064" spans="2:7" x14ac:dyDescent="0.2">
      <c r="B1064" s="116" t="s">
        <v>1887</v>
      </c>
      <c r="C1064" s="117" t="s">
        <v>1888</v>
      </c>
      <c r="D1064" s="118">
        <v>1.0900000000000001</v>
      </c>
      <c r="E1064" s="118">
        <v>1.0900000000000001</v>
      </c>
      <c r="F1064" s="118">
        <v>0.92</v>
      </c>
      <c r="G1064" s="118">
        <v>47.594999999999999</v>
      </c>
    </row>
    <row r="1065" spans="2:7" x14ac:dyDescent="0.2">
      <c r="B1065" s="116" t="s">
        <v>1889</v>
      </c>
      <c r="C1065" s="117" t="s">
        <v>1890</v>
      </c>
      <c r="D1065" s="118">
        <v>1.86</v>
      </c>
      <c r="E1065" s="118">
        <v>2.0299999999999998</v>
      </c>
      <c r="F1065" s="118">
        <v>0</v>
      </c>
      <c r="G1065" s="118">
        <v>0.48952000000000001</v>
      </c>
    </row>
    <row r="1066" spans="2:7" x14ac:dyDescent="0.2">
      <c r="B1066" s="116" t="s">
        <v>1891</v>
      </c>
      <c r="C1066" s="117" t="s">
        <v>1892</v>
      </c>
      <c r="D1066" s="118">
        <v>1.73</v>
      </c>
      <c r="E1066" s="118">
        <v>2.44</v>
      </c>
      <c r="F1066" s="118">
        <v>1.19</v>
      </c>
      <c r="G1066" s="118">
        <v>54.235999999999997</v>
      </c>
    </row>
    <row r="1067" spans="2:7" x14ac:dyDescent="0.2">
      <c r="B1067" s="116" t="s">
        <v>4033</v>
      </c>
      <c r="C1067" s="117" t="s">
        <v>4034</v>
      </c>
      <c r="D1067" s="118">
        <v>2.6</v>
      </c>
      <c r="E1067" s="118">
        <v>4.3</v>
      </c>
      <c r="F1067" s="118"/>
      <c r="G1067" s="118">
        <v>74.903989999999993</v>
      </c>
    </row>
    <row r="1068" spans="2:7" x14ac:dyDescent="0.2">
      <c r="B1068" s="116" t="s">
        <v>1893</v>
      </c>
      <c r="C1068" s="117" t="s">
        <v>1894</v>
      </c>
      <c r="D1068" s="118">
        <v>0.32</v>
      </c>
      <c r="E1068" s="118">
        <v>0.32</v>
      </c>
      <c r="F1068" s="118"/>
      <c r="G1068" s="118">
        <v>35.305990000000001</v>
      </c>
    </row>
    <row r="1069" spans="2:7" x14ac:dyDescent="0.2">
      <c r="B1069" s="116" t="s">
        <v>1895</v>
      </c>
      <c r="C1069" s="117" t="s">
        <v>1896</v>
      </c>
      <c r="D1069" s="118">
        <v>0.74</v>
      </c>
      <c r="E1069" s="118">
        <v>0.75</v>
      </c>
      <c r="F1069" s="118">
        <v>0.33</v>
      </c>
      <c r="G1069" s="118">
        <v>24.965990000000001</v>
      </c>
    </row>
    <row r="1070" spans="2:7" x14ac:dyDescent="0.2">
      <c r="B1070" s="116" t="s">
        <v>1898</v>
      </c>
      <c r="C1070" s="117" t="s">
        <v>1899</v>
      </c>
      <c r="D1070" s="118">
        <v>0.49</v>
      </c>
      <c r="E1070" s="118">
        <v>0.81</v>
      </c>
      <c r="F1070" s="118">
        <v>134.02000000000001</v>
      </c>
      <c r="G1070" s="118">
        <v>99.259</v>
      </c>
    </row>
    <row r="1071" spans="2:7" x14ac:dyDescent="0.2">
      <c r="B1071" s="116" t="s">
        <v>1900</v>
      </c>
      <c r="C1071" s="117" t="s">
        <v>1901</v>
      </c>
      <c r="D1071" s="118">
        <v>0.71</v>
      </c>
      <c r="E1071" s="118">
        <v>0.41</v>
      </c>
      <c r="F1071" s="118">
        <v>0.96</v>
      </c>
      <c r="G1071" s="118">
        <v>49.484000000000002</v>
      </c>
    </row>
    <row r="1072" spans="2:7" x14ac:dyDescent="0.2">
      <c r="B1072" s="116" t="s">
        <v>1902</v>
      </c>
      <c r="C1072" s="117" t="s">
        <v>1903</v>
      </c>
      <c r="D1072" s="118">
        <v>0.21</v>
      </c>
      <c r="E1072" s="118">
        <v>0.27</v>
      </c>
      <c r="F1072" s="118">
        <v>0.28000000000000003</v>
      </c>
      <c r="G1072" s="118">
        <v>21.822990000000001</v>
      </c>
    </row>
    <row r="1073" spans="2:7" x14ac:dyDescent="0.2">
      <c r="B1073" s="116" t="s">
        <v>1904</v>
      </c>
      <c r="C1073" s="117" t="s">
        <v>1905</v>
      </c>
      <c r="D1073" s="118"/>
      <c r="E1073" s="118">
        <v>1.75</v>
      </c>
      <c r="F1073" s="118"/>
      <c r="G1073" s="118">
        <v>20.139990000000001</v>
      </c>
    </row>
    <row r="1074" spans="2:7" x14ac:dyDescent="0.2">
      <c r="B1074" s="116" t="s">
        <v>1906</v>
      </c>
      <c r="C1074" s="117" t="s">
        <v>1907</v>
      </c>
      <c r="D1074" s="118">
        <v>0.53</v>
      </c>
      <c r="E1074" s="118">
        <v>2.21</v>
      </c>
      <c r="F1074" s="118"/>
      <c r="G1074" s="118">
        <v>80.752989999999997</v>
      </c>
    </row>
    <row r="1075" spans="2:7" x14ac:dyDescent="0.2">
      <c r="B1075" s="116" t="s">
        <v>4035</v>
      </c>
      <c r="C1075" s="117" t="s">
        <v>4036</v>
      </c>
      <c r="D1075" s="118">
        <v>1.06</v>
      </c>
      <c r="E1075" s="118">
        <v>1.33</v>
      </c>
      <c r="F1075" s="118">
        <v>0.25</v>
      </c>
      <c r="G1075" s="118">
        <v>20.177990000000001</v>
      </c>
    </row>
    <row r="1076" spans="2:7" x14ac:dyDescent="0.2">
      <c r="B1076" s="116" t="s">
        <v>1908</v>
      </c>
      <c r="C1076" s="117" t="s">
        <v>1909</v>
      </c>
      <c r="D1076" s="118">
        <v>1.6</v>
      </c>
      <c r="E1076" s="118">
        <v>2.13</v>
      </c>
      <c r="F1076" s="118"/>
      <c r="G1076" s="118">
        <v>30.559989999999999</v>
      </c>
    </row>
    <row r="1077" spans="2:7" x14ac:dyDescent="0.2">
      <c r="B1077" s="116" t="s">
        <v>1910</v>
      </c>
      <c r="C1077" s="117" t="s">
        <v>1911</v>
      </c>
      <c r="D1077" s="118">
        <v>2.82</v>
      </c>
      <c r="E1077" s="118">
        <v>2.93</v>
      </c>
      <c r="F1077" s="118"/>
      <c r="G1077" s="118">
        <v>3.4251</v>
      </c>
    </row>
    <row r="1078" spans="2:7" x14ac:dyDescent="0.2">
      <c r="B1078" s="116" t="s">
        <v>4037</v>
      </c>
      <c r="C1078" s="117" t="s">
        <v>4038</v>
      </c>
      <c r="D1078" s="118">
        <v>0.81</v>
      </c>
      <c r="E1078" s="118">
        <v>0.11</v>
      </c>
      <c r="F1078" s="118">
        <v>0.03</v>
      </c>
      <c r="G1078" s="118">
        <v>3.1580900000000001</v>
      </c>
    </row>
    <row r="1079" spans="2:7" x14ac:dyDescent="0.2">
      <c r="B1079" s="116" t="s">
        <v>1912</v>
      </c>
      <c r="C1079" s="117" t="s">
        <v>1913</v>
      </c>
      <c r="D1079" s="118">
        <v>1.48</v>
      </c>
      <c r="E1079" s="118">
        <v>1.17</v>
      </c>
      <c r="F1079" s="118">
        <v>0.15</v>
      </c>
      <c r="G1079" s="118">
        <v>13.052</v>
      </c>
    </row>
    <row r="1080" spans="2:7" x14ac:dyDescent="0.2">
      <c r="B1080" s="116" t="s">
        <v>1914</v>
      </c>
      <c r="C1080" s="117" t="s">
        <v>1915</v>
      </c>
      <c r="D1080" s="118">
        <v>0.95</v>
      </c>
      <c r="E1080" s="118">
        <v>0.83</v>
      </c>
      <c r="F1080" s="118">
        <v>1.44</v>
      </c>
      <c r="G1080" s="118">
        <v>59.075000000000003</v>
      </c>
    </row>
    <row r="1081" spans="2:7" x14ac:dyDescent="0.2">
      <c r="B1081" s="116" t="s">
        <v>1916</v>
      </c>
      <c r="C1081" s="117" t="s">
        <v>1917</v>
      </c>
      <c r="D1081" s="118">
        <v>1.04</v>
      </c>
      <c r="E1081" s="118">
        <v>1.01</v>
      </c>
      <c r="F1081" s="118">
        <v>0.46</v>
      </c>
      <c r="G1081" s="118">
        <v>31.691990000000001</v>
      </c>
    </row>
    <row r="1082" spans="2:7" x14ac:dyDescent="0.2">
      <c r="B1082" s="116" t="s">
        <v>4039</v>
      </c>
      <c r="C1082" s="117" t="s">
        <v>4040</v>
      </c>
      <c r="D1082" s="118">
        <v>1</v>
      </c>
      <c r="E1082" s="118">
        <v>1.32</v>
      </c>
      <c r="F1082" s="118">
        <v>0.64</v>
      </c>
      <c r="G1082" s="118">
        <v>38.844000000000001</v>
      </c>
    </row>
    <row r="1083" spans="2:7" x14ac:dyDescent="0.2">
      <c r="B1083" s="116" t="s">
        <v>1918</v>
      </c>
      <c r="C1083" s="117" t="s">
        <v>1919</v>
      </c>
      <c r="D1083" s="118">
        <v>0.28000000000000003</v>
      </c>
      <c r="E1083" s="118">
        <v>0.76</v>
      </c>
      <c r="F1083" s="118">
        <v>2.15</v>
      </c>
      <c r="G1083" s="118">
        <v>68.240989999999996</v>
      </c>
    </row>
    <row r="1084" spans="2:7" x14ac:dyDescent="0.2">
      <c r="B1084" s="116" t="s">
        <v>1920</v>
      </c>
      <c r="C1084" s="117" t="s">
        <v>1921</v>
      </c>
      <c r="D1084" s="118">
        <v>1.22</v>
      </c>
      <c r="E1084" s="118">
        <v>0.99</v>
      </c>
      <c r="F1084" s="118">
        <v>0.76</v>
      </c>
      <c r="G1084" s="118">
        <v>43.228999999999999</v>
      </c>
    </row>
    <row r="1085" spans="2:7" x14ac:dyDescent="0.2">
      <c r="B1085" s="116" t="s">
        <v>4041</v>
      </c>
      <c r="C1085" s="117" t="s">
        <v>4042</v>
      </c>
      <c r="D1085" s="118"/>
      <c r="E1085" s="118"/>
      <c r="F1085" s="118"/>
      <c r="G1085" s="118"/>
    </row>
    <row r="1086" spans="2:7" x14ac:dyDescent="0.2">
      <c r="B1086" s="116" t="s">
        <v>4043</v>
      </c>
      <c r="C1086" s="117" t="s">
        <v>4044</v>
      </c>
      <c r="D1086" s="118">
        <v>0.84</v>
      </c>
      <c r="E1086" s="118">
        <v>1.38</v>
      </c>
      <c r="F1086" s="118"/>
      <c r="G1086" s="118">
        <v>34.444000000000003</v>
      </c>
    </row>
    <row r="1087" spans="2:7" x14ac:dyDescent="0.2">
      <c r="B1087" s="116" t="s">
        <v>1922</v>
      </c>
      <c r="C1087" s="117" t="s">
        <v>1923</v>
      </c>
      <c r="D1087" s="118">
        <v>0.5</v>
      </c>
      <c r="E1087" s="118">
        <v>1.65</v>
      </c>
      <c r="F1087" s="118">
        <v>1.06</v>
      </c>
      <c r="G1087" s="118">
        <v>51.411990000000003</v>
      </c>
    </row>
    <row r="1088" spans="2:7" x14ac:dyDescent="0.2">
      <c r="B1088" s="116" t="s">
        <v>1925</v>
      </c>
      <c r="C1088" s="117" t="s">
        <v>1926</v>
      </c>
      <c r="D1088" s="118">
        <v>1.06</v>
      </c>
      <c r="E1088" s="118">
        <v>0.79</v>
      </c>
      <c r="F1088" s="118">
        <v>0.47</v>
      </c>
      <c r="G1088" s="118">
        <v>31.794</v>
      </c>
    </row>
    <row r="1089" spans="2:7" x14ac:dyDescent="0.2">
      <c r="B1089" s="116" t="s">
        <v>1927</v>
      </c>
      <c r="C1089" s="117" t="s">
        <v>1928</v>
      </c>
      <c r="D1089" s="118">
        <v>1.18</v>
      </c>
      <c r="E1089" s="118">
        <v>1.19</v>
      </c>
      <c r="F1089" s="118">
        <v>0.38</v>
      </c>
      <c r="G1089" s="118">
        <v>27.436</v>
      </c>
    </row>
    <row r="1090" spans="2:7" x14ac:dyDescent="0.2">
      <c r="B1090" s="116" t="s">
        <v>1929</v>
      </c>
      <c r="C1090" s="117" t="s">
        <v>1930</v>
      </c>
      <c r="D1090" s="118"/>
      <c r="E1090" s="118"/>
      <c r="F1090" s="118"/>
      <c r="G1090" s="118"/>
    </row>
    <row r="1091" spans="2:7" x14ac:dyDescent="0.2">
      <c r="B1091" s="116" t="s">
        <v>1931</v>
      </c>
      <c r="C1091" s="117" t="s">
        <v>1932</v>
      </c>
      <c r="D1091" s="118">
        <v>1.7</v>
      </c>
      <c r="E1091" s="118">
        <v>2.41</v>
      </c>
      <c r="F1091" s="118"/>
      <c r="G1091" s="118">
        <v>23.443999999999999</v>
      </c>
    </row>
    <row r="1092" spans="2:7" x14ac:dyDescent="0.2">
      <c r="B1092" s="116" t="s">
        <v>4045</v>
      </c>
      <c r="C1092" s="117" t="s">
        <v>4046</v>
      </c>
      <c r="D1092" s="118">
        <v>1.1200000000000001</v>
      </c>
      <c r="E1092" s="118">
        <v>0.87</v>
      </c>
      <c r="F1092" s="118">
        <v>4.0199999999999996</v>
      </c>
      <c r="G1092" s="118">
        <v>80.066999999999993</v>
      </c>
    </row>
    <row r="1093" spans="2:7" x14ac:dyDescent="0.2">
      <c r="B1093" s="116" t="s">
        <v>1933</v>
      </c>
      <c r="C1093" s="117" t="s">
        <v>1934</v>
      </c>
      <c r="D1093" s="118"/>
      <c r="E1093" s="118">
        <v>1.26</v>
      </c>
      <c r="F1093" s="118"/>
      <c r="G1093" s="118">
        <v>39.734999999999999</v>
      </c>
    </row>
    <row r="1094" spans="2:7" x14ac:dyDescent="0.2">
      <c r="B1094" s="116" t="s">
        <v>1935</v>
      </c>
      <c r="C1094" s="117" t="s">
        <v>1936</v>
      </c>
      <c r="D1094" s="118">
        <v>2.71</v>
      </c>
      <c r="E1094" s="118">
        <v>3.34</v>
      </c>
      <c r="F1094" s="118">
        <v>0.01</v>
      </c>
      <c r="G1094" s="118">
        <v>1.0629900000000001</v>
      </c>
    </row>
    <row r="1095" spans="2:7" x14ac:dyDescent="0.2">
      <c r="B1095" s="116" t="s">
        <v>1937</v>
      </c>
      <c r="C1095" s="117" t="s">
        <v>1938</v>
      </c>
      <c r="D1095" s="118">
        <v>0.33</v>
      </c>
      <c r="E1095" s="118">
        <v>0.34</v>
      </c>
      <c r="F1095" s="118">
        <v>0.51</v>
      </c>
      <c r="G1095" s="118">
        <v>33.84299</v>
      </c>
    </row>
    <row r="1096" spans="2:7" x14ac:dyDescent="0.2">
      <c r="B1096" s="116" t="s">
        <v>1939</v>
      </c>
      <c r="C1096" s="117" t="s">
        <v>1940</v>
      </c>
      <c r="D1096" s="118">
        <v>0.25</v>
      </c>
      <c r="E1096" s="118">
        <v>1.1599999999999999</v>
      </c>
      <c r="F1096" s="118">
        <v>1.23</v>
      </c>
      <c r="G1096" s="118">
        <v>55.101999999999997</v>
      </c>
    </row>
    <row r="1097" spans="2:7" x14ac:dyDescent="0.2">
      <c r="B1097" s="116" t="s">
        <v>1941</v>
      </c>
      <c r="C1097" s="117" t="s">
        <v>1942</v>
      </c>
      <c r="D1097" s="118">
        <v>0.8</v>
      </c>
      <c r="E1097" s="118">
        <v>0.5</v>
      </c>
      <c r="F1097" s="118">
        <v>3.33</v>
      </c>
      <c r="G1097" s="118">
        <v>76.904989999999998</v>
      </c>
    </row>
    <row r="1098" spans="2:7" x14ac:dyDescent="0.2">
      <c r="B1098" s="116" t="s">
        <v>4047</v>
      </c>
      <c r="C1098" s="117" t="s">
        <v>4048</v>
      </c>
      <c r="D1098" s="118">
        <v>2.36</v>
      </c>
      <c r="E1098" s="118">
        <v>3.08</v>
      </c>
      <c r="F1098" s="118">
        <v>0</v>
      </c>
      <c r="G1098" s="118">
        <v>0</v>
      </c>
    </row>
    <row r="1099" spans="2:7" x14ac:dyDescent="0.2">
      <c r="B1099" s="116" t="s">
        <v>1943</v>
      </c>
      <c r="C1099" s="117" t="s">
        <v>1944</v>
      </c>
      <c r="D1099" s="118">
        <v>1.02</v>
      </c>
      <c r="E1099" s="118">
        <v>0.93</v>
      </c>
      <c r="F1099" s="118">
        <v>0.68</v>
      </c>
      <c r="G1099" s="118">
        <v>40.541989999999998</v>
      </c>
    </row>
    <row r="1100" spans="2:7" x14ac:dyDescent="0.2">
      <c r="B1100" s="116" t="s">
        <v>1945</v>
      </c>
      <c r="C1100" s="117" t="s">
        <v>1946</v>
      </c>
      <c r="D1100" s="118">
        <v>1.71</v>
      </c>
      <c r="E1100" s="118">
        <v>1.95</v>
      </c>
      <c r="F1100" s="118">
        <v>3.11</v>
      </c>
      <c r="G1100" s="118">
        <v>75.676000000000002</v>
      </c>
    </row>
    <row r="1101" spans="2:7" x14ac:dyDescent="0.2">
      <c r="B1101" s="116" t="s">
        <v>1947</v>
      </c>
      <c r="C1101" s="117" t="s">
        <v>1948</v>
      </c>
      <c r="D1101" s="118">
        <v>1.01</v>
      </c>
      <c r="E1101" s="118">
        <v>1.2</v>
      </c>
      <c r="F1101" s="118">
        <v>-9.3000000000000007</v>
      </c>
      <c r="G1101" s="118"/>
    </row>
    <row r="1102" spans="2:7" x14ac:dyDescent="0.2">
      <c r="B1102" s="116" t="s">
        <v>1949</v>
      </c>
      <c r="C1102" s="117" t="s">
        <v>4049</v>
      </c>
      <c r="D1102" s="118">
        <v>10.33</v>
      </c>
      <c r="E1102" s="118">
        <v>2.5299999999999998</v>
      </c>
      <c r="F1102" s="118">
        <v>0.05</v>
      </c>
      <c r="G1102" s="118">
        <v>4.7122000000000002</v>
      </c>
    </row>
    <row r="1103" spans="2:7" x14ac:dyDescent="0.2">
      <c r="B1103" s="116" t="s">
        <v>1949</v>
      </c>
      <c r="C1103" s="117" t="s">
        <v>1950</v>
      </c>
      <c r="D1103" s="118">
        <v>10.33</v>
      </c>
      <c r="E1103" s="118">
        <v>2.5299999999999998</v>
      </c>
      <c r="F1103" s="118">
        <v>0.05</v>
      </c>
      <c r="G1103" s="118">
        <v>4.7122000000000002</v>
      </c>
    </row>
    <row r="1104" spans="2:7" x14ac:dyDescent="0.2">
      <c r="B1104" s="116" t="s">
        <v>1951</v>
      </c>
      <c r="C1104" s="117" t="s">
        <v>1952</v>
      </c>
      <c r="D1104" s="118">
        <v>0.4</v>
      </c>
      <c r="E1104" s="118">
        <v>0.39</v>
      </c>
      <c r="F1104" s="118">
        <v>7.15</v>
      </c>
      <c r="G1104" s="118">
        <v>87.725989999999996</v>
      </c>
    </row>
    <row r="1105" spans="2:7" x14ac:dyDescent="0.2">
      <c r="B1105" s="116" t="s">
        <v>1951</v>
      </c>
      <c r="C1105" s="117" t="s">
        <v>4050</v>
      </c>
      <c r="D1105" s="118">
        <v>0.4</v>
      </c>
      <c r="E1105" s="118">
        <v>0.39</v>
      </c>
      <c r="F1105" s="118">
        <v>7.15</v>
      </c>
      <c r="G1105" s="118">
        <v>87.725989999999996</v>
      </c>
    </row>
    <row r="1106" spans="2:7" x14ac:dyDescent="0.2">
      <c r="B1106" s="116" t="s">
        <v>1951</v>
      </c>
      <c r="C1106" s="117" t="s">
        <v>4051</v>
      </c>
      <c r="D1106" s="118">
        <v>0.4</v>
      </c>
      <c r="E1106" s="118">
        <v>0.39</v>
      </c>
      <c r="F1106" s="118">
        <v>7.15</v>
      </c>
      <c r="G1106" s="118">
        <v>87.725989999999996</v>
      </c>
    </row>
    <row r="1107" spans="2:7" x14ac:dyDescent="0.2">
      <c r="B1107" s="116" t="s">
        <v>1953</v>
      </c>
      <c r="C1107" s="117" t="s">
        <v>1954</v>
      </c>
      <c r="D1107" s="118">
        <v>1.38</v>
      </c>
      <c r="E1107" s="118">
        <v>1.3</v>
      </c>
      <c r="F1107" s="118">
        <v>0.96</v>
      </c>
      <c r="G1107" s="118">
        <v>49.067999999999998</v>
      </c>
    </row>
    <row r="1108" spans="2:7" x14ac:dyDescent="0.2">
      <c r="B1108" s="116" t="s">
        <v>1955</v>
      </c>
      <c r="C1108" s="117" t="s">
        <v>1956</v>
      </c>
      <c r="D1108" s="118">
        <v>1.1299999999999999</v>
      </c>
      <c r="E1108" s="118">
        <v>1.34</v>
      </c>
      <c r="F1108" s="118">
        <v>0.52</v>
      </c>
      <c r="G1108" s="118">
        <v>35.817</v>
      </c>
    </row>
    <row r="1109" spans="2:7" x14ac:dyDescent="0.2">
      <c r="B1109" s="116" t="s">
        <v>1957</v>
      </c>
      <c r="C1109" s="117" t="s">
        <v>1958</v>
      </c>
      <c r="D1109" s="118">
        <v>1.63</v>
      </c>
      <c r="E1109" s="118">
        <v>1.98</v>
      </c>
      <c r="F1109" s="118">
        <v>0.84</v>
      </c>
      <c r="G1109" s="118">
        <v>45.643999999999998</v>
      </c>
    </row>
    <row r="1110" spans="2:7" x14ac:dyDescent="0.2">
      <c r="B1110" s="116" t="s">
        <v>1960</v>
      </c>
      <c r="C1110" s="117" t="s">
        <v>1961</v>
      </c>
      <c r="D1110" s="118">
        <v>1.0900000000000001</v>
      </c>
      <c r="E1110" s="118">
        <v>1.89</v>
      </c>
      <c r="F1110" s="118">
        <v>2.0099999999999998</v>
      </c>
      <c r="G1110" s="118">
        <v>66.820989999999995</v>
      </c>
    </row>
    <row r="1111" spans="2:7" x14ac:dyDescent="0.2">
      <c r="B1111" s="116" t="s">
        <v>4052</v>
      </c>
      <c r="C1111" s="117" t="s">
        <v>4053</v>
      </c>
      <c r="D1111" s="118"/>
      <c r="E1111" s="118"/>
      <c r="F1111" s="118"/>
      <c r="G1111" s="118"/>
    </row>
    <row r="1112" spans="2:7" x14ac:dyDescent="0.2">
      <c r="B1112" s="116" t="s">
        <v>1963</v>
      </c>
      <c r="C1112" s="117" t="s">
        <v>1964</v>
      </c>
      <c r="D1112" s="118">
        <v>1.1200000000000001</v>
      </c>
      <c r="E1112" s="118">
        <v>13.93</v>
      </c>
      <c r="F1112" s="118"/>
      <c r="G1112" s="118">
        <v>38.116</v>
      </c>
    </row>
    <row r="1113" spans="2:7" x14ac:dyDescent="0.2">
      <c r="B1113" s="116" t="s">
        <v>1963</v>
      </c>
      <c r="C1113" s="117" t="s">
        <v>4054</v>
      </c>
      <c r="D1113" s="118">
        <v>1.1200000000000001</v>
      </c>
      <c r="E1113" s="118">
        <v>13.93</v>
      </c>
      <c r="F1113" s="118"/>
      <c r="G1113" s="118">
        <v>38.116</v>
      </c>
    </row>
    <row r="1114" spans="2:7" x14ac:dyDescent="0.2">
      <c r="B1114" s="116" t="s">
        <v>4055</v>
      </c>
      <c r="C1114" s="117" t="s">
        <v>4056</v>
      </c>
      <c r="D1114" s="118">
        <v>1.33</v>
      </c>
      <c r="E1114" s="118">
        <v>2.35</v>
      </c>
      <c r="F1114" s="118"/>
      <c r="G1114" s="118">
        <v>43.351999999999997</v>
      </c>
    </row>
    <row r="1115" spans="2:7" x14ac:dyDescent="0.2">
      <c r="B1115" s="116" t="s">
        <v>1965</v>
      </c>
      <c r="C1115" s="117" t="s">
        <v>1966</v>
      </c>
      <c r="D1115" s="118">
        <v>5.33</v>
      </c>
      <c r="E1115" s="118">
        <v>5.58</v>
      </c>
      <c r="F1115" s="118">
        <v>0.15</v>
      </c>
      <c r="G1115" s="118">
        <v>12.86999</v>
      </c>
    </row>
    <row r="1116" spans="2:7" x14ac:dyDescent="0.2">
      <c r="B1116" s="116" t="s">
        <v>1967</v>
      </c>
      <c r="C1116" s="117" t="s">
        <v>1968</v>
      </c>
      <c r="D1116" s="118">
        <v>2.62</v>
      </c>
      <c r="E1116" s="118">
        <v>3.9</v>
      </c>
      <c r="F1116" s="118">
        <v>0.46</v>
      </c>
      <c r="G1116" s="118">
        <v>31.538</v>
      </c>
    </row>
    <row r="1117" spans="2:7" x14ac:dyDescent="0.2">
      <c r="B1117" s="116" t="s">
        <v>4057</v>
      </c>
      <c r="C1117" s="117" t="s">
        <v>4058</v>
      </c>
      <c r="D1117" s="118">
        <v>3.56</v>
      </c>
      <c r="E1117" s="118">
        <v>3.56</v>
      </c>
      <c r="F1117" s="118"/>
      <c r="G1117" s="118">
        <v>36.381990000000002</v>
      </c>
    </row>
    <row r="1118" spans="2:7" x14ac:dyDescent="0.2">
      <c r="B1118" s="116" t="s">
        <v>4059</v>
      </c>
      <c r="C1118" s="117" t="s">
        <v>4060</v>
      </c>
      <c r="D1118" s="118">
        <v>1.1100000000000001</v>
      </c>
      <c r="E1118" s="118">
        <v>1.69</v>
      </c>
      <c r="F1118" s="118"/>
      <c r="G1118" s="118">
        <v>39.283999999999999</v>
      </c>
    </row>
    <row r="1119" spans="2:7" x14ac:dyDescent="0.2">
      <c r="B1119" s="116" t="s">
        <v>1969</v>
      </c>
      <c r="C1119" s="117" t="s">
        <v>1970</v>
      </c>
      <c r="D1119" s="118">
        <v>1.38</v>
      </c>
      <c r="E1119" s="118">
        <v>1.1399999999999999</v>
      </c>
      <c r="F1119" s="118">
        <v>0.95</v>
      </c>
      <c r="G1119" s="118">
        <v>48.71799</v>
      </c>
    </row>
    <row r="1120" spans="2:7" x14ac:dyDescent="0.2">
      <c r="B1120" s="116" t="s">
        <v>1971</v>
      </c>
      <c r="C1120" s="117" t="s">
        <v>1972</v>
      </c>
      <c r="D1120" s="118">
        <v>1.78</v>
      </c>
      <c r="E1120" s="118">
        <v>1.59</v>
      </c>
      <c r="F1120" s="118">
        <v>0.16</v>
      </c>
      <c r="G1120" s="118">
        <v>14.49499</v>
      </c>
    </row>
    <row r="1121" spans="2:7" x14ac:dyDescent="0.2">
      <c r="B1121" s="116" t="s">
        <v>1973</v>
      </c>
      <c r="C1121" s="117" t="s">
        <v>1974</v>
      </c>
      <c r="D1121" s="118">
        <v>1.04</v>
      </c>
      <c r="E1121" s="118">
        <v>1.1399999999999999</v>
      </c>
      <c r="F1121" s="118">
        <v>0.82</v>
      </c>
      <c r="G1121" s="118">
        <v>45.103000000000002</v>
      </c>
    </row>
    <row r="1122" spans="2:7" x14ac:dyDescent="0.2">
      <c r="B1122" s="116" t="s">
        <v>1975</v>
      </c>
      <c r="C1122" s="117" t="s">
        <v>1976</v>
      </c>
      <c r="D1122" s="118">
        <v>0.56999999999999995</v>
      </c>
      <c r="E1122" s="118">
        <v>1.34</v>
      </c>
      <c r="F1122" s="118">
        <v>-5.85</v>
      </c>
      <c r="G1122" s="118"/>
    </row>
    <row r="1123" spans="2:7" x14ac:dyDescent="0.2">
      <c r="B1123" s="116" t="s">
        <v>1951</v>
      </c>
      <c r="C1123" s="117" t="s">
        <v>1978</v>
      </c>
      <c r="D1123" s="118"/>
      <c r="E1123" s="118"/>
      <c r="F1123" s="118"/>
      <c r="G1123" s="118"/>
    </row>
    <row r="1124" spans="2:7" x14ac:dyDescent="0.2">
      <c r="B1124" s="116" t="s">
        <v>1951</v>
      </c>
      <c r="C1124" s="117" t="s">
        <v>4061</v>
      </c>
      <c r="D1124" s="118"/>
      <c r="E1124" s="118"/>
      <c r="F1124" s="118"/>
      <c r="G1124" s="118"/>
    </row>
    <row r="1125" spans="2:7" x14ac:dyDescent="0.2">
      <c r="B1125" s="116" t="s">
        <v>1979</v>
      </c>
      <c r="C1125" s="117" t="s">
        <v>1980</v>
      </c>
      <c r="D1125" s="118">
        <v>1.21</v>
      </c>
      <c r="E1125" s="118">
        <v>1.02</v>
      </c>
      <c r="F1125" s="118">
        <v>0.23</v>
      </c>
      <c r="G1125" s="118">
        <v>18.83399</v>
      </c>
    </row>
    <row r="1126" spans="2:7" x14ac:dyDescent="0.2">
      <c r="B1126" s="116" t="s">
        <v>1981</v>
      </c>
      <c r="C1126" s="117" t="s">
        <v>1982</v>
      </c>
      <c r="D1126" s="118">
        <v>1.34</v>
      </c>
      <c r="E1126" s="118">
        <v>1.66</v>
      </c>
      <c r="F1126" s="118"/>
      <c r="G1126" s="118">
        <v>0.58498000000000006</v>
      </c>
    </row>
    <row r="1127" spans="2:7" x14ac:dyDescent="0.2">
      <c r="B1127" s="116" t="s">
        <v>1983</v>
      </c>
      <c r="C1127" s="117" t="s">
        <v>1984</v>
      </c>
      <c r="D1127" s="118">
        <v>3.76</v>
      </c>
      <c r="E1127" s="118">
        <v>4.53</v>
      </c>
      <c r="F1127" s="118">
        <v>0.56000000000000005</v>
      </c>
      <c r="G1127" s="118">
        <v>35.828989999999997</v>
      </c>
    </row>
    <row r="1128" spans="2:7" x14ac:dyDescent="0.2">
      <c r="B1128" s="116" t="s">
        <v>1985</v>
      </c>
      <c r="C1128" s="117" t="s">
        <v>1986</v>
      </c>
      <c r="D1128" s="118">
        <v>0.76</v>
      </c>
      <c r="E1128" s="118">
        <v>0.95</v>
      </c>
      <c r="F1128" s="118">
        <v>0.15</v>
      </c>
      <c r="G1128" s="118">
        <v>13.005000000000001</v>
      </c>
    </row>
    <row r="1129" spans="2:7" x14ac:dyDescent="0.2">
      <c r="B1129" s="116" t="s">
        <v>4062</v>
      </c>
      <c r="C1129" s="117" t="s">
        <v>4063</v>
      </c>
      <c r="D1129" s="118">
        <v>2.92</v>
      </c>
      <c r="E1129" s="118">
        <v>5.62</v>
      </c>
      <c r="F1129" s="118">
        <v>0.01</v>
      </c>
      <c r="G1129" s="118">
        <v>1.11609</v>
      </c>
    </row>
    <row r="1130" spans="2:7" x14ac:dyDescent="0.2">
      <c r="B1130" s="116" t="s">
        <v>1987</v>
      </c>
      <c r="C1130" s="117" t="s">
        <v>1988</v>
      </c>
      <c r="D1130" s="118">
        <v>1</v>
      </c>
      <c r="E1130" s="118">
        <v>2.2000000000000002</v>
      </c>
      <c r="F1130" s="118">
        <v>1.03</v>
      </c>
      <c r="G1130" s="118">
        <v>50.664999999999999</v>
      </c>
    </row>
    <row r="1131" spans="2:7" x14ac:dyDescent="0.2">
      <c r="B1131" s="116" t="s">
        <v>1989</v>
      </c>
      <c r="C1131" s="117" t="s">
        <v>1990</v>
      </c>
      <c r="D1131" s="118">
        <v>1.38</v>
      </c>
      <c r="E1131" s="118">
        <v>1.1299999999999999</v>
      </c>
      <c r="F1131" s="118">
        <v>4.9800000000000004</v>
      </c>
      <c r="G1131" s="118">
        <v>83.268990000000002</v>
      </c>
    </row>
    <row r="1132" spans="2:7" x14ac:dyDescent="0.2">
      <c r="B1132" s="116" t="s">
        <v>1991</v>
      </c>
      <c r="C1132" s="117" t="s">
        <v>1992</v>
      </c>
      <c r="D1132" s="118">
        <v>1.36</v>
      </c>
      <c r="E1132" s="118">
        <v>2.0099999999999998</v>
      </c>
      <c r="F1132" s="118">
        <v>0.61</v>
      </c>
      <c r="G1132" s="118">
        <v>44.169989999999999</v>
      </c>
    </row>
    <row r="1133" spans="2:7" x14ac:dyDescent="0.2">
      <c r="B1133" s="116" t="s">
        <v>1993</v>
      </c>
      <c r="C1133" s="117" t="s">
        <v>1994</v>
      </c>
      <c r="D1133" s="118">
        <v>0.91</v>
      </c>
      <c r="E1133" s="118">
        <v>1.2</v>
      </c>
      <c r="F1133" s="118">
        <v>4.3600000000000003</v>
      </c>
      <c r="G1133" s="118">
        <v>81.355999999999995</v>
      </c>
    </row>
    <row r="1134" spans="2:7" x14ac:dyDescent="0.2">
      <c r="B1134" s="116" t="s">
        <v>1995</v>
      </c>
      <c r="C1134" s="117" t="s">
        <v>1996</v>
      </c>
      <c r="D1134" s="118">
        <v>2.6</v>
      </c>
      <c r="E1134" s="118">
        <v>2.08</v>
      </c>
      <c r="F1134" s="118">
        <v>0.98</v>
      </c>
      <c r="G1134" s="118">
        <v>49.550989999999999</v>
      </c>
    </row>
    <row r="1135" spans="2:7" x14ac:dyDescent="0.2">
      <c r="B1135" s="116" t="s">
        <v>1997</v>
      </c>
      <c r="C1135" s="117" t="s">
        <v>1998</v>
      </c>
      <c r="D1135" s="118">
        <v>0.19</v>
      </c>
      <c r="E1135" s="118">
        <v>0.21</v>
      </c>
      <c r="F1135" s="118">
        <v>0.3</v>
      </c>
      <c r="G1135" s="118">
        <v>23.347000000000001</v>
      </c>
    </row>
    <row r="1136" spans="2:7" x14ac:dyDescent="0.2">
      <c r="B1136" s="116" t="s">
        <v>1999</v>
      </c>
      <c r="C1136" s="117" t="s">
        <v>2000</v>
      </c>
      <c r="D1136" s="118">
        <v>2.25</v>
      </c>
      <c r="E1136" s="118">
        <v>2.0099999999999998</v>
      </c>
      <c r="F1136" s="118">
        <v>14.93</v>
      </c>
      <c r="G1136" s="118">
        <v>93.722989999999996</v>
      </c>
    </row>
    <row r="1137" spans="2:7" x14ac:dyDescent="0.2">
      <c r="B1137" s="116" t="s">
        <v>4064</v>
      </c>
      <c r="C1137" s="117" t="s">
        <v>4065</v>
      </c>
      <c r="D1137" s="118">
        <v>1.85</v>
      </c>
      <c r="E1137" s="118">
        <v>2.2999999999999998</v>
      </c>
      <c r="F1137" s="118"/>
      <c r="G1137" s="118">
        <v>0</v>
      </c>
    </row>
    <row r="1138" spans="2:7" x14ac:dyDescent="0.2">
      <c r="B1138" s="116" t="s">
        <v>2001</v>
      </c>
      <c r="C1138" s="117" t="s">
        <v>2002</v>
      </c>
      <c r="D1138" s="118">
        <v>0.35</v>
      </c>
      <c r="E1138" s="118">
        <v>0.53</v>
      </c>
      <c r="F1138" s="118">
        <v>1.1599999999999999</v>
      </c>
      <c r="G1138" s="118">
        <v>52.604990000000001</v>
      </c>
    </row>
    <row r="1139" spans="2:7" x14ac:dyDescent="0.2">
      <c r="B1139" s="116" t="s">
        <v>2003</v>
      </c>
      <c r="C1139" s="117" t="s">
        <v>2004</v>
      </c>
      <c r="D1139" s="118">
        <v>0.66</v>
      </c>
      <c r="E1139" s="118">
        <v>0.82</v>
      </c>
      <c r="F1139" s="118"/>
      <c r="G1139" s="118">
        <v>37.198999999999998</v>
      </c>
    </row>
    <row r="1140" spans="2:7" x14ac:dyDescent="0.2">
      <c r="B1140" s="116" t="s">
        <v>2005</v>
      </c>
      <c r="C1140" s="117" t="s">
        <v>2006</v>
      </c>
      <c r="D1140" s="118">
        <v>1.47</v>
      </c>
      <c r="E1140" s="118">
        <v>1.88</v>
      </c>
      <c r="F1140" s="118">
        <v>0</v>
      </c>
      <c r="G1140" s="118">
        <v>0</v>
      </c>
    </row>
    <row r="1141" spans="2:7" x14ac:dyDescent="0.2">
      <c r="B1141" s="116" t="s">
        <v>2007</v>
      </c>
      <c r="C1141" s="117" t="s">
        <v>2008</v>
      </c>
      <c r="D1141" s="118">
        <v>0.63</v>
      </c>
      <c r="E1141" s="118">
        <v>0.46</v>
      </c>
      <c r="F1141" s="118">
        <v>0.1</v>
      </c>
      <c r="G1141" s="118">
        <v>9.4710900000000002</v>
      </c>
    </row>
    <row r="1142" spans="2:7" x14ac:dyDescent="0.2">
      <c r="B1142" s="116" t="s">
        <v>2009</v>
      </c>
      <c r="C1142" s="117" t="s">
        <v>2010</v>
      </c>
      <c r="D1142" s="118">
        <v>3.84</v>
      </c>
      <c r="E1142" s="118">
        <v>0.96</v>
      </c>
      <c r="F1142" s="118">
        <v>0.16</v>
      </c>
      <c r="G1142" s="118">
        <v>14.14099</v>
      </c>
    </row>
    <row r="1143" spans="2:7" x14ac:dyDescent="0.2">
      <c r="B1143" s="116" t="s">
        <v>2011</v>
      </c>
      <c r="C1143" s="117" t="s">
        <v>2012</v>
      </c>
      <c r="D1143" s="118">
        <v>0.11</v>
      </c>
      <c r="E1143" s="118">
        <v>1.06</v>
      </c>
      <c r="F1143" s="118">
        <v>7.8</v>
      </c>
      <c r="G1143" s="118">
        <v>88.637</v>
      </c>
    </row>
    <row r="1144" spans="2:7" x14ac:dyDescent="0.2">
      <c r="B1144" s="116" t="s">
        <v>2013</v>
      </c>
      <c r="C1144" s="117" t="s">
        <v>2014</v>
      </c>
      <c r="D1144" s="118">
        <v>0.61</v>
      </c>
      <c r="E1144" s="118">
        <v>0.88</v>
      </c>
      <c r="F1144" s="118">
        <v>0.66</v>
      </c>
      <c r="G1144" s="118">
        <v>39.652990000000003</v>
      </c>
    </row>
    <row r="1145" spans="2:7" x14ac:dyDescent="0.2">
      <c r="B1145" s="116" t="s">
        <v>2015</v>
      </c>
      <c r="C1145" s="117" t="s">
        <v>2016</v>
      </c>
      <c r="D1145" s="118">
        <v>1.34</v>
      </c>
      <c r="E1145" s="118">
        <v>1.42</v>
      </c>
      <c r="F1145" s="118">
        <v>2.5499999999999998</v>
      </c>
      <c r="G1145" s="118">
        <v>71.847989999999996</v>
      </c>
    </row>
    <row r="1146" spans="2:7" x14ac:dyDescent="0.2">
      <c r="B1146" s="116" t="s">
        <v>2017</v>
      </c>
      <c r="C1146" s="117" t="s">
        <v>2018</v>
      </c>
      <c r="D1146" s="118">
        <v>2.68</v>
      </c>
      <c r="E1146" s="118">
        <v>2.27</v>
      </c>
      <c r="F1146" s="118">
        <v>0.91</v>
      </c>
      <c r="G1146" s="118">
        <v>47.631990000000002</v>
      </c>
    </row>
    <row r="1147" spans="2:7" x14ac:dyDescent="0.2">
      <c r="B1147" s="116" t="s">
        <v>2019</v>
      </c>
      <c r="C1147" s="117" t="s">
        <v>2020</v>
      </c>
      <c r="D1147" s="118">
        <v>3.88</v>
      </c>
      <c r="E1147" s="118">
        <v>3.62</v>
      </c>
      <c r="F1147" s="118">
        <v>0.28000000000000003</v>
      </c>
      <c r="G1147" s="118">
        <v>22.686</v>
      </c>
    </row>
    <row r="1148" spans="2:7" x14ac:dyDescent="0.2">
      <c r="B1148" s="116" t="s">
        <v>4066</v>
      </c>
      <c r="C1148" s="117" t="s">
        <v>4067</v>
      </c>
      <c r="D1148" s="118"/>
      <c r="E1148" s="118"/>
      <c r="F1148" s="118"/>
      <c r="G1148" s="118"/>
    </row>
    <row r="1149" spans="2:7" x14ac:dyDescent="0.2">
      <c r="B1149" s="116" t="s">
        <v>2021</v>
      </c>
      <c r="C1149" s="117" t="s">
        <v>2022</v>
      </c>
      <c r="D1149" s="118">
        <v>2.96</v>
      </c>
      <c r="E1149" s="118">
        <v>3.61</v>
      </c>
      <c r="F1149" s="118">
        <v>0.81</v>
      </c>
      <c r="G1149" s="118">
        <v>44.730989999999998</v>
      </c>
    </row>
    <row r="1150" spans="2:7" x14ac:dyDescent="0.2">
      <c r="B1150" s="116" t="s">
        <v>2023</v>
      </c>
      <c r="C1150" s="117" t="s">
        <v>2024</v>
      </c>
      <c r="D1150" s="118">
        <v>0.95</v>
      </c>
      <c r="E1150" s="118">
        <v>1.23</v>
      </c>
      <c r="F1150" s="118"/>
      <c r="G1150" s="118">
        <v>5.008E-2</v>
      </c>
    </row>
    <row r="1151" spans="2:7" x14ac:dyDescent="0.2">
      <c r="B1151" s="116" t="s">
        <v>2025</v>
      </c>
      <c r="C1151" s="117" t="s">
        <v>2026</v>
      </c>
      <c r="D1151" s="118">
        <v>0.26</v>
      </c>
      <c r="E1151" s="118">
        <v>0.63</v>
      </c>
      <c r="F1151" s="118">
        <v>0.92</v>
      </c>
      <c r="G1151" s="118">
        <v>47.79</v>
      </c>
    </row>
    <row r="1152" spans="2:7" x14ac:dyDescent="0.2">
      <c r="B1152" s="116" t="s">
        <v>2027</v>
      </c>
      <c r="C1152" s="117" t="s">
        <v>2028</v>
      </c>
      <c r="D1152" s="118">
        <v>1.81</v>
      </c>
      <c r="E1152" s="118">
        <v>1.98</v>
      </c>
      <c r="F1152" s="118">
        <v>0.09</v>
      </c>
      <c r="G1152" s="118">
        <v>8.2599</v>
      </c>
    </row>
    <row r="1153" spans="2:7" x14ac:dyDescent="0.2">
      <c r="B1153" s="116" t="s">
        <v>1436</v>
      </c>
      <c r="C1153" s="117" t="s">
        <v>4068</v>
      </c>
      <c r="D1153" s="118"/>
      <c r="E1153" s="118">
        <v>0.49</v>
      </c>
      <c r="F1153" s="118">
        <v>0.64</v>
      </c>
      <c r="G1153" s="118">
        <v>39.062989999999999</v>
      </c>
    </row>
    <row r="1154" spans="2:7" x14ac:dyDescent="0.2">
      <c r="B1154" s="116" t="s">
        <v>1436</v>
      </c>
      <c r="C1154" s="117" t="s">
        <v>4069</v>
      </c>
      <c r="D1154" s="118"/>
      <c r="E1154" s="118"/>
      <c r="F1154" s="118"/>
      <c r="G1154" s="118"/>
    </row>
    <row r="1155" spans="2:7" x14ac:dyDescent="0.2">
      <c r="B1155" s="116" t="s">
        <v>1436</v>
      </c>
      <c r="C1155" s="117" t="s">
        <v>2029</v>
      </c>
      <c r="D1155" s="118"/>
      <c r="E1155" s="118"/>
      <c r="F1155" s="118"/>
      <c r="G1155" s="118"/>
    </row>
    <row r="1156" spans="2:7" x14ac:dyDescent="0.2">
      <c r="B1156" s="116" t="s">
        <v>2030</v>
      </c>
      <c r="C1156" s="117" t="s">
        <v>2031</v>
      </c>
      <c r="D1156" s="118">
        <v>0.54</v>
      </c>
      <c r="E1156" s="118">
        <v>0.53</v>
      </c>
      <c r="F1156" s="118">
        <v>0</v>
      </c>
      <c r="G1156" s="118">
        <v>0</v>
      </c>
    </row>
    <row r="1157" spans="2:7" x14ac:dyDescent="0.2">
      <c r="B1157" s="116" t="s">
        <v>4070</v>
      </c>
      <c r="C1157" s="117" t="s">
        <v>4071</v>
      </c>
      <c r="D1157" s="118">
        <v>1.2</v>
      </c>
      <c r="E1157" s="118">
        <v>1.62</v>
      </c>
      <c r="F1157" s="118"/>
      <c r="G1157" s="118">
        <v>11.572990000000001</v>
      </c>
    </row>
    <row r="1158" spans="2:7" x14ac:dyDescent="0.2">
      <c r="B1158" s="116" t="s">
        <v>2032</v>
      </c>
      <c r="C1158" s="117" t="s">
        <v>2033</v>
      </c>
      <c r="D1158" s="118">
        <v>2.0499999999999998</v>
      </c>
      <c r="E1158" s="118">
        <v>2.41</v>
      </c>
      <c r="F1158" s="118">
        <v>0.38</v>
      </c>
      <c r="G1158" s="118">
        <v>27.378990000000002</v>
      </c>
    </row>
    <row r="1159" spans="2:7" x14ac:dyDescent="0.2">
      <c r="B1159" s="116" t="s">
        <v>4072</v>
      </c>
      <c r="C1159" s="117" t="s">
        <v>4073</v>
      </c>
      <c r="D1159" s="118">
        <v>2.59</v>
      </c>
      <c r="E1159" s="118">
        <v>2.4900000000000002</v>
      </c>
      <c r="F1159" s="118">
        <v>0.01</v>
      </c>
      <c r="G1159" s="118">
        <v>0.66749999999999998</v>
      </c>
    </row>
    <row r="1160" spans="2:7" x14ac:dyDescent="0.2">
      <c r="B1160" s="116" t="s">
        <v>2034</v>
      </c>
      <c r="C1160" s="117" t="s">
        <v>2035</v>
      </c>
      <c r="D1160" s="118">
        <v>0.57999999999999996</v>
      </c>
      <c r="E1160" s="118">
        <v>0.64</v>
      </c>
      <c r="F1160" s="118">
        <v>0.37</v>
      </c>
      <c r="G1160" s="118">
        <v>26.93899</v>
      </c>
    </row>
    <row r="1161" spans="2:7" x14ac:dyDescent="0.2">
      <c r="B1161" s="116" t="s">
        <v>2036</v>
      </c>
      <c r="C1161" s="117" t="s">
        <v>2037</v>
      </c>
      <c r="D1161" s="118">
        <v>0.66</v>
      </c>
      <c r="E1161" s="118">
        <v>1.4</v>
      </c>
      <c r="F1161" s="118"/>
      <c r="G1161" s="118">
        <v>15.026999999999999</v>
      </c>
    </row>
    <row r="1162" spans="2:7" x14ac:dyDescent="0.2">
      <c r="B1162" s="116" t="s">
        <v>2038</v>
      </c>
      <c r="C1162" s="117" t="s">
        <v>2039</v>
      </c>
      <c r="D1162" s="118">
        <v>1.75</v>
      </c>
      <c r="E1162" s="118">
        <v>1.64</v>
      </c>
      <c r="F1162" s="118">
        <v>1.81</v>
      </c>
      <c r="G1162" s="118">
        <v>64.403989999999993</v>
      </c>
    </row>
    <row r="1163" spans="2:7" x14ac:dyDescent="0.2">
      <c r="B1163" s="116" t="s">
        <v>2040</v>
      </c>
      <c r="C1163" s="117" t="s">
        <v>2041</v>
      </c>
      <c r="D1163" s="118">
        <v>0.84</v>
      </c>
      <c r="E1163" s="118">
        <v>1.74</v>
      </c>
      <c r="F1163" s="118"/>
      <c r="G1163" s="118"/>
    </row>
    <row r="1164" spans="2:7" x14ac:dyDescent="0.2">
      <c r="B1164" s="116" t="s">
        <v>2042</v>
      </c>
      <c r="C1164" s="117" t="s">
        <v>2043</v>
      </c>
      <c r="D1164" s="118">
        <v>1.1000000000000001</v>
      </c>
      <c r="E1164" s="118">
        <v>1.47</v>
      </c>
      <c r="F1164" s="118">
        <v>0.83</v>
      </c>
      <c r="G1164" s="118">
        <v>45.601999999999997</v>
      </c>
    </row>
    <row r="1165" spans="2:7" x14ac:dyDescent="0.2">
      <c r="B1165" s="116" t="s">
        <v>4074</v>
      </c>
      <c r="C1165" s="117" t="s">
        <v>4075</v>
      </c>
      <c r="D1165" s="118">
        <v>1.6</v>
      </c>
      <c r="E1165" s="118">
        <v>1.73</v>
      </c>
      <c r="F1165" s="118">
        <v>0.09</v>
      </c>
      <c r="G1165" s="118">
        <v>8.2625899999999994</v>
      </c>
    </row>
    <row r="1166" spans="2:7" x14ac:dyDescent="0.2">
      <c r="B1166" s="116" t="s">
        <v>2044</v>
      </c>
      <c r="C1166" s="117" t="s">
        <v>2045</v>
      </c>
      <c r="D1166" s="118">
        <v>1.47</v>
      </c>
      <c r="E1166" s="118">
        <v>1.49</v>
      </c>
      <c r="F1166" s="118">
        <v>2.36</v>
      </c>
      <c r="G1166" s="118">
        <v>70.21199</v>
      </c>
    </row>
    <row r="1167" spans="2:7" x14ac:dyDescent="0.2">
      <c r="B1167" s="116" t="s">
        <v>4076</v>
      </c>
      <c r="C1167" s="117" t="s">
        <v>4077</v>
      </c>
      <c r="D1167" s="118">
        <v>1.03</v>
      </c>
      <c r="E1167" s="118">
        <v>0.93</v>
      </c>
      <c r="F1167" s="118">
        <v>2.73</v>
      </c>
      <c r="G1167" s="118">
        <v>75.042990000000003</v>
      </c>
    </row>
    <row r="1168" spans="2:7" x14ac:dyDescent="0.2">
      <c r="B1168" s="116" t="s">
        <v>2046</v>
      </c>
      <c r="C1168" s="117" t="s">
        <v>2047</v>
      </c>
      <c r="D1168" s="118"/>
      <c r="E1168" s="118">
        <v>1.48</v>
      </c>
      <c r="F1168" s="118"/>
      <c r="G1168" s="118">
        <v>36.534990000000001</v>
      </c>
    </row>
    <row r="1169" spans="2:7" x14ac:dyDescent="0.2">
      <c r="B1169" s="116" t="s">
        <v>2048</v>
      </c>
      <c r="C1169" s="117" t="s">
        <v>2049</v>
      </c>
      <c r="D1169" s="118">
        <v>0.42</v>
      </c>
      <c r="E1169" s="118">
        <v>1.47</v>
      </c>
      <c r="F1169" s="118">
        <v>1.19</v>
      </c>
      <c r="G1169" s="118">
        <v>54.341990000000003</v>
      </c>
    </row>
    <row r="1170" spans="2:7" x14ac:dyDescent="0.2">
      <c r="B1170" s="116" t="s">
        <v>2050</v>
      </c>
      <c r="C1170" s="117" t="s">
        <v>2051</v>
      </c>
      <c r="D1170" s="118">
        <v>1.39</v>
      </c>
      <c r="E1170" s="118">
        <v>1.49</v>
      </c>
      <c r="F1170" s="118">
        <v>1.55</v>
      </c>
      <c r="G1170" s="118">
        <v>61.01399</v>
      </c>
    </row>
    <row r="1171" spans="2:7" x14ac:dyDescent="0.2">
      <c r="B1171" s="116" t="s">
        <v>2052</v>
      </c>
      <c r="C1171" s="117" t="s">
        <v>2053</v>
      </c>
      <c r="D1171" s="118">
        <v>0.12</v>
      </c>
      <c r="E1171" s="118">
        <v>0.13</v>
      </c>
      <c r="F1171" s="118">
        <v>0.72</v>
      </c>
      <c r="G1171" s="118">
        <v>41.987990000000003</v>
      </c>
    </row>
    <row r="1172" spans="2:7" x14ac:dyDescent="0.2">
      <c r="B1172" s="116" t="s">
        <v>2054</v>
      </c>
      <c r="C1172" s="117" t="s">
        <v>2055</v>
      </c>
      <c r="D1172" s="118">
        <v>0.99</v>
      </c>
      <c r="E1172" s="118">
        <v>0.93</v>
      </c>
      <c r="F1172" s="118">
        <v>1.87</v>
      </c>
      <c r="G1172" s="118">
        <v>65.158990000000003</v>
      </c>
    </row>
    <row r="1173" spans="2:7" x14ac:dyDescent="0.2">
      <c r="B1173" s="116" t="s">
        <v>4078</v>
      </c>
      <c r="C1173" s="117" t="s">
        <v>4079</v>
      </c>
      <c r="D1173" s="118">
        <v>0.35</v>
      </c>
      <c r="E1173" s="118">
        <v>0.67</v>
      </c>
      <c r="F1173" s="118"/>
      <c r="G1173" s="118">
        <v>32.306989999999999</v>
      </c>
    </row>
    <row r="1174" spans="2:7" x14ac:dyDescent="0.2">
      <c r="B1174" s="116" t="s">
        <v>2056</v>
      </c>
      <c r="C1174" s="117" t="s">
        <v>2057</v>
      </c>
      <c r="D1174" s="118">
        <v>1.44</v>
      </c>
      <c r="E1174" s="118">
        <v>1.46</v>
      </c>
      <c r="F1174" s="118">
        <v>0.5</v>
      </c>
      <c r="G1174" s="118">
        <v>33.544989999999999</v>
      </c>
    </row>
    <row r="1175" spans="2:7" x14ac:dyDescent="0.2">
      <c r="B1175" s="116" t="s">
        <v>2059</v>
      </c>
      <c r="C1175" s="117" t="s">
        <v>2060</v>
      </c>
      <c r="D1175" s="118">
        <v>1.48</v>
      </c>
      <c r="E1175" s="118">
        <v>1.42</v>
      </c>
      <c r="F1175" s="118">
        <v>0.23</v>
      </c>
      <c r="G1175" s="118">
        <v>18.794</v>
      </c>
    </row>
    <row r="1176" spans="2:7" x14ac:dyDescent="0.2">
      <c r="B1176" s="116" t="s">
        <v>2061</v>
      </c>
      <c r="C1176" s="117" t="s">
        <v>2062</v>
      </c>
      <c r="D1176" s="118">
        <v>0.42</v>
      </c>
      <c r="E1176" s="118">
        <v>0.51</v>
      </c>
      <c r="F1176" s="118">
        <v>8.93</v>
      </c>
      <c r="G1176" s="118">
        <v>89.932990000000004</v>
      </c>
    </row>
    <row r="1177" spans="2:7" x14ac:dyDescent="0.2">
      <c r="B1177" s="116" t="s">
        <v>4080</v>
      </c>
      <c r="C1177" s="117" t="s">
        <v>4081</v>
      </c>
      <c r="D1177" s="118"/>
      <c r="E1177" s="118">
        <v>1.29</v>
      </c>
      <c r="F1177" s="118">
        <v>0.93</v>
      </c>
      <c r="G1177" s="118">
        <v>48.128999999999998</v>
      </c>
    </row>
    <row r="1178" spans="2:7" x14ac:dyDescent="0.2">
      <c r="B1178" s="116" t="s">
        <v>2063</v>
      </c>
      <c r="C1178" s="117" t="s">
        <v>2064</v>
      </c>
      <c r="D1178" s="118">
        <v>1.08</v>
      </c>
      <c r="E1178" s="118">
        <v>1.46</v>
      </c>
      <c r="F1178" s="118">
        <v>39.03</v>
      </c>
      <c r="G1178" s="118">
        <v>97.501990000000006</v>
      </c>
    </row>
    <row r="1179" spans="2:7" x14ac:dyDescent="0.2">
      <c r="B1179" s="116" t="s">
        <v>2065</v>
      </c>
      <c r="C1179" s="117" t="s">
        <v>2066</v>
      </c>
      <c r="D1179" s="118">
        <v>4.68</v>
      </c>
      <c r="E1179" s="118">
        <v>6.35</v>
      </c>
      <c r="F1179" s="118">
        <v>0</v>
      </c>
      <c r="G1179" s="118">
        <v>0</v>
      </c>
    </row>
    <row r="1180" spans="2:7" x14ac:dyDescent="0.2">
      <c r="B1180" s="116" t="s">
        <v>2067</v>
      </c>
      <c r="C1180" s="117" t="s">
        <v>2068</v>
      </c>
      <c r="D1180" s="118">
        <v>1.44</v>
      </c>
      <c r="E1180" s="118">
        <v>1.78</v>
      </c>
      <c r="F1180" s="118">
        <v>6.78</v>
      </c>
      <c r="G1180" s="118">
        <v>87.140990000000002</v>
      </c>
    </row>
    <row r="1181" spans="2:7" x14ac:dyDescent="0.2">
      <c r="B1181" s="116" t="s">
        <v>4082</v>
      </c>
      <c r="C1181" s="117" t="s">
        <v>4083</v>
      </c>
      <c r="D1181" s="118"/>
      <c r="E1181" s="118"/>
      <c r="F1181" s="118"/>
      <c r="G1181" s="118"/>
    </row>
    <row r="1182" spans="2:7" x14ac:dyDescent="0.2">
      <c r="B1182" s="116" t="s">
        <v>4084</v>
      </c>
      <c r="C1182" s="117" t="s">
        <v>4085</v>
      </c>
      <c r="D1182" s="118"/>
      <c r="E1182" s="118"/>
      <c r="F1182" s="118"/>
      <c r="G1182" s="118"/>
    </row>
    <row r="1183" spans="2:7" x14ac:dyDescent="0.2">
      <c r="B1183" s="116" t="s">
        <v>2069</v>
      </c>
      <c r="C1183" s="117" t="s">
        <v>2070</v>
      </c>
      <c r="D1183" s="118">
        <v>0.85</v>
      </c>
      <c r="E1183" s="118">
        <v>0.61</v>
      </c>
      <c r="F1183" s="118">
        <v>11.25</v>
      </c>
      <c r="G1183" s="118">
        <v>91.834990000000005</v>
      </c>
    </row>
    <row r="1184" spans="2:7" x14ac:dyDescent="0.2">
      <c r="B1184" s="116" t="s">
        <v>2071</v>
      </c>
      <c r="C1184" s="117" t="s">
        <v>2072</v>
      </c>
      <c r="D1184" s="118">
        <v>1.35</v>
      </c>
      <c r="E1184" s="118">
        <v>1.21</v>
      </c>
      <c r="F1184" s="118">
        <v>-6.54</v>
      </c>
      <c r="G1184" s="118"/>
    </row>
    <row r="1185" spans="2:7" x14ac:dyDescent="0.2">
      <c r="B1185" s="116" t="s">
        <v>2073</v>
      </c>
      <c r="C1185" s="117" t="s">
        <v>2074</v>
      </c>
      <c r="D1185" s="118">
        <v>0.63</v>
      </c>
      <c r="E1185" s="118">
        <v>0.93</v>
      </c>
      <c r="F1185" s="118">
        <v>1.65</v>
      </c>
      <c r="G1185" s="118">
        <v>62.225999999999999</v>
      </c>
    </row>
    <row r="1186" spans="2:7" x14ac:dyDescent="0.2">
      <c r="B1186" s="116" t="s">
        <v>2075</v>
      </c>
      <c r="C1186" s="117" t="s">
        <v>2076</v>
      </c>
      <c r="D1186" s="118">
        <v>0.57999999999999996</v>
      </c>
      <c r="E1186" s="118">
        <v>1.01</v>
      </c>
      <c r="F1186" s="118">
        <v>1.1399999999999999</v>
      </c>
      <c r="G1186" s="118">
        <v>56.749000000000002</v>
      </c>
    </row>
    <row r="1187" spans="2:7" x14ac:dyDescent="0.2">
      <c r="B1187" s="116" t="s">
        <v>2077</v>
      </c>
      <c r="C1187" s="117" t="s">
        <v>2078</v>
      </c>
      <c r="D1187" s="118">
        <v>1.61</v>
      </c>
      <c r="E1187" s="118">
        <v>1.71</v>
      </c>
      <c r="F1187" s="118">
        <v>10.039999999999999</v>
      </c>
      <c r="G1187" s="118">
        <v>90.938999999999993</v>
      </c>
    </row>
    <row r="1188" spans="2:7" x14ac:dyDescent="0.2">
      <c r="B1188" s="116" t="s">
        <v>2079</v>
      </c>
      <c r="C1188" s="117" t="s">
        <v>2080</v>
      </c>
      <c r="D1188" s="118">
        <v>0.44</v>
      </c>
      <c r="E1188" s="118">
        <v>0.42</v>
      </c>
      <c r="F1188" s="118">
        <v>0.21</v>
      </c>
      <c r="G1188" s="118">
        <v>17.381</v>
      </c>
    </row>
    <row r="1189" spans="2:7" x14ac:dyDescent="0.2">
      <c r="B1189" s="116" t="s">
        <v>2081</v>
      </c>
      <c r="C1189" s="117" t="s">
        <v>2082</v>
      </c>
      <c r="D1189" s="118">
        <v>3.44</v>
      </c>
      <c r="E1189" s="118">
        <v>2.82</v>
      </c>
      <c r="F1189" s="118">
        <v>0.97</v>
      </c>
      <c r="G1189" s="118">
        <v>49.259990000000002</v>
      </c>
    </row>
    <row r="1190" spans="2:7" x14ac:dyDescent="0.2">
      <c r="B1190" s="116" t="s">
        <v>2083</v>
      </c>
      <c r="C1190" s="117" t="s">
        <v>2084</v>
      </c>
      <c r="D1190" s="118">
        <v>5.03</v>
      </c>
      <c r="E1190" s="118">
        <v>5.97</v>
      </c>
      <c r="F1190" s="118">
        <v>21.45</v>
      </c>
      <c r="G1190" s="118">
        <v>95.544989999999999</v>
      </c>
    </row>
    <row r="1191" spans="2:7" x14ac:dyDescent="0.2">
      <c r="B1191" s="116" t="s">
        <v>4086</v>
      </c>
      <c r="C1191" s="117" t="s">
        <v>4087</v>
      </c>
      <c r="D1191" s="118"/>
      <c r="E1191" s="118"/>
      <c r="F1191" s="118"/>
      <c r="G1191" s="118"/>
    </row>
    <row r="1192" spans="2:7" x14ac:dyDescent="0.2">
      <c r="B1192" s="116" t="s">
        <v>4088</v>
      </c>
      <c r="C1192" s="117" t="s">
        <v>4089</v>
      </c>
      <c r="D1192" s="118">
        <v>1.06</v>
      </c>
      <c r="E1192" s="118">
        <v>1.0900000000000001</v>
      </c>
      <c r="F1192" s="118"/>
      <c r="G1192" s="118">
        <v>20.701000000000001</v>
      </c>
    </row>
    <row r="1193" spans="2:7" x14ac:dyDescent="0.2">
      <c r="B1193" s="116" t="s">
        <v>4090</v>
      </c>
      <c r="C1193" s="117" t="s">
        <v>4091</v>
      </c>
      <c r="D1193" s="118"/>
      <c r="E1193" s="118">
        <v>2.39</v>
      </c>
      <c r="F1193" s="118">
        <v>0</v>
      </c>
      <c r="G1193" s="118">
        <v>0</v>
      </c>
    </row>
    <row r="1194" spans="2:7" x14ac:dyDescent="0.2">
      <c r="B1194" s="116" t="s">
        <v>2085</v>
      </c>
      <c r="C1194" s="117" t="s">
        <v>2086</v>
      </c>
      <c r="D1194" s="118">
        <v>0.3</v>
      </c>
      <c r="E1194" s="118">
        <v>0.44</v>
      </c>
      <c r="F1194" s="118">
        <v>0.47</v>
      </c>
      <c r="G1194" s="118">
        <v>31.812000000000001</v>
      </c>
    </row>
    <row r="1195" spans="2:7" x14ac:dyDescent="0.2">
      <c r="B1195" s="116" t="s">
        <v>2087</v>
      </c>
      <c r="C1195" s="117" t="s">
        <v>2088</v>
      </c>
      <c r="D1195" s="118">
        <v>2.71</v>
      </c>
      <c r="E1195" s="118">
        <v>2.56</v>
      </c>
      <c r="F1195" s="118">
        <v>0.27</v>
      </c>
      <c r="G1195" s="118">
        <v>21.177990000000001</v>
      </c>
    </row>
    <row r="1196" spans="2:7" x14ac:dyDescent="0.2">
      <c r="B1196" s="116" t="s">
        <v>2089</v>
      </c>
      <c r="C1196" s="117" t="s">
        <v>2090</v>
      </c>
      <c r="D1196" s="118">
        <v>2.15</v>
      </c>
      <c r="E1196" s="118">
        <v>2.67</v>
      </c>
      <c r="F1196" s="118">
        <v>0.49</v>
      </c>
      <c r="G1196" s="118">
        <v>32.939990000000002</v>
      </c>
    </row>
    <row r="1197" spans="2:7" x14ac:dyDescent="0.2">
      <c r="B1197" s="116" t="s">
        <v>2091</v>
      </c>
      <c r="C1197" s="117" t="s">
        <v>2092</v>
      </c>
      <c r="D1197" s="118">
        <v>0.91</v>
      </c>
      <c r="E1197" s="118">
        <v>1.58</v>
      </c>
      <c r="F1197" s="118">
        <v>0.91</v>
      </c>
      <c r="G1197" s="118">
        <v>47.584989999999998</v>
      </c>
    </row>
    <row r="1198" spans="2:7" x14ac:dyDescent="0.2">
      <c r="B1198" s="116" t="s">
        <v>2093</v>
      </c>
      <c r="C1198" s="117" t="s">
        <v>2094</v>
      </c>
      <c r="D1198" s="118">
        <v>0.69</v>
      </c>
      <c r="E1198" s="118">
        <v>0.66</v>
      </c>
      <c r="F1198" s="118">
        <v>7.0000000000000007E-2</v>
      </c>
      <c r="G1198" s="118">
        <v>6.2313999999999998</v>
      </c>
    </row>
    <row r="1199" spans="2:7" x14ac:dyDescent="0.2">
      <c r="B1199" s="116" t="s">
        <v>4092</v>
      </c>
      <c r="C1199" s="117" t="s">
        <v>4093</v>
      </c>
      <c r="D1199" s="118"/>
      <c r="E1199" s="118"/>
      <c r="F1199" s="118"/>
      <c r="G1199" s="118"/>
    </row>
    <row r="1200" spans="2:7" x14ac:dyDescent="0.2">
      <c r="B1200" s="116" t="s">
        <v>2095</v>
      </c>
      <c r="C1200" s="117" t="s">
        <v>2096</v>
      </c>
      <c r="D1200" s="118">
        <v>1.29</v>
      </c>
      <c r="E1200" s="118">
        <v>2.54</v>
      </c>
      <c r="F1200" s="118">
        <v>0.36</v>
      </c>
      <c r="G1200" s="118">
        <v>28.754989999999999</v>
      </c>
    </row>
    <row r="1201" spans="2:7" x14ac:dyDescent="0.2">
      <c r="B1201" s="116" t="s">
        <v>4094</v>
      </c>
      <c r="C1201" s="117" t="s">
        <v>4095</v>
      </c>
      <c r="D1201" s="118">
        <v>0.56999999999999995</v>
      </c>
      <c r="E1201" s="118">
        <v>0.69</v>
      </c>
      <c r="F1201" s="118"/>
      <c r="G1201" s="118">
        <v>42.536990000000003</v>
      </c>
    </row>
    <row r="1202" spans="2:7" x14ac:dyDescent="0.2">
      <c r="B1202" s="116" t="s">
        <v>2097</v>
      </c>
      <c r="C1202" s="117" t="s">
        <v>2098</v>
      </c>
      <c r="D1202" s="118">
        <v>0.14000000000000001</v>
      </c>
      <c r="E1202" s="118">
        <v>0.14000000000000001</v>
      </c>
      <c r="F1202" s="118">
        <v>0.22</v>
      </c>
      <c r="G1202" s="118">
        <v>18.326989999999999</v>
      </c>
    </row>
    <row r="1203" spans="2:7" x14ac:dyDescent="0.2">
      <c r="B1203" s="116" t="s">
        <v>2099</v>
      </c>
      <c r="C1203" s="117" t="s">
        <v>2100</v>
      </c>
      <c r="D1203" s="118"/>
      <c r="E1203" s="118"/>
      <c r="F1203" s="118">
        <v>2.54</v>
      </c>
      <c r="G1203" s="118">
        <v>71.718999999999994</v>
      </c>
    </row>
    <row r="1204" spans="2:7" x14ac:dyDescent="0.2">
      <c r="B1204" s="116" t="s">
        <v>2101</v>
      </c>
      <c r="C1204" s="117" t="s">
        <v>2102</v>
      </c>
      <c r="D1204" s="118"/>
      <c r="E1204" s="118"/>
      <c r="F1204" s="118">
        <v>0.1</v>
      </c>
      <c r="G1204" s="118">
        <v>8.3981999999999992</v>
      </c>
    </row>
    <row r="1205" spans="2:7" x14ac:dyDescent="0.2">
      <c r="B1205" s="116" t="s">
        <v>2103</v>
      </c>
      <c r="C1205" s="117" t="s">
        <v>2104</v>
      </c>
      <c r="D1205" s="118">
        <v>0.96</v>
      </c>
      <c r="E1205" s="118">
        <v>0.95</v>
      </c>
      <c r="F1205" s="118">
        <v>0.91</v>
      </c>
      <c r="G1205" s="118">
        <v>47.625</v>
      </c>
    </row>
    <row r="1206" spans="2:7" x14ac:dyDescent="0.2">
      <c r="B1206" s="116" t="s">
        <v>4096</v>
      </c>
      <c r="C1206" s="117" t="s">
        <v>4097</v>
      </c>
      <c r="D1206" s="118"/>
      <c r="E1206" s="118">
        <v>0.92</v>
      </c>
      <c r="F1206" s="118"/>
      <c r="G1206" s="118">
        <v>40.299990000000001</v>
      </c>
    </row>
    <row r="1207" spans="2:7" x14ac:dyDescent="0.2">
      <c r="B1207" s="116" t="s">
        <v>2105</v>
      </c>
      <c r="C1207" s="117" t="s">
        <v>2106</v>
      </c>
      <c r="D1207" s="118">
        <v>0.82</v>
      </c>
      <c r="E1207" s="118">
        <v>1.21</v>
      </c>
      <c r="F1207" s="118">
        <v>0.26</v>
      </c>
      <c r="G1207" s="118">
        <v>20.441990000000001</v>
      </c>
    </row>
    <row r="1208" spans="2:7" x14ac:dyDescent="0.2">
      <c r="B1208" s="116" t="s">
        <v>2107</v>
      </c>
      <c r="C1208" s="117" t="s">
        <v>2108</v>
      </c>
      <c r="D1208" s="118">
        <v>1</v>
      </c>
      <c r="E1208" s="118">
        <v>1.66</v>
      </c>
      <c r="F1208" s="118"/>
      <c r="G1208" s="118">
        <v>0</v>
      </c>
    </row>
    <row r="1209" spans="2:7" x14ac:dyDescent="0.2">
      <c r="B1209" s="116" t="s">
        <v>2109</v>
      </c>
      <c r="C1209" s="117" t="s">
        <v>2110</v>
      </c>
      <c r="D1209" s="118">
        <v>0.82</v>
      </c>
      <c r="E1209" s="118">
        <v>0.73</v>
      </c>
      <c r="F1209" s="118">
        <v>1.39</v>
      </c>
      <c r="G1209" s="118">
        <v>58.262</v>
      </c>
    </row>
    <row r="1210" spans="2:7" x14ac:dyDescent="0.2">
      <c r="B1210" s="116" t="s">
        <v>2111</v>
      </c>
      <c r="C1210" s="117" t="s">
        <v>2112</v>
      </c>
      <c r="D1210" s="118">
        <v>1.48</v>
      </c>
      <c r="E1210" s="118">
        <v>1.1499999999999999</v>
      </c>
      <c r="F1210" s="118">
        <v>0.14000000000000001</v>
      </c>
      <c r="G1210" s="118">
        <v>12.265000000000001</v>
      </c>
    </row>
    <row r="1211" spans="2:7" x14ac:dyDescent="0.2">
      <c r="B1211" s="116" t="s">
        <v>4098</v>
      </c>
      <c r="C1211" s="117" t="s">
        <v>4099</v>
      </c>
      <c r="D1211" s="118">
        <v>1.06</v>
      </c>
      <c r="E1211" s="118">
        <v>3.27</v>
      </c>
      <c r="F1211" s="118"/>
      <c r="G1211" s="118">
        <v>31.24699</v>
      </c>
    </row>
    <row r="1212" spans="2:7" x14ac:dyDescent="0.2">
      <c r="B1212" s="116" t="s">
        <v>2113</v>
      </c>
      <c r="C1212" s="117" t="s">
        <v>2114</v>
      </c>
      <c r="D1212" s="118">
        <v>0.68</v>
      </c>
      <c r="E1212" s="118">
        <v>1.3</v>
      </c>
      <c r="F1212" s="118">
        <v>0.18</v>
      </c>
      <c r="G1212" s="118">
        <v>15.359</v>
      </c>
    </row>
    <row r="1213" spans="2:7" x14ac:dyDescent="0.2">
      <c r="B1213" s="116" t="s">
        <v>2116</v>
      </c>
      <c r="C1213" s="117" t="s">
        <v>2117</v>
      </c>
      <c r="D1213" s="118">
        <v>0.94</v>
      </c>
      <c r="E1213" s="118">
        <v>1.22</v>
      </c>
      <c r="F1213" s="118"/>
      <c r="G1213" s="118">
        <v>23.356999999999999</v>
      </c>
    </row>
    <row r="1214" spans="2:7" x14ac:dyDescent="0.2">
      <c r="B1214" s="116" t="s">
        <v>2118</v>
      </c>
      <c r="C1214" s="117" t="s">
        <v>2119</v>
      </c>
      <c r="D1214" s="118">
        <v>1.66</v>
      </c>
      <c r="E1214" s="118">
        <v>1.6</v>
      </c>
      <c r="F1214" s="118">
        <v>0.98</v>
      </c>
      <c r="G1214" s="118">
        <v>49.39199</v>
      </c>
    </row>
    <row r="1215" spans="2:7" x14ac:dyDescent="0.2">
      <c r="B1215" s="116" t="s">
        <v>2120</v>
      </c>
      <c r="C1215" s="117" t="s">
        <v>2121</v>
      </c>
      <c r="D1215" s="118">
        <v>0.97</v>
      </c>
      <c r="E1215" s="118">
        <v>2.1</v>
      </c>
      <c r="F1215" s="118">
        <v>1.1100000000000001</v>
      </c>
      <c r="G1215" s="118">
        <v>52.555990000000001</v>
      </c>
    </row>
    <row r="1216" spans="2:7" x14ac:dyDescent="0.2">
      <c r="B1216" s="116" t="s">
        <v>4100</v>
      </c>
      <c r="C1216" s="117" t="s">
        <v>4101</v>
      </c>
      <c r="D1216" s="118">
        <v>1.34</v>
      </c>
      <c r="E1216" s="118">
        <v>1.85</v>
      </c>
      <c r="F1216" s="118"/>
      <c r="G1216" s="118">
        <v>7.1532900000000001</v>
      </c>
    </row>
    <row r="1217" spans="2:7" x14ac:dyDescent="0.2">
      <c r="B1217" s="116" t="s">
        <v>4102</v>
      </c>
      <c r="C1217" s="117" t="s">
        <v>4103</v>
      </c>
      <c r="D1217" s="118">
        <v>1.03</v>
      </c>
      <c r="E1217" s="118">
        <v>1.49</v>
      </c>
      <c r="F1217" s="118">
        <v>1.24</v>
      </c>
      <c r="G1217" s="118">
        <v>55.277990000000003</v>
      </c>
    </row>
    <row r="1218" spans="2:7" x14ac:dyDescent="0.2">
      <c r="B1218" s="116" t="s">
        <v>4104</v>
      </c>
      <c r="C1218" s="117" t="s">
        <v>4105</v>
      </c>
      <c r="D1218" s="118"/>
      <c r="E1218" s="118">
        <v>1.43</v>
      </c>
      <c r="F1218" s="118"/>
      <c r="G1218" s="118">
        <v>44.781999999999996</v>
      </c>
    </row>
    <row r="1219" spans="2:7" x14ac:dyDescent="0.2">
      <c r="B1219" s="116" t="s">
        <v>2122</v>
      </c>
      <c r="C1219" s="117" t="s">
        <v>2123</v>
      </c>
      <c r="D1219" s="118">
        <v>0.35</v>
      </c>
      <c r="E1219" s="118">
        <v>0.79</v>
      </c>
      <c r="F1219" s="118"/>
      <c r="G1219" s="118">
        <v>54.040999999999997</v>
      </c>
    </row>
    <row r="1220" spans="2:7" x14ac:dyDescent="0.2">
      <c r="B1220" s="116" t="s">
        <v>4106</v>
      </c>
      <c r="C1220" s="117" t="s">
        <v>4107</v>
      </c>
      <c r="D1220" s="118">
        <v>0.76</v>
      </c>
      <c r="E1220" s="118">
        <v>0.94</v>
      </c>
      <c r="F1220" s="118"/>
      <c r="G1220" s="118">
        <v>22.210999999999999</v>
      </c>
    </row>
    <row r="1221" spans="2:7" x14ac:dyDescent="0.2">
      <c r="B1221" s="116" t="s">
        <v>2124</v>
      </c>
      <c r="C1221" s="117" t="s">
        <v>2125</v>
      </c>
      <c r="D1221" s="118">
        <v>0.54</v>
      </c>
      <c r="E1221" s="118">
        <v>0.57999999999999996</v>
      </c>
      <c r="F1221" s="118">
        <v>0.35</v>
      </c>
      <c r="G1221" s="118">
        <v>26.617000000000001</v>
      </c>
    </row>
    <row r="1222" spans="2:7" x14ac:dyDescent="0.2">
      <c r="B1222" s="116" t="s">
        <v>2126</v>
      </c>
      <c r="C1222" s="117" t="s">
        <v>2127</v>
      </c>
      <c r="D1222" s="118">
        <v>4.0999999999999996</v>
      </c>
      <c r="E1222" s="118">
        <v>4.8</v>
      </c>
      <c r="F1222" s="118">
        <v>0.48</v>
      </c>
      <c r="G1222" s="118">
        <v>32.268999999999998</v>
      </c>
    </row>
    <row r="1223" spans="2:7" x14ac:dyDescent="0.2">
      <c r="B1223" s="116" t="s">
        <v>4108</v>
      </c>
      <c r="C1223" s="117" t="s">
        <v>4109</v>
      </c>
      <c r="D1223" s="118"/>
      <c r="E1223" s="118">
        <v>6.21</v>
      </c>
      <c r="F1223" s="118"/>
      <c r="G1223" s="118"/>
    </row>
    <row r="1224" spans="2:7" x14ac:dyDescent="0.2">
      <c r="B1224" s="116" t="s">
        <v>2128</v>
      </c>
      <c r="C1224" s="117" t="s">
        <v>2129</v>
      </c>
      <c r="D1224" s="118">
        <v>6.46</v>
      </c>
      <c r="E1224" s="118">
        <v>10.050000000000001</v>
      </c>
      <c r="F1224" s="118">
        <v>0.14000000000000001</v>
      </c>
      <c r="G1224" s="118">
        <v>11.93599</v>
      </c>
    </row>
    <row r="1225" spans="2:7" x14ac:dyDescent="0.2">
      <c r="B1225" s="116" t="s">
        <v>2130</v>
      </c>
      <c r="C1225" s="117" t="s">
        <v>2131</v>
      </c>
      <c r="D1225" s="118">
        <v>0.9</v>
      </c>
      <c r="E1225" s="118">
        <v>0.82</v>
      </c>
      <c r="F1225" s="118">
        <v>1.47</v>
      </c>
      <c r="G1225" s="118">
        <v>59.518000000000001</v>
      </c>
    </row>
    <row r="1226" spans="2:7" x14ac:dyDescent="0.2">
      <c r="B1226" s="116" t="s">
        <v>4110</v>
      </c>
      <c r="C1226" s="117" t="s">
        <v>4111</v>
      </c>
      <c r="D1226" s="118">
        <v>0.95</v>
      </c>
      <c r="E1226" s="118">
        <v>1.1599999999999999</v>
      </c>
      <c r="F1226" s="118"/>
      <c r="G1226" s="118">
        <v>26.992999999999999</v>
      </c>
    </row>
    <row r="1227" spans="2:7" x14ac:dyDescent="0.2">
      <c r="B1227" s="116" t="s">
        <v>2132</v>
      </c>
      <c r="C1227" s="117" t="s">
        <v>2133</v>
      </c>
      <c r="D1227" s="118">
        <v>0.89</v>
      </c>
      <c r="E1227" s="118">
        <v>1.86</v>
      </c>
      <c r="F1227" s="118">
        <v>0.62</v>
      </c>
      <c r="G1227" s="118">
        <v>38.350999999999999</v>
      </c>
    </row>
    <row r="1228" spans="2:7" x14ac:dyDescent="0.2">
      <c r="B1228" s="116" t="s">
        <v>2134</v>
      </c>
      <c r="C1228" s="117" t="s">
        <v>2135</v>
      </c>
      <c r="D1228" s="118">
        <v>2.85</v>
      </c>
      <c r="E1228" s="118">
        <v>3.86</v>
      </c>
      <c r="F1228" s="118">
        <v>0</v>
      </c>
      <c r="G1228" s="118">
        <v>0</v>
      </c>
    </row>
    <row r="1229" spans="2:7" x14ac:dyDescent="0.2">
      <c r="B1229" s="116" t="s">
        <v>4112</v>
      </c>
      <c r="C1229" s="117" t="s">
        <v>4113</v>
      </c>
      <c r="D1229" s="118"/>
      <c r="E1229" s="118"/>
      <c r="F1229" s="118"/>
      <c r="G1229" s="118"/>
    </row>
    <row r="1230" spans="2:7" x14ac:dyDescent="0.2">
      <c r="B1230" s="116" t="s">
        <v>2136</v>
      </c>
      <c r="C1230" s="117" t="s">
        <v>2137</v>
      </c>
      <c r="D1230" s="118">
        <v>1.21</v>
      </c>
      <c r="E1230" s="118">
        <v>1.18</v>
      </c>
      <c r="F1230" s="118">
        <v>1.37</v>
      </c>
      <c r="G1230" s="118">
        <v>57.884990000000002</v>
      </c>
    </row>
    <row r="1231" spans="2:7" x14ac:dyDescent="0.2">
      <c r="B1231" s="116" t="s">
        <v>2138</v>
      </c>
      <c r="C1231" s="117" t="s">
        <v>2139</v>
      </c>
      <c r="D1231" s="118">
        <v>1.29</v>
      </c>
      <c r="E1231" s="118">
        <v>1.93</v>
      </c>
      <c r="F1231" s="118">
        <v>1.53</v>
      </c>
      <c r="G1231" s="118">
        <v>60.499000000000002</v>
      </c>
    </row>
    <row r="1232" spans="2:7" x14ac:dyDescent="0.2">
      <c r="B1232" s="116" t="s">
        <v>2140</v>
      </c>
      <c r="C1232" s="117" t="s">
        <v>2141</v>
      </c>
      <c r="D1232" s="118">
        <v>0.68</v>
      </c>
      <c r="E1232" s="118">
        <v>0.66</v>
      </c>
      <c r="F1232" s="118">
        <v>1.73</v>
      </c>
      <c r="G1232" s="118">
        <v>63.325000000000003</v>
      </c>
    </row>
    <row r="1233" spans="2:7" x14ac:dyDescent="0.2">
      <c r="B1233" s="116" t="s">
        <v>2142</v>
      </c>
      <c r="C1233" s="117" t="s">
        <v>2143</v>
      </c>
      <c r="D1233" s="118">
        <v>2.91</v>
      </c>
      <c r="E1233" s="118">
        <v>2.0699999999999998</v>
      </c>
      <c r="F1233" s="118">
        <v>0</v>
      </c>
      <c r="G1233" s="118">
        <v>2.205E-2</v>
      </c>
    </row>
    <row r="1234" spans="2:7" x14ac:dyDescent="0.2">
      <c r="B1234" s="116" t="s">
        <v>4114</v>
      </c>
      <c r="C1234" s="117" t="s">
        <v>4115</v>
      </c>
      <c r="D1234" s="118"/>
      <c r="E1234" s="118">
        <v>1.5</v>
      </c>
      <c r="F1234" s="118">
        <v>0.2</v>
      </c>
      <c r="G1234" s="118">
        <v>16.410990000000002</v>
      </c>
    </row>
    <row r="1235" spans="2:7" x14ac:dyDescent="0.2">
      <c r="B1235" s="116" t="s">
        <v>2144</v>
      </c>
      <c r="C1235" s="117" t="s">
        <v>2145</v>
      </c>
      <c r="D1235" s="118">
        <v>2.54</v>
      </c>
      <c r="E1235" s="118">
        <v>3.3</v>
      </c>
      <c r="F1235" s="118">
        <v>0</v>
      </c>
      <c r="G1235" s="118">
        <v>0</v>
      </c>
    </row>
    <row r="1236" spans="2:7" x14ac:dyDescent="0.2">
      <c r="B1236" s="116" t="s">
        <v>2146</v>
      </c>
      <c r="C1236" s="117" t="s">
        <v>2147</v>
      </c>
      <c r="D1236" s="118">
        <v>0.09</v>
      </c>
      <c r="E1236" s="118">
        <v>0.56000000000000005</v>
      </c>
      <c r="F1236" s="118">
        <v>1.87</v>
      </c>
      <c r="G1236" s="118">
        <v>65.194000000000003</v>
      </c>
    </row>
    <row r="1237" spans="2:7" x14ac:dyDescent="0.2">
      <c r="B1237" s="116" t="s">
        <v>2148</v>
      </c>
      <c r="C1237" s="117" t="s">
        <v>4116</v>
      </c>
      <c r="D1237" s="118">
        <v>1.42</v>
      </c>
      <c r="E1237" s="118">
        <v>2.33</v>
      </c>
      <c r="F1237" s="118">
        <v>0.61</v>
      </c>
      <c r="G1237" s="118">
        <v>37.86</v>
      </c>
    </row>
    <row r="1238" spans="2:7" x14ac:dyDescent="0.2">
      <c r="B1238" s="116" t="s">
        <v>2150</v>
      </c>
      <c r="C1238" s="117" t="s">
        <v>2151</v>
      </c>
      <c r="D1238" s="118">
        <v>1.52</v>
      </c>
      <c r="E1238" s="118">
        <v>1.73</v>
      </c>
      <c r="F1238" s="118">
        <v>0.85</v>
      </c>
      <c r="G1238" s="118">
        <v>45.902000000000001</v>
      </c>
    </row>
    <row r="1239" spans="2:7" x14ac:dyDescent="0.2">
      <c r="B1239" s="116" t="s">
        <v>2152</v>
      </c>
      <c r="C1239" s="117" t="s">
        <v>2153</v>
      </c>
      <c r="D1239" s="118">
        <v>4.6900000000000004</v>
      </c>
      <c r="E1239" s="118">
        <v>6.03</v>
      </c>
      <c r="F1239" s="118">
        <v>0.43</v>
      </c>
      <c r="G1239" s="118">
        <v>30.280999999999999</v>
      </c>
    </row>
    <row r="1240" spans="2:7" x14ac:dyDescent="0.2">
      <c r="B1240" s="116" t="s">
        <v>2154</v>
      </c>
      <c r="C1240" s="117" t="s">
        <v>2155</v>
      </c>
      <c r="D1240" s="118">
        <v>0.76</v>
      </c>
      <c r="E1240" s="118">
        <v>1.35</v>
      </c>
      <c r="F1240" s="118"/>
      <c r="G1240" s="118">
        <v>34.356990000000003</v>
      </c>
    </row>
    <row r="1241" spans="2:7" x14ac:dyDescent="0.2">
      <c r="B1241" s="116" t="s">
        <v>2156</v>
      </c>
      <c r="C1241" s="117" t="s">
        <v>2157</v>
      </c>
      <c r="D1241" s="118">
        <v>1.58</v>
      </c>
      <c r="E1241" s="118">
        <v>2.14</v>
      </c>
      <c r="F1241" s="118"/>
      <c r="G1241" s="118">
        <v>7.7860899999999997</v>
      </c>
    </row>
    <row r="1242" spans="2:7" x14ac:dyDescent="0.2">
      <c r="B1242" s="116" t="s">
        <v>4117</v>
      </c>
      <c r="C1242" s="117" t="s">
        <v>4118</v>
      </c>
      <c r="D1242" s="118">
        <v>8.4600000000000009</v>
      </c>
      <c r="E1242" s="118">
        <v>7.61</v>
      </c>
      <c r="F1242" s="118">
        <v>0.08</v>
      </c>
      <c r="G1242" s="118">
        <v>7.5408999999999997</v>
      </c>
    </row>
    <row r="1243" spans="2:7" x14ac:dyDescent="0.2">
      <c r="B1243" s="116" t="s">
        <v>4119</v>
      </c>
      <c r="C1243" s="117" t="s">
        <v>4120</v>
      </c>
      <c r="D1243" s="118">
        <v>1.66</v>
      </c>
      <c r="E1243" s="118">
        <v>1.63</v>
      </c>
      <c r="F1243" s="118">
        <v>0.01</v>
      </c>
      <c r="G1243" s="118">
        <v>1.4729000000000001</v>
      </c>
    </row>
    <row r="1244" spans="2:7" x14ac:dyDescent="0.2">
      <c r="B1244" s="116" t="s">
        <v>2158</v>
      </c>
      <c r="C1244" s="117" t="s">
        <v>2159</v>
      </c>
      <c r="D1244" s="118">
        <v>0.79</v>
      </c>
      <c r="E1244" s="118">
        <v>1.67</v>
      </c>
      <c r="F1244" s="118">
        <v>0.43</v>
      </c>
      <c r="G1244" s="118">
        <v>29.834990000000001</v>
      </c>
    </row>
    <row r="1245" spans="2:7" x14ac:dyDescent="0.2">
      <c r="B1245" s="116" t="s">
        <v>2160</v>
      </c>
      <c r="C1245" s="117" t="s">
        <v>2161</v>
      </c>
      <c r="D1245" s="118">
        <v>0.62</v>
      </c>
      <c r="E1245" s="118">
        <v>1.24</v>
      </c>
      <c r="F1245" s="118">
        <v>0.69</v>
      </c>
      <c r="G1245" s="118">
        <v>41.798990000000003</v>
      </c>
    </row>
    <row r="1246" spans="2:7" x14ac:dyDescent="0.2">
      <c r="B1246" s="116" t="s">
        <v>2162</v>
      </c>
      <c r="C1246" s="117" t="s">
        <v>2163</v>
      </c>
      <c r="D1246" s="118">
        <v>0.69</v>
      </c>
      <c r="E1246" s="118">
        <v>0.75</v>
      </c>
      <c r="F1246" s="118">
        <v>2.0699999999999998</v>
      </c>
      <c r="G1246" s="118">
        <v>68.936989999999994</v>
      </c>
    </row>
    <row r="1247" spans="2:7" x14ac:dyDescent="0.2">
      <c r="B1247" s="116" t="s">
        <v>2164</v>
      </c>
      <c r="C1247" s="117" t="s">
        <v>2165</v>
      </c>
      <c r="D1247" s="118">
        <v>5.22</v>
      </c>
      <c r="E1247" s="118">
        <v>8</v>
      </c>
      <c r="F1247" s="118">
        <v>0.99</v>
      </c>
      <c r="G1247" s="118">
        <v>49.768999999999998</v>
      </c>
    </row>
    <row r="1248" spans="2:7" x14ac:dyDescent="0.2">
      <c r="B1248" s="116" t="s">
        <v>2166</v>
      </c>
      <c r="C1248" s="117" t="s">
        <v>2167</v>
      </c>
      <c r="D1248" s="118">
        <v>5.53</v>
      </c>
      <c r="E1248" s="118">
        <v>6.64</v>
      </c>
      <c r="F1248" s="118">
        <v>0</v>
      </c>
      <c r="G1248" s="118">
        <v>0</v>
      </c>
    </row>
    <row r="1249" spans="2:7" x14ac:dyDescent="0.2">
      <c r="B1249" s="116" t="s">
        <v>4121</v>
      </c>
      <c r="C1249" s="117" t="s">
        <v>4122</v>
      </c>
      <c r="D1249" s="118"/>
      <c r="E1249" s="118">
        <v>2.36</v>
      </c>
      <c r="F1249" s="118"/>
      <c r="G1249" s="118">
        <v>4.3090000000000003E-2</v>
      </c>
    </row>
    <row r="1250" spans="2:7" x14ac:dyDescent="0.2">
      <c r="B1250" s="116" t="s">
        <v>2168</v>
      </c>
      <c r="C1250" s="117" t="s">
        <v>2169</v>
      </c>
      <c r="D1250" s="118">
        <v>4.54</v>
      </c>
      <c r="E1250" s="118">
        <v>5.94</v>
      </c>
      <c r="F1250" s="118">
        <v>0</v>
      </c>
      <c r="G1250" s="118">
        <v>0</v>
      </c>
    </row>
    <row r="1251" spans="2:7" x14ac:dyDescent="0.2">
      <c r="B1251" s="116" t="s">
        <v>2170</v>
      </c>
      <c r="C1251" s="117" t="s">
        <v>2171</v>
      </c>
      <c r="D1251" s="118">
        <v>0.92</v>
      </c>
      <c r="E1251" s="118">
        <v>1.21</v>
      </c>
      <c r="F1251" s="118">
        <v>0.82</v>
      </c>
      <c r="G1251" s="118">
        <v>45.08399</v>
      </c>
    </row>
    <row r="1252" spans="2:7" x14ac:dyDescent="0.2">
      <c r="B1252" s="116" t="s">
        <v>2172</v>
      </c>
      <c r="C1252" s="117" t="s">
        <v>2173</v>
      </c>
      <c r="D1252" s="118">
        <v>7.02</v>
      </c>
      <c r="E1252" s="118">
        <v>6.77</v>
      </c>
      <c r="F1252" s="118">
        <v>0</v>
      </c>
      <c r="G1252" s="118">
        <v>0</v>
      </c>
    </row>
    <row r="1253" spans="2:7" x14ac:dyDescent="0.2">
      <c r="B1253" s="116" t="s">
        <v>2174</v>
      </c>
      <c r="C1253" s="117" t="s">
        <v>2175</v>
      </c>
      <c r="D1253" s="118">
        <v>1.54</v>
      </c>
      <c r="E1253" s="118">
        <v>1.0900000000000001</v>
      </c>
      <c r="F1253" s="118">
        <v>0.41</v>
      </c>
      <c r="G1253" s="118">
        <v>28.829989999999999</v>
      </c>
    </row>
    <row r="1254" spans="2:7" x14ac:dyDescent="0.2">
      <c r="B1254" s="116" t="s">
        <v>2176</v>
      </c>
      <c r="C1254" s="117" t="s">
        <v>2177</v>
      </c>
      <c r="D1254" s="118">
        <v>8.67</v>
      </c>
      <c r="E1254" s="118">
        <v>17.57</v>
      </c>
      <c r="F1254" s="118">
        <v>0</v>
      </c>
      <c r="G1254" s="118">
        <v>0</v>
      </c>
    </row>
    <row r="1255" spans="2:7" x14ac:dyDescent="0.2">
      <c r="B1255" s="116" t="s">
        <v>2178</v>
      </c>
      <c r="C1255" s="117" t="s">
        <v>2179</v>
      </c>
      <c r="D1255" s="118">
        <v>1.76</v>
      </c>
      <c r="E1255" s="118">
        <v>3.06</v>
      </c>
      <c r="F1255" s="118">
        <v>0.23</v>
      </c>
      <c r="G1255" s="118">
        <v>18.959990000000001</v>
      </c>
    </row>
    <row r="1256" spans="2:7" x14ac:dyDescent="0.2">
      <c r="B1256" s="116" t="s">
        <v>2180</v>
      </c>
      <c r="C1256" s="117" t="s">
        <v>2181</v>
      </c>
      <c r="D1256" s="118">
        <v>0.19</v>
      </c>
      <c r="E1256" s="118">
        <v>0.41</v>
      </c>
      <c r="F1256" s="118"/>
      <c r="G1256" s="118">
        <v>19.334990000000001</v>
      </c>
    </row>
    <row r="1257" spans="2:7" x14ac:dyDescent="0.2">
      <c r="B1257" s="116" t="s">
        <v>2183</v>
      </c>
      <c r="C1257" s="117" t="s">
        <v>2184</v>
      </c>
      <c r="D1257" s="118">
        <v>0.81</v>
      </c>
      <c r="E1257" s="118">
        <v>0.77</v>
      </c>
      <c r="F1257" s="118">
        <v>2.66</v>
      </c>
      <c r="G1257" s="118">
        <v>70.486000000000004</v>
      </c>
    </row>
    <row r="1258" spans="2:7" x14ac:dyDescent="0.2">
      <c r="B1258" s="116" t="s">
        <v>2185</v>
      </c>
      <c r="C1258" s="117" t="s">
        <v>2186</v>
      </c>
      <c r="D1258" s="118">
        <v>1.77</v>
      </c>
      <c r="E1258" s="118">
        <v>2.67</v>
      </c>
      <c r="F1258" s="118">
        <v>0.61</v>
      </c>
      <c r="G1258" s="118">
        <v>37.747999999999998</v>
      </c>
    </row>
    <row r="1259" spans="2:7" x14ac:dyDescent="0.2">
      <c r="B1259" s="116" t="s">
        <v>2187</v>
      </c>
      <c r="C1259" s="117" t="s">
        <v>2188</v>
      </c>
      <c r="D1259" s="118"/>
      <c r="E1259" s="118">
        <v>0.2</v>
      </c>
      <c r="F1259" s="118">
        <v>0.23</v>
      </c>
      <c r="G1259" s="118">
        <v>19.003</v>
      </c>
    </row>
    <row r="1260" spans="2:7" x14ac:dyDescent="0.2">
      <c r="B1260" s="116" t="s">
        <v>4123</v>
      </c>
      <c r="C1260" s="117" t="s">
        <v>4124</v>
      </c>
      <c r="D1260" s="118">
        <v>1.1200000000000001</v>
      </c>
      <c r="E1260" s="118">
        <v>1.29</v>
      </c>
      <c r="F1260" s="118">
        <v>0.75</v>
      </c>
      <c r="G1260" s="118">
        <v>42.819989999999997</v>
      </c>
    </row>
    <row r="1261" spans="2:7" x14ac:dyDescent="0.2">
      <c r="B1261" s="116" t="s">
        <v>2189</v>
      </c>
      <c r="C1261" s="117" t="s">
        <v>2190</v>
      </c>
      <c r="D1261" s="118">
        <v>1.77</v>
      </c>
      <c r="E1261" s="118">
        <v>1.73</v>
      </c>
      <c r="F1261" s="118">
        <v>-11.84</v>
      </c>
      <c r="G1261" s="118"/>
    </row>
    <row r="1262" spans="2:7" x14ac:dyDescent="0.2">
      <c r="B1262" s="116" t="s">
        <v>2191</v>
      </c>
      <c r="C1262" s="117" t="s">
        <v>2192</v>
      </c>
      <c r="D1262" s="118">
        <v>2.5</v>
      </c>
      <c r="E1262" s="118">
        <v>2.5299999999999998</v>
      </c>
      <c r="F1262" s="118">
        <v>0.71</v>
      </c>
      <c r="G1262" s="118">
        <v>41.585990000000002</v>
      </c>
    </row>
    <row r="1263" spans="2:7" x14ac:dyDescent="0.2">
      <c r="B1263" s="116" t="s">
        <v>2193</v>
      </c>
      <c r="C1263" s="117" t="s">
        <v>2194</v>
      </c>
      <c r="D1263" s="118">
        <v>1.86</v>
      </c>
      <c r="E1263" s="118">
        <v>1.86</v>
      </c>
      <c r="F1263" s="118">
        <v>0.02</v>
      </c>
      <c r="G1263" s="118">
        <v>4.2172900000000002</v>
      </c>
    </row>
    <row r="1264" spans="2:7" x14ac:dyDescent="0.2">
      <c r="B1264" s="116" t="s">
        <v>2195</v>
      </c>
      <c r="C1264" s="117" t="s">
        <v>2196</v>
      </c>
      <c r="D1264" s="118">
        <v>1.26</v>
      </c>
      <c r="E1264" s="118">
        <v>1.33</v>
      </c>
      <c r="F1264" s="118">
        <v>-6.1</v>
      </c>
      <c r="G1264" s="118"/>
    </row>
    <row r="1265" spans="2:7" x14ac:dyDescent="0.2">
      <c r="B1265" s="116" t="s">
        <v>2197</v>
      </c>
      <c r="C1265" s="117" t="s">
        <v>2198</v>
      </c>
      <c r="D1265" s="118"/>
      <c r="E1265" s="118">
        <v>2.5</v>
      </c>
      <c r="F1265" s="118"/>
      <c r="G1265" s="118">
        <v>16.375</v>
      </c>
    </row>
    <row r="1266" spans="2:7" x14ac:dyDescent="0.2">
      <c r="B1266" s="116" t="s">
        <v>2199</v>
      </c>
      <c r="C1266" s="117" t="s">
        <v>2200</v>
      </c>
      <c r="D1266" s="118">
        <v>0.5</v>
      </c>
      <c r="E1266" s="118">
        <v>1.41</v>
      </c>
      <c r="F1266" s="118">
        <v>0.24</v>
      </c>
      <c r="G1266" s="118">
        <v>19.555</v>
      </c>
    </row>
    <row r="1267" spans="2:7" x14ac:dyDescent="0.2">
      <c r="B1267" s="116" t="s">
        <v>2201</v>
      </c>
      <c r="C1267" s="117" t="s">
        <v>2202</v>
      </c>
      <c r="D1267" s="118">
        <v>1.06</v>
      </c>
      <c r="E1267" s="118">
        <v>1.06</v>
      </c>
      <c r="F1267" s="118">
        <v>0.53</v>
      </c>
      <c r="G1267" s="118">
        <v>32.79</v>
      </c>
    </row>
    <row r="1268" spans="2:7" x14ac:dyDescent="0.2">
      <c r="B1268" s="116" t="s">
        <v>2203</v>
      </c>
      <c r="C1268" s="117" t="s">
        <v>2204</v>
      </c>
      <c r="D1268" s="118">
        <v>0.97</v>
      </c>
      <c r="E1268" s="118">
        <v>1.32</v>
      </c>
      <c r="F1268" s="118">
        <v>7.63</v>
      </c>
      <c r="G1268" s="118">
        <v>88.418989999999994</v>
      </c>
    </row>
    <row r="1269" spans="2:7" x14ac:dyDescent="0.2">
      <c r="B1269" s="116" t="s">
        <v>2205</v>
      </c>
      <c r="C1269" s="117" t="s">
        <v>2206</v>
      </c>
      <c r="D1269" s="118">
        <v>1.06</v>
      </c>
      <c r="E1269" s="118">
        <v>1.39</v>
      </c>
      <c r="F1269" s="118">
        <v>2.16</v>
      </c>
      <c r="G1269" s="118">
        <v>68.335989999999995</v>
      </c>
    </row>
    <row r="1270" spans="2:7" x14ac:dyDescent="0.2">
      <c r="B1270" s="116" t="s">
        <v>2207</v>
      </c>
      <c r="C1270" s="117" t="s">
        <v>2208</v>
      </c>
      <c r="D1270" s="118">
        <v>0.27</v>
      </c>
      <c r="E1270" s="118">
        <v>0.36</v>
      </c>
      <c r="F1270" s="118">
        <v>0.21</v>
      </c>
      <c r="G1270" s="118">
        <v>17.094989999999999</v>
      </c>
    </row>
    <row r="1271" spans="2:7" x14ac:dyDescent="0.2">
      <c r="B1271" s="116" t="s">
        <v>2209</v>
      </c>
      <c r="C1271" s="117" t="s">
        <v>2210</v>
      </c>
      <c r="D1271" s="118"/>
      <c r="E1271" s="118">
        <v>0.97</v>
      </c>
      <c r="F1271" s="118"/>
      <c r="G1271" s="118">
        <v>31.607990000000001</v>
      </c>
    </row>
    <row r="1272" spans="2:7" x14ac:dyDescent="0.2">
      <c r="B1272" s="116" t="s">
        <v>2211</v>
      </c>
      <c r="C1272" s="117" t="s">
        <v>2212</v>
      </c>
      <c r="D1272" s="118"/>
      <c r="E1272" s="118">
        <v>0.76</v>
      </c>
      <c r="F1272" s="118"/>
      <c r="G1272" s="118">
        <v>40.910989999999998</v>
      </c>
    </row>
    <row r="1273" spans="2:7" x14ac:dyDescent="0.2">
      <c r="B1273" s="116" t="s">
        <v>4125</v>
      </c>
      <c r="C1273" s="117" t="s">
        <v>4126</v>
      </c>
      <c r="D1273" s="118">
        <v>0.84</v>
      </c>
      <c r="E1273" s="118">
        <v>0.84</v>
      </c>
      <c r="F1273" s="118"/>
      <c r="G1273" s="118">
        <v>45.128999999999998</v>
      </c>
    </row>
    <row r="1274" spans="2:7" x14ac:dyDescent="0.2">
      <c r="B1274" s="116" t="s">
        <v>4127</v>
      </c>
      <c r="C1274" s="117" t="s">
        <v>4128</v>
      </c>
      <c r="D1274" s="118">
        <v>0.76</v>
      </c>
      <c r="E1274" s="118">
        <v>1.1200000000000001</v>
      </c>
      <c r="F1274" s="118"/>
      <c r="G1274" s="118">
        <v>30.364989999999999</v>
      </c>
    </row>
    <row r="1275" spans="2:7" x14ac:dyDescent="0.2">
      <c r="B1275" s="116" t="s">
        <v>2213</v>
      </c>
      <c r="C1275" s="117" t="s">
        <v>2214</v>
      </c>
      <c r="D1275" s="118">
        <v>1.6</v>
      </c>
      <c r="E1275" s="118">
        <v>1.53</v>
      </c>
      <c r="F1275" s="118">
        <v>0.92</v>
      </c>
      <c r="G1275" s="118">
        <v>47.780990000000003</v>
      </c>
    </row>
    <row r="1276" spans="2:7" x14ac:dyDescent="0.2">
      <c r="B1276" s="116" t="s">
        <v>2215</v>
      </c>
      <c r="C1276" s="117" t="s">
        <v>2216</v>
      </c>
      <c r="D1276" s="118"/>
      <c r="E1276" s="118">
        <v>2.79</v>
      </c>
      <c r="F1276" s="118"/>
      <c r="G1276" s="118">
        <v>9.1890000000000001</v>
      </c>
    </row>
    <row r="1277" spans="2:7" x14ac:dyDescent="0.2">
      <c r="B1277" s="116" t="s">
        <v>4129</v>
      </c>
      <c r="C1277" s="117" t="s">
        <v>4130</v>
      </c>
      <c r="D1277" s="118"/>
      <c r="E1277" s="118"/>
      <c r="F1277" s="118"/>
      <c r="G1277" s="118"/>
    </row>
    <row r="1278" spans="2:7" x14ac:dyDescent="0.2">
      <c r="B1278" s="116" t="s">
        <v>2218</v>
      </c>
      <c r="C1278" s="117" t="s">
        <v>2219</v>
      </c>
      <c r="D1278" s="118">
        <v>0.91</v>
      </c>
      <c r="E1278" s="118">
        <v>0.92</v>
      </c>
      <c r="F1278" s="118">
        <v>2.0699999999999998</v>
      </c>
      <c r="G1278" s="118">
        <v>67.373999999999995</v>
      </c>
    </row>
    <row r="1279" spans="2:7" x14ac:dyDescent="0.2">
      <c r="B1279" s="116" t="s">
        <v>2220</v>
      </c>
      <c r="C1279" s="117" t="s">
        <v>2221</v>
      </c>
      <c r="D1279" s="118">
        <v>0.94</v>
      </c>
      <c r="E1279" s="118">
        <v>1.25</v>
      </c>
      <c r="F1279" s="118">
        <v>0.91</v>
      </c>
      <c r="G1279" s="118">
        <v>47.720999999999997</v>
      </c>
    </row>
    <row r="1280" spans="2:7" x14ac:dyDescent="0.2">
      <c r="B1280" s="116" t="s">
        <v>4131</v>
      </c>
      <c r="C1280" s="117" t="s">
        <v>4132</v>
      </c>
      <c r="D1280" s="118">
        <v>0.18</v>
      </c>
      <c r="E1280" s="118">
        <v>0.18</v>
      </c>
      <c r="F1280" s="118"/>
      <c r="G1280" s="118">
        <v>13.06099</v>
      </c>
    </row>
    <row r="1281" spans="2:7" x14ac:dyDescent="0.2">
      <c r="B1281" s="116" t="s">
        <v>4133</v>
      </c>
      <c r="C1281" s="117" t="s">
        <v>4134</v>
      </c>
      <c r="D1281" s="118">
        <v>0.78</v>
      </c>
      <c r="E1281" s="118">
        <v>1.1499999999999999</v>
      </c>
      <c r="F1281" s="118">
        <v>1.02</v>
      </c>
      <c r="G1281" s="118">
        <v>50.396990000000002</v>
      </c>
    </row>
    <row r="1282" spans="2:7" x14ac:dyDescent="0.2">
      <c r="B1282" s="116" t="s">
        <v>2222</v>
      </c>
      <c r="C1282" s="117" t="s">
        <v>2223</v>
      </c>
      <c r="D1282" s="118">
        <v>0.93</v>
      </c>
      <c r="E1282" s="118">
        <v>1.51</v>
      </c>
      <c r="F1282" s="118">
        <v>0.34</v>
      </c>
      <c r="G1282" s="118">
        <v>25.533999999999999</v>
      </c>
    </row>
    <row r="1283" spans="2:7" x14ac:dyDescent="0.2">
      <c r="B1283" s="116" t="s">
        <v>2224</v>
      </c>
      <c r="C1283" s="117" t="s">
        <v>2225</v>
      </c>
      <c r="D1283" s="118">
        <v>6.18</v>
      </c>
      <c r="E1283" s="118">
        <v>6.84</v>
      </c>
      <c r="F1283" s="118">
        <v>0.54</v>
      </c>
      <c r="G1283" s="118">
        <v>34.975999999999999</v>
      </c>
    </row>
    <row r="1284" spans="2:7" x14ac:dyDescent="0.2">
      <c r="B1284" s="116" t="s">
        <v>2226</v>
      </c>
      <c r="C1284" s="117" t="s">
        <v>2227</v>
      </c>
      <c r="D1284" s="118">
        <v>0.83</v>
      </c>
      <c r="E1284" s="118">
        <v>1.37</v>
      </c>
      <c r="F1284" s="118">
        <v>1.1499999999999999</v>
      </c>
      <c r="G1284" s="118">
        <v>53.543990000000001</v>
      </c>
    </row>
    <row r="1285" spans="2:7" x14ac:dyDescent="0.2">
      <c r="B1285" s="116" t="s">
        <v>2228</v>
      </c>
      <c r="C1285" s="117" t="s">
        <v>2229</v>
      </c>
      <c r="D1285" s="118">
        <v>1.04</v>
      </c>
      <c r="E1285" s="118">
        <v>1.46</v>
      </c>
      <c r="F1285" s="118"/>
      <c r="G1285" s="118">
        <v>25.677</v>
      </c>
    </row>
    <row r="1286" spans="2:7" x14ac:dyDescent="0.2">
      <c r="B1286" s="116" t="s">
        <v>2230</v>
      </c>
      <c r="C1286" s="117" t="s">
        <v>2231</v>
      </c>
      <c r="D1286" s="118">
        <v>1.22</v>
      </c>
      <c r="E1286" s="118">
        <v>1.22</v>
      </c>
      <c r="F1286" s="118"/>
      <c r="G1286" s="118">
        <v>73.128990000000002</v>
      </c>
    </row>
    <row r="1287" spans="2:7" x14ac:dyDescent="0.2">
      <c r="B1287" s="116" t="s">
        <v>4135</v>
      </c>
      <c r="C1287" s="117" t="s">
        <v>4136</v>
      </c>
      <c r="D1287" s="118">
        <v>2.93</v>
      </c>
      <c r="E1287" s="118">
        <v>3.28</v>
      </c>
      <c r="F1287" s="118">
        <v>0</v>
      </c>
      <c r="G1287" s="118">
        <v>0</v>
      </c>
    </row>
    <row r="1288" spans="2:7" x14ac:dyDescent="0.2">
      <c r="B1288" s="116" t="s">
        <v>2232</v>
      </c>
      <c r="C1288" s="117" t="s">
        <v>2233</v>
      </c>
      <c r="D1288" s="118">
        <v>17.670000000000002</v>
      </c>
      <c r="E1288" s="118">
        <v>13.85</v>
      </c>
      <c r="F1288" s="118">
        <v>26.2</v>
      </c>
      <c r="G1288" s="118">
        <v>96.323989999999995</v>
      </c>
    </row>
    <row r="1289" spans="2:7" x14ac:dyDescent="0.2">
      <c r="B1289" s="116" t="s">
        <v>2234</v>
      </c>
      <c r="C1289" s="117" t="s">
        <v>2235</v>
      </c>
      <c r="D1289" s="118">
        <v>8.24</v>
      </c>
      <c r="E1289" s="118">
        <v>7.44</v>
      </c>
      <c r="F1289" s="118">
        <v>0.96</v>
      </c>
      <c r="G1289" s="118">
        <v>48.994990000000001</v>
      </c>
    </row>
    <row r="1290" spans="2:7" x14ac:dyDescent="0.2">
      <c r="B1290" s="116" t="s">
        <v>2236</v>
      </c>
      <c r="C1290" s="117" t="s">
        <v>2237</v>
      </c>
      <c r="D1290" s="118">
        <v>1.01</v>
      </c>
      <c r="E1290" s="118">
        <v>0.59</v>
      </c>
      <c r="F1290" s="118">
        <v>0.68</v>
      </c>
      <c r="G1290" s="118">
        <v>40.807989999999997</v>
      </c>
    </row>
    <row r="1291" spans="2:7" x14ac:dyDescent="0.2">
      <c r="B1291" s="116" t="s">
        <v>2238</v>
      </c>
      <c r="C1291" s="117" t="s">
        <v>2239</v>
      </c>
      <c r="D1291" s="118">
        <v>0.15</v>
      </c>
      <c r="E1291" s="118">
        <v>0.25</v>
      </c>
      <c r="F1291" s="118">
        <v>0.93</v>
      </c>
      <c r="G1291" s="118">
        <v>48.291989999999998</v>
      </c>
    </row>
    <row r="1292" spans="2:7" x14ac:dyDescent="0.2">
      <c r="B1292" s="116" t="s">
        <v>4137</v>
      </c>
      <c r="C1292" s="117" t="s">
        <v>4138</v>
      </c>
      <c r="D1292" s="118"/>
      <c r="E1292" s="118">
        <v>2.92</v>
      </c>
      <c r="F1292" s="118"/>
      <c r="G1292" s="118">
        <v>21.207999999999998</v>
      </c>
    </row>
    <row r="1293" spans="2:7" x14ac:dyDescent="0.2">
      <c r="B1293" s="116" t="s">
        <v>2240</v>
      </c>
      <c r="C1293" s="117" t="s">
        <v>2241</v>
      </c>
      <c r="D1293" s="118">
        <v>0.97</v>
      </c>
      <c r="E1293" s="118">
        <v>1.32</v>
      </c>
      <c r="F1293" s="118">
        <v>6.05</v>
      </c>
      <c r="G1293" s="118">
        <v>69.885999999999996</v>
      </c>
    </row>
    <row r="1294" spans="2:7" x14ac:dyDescent="0.2">
      <c r="B1294" s="116" t="s">
        <v>2242</v>
      </c>
      <c r="C1294" s="117" t="s">
        <v>2243</v>
      </c>
      <c r="D1294" s="118"/>
      <c r="E1294" s="118"/>
      <c r="F1294" s="118"/>
      <c r="G1294" s="118"/>
    </row>
    <row r="1295" spans="2:7" x14ac:dyDescent="0.2">
      <c r="B1295" s="116" t="s">
        <v>2244</v>
      </c>
      <c r="C1295" s="117" t="s">
        <v>2245</v>
      </c>
      <c r="D1295" s="118">
        <v>0.97</v>
      </c>
      <c r="E1295" s="118">
        <v>0.96</v>
      </c>
      <c r="F1295" s="118">
        <v>0.61</v>
      </c>
      <c r="G1295" s="118">
        <v>37.741</v>
      </c>
    </row>
    <row r="1296" spans="2:7" x14ac:dyDescent="0.2">
      <c r="B1296" s="116" t="s">
        <v>4139</v>
      </c>
      <c r="C1296" s="117" t="s">
        <v>4140</v>
      </c>
      <c r="D1296" s="118"/>
      <c r="E1296" s="118">
        <v>3.42</v>
      </c>
      <c r="F1296" s="118"/>
      <c r="G1296" s="118"/>
    </row>
    <row r="1297" spans="2:7" x14ac:dyDescent="0.2">
      <c r="B1297" s="116" t="s">
        <v>4141</v>
      </c>
      <c r="C1297" s="117" t="s">
        <v>4142</v>
      </c>
      <c r="D1297" s="118"/>
      <c r="E1297" s="118"/>
      <c r="F1297" s="118"/>
      <c r="G1297" s="118"/>
    </row>
    <row r="1298" spans="2:7" x14ac:dyDescent="0.2">
      <c r="B1298" s="116" t="s">
        <v>2246</v>
      </c>
      <c r="C1298" s="117" t="s">
        <v>2247</v>
      </c>
      <c r="D1298" s="118">
        <v>1.77</v>
      </c>
      <c r="E1298" s="118">
        <v>2.21</v>
      </c>
      <c r="F1298" s="118">
        <v>0.76</v>
      </c>
      <c r="G1298" s="118">
        <v>43.27</v>
      </c>
    </row>
    <row r="1299" spans="2:7" x14ac:dyDescent="0.2">
      <c r="B1299" s="116" t="s">
        <v>4143</v>
      </c>
      <c r="C1299" s="117" t="s">
        <v>4144</v>
      </c>
      <c r="D1299" s="118"/>
      <c r="E1299" s="118"/>
      <c r="F1299" s="118"/>
      <c r="G1299" s="118"/>
    </row>
    <row r="1300" spans="2:7" x14ac:dyDescent="0.2">
      <c r="B1300" s="116" t="s">
        <v>2248</v>
      </c>
      <c r="C1300" s="117" t="s">
        <v>2249</v>
      </c>
      <c r="D1300" s="118">
        <v>0.28999999999999998</v>
      </c>
      <c r="E1300" s="118">
        <v>0.52</v>
      </c>
      <c r="F1300" s="118">
        <v>0.88</v>
      </c>
      <c r="G1300" s="118">
        <v>46.954999999999998</v>
      </c>
    </row>
    <row r="1301" spans="2:7" x14ac:dyDescent="0.2">
      <c r="B1301" s="116" t="s">
        <v>2250</v>
      </c>
      <c r="C1301" s="117" t="s">
        <v>2251</v>
      </c>
      <c r="D1301" s="118">
        <v>2.6</v>
      </c>
      <c r="E1301" s="118">
        <v>1.83</v>
      </c>
      <c r="F1301" s="118">
        <v>0.3</v>
      </c>
      <c r="G1301" s="118">
        <v>23.099</v>
      </c>
    </row>
    <row r="1302" spans="2:7" x14ac:dyDescent="0.2">
      <c r="B1302" s="116" t="s">
        <v>2252</v>
      </c>
      <c r="C1302" s="117" t="s">
        <v>2253</v>
      </c>
      <c r="D1302" s="118">
        <v>9.5</v>
      </c>
      <c r="E1302" s="118">
        <v>11.75</v>
      </c>
      <c r="F1302" s="118"/>
      <c r="G1302" s="118">
        <v>0</v>
      </c>
    </row>
    <row r="1303" spans="2:7" x14ac:dyDescent="0.2">
      <c r="B1303" s="116" t="s">
        <v>4145</v>
      </c>
      <c r="C1303" s="117" t="s">
        <v>4146</v>
      </c>
      <c r="D1303" s="118">
        <v>1.54</v>
      </c>
      <c r="E1303" s="118">
        <v>2.93</v>
      </c>
      <c r="F1303" s="118">
        <v>1.22</v>
      </c>
      <c r="G1303" s="118">
        <v>55.02899</v>
      </c>
    </row>
    <row r="1304" spans="2:7" x14ac:dyDescent="0.2">
      <c r="B1304" s="116" t="s">
        <v>2256</v>
      </c>
      <c r="C1304" s="117" t="s">
        <v>2257</v>
      </c>
      <c r="D1304" s="118">
        <v>2.9</v>
      </c>
      <c r="E1304" s="118">
        <v>2.88</v>
      </c>
      <c r="F1304" s="118">
        <v>1.32</v>
      </c>
      <c r="G1304" s="118">
        <v>57.044989999999999</v>
      </c>
    </row>
    <row r="1305" spans="2:7" x14ac:dyDescent="0.2">
      <c r="B1305" s="116" t="s">
        <v>2258</v>
      </c>
      <c r="C1305" s="117" t="s">
        <v>2259</v>
      </c>
      <c r="D1305" s="118">
        <v>0.34</v>
      </c>
      <c r="E1305" s="118">
        <v>0.56000000000000005</v>
      </c>
      <c r="F1305" s="118">
        <v>0</v>
      </c>
      <c r="G1305" s="118">
        <v>0</v>
      </c>
    </row>
    <row r="1306" spans="2:7" x14ac:dyDescent="0.2">
      <c r="B1306" s="116" t="s">
        <v>2260</v>
      </c>
      <c r="C1306" s="117" t="s">
        <v>2261</v>
      </c>
      <c r="D1306" s="118">
        <v>1.07</v>
      </c>
      <c r="E1306" s="118">
        <v>1.02</v>
      </c>
      <c r="F1306" s="118">
        <v>1</v>
      </c>
      <c r="G1306" s="118">
        <v>49.875</v>
      </c>
    </row>
    <row r="1307" spans="2:7" x14ac:dyDescent="0.2">
      <c r="B1307" s="116" t="s">
        <v>2262</v>
      </c>
      <c r="C1307" s="117" t="s">
        <v>2263</v>
      </c>
      <c r="D1307" s="118">
        <v>1.49</v>
      </c>
      <c r="E1307" s="118">
        <v>0.85</v>
      </c>
      <c r="F1307" s="118">
        <v>2.06</v>
      </c>
      <c r="G1307" s="118">
        <v>67.348990000000001</v>
      </c>
    </row>
    <row r="1308" spans="2:7" x14ac:dyDescent="0.2">
      <c r="B1308" s="116" t="s">
        <v>2264</v>
      </c>
      <c r="C1308" s="117" t="s">
        <v>2265</v>
      </c>
      <c r="D1308" s="118">
        <v>0.83</v>
      </c>
      <c r="E1308" s="118">
        <v>0.87</v>
      </c>
      <c r="F1308" s="118"/>
      <c r="G1308" s="118">
        <v>55.603000000000002</v>
      </c>
    </row>
    <row r="1309" spans="2:7" x14ac:dyDescent="0.2">
      <c r="B1309" s="116" t="s">
        <v>2266</v>
      </c>
      <c r="C1309" s="117" t="s">
        <v>2267</v>
      </c>
      <c r="D1309" s="118">
        <v>1.29</v>
      </c>
      <c r="E1309" s="118">
        <v>1.95</v>
      </c>
      <c r="F1309" s="118"/>
      <c r="G1309" s="118">
        <v>21.911999999999999</v>
      </c>
    </row>
    <row r="1310" spans="2:7" x14ac:dyDescent="0.2">
      <c r="B1310" s="116" t="s">
        <v>2268</v>
      </c>
      <c r="C1310" s="117" t="s">
        <v>2269</v>
      </c>
      <c r="D1310" s="118">
        <v>1.26</v>
      </c>
      <c r="E1310" s="118">
        <v>2.2799999999999998</v>
      </c>
      <c r="F1310" s="118">
        <v>3.51</v>
      </c>
      <c r="G1310" s="118">
        <v>77.802999999999997</v>
      </c>
    </row>
    <row r="1311" spans="2:7" x14ac:dyDescent="0.2">
      <c r="B1311" s="116" t="s">
        <v>2270</v>
      </c>
      <c r="C1311" s="117" t="s">
        <v>2271</v>
      </c>
      <c r="D1311" s="118">
        <v>17.920000000000002</v>
      </c>
      <c r="E1311" s="118">
        <v>14.42</v>
      </c>
      <c r="F1311" s="118">
        <v>1.04</v>
      </c>
      <c r="G1311" s="118">
        <v>50.901000000000003</v>
      </c>
    </row>
    <row r="1312" spans="2:7" x14ac:dyDescent="0.2">
      <c r="B1312" s="116" t="s">
        <v>2272</v>
      </c>
      <c r="C1312" s="117" t="s">
        <v>2273</v>
      </c>
      <c r="D1312" s="118">
        <v>0.81</v>
      </c>
      <c r="E1312" s="118">
        <v>1.77</v>
      </c>
      <c r="F1312" s="118">
        <v>0.22</v>
      </c>
      <c r="G1312" s="118">
        <v>17.867000000000001</v>
      </c>
    </row>
    <row r="1313" spans="2:7" x14ac:dyDescent="0.2">
      <c r="B1313" s="116" t="s">
        <v>2274</v>
      </c>
      <c r="C1313" s="117" t="s">
        <v>2275</v>
      </c>
      <c r="D1313" s="118">
        <v>0.4</v>
      </c>
      <c r="E1313" s="118">
        <v>0.41</v>
      </c>
      <c r="F1313" s="118">
        <v>1.4</v>
      </c>
      <c r="G1313" s="118">
        <v>54.331000000000003</v>
      </c>
    </row>
    <row r="1314" spans="2:7" x14ac:dyDescent="0.2">
      <c r="B1314" s="116" t="s">
        <v>2276</v>
      </c>
      <c r="C1314" s="117" t="s">
        <v>2277</v>
      </c>
      <c r="D1314" s="118">
        <v>1.38</v>
      </c>
      <c r="E1314" s="118">
        <v>1.28</v>
      </c>
      <c r="F1314" s="118">
        <v>0.27</v>
      </c>
      <c r="G1314" s="118">
        <v>21.305990000000001</v>
      </c>
    </row>
    <row r="1315" spans="2:7" x14ac:dyDescent="0.2">
      <c r="B1315" s="116" t="s">
        <v>4147</v>
      </c>
      <c r="C1315" s="117" t="s">
        <v>4148</v>
      </c>
      <c r="D1315" s="118">
        <v>0.96</v>
      </c>
      <c r="E1315" s="118">
        <v>1.93</v>
      </c>
      <c r="F1315" s="118"/>
      <c r="G1315" s="118">
        <v>70.308989999999994</v>
      </c>
    </row>
    <row r="1316" spans="2:7" x14ac:dyDescent="0.2">
      <c r="B1316" s="116" t="s">
        <v>2278</v>
      </c>
      <c r="C1316" s="117" t="s">
        <v>2279</v>
      </c>
      <c r="D1316" s="118">
        <v>1.42</v>
      </c>
      <c r="E1316" s="118">
        <v>2.06</v>
      </c>
      <c r="F1316" s="118">
        <v>0.19</v>
      </c>
      <c r="G1316" s="118">
        <v>15.722989999999999</v>
      </c>
    </row>
    <row r="1317" spans="2:7" x14ac:dyDescent="0.2">
      <c r="B1317" s="116" t="s">
        <v>2280</v>
      </c>
      <c r="C1317" s="117" t="s">
        <v>2281</v>
      </c>
      <c r="D1317" s="118">
        <v>1.25</v>
      </c>
      <c r="E1317" s="118">
        <v>1.49</v>
      </c>
      <c r="F1317" s="118"/>
      <c r="G1317" s="118">
        <v>81.185990000000004</v>
      </c>
    </row>
    <row r="1318" spans="2:7" x14ac:dyDescent="0.2">
      <c r="B1318" s="116" t="s">
        <v>2282</v>
      </c>
      <c r="C1318" s="117" t="s">
        <v>2283</v>
      </c>
      <c r="D1318" s="118">
        <v>1.25</v>
      </c>
      <c r="E1318" s="118">
        <v>1.52</v>
      </c>
      <c r="F1318" s="118">
        <v>0.24</v>
      </c>
      <c r="G1318" s="118">
        <v>19.236000000000001</v>
      </c>
    </row>
    <row r="1319" spans="2:7" x14ac:dyDescent="0.2">
      <c r="B1319" s="116" t="s">
        <v>2284</v>
      </c>
      <c r="C1319" s="117" t="s">
        <v>2285</v>
      </c>
      <c r="D1319" s="118">
        <v>0.76</v>
      </c>
      <c r="E1319" s="118">
        <v>0.88</v>
      </c>
      <c r="F1319" s="118">
        <v>0.77</v>
      </c>
      <c r="G1319" s="118">
        <v>43.527990000000003</v>
      </c>
    </row>
    <row r="1320" spans="2:7" x14ac:dyDescent="0.2">
      <c r="B1320" s="116" t="s">
        <v>2286</v>
      </c>
      <c r="C1320" s="117" t="s">
        <v>2287</v>
      </c>
      <c r="D1320" s="118">
        <v>1.39</v>
      </c>
      <c r="E1320" s="118">
        <v>2.1</v>
      </c>
      <c r="F1320" s="118"/>
      <c r="G1320" s="118">
        <v>27.70299</v>
      </c>
    </row>
    <row r="1321" spans="2:7" x14ac:dyDescent="0.2">
      <c r="B1321" s="116" t="s">
        <v>2288</v>
      </c>
      <c r="C1321" s="117" t="s">
        <v>2289</v>
      </c>
      <c r="D1321" s="118">
        <v>17.39</v>
      </c>
      <c r="E1321" s="118">
        <v>14.09</v>
      </c>
      <c r="F1321" s="118">
        <v>0.22</v>
      </c>
      <c r="G1321" s="118">
        <v>18.035990000000002</v>
      </c>
    </row>
    <row r="1322" spans="2:7" x14ac:dyDescent="0.2">
      <c r="B1322" s="116" t="s">
        <v>2290</v>
      </c>
      <c r="C1322" s="117" t="s">
        <v>2291</v>
      </c>
      <c r="D1322" s="118">
        <v>1.21</v>
      </c>
      <c r="E1322" s="118">
        <v>1.07</v>
      </c>
      <c r="F1322" s="118">
        <v>2.9</v>
      </c>
      <c r="G1322" s="118">
        <v>74.328000000000003</v>
      </c>
    </row>
    <row r="1323" spans="2:7" x14ac:dyDescent="0.2">
      <c r="B1323" s="116" t="s">
        <v>2292</v>
      </c>
      <c r="C1323" s="117" t="s">
        <v>2293</v>
      </c>
      <c r="D1323" s="118">
        <v>0.08</v>
      </c>
      <c r="E1323" s="118">
        <v>0.05</v>
      </c>
      <c r="F1323" s="118">
        <v>0.26</v>
      </c>
      <c r="G1323" s="118">
        <v>18.094989999999999</v>
      </c>
    </row>
    <row r="1324" spans="2:7" x14ac:dyDescent="0.2">
      <c r="B1324" s="116" t="s">
        <v>2294</v>
      </c>
      <c r="C1324" s="117" t="s">
        <v>2295</v>
      </c>
      <c r="D1324" s="118"/>
      <c r="E1324" s="118"/>
      <c r="F1324" s="118"/>
      <c r="G1324" s="118"/>
    </row>
    <row r="1325" spans="2:7" x14ac:dyDescent="0.2">
      <c r="B1325" s="116" t="s">
        <v>2296</v>
      </c>
      <c r="C1325" s="117" t="s">
        <v>2297</v>
      </c>
      <c r="D1325" s="118">
        <v>1.1000000000000001</v>
      </c>
      <c r="E1325" s="118">
        <v>0.98</v>
      </c>
      <c r="F1325" s="118">
        <v>5.9</v>
      </c>
      <c r="G1325" s="118">
        <v>85.507000000000005</v>
      </c>
    </row>
    <row r="1326" spans="2:7" x14ac:dyDescent="0.2">
      <c r="B1326" s="116" t="s">
        <v>2298</v>
      </c>
      <c r="C1326" s="117" t="s">
        <v>2299</v>
      </c>
      <c r="D1326" s="118"/>
      <c r="E1326" s="118">
        <v>3.1</v>
      </c>
      <c r="F1326" s="118"/>
      <c r="G1326" s="118">
        <v>0.88700999999999997</v>
      </c>
    </row>
    <row r="1327" spans="2:7" x14ac:dyDescent="0.2">
      <c r="B1327" s="116" t="s">
        <v>4149</v>
      </c>
      <c r="C1327" s="117" t="s">
        <v>4150</v>
      </c>
      <c r="D1327" s="118">
        <v>23.09</v>
      </c>
      <c r="E1327" s="118">
        <v>25.96</v>
      </c>
      <c r="F1327" s="118"/>
      <c r="G1327" s="118">
        <v>22.975000000000001</v>
      </c>
    </row>
    <row r="1328" spans="2:7" x14ac:dyDescent="0.2">
      <c r="B1328" s="116" t="s">
        <v>2300</v>
      </c>
      <c r="C1328" s="117" t="s">
        <v>2301</v>
      </c>
      <c r="D1328" s="118">
        <v>7.35</v>
      </c>
      <c r="E1328" s="118">
        <v>1.83</v>
      </c>
      <c r="F1328" s="118">
        <v>0.81</v>
      </c>
      <c r="G1328" s="118">
        <v>40.850999999999999</v>
      </c>
    </row>
    <row r="1329" spans="2:7" x14ac:dyDescent="0.2">
      <c r="B1329" s="116" t="s">
        <v>2302</v>
      </c>
      <c r="C1329" s="117" t="s">
        <v>2303</v>
      </c>
      <c r="D1329" s="118">
        <v>1.0900000000000001</v>
      </c>
      <c r="E1329" s="118">
        <v>1.25</v>
      </c>
      <c r="F1329" s="118">
        <v>1.62</v>
      </c>
      <c r="G1329" s="118">
        <v>61.819989999999997</v>
      </c>
    </row>
    <row r="1330" spans="2:7" x14ac:dyDescent="0.2">
      <c r="B1330" s="116" t="s">
        <v>2304</v>
      </c>
      <c r="C1330" s="117" t="s">
        <v>2305</v>
      </c>
      <c r="D1330" s="118">
        <v>1.07</v>
      </c>
      <c r="E1330" s="118">
        <v>1.34</v>
      </c>
      <c r="F1330" s="118">
        <v>0.33</v>
      </c>
      <c r="G1330" s="118">
        <v>24.625</v>
      </c>
    </row>
    <row r="1331" spans="2:7" x14ac:dyDescent="0.2">
      <c r="B1331" s="116" t="s">
        <v>2306</v>
      </c>
      <c r="C1331" s="117" t="s">
        <v>2307</v>
      </c>
      <c r="D1331" s="118">
        <v>0.71</v>
      </c>
      <c r="E1331" s="118">
        <v>1.64</v>
      </c>
      <c r="F1331" s="118">
        <v>0.74</v>
      </c>
      <c r="G1331" s="118">
        <v>42.661990000000003</v>
      </c>
    </row>
    <row r="1332" spans="2:7" x14ac:dyDescent="0.2">
      <c r="B1332" s="116" t="s">
        <v>2308</v>
      </c>
      <c r="C1332" s="117" t="s">
        <v>2309</v>
      </c>
      <c r="D1332" s="118">
        <v>1.83</v>
      </c>
      <c r="E1332" s="118">
        <v>3.05</v>
      </c>
      <c r="F1332" s="118">
        <v>0.28999999999999998</v>
      </c>
      <c r="G1332" s="118">
        <v>22.634</v>
      </c>
    </row>
    <row r="1333" spans="2:7" x14ac:dyDescent="0.2">
      <c r="B1333" s="116" t="s">
        <v>2311</v>
      </c>
      <c r="C1333" s="117" t="s">
        <v>2312</v>
      </c>
      <c r="D1333" s="118">
        <v>1.17</v>
      </c>
      <c r="E1333" s="118">
        <v>1.1000000000000001</v>
      </c>
      <c r="F1333" s="118">
        <v>0.54</v>
      </c>
      <c r="G1333" s="118">
        <v>34.972000000000001</v>
      </c>
    </row>
    <row r="1334" spans="2:7" x14ac:dyDescent="0.2">
      <c r="B1334" s="116" t="s">
        <v>2313</v>
      </c>
      <c r="C1334" s="117" t="s">
        <v>2314</v>
      </c>
      <c r="D1334" s="118"/>
      <c r="E1334" s="118"/>
      <c r="F1334" s="118"/>
      <c r="G1334" s="118"/>
    </row>
    <row r="1335" spans="2:7" x14ac:dyDescent="0.2">
      <c r="B1335" s="116" t="s">
        <v>4151</v>
      </c>
      <c r="C1335" s="117" t="s">
        <v>4152</v>
      </c>
      <c r="D1335" s="118">
        <v>0.59</v>
      </c>
      <c r="E1335" s="118">
        <v>1.32</v>
      </c>
      <c r="F1335" s="118">
        <v>0.53</v>
      </c>
      <c r="G1335" s="118">
        <v>34.500990000000002</v>
      </c>
    </row>
    <row r="1336" spans="2:7" x14ac:dyDescent="0.2">
      <c r="B1336" s="116" t="s">
        <v>4153</v>
      </c>
      <c r="C1336" s="117" t="s">
        <v>4154</v>
      </c>
      <c r="D1336" s="118"/>
      <c r="E1336" s="118">
        <v>1.83</v>
      </c>
      <c r="F1336" s="118"/>
      <c r="G1336" s="118">
        <v>25.196999999999999</v>
      </c>
    </row>
    <row r="1337" spans="2:7" x14ac:dyDescent="0.2">
      <c r="B1337" s="116" t="s">
        <v>4155</v>
      </c>
      <c r="C1337" s="117" t="s">
        <v>4156</v>
      </c>
      <c r="D1337" s="118">
        <v>6.54</v>
      </c>
      <c r="E1337" s="118">
        <v>6.67</v>
      </c>
      <c r="F1337" s="118"/>
      <c r="G1337" s="118">
        <v>10.342000000000001</v>
      </c>
    </row>
    <row r="1338" spans="2:7" x14ac:dyDescent="0.2">
      <c r="B1338" s="116" t="s">
        <v>4157</v>
      </c>
      <c r="C1338" s="117" t="s">
        <v>4158</v>
      </c>
      <c r="D1338" s="118">
        <v>1.57</v>
      </c>
      <c r="E1338" s="118">
        <v>1.56</v>
      </c>
      <c r="F1338" s="118">
        <v>6.43</v>
      </c>
      <c r="G1338" s="118">
        <v>86.54</v>
      </c>
    </row>
    <row r="1339" spans="2:7" x14ac:dyDescent="0.2">
      <c r="B1339" s="116" t="s">
        <v>2316</v>
      </c>
      <c r="C1339" s="117" t="s">
        <v>2317</v>
      </c>
      <c r="D1339" s="118">
        <v>1.33</v>
      </c>
      <c r="E1339" s="118">
        <v>1.33</v>
      </c>
      <c r="F1339" s="118">
        <v>-3.83</v>
      </c>
      <c r="G1339" s="118"/>
    </row>
    <row r="1340" spans="2:7" x14ac:dyDescent="0.2">
      <c r="B1340" s="116" t="s">
        <v>2318</v>
      </c>
      <c r="C1340" s="117" t="s">
        <v>2319</v>
      </c>
      <c r="D1340" s="118">
        <v>2.2799999999999998</v>
      </c>
      <c r="E1340" s="118">
        <v>2.42</v>
      </c>
      <c r="F1340" s="118">
        <v>0.11</v>
      </c>
      <c r="G1340" s="118">
        <v>9.9128900000000009</v>
      </c>
    </row>
    <row r="1341" spans="2:7" x14ac:dyDescent="0.2">
      <c r="B1341" s="116" t="s">
        <v>2320</v>
      </c>
      <c r="C1341" s="117" t="s">
        <v>2321</v>
      </c>
      <c r="D1341" s="118">
        <v>0.39</v>
      </c>
      <c r="E1341" s="118">
        <v>0.48</v>
      </c>
      <c r="F1341" s="118">
        <v>0</v>
      </c>
      <c r="G1341" s="118">
        <v>0</v>
      </c>
    </row>
    <row r="1342" spans="2:7" x14ac:dyDescent="0.2">
      <c r="B1342" s="116" t="s">
        <v>2322</v>
      </c>
      <c r="C1342" s="117" t="s">
        <v>2323</v>
      </c>
      <c r="D1342" s="118">
        <v>0.55000000000000004</v>
      </c>
      <c r="E1342" s="118">
        <v>1.43</v>
      </c>
      <c r="F1342" s="118">
        <v>3.22</v>
      </c>
      <c r="G1342" s="118">
        <v>59</v>
      </c>
    </row>
    <row r="1343" spans="2:7" x14ac:dyDescent="0.2">
      <c r="B1343" s="116" t="s">
        <v>2324</v>
      </c>
      <c r="C1343" s="117" t="s">
        <v>2325</v>
      </c>
      <c r="D1343" s="118">
        <v>1.34</v>
      </c>
      <c r="E1343" s="118">
        <v>1.5</v>
      </c>
      <c r="F1343" s="118">
        <v>0.75</v>
      </c>
      <c r="G1343" s="118">
        <v>42.798000000000002</v>
      </c>
    </row>
    <row r="1344" spans="2:7" x14ac:dyDescent="0.2">
      <c r="B1344" s="116" t="s">
        <v>2326</v>
      </c>
      <c r="C1344" s="117" t="s">
        <v>2327</v>
      </c>
      <c r="D1344" s="118">
        <v>0.64</v>
      </c>
      <c r="E1344" s="118">
        <v>0.78</v>
      </c>
      <c r="F1344" s="118">
        <v>0.72</v>
      </c>
      <c r="G1344" s="118">
        <v>41.974989999999998</v>
      </c>
    </row>
    <row r="1345" spans="2:7" x14ac:dyDescent="0.2">
      <c r="B1345" s="116" t="s">
        <v>2328</v>
      </c>
      <c r="C1345" s="117" t="s">
        <v>2329</v>
      </c>
      <c r="D1345" s="118">
        <v>1.1200000000000001</v>
      </c>
      <c r="E1345" s="118">
        <v>1.19</v>
      </c>
      <c r="F1345" s="118">
        <v>1.26</v>
      </c>
      <c r="G1345" s="118">
        <v>55.670999999999999</v>
      </c>
    </row>
    <row r="1346" spans="2:7" x14ac:dyDescent="0.2">
      <c r="B1346" s="116" t="s">
        <v>2330</v>
      </c>
      <c r="C1346" s="117" t="s">
        <v>2331</v>
      </c>
      <c r="D1346" s="118">
        <v>0.74</v>
      </c>
      <c r="E1346" s="118">
        <v>0.95</v>
      </c>
      <c r="F1346" s="118"/>
      <c r="G1346" s="118">
        <v>30.558</v>
      </c>
    </row>
    <row r="1347" spans="2:7" x14ac:dyDescent="0.2">
      <c r="B1347" s="116" t="s">
        <v>2332</v>
      </c>
      <c r="C1347" s="117" t="s">
        <v>2333</v>
      </c>
      <c r="D1347" s="118">
        <v>1.42</v>
      </c>
      <c r="E1347" s="118">
        <v>1.42</v>
      </c>
      <c r="F1347" s="118">
        <v>1.33</v>
      </c>
      <c r="G1347" s="118">
        <v>57.021990000000002</v>
      </c>
    </row>
    <row r="1348" spans="2:7" x14ac:dyDescent="0.2">
      <c r="B1348" s="116" t="s">
        <v>2335</v>
      </c>
      <c r="C1348" s="117" t="s">
        <v>2336</v>
      </c>
      <c r="D1348" s="118">
        <v>4.9400000000000004</v>
      </c>
      <c r="E1348" s="118">
        <v>5.49</v>
      </c>
      <c r="F1348" s="118"/>
      <c r="G1348" s="118">
        <v>0</v>
      </c>
    </row>
    <row r="1349" spans="2:7" x14ac:dyDescent="0.2">
      <c r="B1349" s="116" t="s">
        <v>2337</v>
      </c>
      <c r="C1349" s="117" t="s">
        <v>2338</v>
      </c>
      <c r="D1349" s="118">
        <v>1.17</v>
      </c>
      <c r="E1349" s="118">
        <v>1.19</v>
      </c>
      <c r="F1349" s="118"/>
      <c r="G1349" s="118">
        <v>31.588999999999999</v>
      </c>
    </row>
    <row r="1350" spans="2:7" x14ac:dyDescent="0.2">
      <c r="B1350" s="116" t="s">
        <v>2339</v>
      </c>
      <c r="C1350" s="117" t="s">
        <v>2340</v>
      </c>
      <c r="D1350" s="118">
        <v>1.81</v>
      </c>
      <c r="E1350" s="118">
        <v>2.15</v>
      </c>
      <c r="F1350" s="118">
        <v>0</v>
      </c>
      <c r="G1350" s="118">
        <v>10.12899</v>
      </c>
    </row>
    <row r="1351" spans="2:7" x14ac:dyDescent="0.2">
      <c r="B1351" s="116" t="s">
        <v>2341</v>
      </c>
      <c r="C1351" s="117" t="s">
        <v>2342</v>
      </c>
      <c r="D1351" s="118">
        <v>0.82</v>
      </c>
      <c r="E1351" s="118">
        <v>0.79</v>
      </c>
      <c r="F1351" s="118"/>
      <c r="G1351" s="118">
        <v>4.9783999999999997</v>
      </c>
    </row>
    <row r="1352" spans="2:7" x14ac:dyDescent="0.2">
      <c r="B1352" s="116" t="s">
        <v>2343</v>
      </c>
      <c r="C1352" s="117" t="s">
        <v>2344</v>
      </c>
      <c r="D1352" s="118"/>
      <c r="E1352" s="118">
        <v>2.41</v>
      </c>
      <c r="F1352" s="118"/>
      <c r="G1352" s="118">
        <v>59.64199</v>
      </c>
    </row>
    <row r="1353" spans="2:7" x14ac:dyDescent="0.2">
      <c r="B1353" s="116" t="s">
        <v>2345</v>
      </c>
      <c r="C1353" s="117" t="s">
        <v>2346</v>
      </c>
      <c r="D1353" s="118"/>
      <c r="E1353" s="118"/>
      <c r="F1353" s="118"/>
      <c r="G1353" s="118"/>
    </row>
    <row r="1354" spans="2:7" x14ac:dyDescent="0.2">
      <c r="B1354" s="116" t="s">
        <v>2347</v>
      </c>
      <c r="C1354" s="117" t="s">
        <v>2348</v>
      </c>
      <c r="D1354" s="118">
        <v>0.64</v>
      </c>
      <c r="E1354" s="118">
        <v>0.64</v>
      </c>
      <c r="F1354" s="118">
        <v>0.4</v>
      </c>
      <c r="G1354" s="118">
        <v>26.972000000000001</v>
      </c>
    </row>
    <row r="1355" spans="2:7" x14ac:dyDescent="0.2">
      <c r="B1355" s="116" t="s">
        <v>2349</v>
      </c>
      <c r="C1355" s="117" t="s">
        <v>2350</v>
      </c>
      <c r="D1355" s="118">
        <v>1.2</v>
      </c>
      <c r="E1355" s="118">
        <v>1.2</v>
      </c>
      <c r="F1355" s="118">
        <v>0.28000000000000003</v>
      </c>
      <c r="G1355" s="118">
        <v>21.710999999999999</v>
      </c>
    </row>
    <row r="1356" spans="2:7" x14ac:dyDescent="0.2">
      <c r="B1356" s="116" t="s">
        <v>2351</v>
      </c>
      <c r="C1356" s="117" t="s">
        <v>2352</v>
      </c>
      <c r="D1356" s="118">
        <v>1.22</v>
      </c>
      <c r="E1356" s="118">
        <v>1.77</v>
      </c>
      <c r="F1356" s="118">
        <v>0.94</v>
      </c>
      <c r="G1356" s="118">
        <v>48.495989999999999</v>
      </c>
    </row>
    <row r="1357" spans="2:7" x14ac:dyDescent="0.2">
      <c r="B1357" s="116" t="s">
        <v>2353</v>
      </c>
      <c r="C1357" s="117" t="s">
        <v>2354</v>
      </c>
      <c r="D1357" s="118">
        <v>1.45</v>
      </c>
      <c r="E1357" s="118">
        <v>3.56</v>
      </c>
      <c r="F1357" s="118">
        <v>0.4</v>
      </c>
      <c r="G1357" s="118">
        <v>28.356999999999999</v>
      </c>
    </row>
    <row r="1358" spans="2:7" x14ac:dyDescent="0.2">
      <c r="B1358" s="116" t="s">
        <v>2355</v>
      </c>
      <c r="C1358" s="117" t="s">
        <v>2356</v>
      </c>
      <c r="D1358" s="118">
        <v>1.92</v>
      </c>
      <c r="E1358" s="118">
        <v>3.6</v>
      </c>
      <c r="F1358" s="118">
        <v>0.79</v>
      </c>
      <c r="G1358" s="118">
        <v>44.097000000000001</v>
      </c>
    </row>
    <row r="1359" spans="2:7" x14ac:dyDescent="0.2">
      <c r="B1359" s="116" t="s">
        <v>2357</v>
      </c>
      <c r="C1359" s="117" t="s">
        <v>2358</v>
      </c>
      <c r="D1359" s="118">
        <v>4.63</v>
      </c>
      <c r="E1359" s="118">
        <v>5.03</v>
      </c>
      <c r="F1359" s="118">
        <v>1.01</v>
      </c>
      <c r="G1359" s="118">
        <v>50.316000000000003</v>
      </c>
    </row>
    <row r="1360" spans="2:7" x14ac:dyDescent="0.2">
      <c r="B1360" s="116" t="s">
        <v>2359</v>
      </c>
      <c r="C1360" s="117" t="s">
        <v>2360</v>
      </c>
      <c r="D1360" s="118">
        <v>6.76</v>
      </c>
      <c r="E1360" s="118">
        <v>8.65</v>
      </c>
      <c r="F1360" s="118">
        <v>0.24</v>
      </c>
      <c r="G1360" s="118">
        <v>19.299990000000001</v>
      </c>
    </row>
    <row r="1361" spans="2:7" x14ac:dyDescent="0.2">
      <c r="B1361" s="116" t="s">
        <v>2361</v>
      </c>
      <c r="C1361" s="117" t="s">
        <v>2362</v>
      </c>
      <c r="D1361" s="118">
        <v>0.79</v>
      </c>
      <c r="E1361" s="118">
        <v>1.04</v>
      </c>
      <c r="F1361" s="118">
        <v>0.06</v>
      </c>
      <c r="G1361" s="118">
        <v>5.3102</v>
      </c>
    </row>
    <row r="1362" spans="2:7" x14ac:dyDescent="0.2">
      <c r="B1362" s="116" t="s">
        <v>2363</v>
      </c>
      <c r="C1362" s="117" t="s">
        <v>2364</v>
      </c>
      <c r="D1362" s="118">
        <v>1.95</v>
      </c>
      <c r="E1362" s="118">
        <v>4.29</v>
      </c>
      <c r="F1362" s="118">
        <v>0.32</v>
      </c>
      <c r="G1362" s="118">
        <v>24.434000000000001</v>
      </c>
    </row>
    <row r="1363" spans="2:7" x14ac:dyDescent="0.2">
      <c r="B1363" s="116" t="s">
        <v>2365</v>
      </c>
      <c r="C1363" s="117" t="s">
        <v>2366</v>
      </c>
      <c r="D1363" s="118">
        <v>0.97</v>
      </c>
      <c r="E1363" s="118">
        <v>0.94</v>
      </c>
      <c r="F1363" s="118">
        <v>0.43</v>
      </c>
      <c r="G1363" s="118">
        <v>30.041</v>
      </c>
    </row>
    <row r="1364" spans="2:7" x14ac:dyDescent="0.2">
      <c r="B1364" s="116" t="s">
        <v>2367</v>
      </c>
      <c r="C1364" s="117" t="s">
        <v>2368</v>
      </c>
      <c r="D1364" s="118">
        <v>1.34</v>
      </c>
      <c r="E1364" s="118">
        <v>1.87</v>
      </c>
      <c r="F1364" s="118">
        <v>0.41</v>
      </c>
      <c r="G1364" s="118">
        <v>29.09</v>
      </c>
    </row>
    <row r="1365" spans="2:7" x14ac:dyDescent="0.2">
      <c r="B1365" s="116" t="s">
        <v>2369</v>
      </c>
      <c r="C1365" s="117" t="s">
        <v>2370</v>
      </c>
      <c r="D1365" s="118">
        <v>0.73</v>
      </c>
      <c r="E1365" s="118">
        <v>1.27</v>
      </c>
      <c r="F1365" s="118">
        <v>0.05</v>
      </c>
      <c r="G1365" s="118">
        <v>4.6209899999999999</v>
      </c>
    </row>
    <row r="1366" spans="2:7" x14ac:dyDescent="0.2">
      <c r="B1366" s="116" t="s">
        <v>2371</v>
      </c>
      <c r="C1366" s="117" t="s">
        <v>2372</v>
      </c>
      <c r="D1366" s="118">
        <v>0.65</v>
      </c>
      <c r="E1366" s="118">
        <v>0.92</v>
      </c>
      <c r="F1366" s="118">
        <v>1.08</v>
      </c>
      <c r="G1366" s="118">
        <v>52.000990000000002</v>
      </c>
    </row>
    <row r="1367" spans="2:7" x14ac:dyDescent="0.2">
      <c r="B1367" s="116" t="s">
        <v>2373</v>
      </c>
      <c r="C1367" s="117" t="s">
        <v>2374</v>
      </c>
      <c r="D1367" s="118">
        <v>1.85</v>
      </c>
      <c r="E1367" s="118">
        <v>2.25</v>
      </c>
      <c r="F1367" s="118">
        <v>1.45</v>
      </c>
      <c r="G1367" s="118">
        <v>59.262999999999998</v>
      </c>
    </row>
    <row r="1368" spans="2:7" x14ac:dyDescent="0.2">
      <c r="B1368" s="116" t="s">
        <v>2375</v>
      </c>
      <c r="C1368" s="117" t="s">
        <v>4159</v>
      </c>
      <c r="D1368" s="118">
        <v>1.1100000000000001</v>
      </c>
      <c r="E1368" s="118">
        <v>1.21</v>
      </c>
      <c r="F1368" s="118">
        <v>0.1</v>
      </c>
      <c r="G1368" s="118">
        <v>8.8732000000000006</v>
      </c>
    </row>
    <row r="1369" spans="2:7" x14ac:dyDescent="0.2">
      <c r="B1369" s="116" t="s">
        <v>2375</v>
      </c>
      <c r="C1369" s="117" t="s">
        <v>2376</v>
      </c>
      <c r="D1369" s="118">
        <v>1.1100000000000001</v>
      </c>
      <c r="E1369" s="118">
        <v>1.21</v>
      </c>
      <c r="F1369" s="118">
        <v>0.1</v>
      </c>
      <c r="G1369" s="118">
        <v>8.8732000000000006</v>
      </c>
    </row>
    <row r="1370" spans="2:7" x14ac:dyDescent="0.2">
      <c r="B1370" s="116" t="s">
        <v>2377</v>
      </c>
      <c r="C1370" s="117" t="s">
        <v>2378</v>
      </c>
      <c r="D1370" s="118"/>
      <c r="E1370" s="118"/>
      <c r="F1370" s="118"/>
      <c r="G1370" s="118"/>
    </row>
    <row r="1371" spans="2:7" x14ac:dyDescent="0.2">
      <c r="B1371" s="116" t="s">
        <v>2379</v>
      </c>
      <c r="C1371" s="117" t="s">
        <v>2380</v>
      </c>
      <c r="D1371" s="118">
        <v>1.17</v>
      </c>
      <c r="E1371" s="118">
        <v>1.82</v>
      </c>
      <c r="F1371" s="118">
        <v>0.79</v>
      </c>
      <c r="G1371" s="118">
        <v>44.759990000000002</v>
      </c>
    </row>
    <row r="1372" spans="2:7" x14ac:dyDescent="0.2">
      <c r="B1372" s="116" t="s">
        <v>2381</v>
      </c>
      <c r="C1372" s="117" t="s">
        <v>2382</v>
      </c>
      <c r="D1372" s="118">
        <v>1.9</v>
      </c>
      <c r="E1372" s="118">
        <v>1.57</v>
      </c>
      <c r="F1372" s="118">
        <v>1.88</v>
      </c>
      <c r="G1372" s="118">
        <v>65.328999999999994</v>
      </c>
    </row>
    <row r="1373" spans="2:7" x14ac:dyDescent="0.2">
      <c r="B1373" s="116" t="s">
        <v>2383</v>
      </c>
      <c r="C1373" s="117" t="s">
        <v>2384</v>
      </c>
      <c r="D1373" s="118">
        <v>1.35</v>
      </c>
      <c r="E1373" s="118">
        <v>1.3</v>
      </c>
      <c r="F1373" s="118">
        <v>2.17</v>
      </c>
      <c r="G1373" s="118">
        <v>66.734999999999999</v>
      </c>
    </row>
    <row r="1374" spans="2:7" x14ac:dyDescent="0.2">
      <c r="B1374" s="116" t="s">
        <v>2385</v>
      </c>
      <c r="C1374" s="117" t="s">
        <v>2386</v>
      </c>
      <c r="D1374" s="118">
        <v>1.33</v>
      </c>
      <c r="E1374" s="118">
        <v>1.46</v>
      </c>
      <c r="F1374" s="118">
        <v>0</v>
      </c>
      <c r="G1374" s="118">
        <v>0</v>
      </c>
    </row>
    <row r="1375" spans="2:7" x14ac:dyDescent="0.2">
      <c r="B1375" s="116" t="s">
        <v>2388</v>
      </c>
      <c r="C1375" s="117" t="s">
        <v>2389</v>
      </c>
      <c r="D1375" s="118">
        <v>1.1599999999999999</v>
      </c>
      <c r="E1375" s="118">
        <v>1.23</v>
      </c>
      <c r="F1375" s="118">
        <v>0.8</v>
      </c>
      <c r="G1375" s="118">
        <v>44.38899</v>
      </c>
    </row>
    <row r="1376" spans="2:7" x14ac:dyDescent="0.2">
      <c r="B1376" s="116" t="s">
        <v>2390</v>
      </c>
      <c r="C1376" s="117" t="s">
        <v>2391</v>
      </c>
      <c r="D1376" s="118">
        <v>2.11</v>
      </c>
      <c r="E1376" s="118">
        <v>2.52</v>
      </c>
      <c r="F1376" s="118">
        <v>3.02</v>
      </c>
      <c r="G1376" s="118">
        <v>74.805989999999994</v>
      </c>
    </row>
    <row r="1377" spans="2:7" x14ac:dyDescent="0.2">
      <c r="B1377" s="116" t="s">
        <v>2392</v>
      </c>
      <c r="C1377" s="117" t="s">
        <v>2393</v>
      </c>
      <c r="D1377" s="118"/>
      <c r="E1377" s="118"/>
      <c r="F1377" s="118"/>
      <c r="G1377" s="118"/>
    </row>
    <row r="1378" spans="2:7" x14ac:dyDescent="0.2">
      <c r="B1378" s="116" t="s">
        <v>4160</v>
      </c>
      <c r="C1378" s="117" t="s">
        <v>4161</v>
      </c>
      <c r="D1378" s="118"/>
      <c r="E1378" s="118"/>
      <c r="F1378" s="118"/>
      <c r="G1378" s="118"/>
    </row>
    <row r="1379" spans="2:7" x14ac:dyDescent="0.2">
      <c r="B1379" s="116" t="s">
        <v>2394</v>
      </c>
      <c r="C1379" s="117" t="s">
        <v>2395</v>
      </c>
      <c r="D1379" s="118">
        <v>0.74</v>
      </c>
      <c r="E1379" s="118">
        <v>1.69</v>
      </c>
      <c r="F1379" s="118">
        <v>0.8</v>
      </c>
      <c r="G1379" s="118">
        <v>44.465000000000003</v>
      </c>
    </row>
    <row r="1380" spans="2:7" x14ac:dyDescent="0.2">
      <c r="B1380" s="116" t="s">
        <v>4162</v>
      </c>
      <c r="C1380" s="117" t="s">
        <v>4163</v>
      </c>
      <c r="D1380" s="118">
        <v>1.58</v>
      </c>
      <c r="E1380" s="118">
        <v>1.37</v>
      </c>
      <c r="F1380" s="118"/>
      <c r="G1380" s="118">
        <v>39.042990000000003</v>
      </c>
    </row>
    <row r="1381" spans="2:7" x14ac:dyDescent="0.2">
      <c r="B1381" s="116" t="s">
        <v>2396</v>
      </c>
      <c r="C1381" s="117" t="s">
        <v>2397</v>
      </c>
      <c r="D1381" s="118">
        <v>1.05</v>
      </c>
      <c r="E1381" s="118">
        <v>1.55</v>
      </c>
      <c r="F1381" s="118">
        <v>0.28000000000000003</v>
      </c>
      <c r="G1381" s="118">
        <v>21.872990000000001</v>
      </c>
    </row>
    <row r="1382" spans="2:7" x14ac:dyDescent="0.2">
      <c r="B1382" s="116" t="s">
        <v>2398</v>
      </c>
      <c r="C1382" s="117" t="s">
        <v>2399</v>
      </c>
      <c r="D1382" s="118">
        <v>1.98</v>
      </c>
      <c r="E1382" s="118">
        <v>1.92</v>
      </c>
      <c r="F1382" s="118">
        <v>0.02</v>
      </c>
      <c r="G1382" s="118">
        <v>1.5825899999999999</v>
      </c>
    </row>
    <row r="1383" spans="2:7" x14ac:dyDescent="0.2">
      <c r="B1383" s="116" t="s">
        <v>2400</v>
      </c>
      <c r="C1383" s="117" t="s">
        <v>2401</v>
      </c>
      <c r="D1383" s="118"/>
      <c r="E1383" s="118"/>
      <c r="F1383" s="118"/>
      <c r="G1383" s="118"/>
    </row>
    <row r="1384" spans="2:7" x14ac:dyDescent="0.2">
      <c r="B1384" s="116" t="s">
        <v>2402</v>
      </c>
      <c r="C1384" s="117" t="s">
        <v>2403</v>
      </c>
      <c r="D1384" s="118">
        <v>1.95</v>
      </c>
      <c r="E1384" s="118">
        <v>1.72</v>
      </c>
      <c r="F1384" s="118">
        <v>1.05</v>
      </c>
      <c r="G1384" s="118">
        <v>51.573</v>
      </c>
    </row>
    <row r="1385" spans="2:7" x14ac:dyDescent="0.2">
      <c r="B1385" s="116" t="s">
        <v>2404</v>
      </c>
      <c r="C1385" s="117" t="s">
        <v>2405</v>
      </c>
      <c r="D1385" s="118">
        <v>0.43</v>
      </c>
      <c r="E1385" s="118">
        <v>0.65</v>
      </c>
      <c r="F1385" s="118">
        <v>0.8</v>
      </c>
      <c r="G1385" s="118">
        <v>44.350999999999999</v>
      </c>
    </row>
    <row r="1386" spans="2:7" x14ac:dyDescent="0.2">
      <c r="B1386" s="116" t="s">
        <v>2406</v>
      </c>
      <c r="C1386" s="117" t="s">
        <v>2407</v>
      </c>
      <c r="D1386" s="118">
        <v>0.62</v>
      </c>
      <c r="E1386" s="118">
        <v>0.65</v>
      </c>
      <c r="F1386" s="118">
        <v>0.61</v>
      </c>
      <c r="G1386" s="118">
        <v>37.881990000000002</v>
      </c>
    </row>
    <row r="1387" spans="2:7" x14ac:dyDescent="0.2">
      <c r="B1387" s="116" t="s">
        <v>4164</v>
      </c>
      <c r="C1387" s="117" t="s">
        <v>4165</v>
      </c>
      <c r="D1387" s="118">
        <v>1.34</v>
      </c>
      <c r="E1387" s="118">
        <v>1.62</v>
      </c>
      <c r="F1387" s="118">
        <v>0.24</v>
      </c>
      <c r="G1387" s="118">
        <v>19.652000000000001</v>
      </c>
    </row>
    <row r="1388" spans="2:7" x14ac:dyDescent="0.2">
      <c r="B1388" s="116" t="s">
        <v>2408</v>
      </c>
      <c r="C1388" s="117" t="s">
        <v>2409</v>
      </c>
      <c r="D1388" s="118">
        <v>3.93</v>
      </c>
      <c r="E1388" s="118">
        <v>2.78</v>
      </c>
      <c r="F1388" s="118">
        <v>1.17</v>
      </c>
      <c r="G1388" s="118">
        <v>53.872</v>
      </c>
    </row>
    <row r="1389" spans="2:7" x14ac:dyDescent="0.2">
      <c r="B1389" s="116" t="s">
        <v>4166</v>
      </c>
      <c r="C1389" s="117" t="s">
        <v>4167</v>
      </c>
      <c r="D1389" s="118">
        <v>2.0499999999999998</v>
      </c>
      <c r="E1389" s="118">
        <v>1.83</v>
      </c>
      <c r="F1389" s="118">
        <v>0.9</v>
      </c>
      <c r="G1389" s="118">
        <v>47.32799</v>
      </c>
    </row>
    <row r="1390" spans="2:7" x14ac:dyDescent="0.2">
      <c r="B1390" s="116" t="s">
        <v>2410</v>
      </c>
      <c r="C1390" s="117" t="s">
        <v>2411</v>
      </c>
      <c r="D1390" s="118">
        <v>0.46</v>
      </c>
      <c r="E1390" s="118">
        <v>0.81</v>
      </c>
      <c r="F1390" s="118">
        <v>1.7</v>
      </c>
      <c r="G1390" s="118">
        <v>62.936</v>
      </c>
    </row>
    <row r="1391" spans="2:7" x14ac:dyDescent="0.2">
      <c r="B1391" s="116" t="s">
        <v>2412</v>
      </c>
      <c r="C1391" s="117" t="s">
        <v>2413</v>
      </c>
      <c r="D1391" s="118">
        <v>1.26</v>
      </c>
      <c r="E1391" s="118">
        <v>1.1200000000000001</v>
      </c>
      <c r="F1391" s="118">
        <v>0.56999999999999995</v>
      </c>
      <c r="G1391" s="118">
        <v>36.433990000000001</v>
      </c>
    </row>
    <row r="1392" spans="2:7" x14ac:dyDescent="0.2">
      <c r="B1392" s="116" t="s">
        <v>2414</v>
      </c>
      <c r="C1392" s="117" t="s">
        <v>2415</v>
      </c>
      <c r="D1392" s="118">
        <v>2.74</v>
      </c>
      <c r="E1392" s="118">
        <v>2.86</v>
      </c>
      <c r="F1392" s="118"/>
      <c r="G1392" s="118">
        <v>9.2945899999999995</v>
      </c>
    </row>
    <row r="1393" spans="2:7" x14ac:dyDescent="0.2">
      <c r="B1393" s="116" t="s">
        <v>2416</v>
      </c>
      <c r="C1393" s="117" t="s">
        <v>2417</v>
      </c>
      <c r="D1393" s="118">
        <v>4.24</v>
      </c>
      <c r="E1393" s="118">
        <v>4.93</v>
      </c>
      <c r="F1393" s="118">
        <v>0</v>
      </c>
      <c r="G1393" s="118">
        <v>0</v>
      </c>
    </row>
    <row r="1394" spans="2:7" x14ac:dyDescent="0.2">
      <c r="B1394" s="116" t="s">
        <v>2418</v>
      </c>
      <c r="C1394" s="117" t="s">
        <v>2419</v>
      </c>
      <c r="D1394" s="118">
        <v>0.41</v>
      </c>
      <c r="E1394" s="118">
        <v>2.13</v>
      </c>
      <c r="F1394" s="118">
        <v>0.26</v>
      </c>
      <c r="G1394" s="118">
        <v>20.677</v>
      </c>
    </row>
    <row r="1395" spans="2:7" x14ac:dyDescent="0.2">
      <c r="B1395" s="116" t="s">
        <v>2420</v>
      </c>
      <c r="C1395" s="117" t="s">
        <v>2421</v>
      </c>
      <c r="D1395" s="118">
        <v>0.89</v>
      </c>
      <c r="E1395" s="118">
        <v>1.64</v>
      </c>
      <c r="F1395" s="118">
        <v>1.17</v>
      </c>
      <c r="G1395" s="118">
        <v>53.845999999999997</v>
      </c>
    </row>
    <row r="1396" spans="2:7" x14ac:dyDescent="0.2">
      <c r="B1396" s="116" t="s">
        <v>2422</v>
      </c>
      <c r="C1396" s="117" t="s">
        <v>2423</v>
      </c>
      <c r="D1396" s="118">
        <v>0.82</v>
      </c>
      <c r="E1396" s="118">
        <v>0.85</v>
      </c>
      <c r="F1396" s="118">
        <v>1.81</v>
      </c>
      <c r="G1396" s="118">
        <v>65.430989999999994</v>
      </c>
    </row>
    <row r="1397" spans="2:7" x14ac:dyDescent="0.2">
      <c r="B1397" s="116" t="s">
        <v>2424</v>
      </c>
      <c r="C1397" s="117" t="s">
        <v>2425</v>
      </c>
      <c r="D1397" s="118">
        <v>1.45</v>
      </c>
      <c r="E1397" s="118">
        <v>2.0299999999999998</v>
      </c>
      <c r="F1397" s="118">
        <v>0.1</v>
      </c>
      <c r="G1397" s="118">
        <v>9.0093999999999994</v>
      </c>
    </row>
    <row r="1398" spans="2:7" x14ac:dyDescent="0.2">
      <c r="B1398" s="116" t="s">
        <v>2426</v>
      </c>
      <c r="C1398" s="117" t="s">
        <v>2427</v>
      </c>
      <c r="D1398" s="118"/>
      <c r="E1398" s="118"/>
      <c r="F1398" s="118">
        <v>3.76</v>
      </c>
      <c r="G1398" s="118">
        <v>78.971000000000004</v>
      </c>
    </row>
    <row r="1399" spans="2:7" x14ac:dyDescent="0.2">
      <c r="B1399" s="116" t="s">
        <v>2428</v>
      </c>
      <c r="C1399" s="117" t="s">
        <v>2429</v>
      </c>
      <c r="D1399" s="118">
        <v>1.08</v>
      </c>
      <c r="E1399" s="118">
        <v>1.24</v>
      </c>
      <c r="F1399" s="118"/>
      <c r="G1399" s="118">
        <v>24.24099</v>
      </c>
    </row>
    <row r="1400" spans="2:7" x14ac:dyDescent="0.2">
      <c r="B1400" s="116" t="s">
        <v>2430</v>
      </c>
      <c r="C1400" s="117" t="s">
        <v>2431</v>
      </c>
      <c r="D1400" s="118">
        <v>1.32</v>
      </c>
      <c r="E1400" s="118">
        <v>2.42</v>
      </c>
      <c r="F1400" s="118">
        <v>1.08</v>
      </c>
      <c r="G1400" s="118">
        <v>51.845999999999997</v>
      </c>
    </row>
    <row r="1401" spans="2:7" x14ac:dyDescent="0.2">
      <c r="B1401" s="116" t="s">
        <v>2432</v>
      </c>
      <c r="C1401" s="117" t="s">
        <v>2433</v>
      </c>
      <c r="D1401" s="118">
        <v>0.83</v>
      </c>
      <c r="E1401" s="118">
        <v>0.81</v>
      </c>
      <c r="F1401" s="118">
        <v>0.75</v>
      </c>
      <c r="G1401" s="118">
        <v>42.741999999999997</v>
      </c>
    </row>
    <row r="1402" spans="2:7" x14ac:dyDescent="0.2">
      <c r="B1402" s="116" t="s">
        <v>2434</v>
      </c>
      <c r="C1402" s="117" t="s">
        <v>2435</v>
      </c>
      <c r="D1402" s="118">
        <v>8.68</v>
      </c>
      <c r="E1402" s="118">
        <v>5.56</v>
      </c>
      <c r="F1402" s="118">
        <v>0.3</v>
      </c>
      <c r="G1402" s="118">
        <v>23.26099</v>
      </c>
    </row>
    <row r="1403" spans="2:7" x14ac:dyDescent="0.2">
      <c r="B1403" s="116" t="s">
        <v>4168</v>
      </c>
      <c r="C1403" s="117" t="s">
        <v>4169</v>
      </c>
      <c r="D1403" s="118">
        <v>0.99</v>
      </c>
      <c r="E1403" s="118">
        <v>1.31</v>
      </c>
      <c r="F1403" s="118"/>
      <c r="G1403" s="118">
        <v>79.200990000000004</v>
      </c>
    </row>
    <row r="1404" spans="2:7" x14ac:dyDescent="0.2">
      <c r="B1404" s="116" t="s">
        <v>4170</v>
      </c>
      <c r="C1404" s="117" t="s">
        <v>4171</v>
      </c>
      <c r="D1404" s="118"/>
      <c r="E1404" s="118"/>
      <c r="F1404" s="118"/>
      <c r="G1404" s="118"/>
    </row>
    <row r="1405" spans="2:7" x14ac:dyDescent="0.2">
      <c r="B1405" s="116" t="s">
        <v>2436</v>
      </c>
      <c r="C1405" s="117" t="s">
        <v>2437</v>
      </c>
      <c r="D1405" s="118">
        <v>1.18</v>
      </c>
      <c r="E1405" s="118">
        <v>1.49</v>
      </c>
      <c r="F1405" s="118">
        <v>0.77</v>
      </c>
      <c r="G1405" s="118">
        <v>43.609000000000002</v>
      </c>
    </row>
    <row r="1406" spans="2:7" x14ac:dyDescent="0.2">
      <c r="B1406" s="116" t="s">
        <v>2438</v>
      </c>
      <c r="C1406" s="117" t="s">
        <v>2439</v>
      </c>
      <c r="D1406" s="118">
        <v>0.69</v>
      </c>
      <c r="E1406" s="118">
        <v>0.79</v>
      </c>
      <c r="F1406" s="118">
        <v>0.95</v>
      </c>
      <c r="G1406" s="118">
        <v>48.691000000000003</v>
      </c>
    </row>
    <row r="1407" spans="2:7" x14ac:dyDescent="0.2">
      <c r="B1407" s="116" t="s">
        <v>4172</v>
      </c>
      <c r="C1407" s="117" t="s">
        <v>4173</v>
      </c>
      <c r="D1407" s="118">
        <v>1.0900000000000001</v>
      </c>
      <c r="E1407" s="118">
        <v>0.99</v>
      </c>
      <c r="F1407" s="118">
        <v>0.28000000000000003</v>
      </c>
      <c r="G1407" s="118">
        <v>21.572990000000001</v>
      </c>
    </row>
    <row r="1408" spans="2:7" x14ac:dyDescent="0.2">
      <c r="B1408" s="116" t="s">
        <v>2440</v>
      </c>
      <c r="C1408" s="117" t="s">
        <v>2441</v>
      </c>
      <c r="D1408" s="118">
        <v>2.4900000000000002</v>
      </c>
      <c r="E1408" s="118">
        <v>2.25</v>
      </c>
      <c r="F1408" s="118">
        <v>2.67</v>
      </c>
      <c r="G1408" s="118">
        <v>72.716999999999999</v>
      </c>
    </row>
    <row r="1409" spans="2:7" x14ac:dyDescent="0.2">
      <c r="B1409" s="116" t="s">
        <v>4174</v>
      </c>
      <c r="C1409" s="117" t="s">
        <v>4175</v>
      </c>
      <c r="D1409" s="118">
        <v>0.46</v>
      </c>
      <c r="E1409" s="118">
        <v>0.48</v>
      </c>
      <c r="F1409" s="118">
        <v>0.17</v>
      </c>
      <c r="G1409" s="118">
        <v>14.199</v>
      </c>
    </row>
    <row r="1410" spans="2:7" x14ac:dyDescent="0.2">
      <c r="B1410" s="116" t="s">
        <v>2442</v>
      </c>
      <c r="C1410" s="117" t="s">
        <v>2443</v>
      </c>
      <c r="D1410" s="118">
        <v>1.61</v>
      </c>
      <c r="E1410" s="118">
        <v>1.48</v>
      </c>
      <c r="F1410" s="118"/>
      <c r="G1410" s="118">
        <v>0.88200999999999996</v>
      </c>
    </row>
    <row r="1411" spans="2:7" x14ac:dyDescent="0.2">
      <c r="B1411" s="116" t="s">
        <v>4176</v>
      </c>
      <c r="C1411" s="117" t="s">
        <v>4177</v>
      </c>
      <c r="D1411" s="118">
        <v>0.99</v>
      </c>
      <c r="E1411" s="118">
        <v>1.38</v>
      </c>
      <c r="F1411" s="118"/>
      <c r="G1411" s="118">
        <v>13.939</v>
      </c>
    </row>
    <row r="1412" spans="2:7" x14ac:dyDescent="0.2">
      <c r="B1412" s="116" t="s">
        <v>2444</v>
      </c>
      <c r="C1412" s="117" t="s">
        <v>2445</v>
      </c>
      <c r="D1412" s="118">
        <v>0.09</v>
      </c>
      <c r="E1412" s="118">
        <v>0.85</v>
      </c>
      <c r="F1412" s="118">
        <v>37.43</v>
      </c>
      <c r="G1412" s="118">
        <v>97.397999999999996</v>
      </c>
    </row>
    <row r="1413" spans="2:7" x14ac:dyDescent="0.2">
      <c r="B1413" s="116" t="s">
        <v>4178</v>
      </c>
      <c r="C1413" s="117" t="s">
        <v>4179</v>
      </c>
      <c r="D1413" s="118">
        <v>0.8</v>
      </c>
      <c r="E1413" s="118">
        <v>1.1299999999999999</v>
      </c>
      <c r="F1413" s="118"/>
      <c r="G1413" s="118">
        <v>5.2754000000000003</v>
      </c>
    </row>
    <row r="1414" spans="2:7" x14ac:dyDescent="0.2">
      <c r="B1414" s="116" t="s">
        <v>2446</v>
      </c>
      <c r="C1414" s="117" t="s">
        <v>2447</v>
      </c>
      <c r="D1414" s="118">
        <v>1.21</v>
      </c>
      <c r="E1414" s="118">
        <v>1.99</v>
      </c>
      <c r="F1414" s="118">
        <v>0.32</v>
      </c>
      <c r="G1414" s="118">
        <v>23.968990000000002</v>
      </c>
    </row>
    <row r="1415" spans="2:7" x14ac:dyDescent="0.2">
      <c r="B1415" s="116" t="s">
        <v>2448</v>
      </c>
      <c r="C1415" s="117" t="s">
        <v>2449</v>
      </c>
      <c r="D1415" s="118">
        <v>1.54</v>
      </c>
      <c r="E1415" s="118">
        <v>1.54</v>
      </c>
      <c r="F1415" s="118">
        <v>0.67</v>
      </c>
      <c r="G1415" s="118">
        <v>40.139989999999997</v>
      </c>
    </row>
    <row r="1416" spans="2:7" x14ac:dyDescent="0.2">
      <c r="B1416" s="116" t="s">
        <v>2450</v>
      </c>
      <c r="C1416" s="117" t="s">
        <v>2451</v>
      </c>
      <c r="D1416" s="118">
        <v>1.07</v>
      </c>
      <c r="E1416" s="118">
        <v>0.88</v>
      </c>
      <c r="F1416" s="118">
        <v>3.06</v>
      </c>
      <c r="G1416" s="118">
        <v>75.33999</v>
      </c>
    </row>
    <row r="1417" spans="2:7" x14ac:dyDescent="0.2">
      <c r="B1417" s="116" t="s">
        <v>2452</v>
      </c>
      <c r="C1417" s="117" t="s">
        <v>2453</v>
      </c>
      <c r="D1417" s="118"/>
      <c r="E1417" s="118"/>
      <c r="F1417" s="118"/>
      <c r="G1417" s="118"/>
    </row>
    <row r="1418" spans="2:7" x14ac:dyDescent="0.2">
      <c r="B1418" s="116" t="s">
        <v>2454</v>
      </c>
      <c r="C1418" s="117" t="s">
        <v>2455</v>
      </c>
      <c r="D1418" s="118">
        <v>1.17</v>
      </c>
      <c r="E1418" s="118">
        <v>1.2</v>
      </c>
      <c r="F1418" s="118">
        <v>0.5</v>
      </c>
      <c r="G1418" s="118">
        <v>33.18</v>
      </c>
    </row>
    <row r="1419" spans="2:7" x14ac:dyDescent="0.2">
      <c r="B1419" s="116" t="s">
        <v>2456</v>
      </c>
      <c r="C1419" s="117" t="s">
        <v>2457</v>
      </c>
      <c r="D1419" s="118">
        <v>0.96</v>
      </c>
      <c r="E1419" s="118">
        <v>0.99</v>
      </c>
      <c r="F1419" s="118">
        <v>0.14000000000000001</v>
      </c>
      <c r="G1419" s="118">
        <v>11.991989999999999</v>
      </c>
    </row>
    <row r="1420" spans="2:7" x14ac:dyDescent="0.2">
      <c r="B1420" s="116" t="s">
        <v>2458</v>
      </c>
      <c r="C1420" s="117" t="s">
        <v>2459</v>
      </c>
      <c r="D1420" s="118">
        <v>0.84</v>
      </c>
      <c r="E1420" s="118">
        <v>1</v>
      </c>
      <c r="F1420" s="118">
        <v>0.89</v>
      </c>
      <c r="G1420" s="118">
        <v>42.20299</v>
      </c>
    </row>
    <row r="1421" spans="2:7" x14ac:dyDescent="0.2">
      <c r="B1421" s="116" t="s">
        <v>2460</v>
      </c>
      <c r="C1421" s="117" t="s">
        <v>2461</v>
      </c>
      <c r="D1421" s="118">
        <v>2.2200000000000002</v>
      </c>
      <c r="E1421" s="118">
        <v>4.08</v>
      </c>
      <c r="F1421" s="118">
        <v>0.15</v>
      </c>
      <c r="G1421" s="118">
        <v>13.118</v>
      </c>
    </row>
    <row r="1422" spans="2:7" x14ac:dyDescent="0.2">
      <c r="B1422" s="116" t="s">
        <v>2462</v>
      </c>
      <c r="C1422" s="117" t="s">
        <v>2463</v>
      </c>
      <c r="D1422" s="118">
        <v>3.61</v>
      </c>
      <c r="E1422" s="118">
        <v>1.42</v>
      </c>
      <c r="F1422" s="118">
        <v>0.9</v>
      </c>
      <c r="G1422" s="118">
        <v>47.261000000000003</v>
      </c>
    </row>
    <row r="1423" spans="2:7" x14ac:dyDescent="0.2">
      <c r="B1423" s="116" t="s">
        <v>2464</v>
      </c>
      <c r="C1423" s="117" t="s">
        <v>2465</v>
      </c>
      <c r="D1423" s="118">
        <v>0.95</v>
      </c>
      <c r="E1423" s="118">
        <v>0.99</v>
      </c>
      <c r="F1423" s="118">
        <v>0.49</v>
      </c>
      <c r="G1423" s="118">
        <v>32.808990000000001</v>
      </c>
    </row>
    <row r="1424" spans="2:7" x14ac:dyDescent="0.2">
      <c r="B1424" s="116" t="s">
        <v>2466</v>
      </c>
      <c r="C1424" s="117" t="s">
        <v>2467</v>
      </c>
      <c r="D1424" s="118">
        <v>0.21</v>
      </c>
      <c r="E1424" s="118">
        <v>0.98</v>
      </c>
      <c r="F1424" s="118">
        <v>0.8</v>
      </c>
      <c r="G1424" s="118">
        <v>44.506990000000002</v>
      </c>
    </row>
    <row r="1425" spans="2:7" x14ac:dyDescent="0.2">
      <c r="B1425" s="116" t="s">
        <v>2468</v>
      </c>
      <c r="C1425" s="117" t="s">
        <v>2469</v>
      </c>
      <c r="D1425" s="118">
        <v>0.84</v>
      </c>
      <c r="E1425" s="118">
        <v>1</v>
      </c>
      <c r="F1425" s="118">
        <v>0.67</v>
      </c>
      <c r="G1425" s="118">
        <v>39.960990000000002</v>
      </c>
    </row>
    <row r="1426" spans="2:7" x14ac:dyDescent="0.2">
      <c r="B1426" s="116" t="s">
        <v>2470</v>
      </c>
      <c r="C1426" s="117" t="s">
        <v>2471</v>
      </c>
      <c r="D1426" s="118">
        <v>2.33</v>
      </c>
      <c r="E1426" s="118">
        <v>2.37</v>
      </c>
      <c r="F1426" s="118">
        <v>0</v>
      </c>
      <c r="G1426" s="118">
        <v>0</v>
      </c>
    </row>
    <row r="1427" spans="2:7" x14ac:dyDescent="0.2">
      <c r="B1427" s="116" t="s">
        <v>2472</v>
      </c>
      <c r="C1427" s="117" t="s">
        <v>2473</v>
      </c>
      <c r="D1427" s="118">
        <v>1.78</v>
      </c>
      <c r="E1427" s="118">
        <v>1.78</v>
      </c>
      <c r="F1427" s="118">
        <v>0.9</v>
      </c>
      <c r="G1427" s="118">
        <v>47.408999999999999</v>
      </c>
    </row>
    <row r="1428" spans="2:7" x14ac:dyDescent="0.2">
      <c r="B1428" s="116" t="s">
        <v>2474</v>
      </c>
      <c r="C1428" s="117" t="s">
        <v>2475</v>
      </c>
      <c r="D1428" s="118">
        <v>1.03</v>
      </c>
      <c r="E1428" s="118">
        <v>1.07</v>
      </c>
      <c r="F1428" s="118">
        <v>7.0000000000000007E-2</v>
      </c>
      <c r="G1428" s="118">
        <v>6.8011900000000001</v>
      </c>
    </row>
    <row r="1429" spans="2:7" x14ac:dyDescent="0.2">
      <c r="B1429" s="116" t="s">
        <v>2476</v>
      </c>
      <c r="C1429" s="117" t="s">
        <v>2477</v>
      </c>
      <c r="D1429" s="118">
        <v>1.17</v>
      </c>
      <c r="E1429" s="118">
        <v>1.17</v>
      </c>
      <c r="F1429" s="118"/>
      <c r="G1429" s="118">
        <v>23.315000000000001</v>
      </c>
    </row>
    <row r="1430" spans="2:7" x14ac:dyDescent="0.2">
      <c r="B1430" s="116" t="s">
        <v>2478</v>
      </c>
      <c r="C1430" s="117" t="s">
        <v>2479</v>
      </c>
      <c r="D1430" s="118">
        <v>0.57999999999999996</v>
      </c>
      <c r="E1430" s="118">
        <v>0.6</v>
      </c>
      <c r="F1430" s="118">
        <v>0</v>
      </c>
      <c r="G1430" s="118">
        <v>0</v>
      </c>
    </row>
    <row r="1431" spans="2:7" x14ac:dyDescent="0.2">
      <c r="B1431" s="116" t="s">
        <v>2480</v>
      </c>
      <c r="C1431" s="117" t="s">
        <v>2481</v>
      </c>
      <c r="D1431" s="118">
        <v>0.55000000000000004</v>
      </c>
      <c r="E1431" s="118">
        <v>0.68</v>
      </c>
      <c r="F1431" s="118">
        <v>0.64</v>
      </c>
      <c r="G1431" s="118">
        <v>34.814990000000002</v>
      </c>
    </row>
    <row r="1432" spans="2:7" x14ac:dyDescent="0.2">
      <c r="B1432" s="116" t="s">
        <v>2482</v>
      </c>
      <c r="C1432" s="117" t="s">
        <v>2483</v>
      </c>
      <c r="D1432" s="118">
        <v>0.96</v>
      </c>
      <c r="E1432" s="118">
        <v>0.96</v>
      </c>
      <c r="F1432" s="118">
        <v>0.44</v>
      </c>
      <c r="G1432" s="118">
        <v>29.622990000000001</v>
      </c>
    </row>
    <row r="1433" spans="2:7" x14ac:dyDescent="0.2">
      <c r="B1433" s="116" t="s">
        <v>2484</v>
      </c>
      <c r="C1433" s="117" t="s">
        <v>2485</v>
      </c>
      <c r="D1433" s="118">
        <v>1.1200000000000001</v>
      </c>
      <c r="E1433" s="118">
        <v>1.31</v>
      </c>
      <c r="F1433" s="118">
        <v>1.1100000000000001</v>
      </c>
      <c r="G1433" s="118">
        <v>52.557989999999997</v>
      </c>
    </row>
    <row r="1434" spans="2:7" x14ac:dyDescent="0.2">
      <c r="B1434" s="116" t="s">
        <v>2484</v>
      </c>
      <c r="C1434" s="117" t="s">
        <v>4180</v>
      </c>
      <c r="D1434" s="118">
        <v>1.1200000000000001</v>
      </c>
      <c r="E1434" s="118">
        <v>1.31</v>
      </c>
      <c r="F1434" s="118">
        <v>1.1100000000000001</v>
      </c>
      <c r="G1434" s="118">
        <v>52.557989999999997</v>
      </c>
    </row>
    <row r="1435" spans="2:7" x14ac:dyDescent="0.2">
      <c r="B1435" s="116" t="s">
        <v>4181</v>
      </c>
      <c r="C1435" s="117" t="s">
        <v>4182</v>
      </c>
      <c r="D1435" s="118"/>
      <c r="E1435" s="118"/>
      <c r="F1435" s="118"/>
      <c r="G1435" s="118"/>
    </row>
    <row r="1436" spans="2:7" x14ac:dyDescent="0.2">
      <c r="B1436" s="116" t="s">
        <v>2486</v>
      </c>
      <c r="C1436" s="117" t="s">
        <v>2487</v>
      </c>
      <c r="D1436" s="118">
        <v>2.1800000000000002</v>
      </c>
      <c r="E1436" s="118">
        <v>2.4300000000000002</v>
      </c>
      <c r="F1436" s="118">
        <v>0.7</v>
      </c>
      <c r="G1436" s="118">
        <v>41.131</v>
      </c>
    </row>
    <row r="1437" spans="2:7" x14ac:dyDescent="0.2">
      <c r="B1437" s="116" t="s">
        <v>4183</v>
      </c>
      <c r="C1437" s="117" t="s">
        <v>4184</v>
      </c>
      <c r="D1437" s="118">
        <v>1.33</v>
      </c>
      <c r="E1437" s="118">
        <v>1.47</v>
      </c>
      <c r="F1437" s="118"/>
      <c r="G1437" s="118">
        <v>72.683989999999994</v>
      </c>
    </row>
    <row r="1438" spans="2:7" x14ac:dyDescent="0.2">
      <c r="B1438" s="116" t="s">
        <v>2488</v>
      </c>
      <c r="C1438" s="117" t="s">
        <v>2489</v>
      </c>
      <c r="D1438" s="118">
        <v>0.21</v>
      </c>
      <c r="E1438" s="118">
        <v>2.0299999999999998</v>
      </c>
      <c r="F1438" s="118">
        <v>0.2</v>
      </c>
      <c r="G1438" s="118">
        <v>16.648</v>
      </c>
    </row>
    <row r="1439" spans="2:7" x14ac:dyDescent="0.2">
      <c r="B1439" s="116" t="s">
        <v>2490</v>
      </c>
      <c r="C1439" s="117" t="s">
        <v>2491</v>
      </c>
      <c r="D1439" s="118"/>
      <c r="E1439" s="118">
        <v>1.06</v>
      </c>
      <c r="F1439" s="118">
        <v>0.57999999999999996</v>
      </c>
      <c r="G1439" s="118">
        <v>36.588999999999999</v>
      </c>
    </row>
    <row r="1440" spans="2:7" x14ac:dyDescent="0.2">
      <c r="B1440" s="116" t="s">
        <v>2492</v>
      </c>
      <c r="C1440" s="117" t="s">
        <v>2493</v>
      </c>
      <c r="D1440" s="118">
        <v>1.1000000000000001</v>
      </c>
      <c r="E1440" s="118">
        <v>1.1000000000000001</v>
      </c>
      <c r="F1440" s="118">
        <v>0</v>
      </c>
      <c r="G1440" s="118">
        <v>0</v>
      </c>
    </row>
    <row r="1441" spans="2:7" x14ac:dyDescent="0.2">
      <c r="B1441" s="116" t="s">
        <v>4183</v>
      </c>
      <c r="C1441" s="117" t="s">
        <v>4185</v>
      </c>
      <c r="D1441" s="118"/>
      <c r="E1441" s="118"/>
      <c r="F1441" s="118"/>
      <c r="G1441" s="118"/>
    </row>
    <row r="1442" spans="2:7" x14ac:dyDescent="0.2">
      <c r="B1442" s="116" t="s">
        <v>4186</v>
      </c>
      <c r="C1442" s="117" t="s">
        <v>4187</v>
      </c>
      <c r="D1442" s="118"/>
      <c r="E1442" s="118"/>
      <c r="F1442" s="118"/>
      <c r="G1442" s="118"/>
    </row>
    <row r="1443" spans="2:7" x14ac:dyDescent="0.2">
      <c r="B1443" s="116" t="s">
        <v>2494</v>
      </c>
      <c r="C1443" s="117" t="s">
        <v>2495</v>
      </c>
      <c r="D1443" s="118">
        <v>1.66</v>
      </c>
      <c r="E1443" s="118">
        <v>1.77</v>
      </c>
      <c r="F1443" s="118">
        <v>0.01</v>
      </c>
      <c r="G1443" s="118">
        <v>0.97587999999999997</v>
      </c>
    </row>
    <row r="1444" spans="2:7" x14ac:dyDescent="0.2">
      <c r="B1444" s="116" t="s">
        <v>2496</v>
      </c>
      <c r="C1444" s="117" t="s">
        <v>2497</v>
      </c>
      <c r="D1444" s="118"/>
      <c r="E1444" s="118"/>
      <c r="F1444" s="118"/>
      <c r="G1444" s="118"/>
    </row>
    <row r="1445" spans="2:7" x14ac:dyDescent="0.2">
      <c r="B1445" s="116" t="s">
        <v>4188</v>
      </c>
      <c r="C1445" s="117" t="s">
        <v>4189</v>
      </c>
      <c r="D1445" s="118">
        <v>0.64</v>
      </c>
      <c r="E1445" s="118">
        <v>0.64</v>
      </c>
      <c r="F1445" s="118"/>
      <c r="G1445" s="118">
        <v>6.2968900000000003</v>
      </c>
    </row>
    <row r="1446" spans="2:7" x14ac:dyDescent="0.2">
      <c r="B1446" s="116" t="s">
        <v>2498</v>
      </c>
      <c r="C1446" s="117" t="s">
        <v>2499</v>
      </c>
      <c r="D1446" s="118">
        <v>0.83</v>
      </c>
      <c r="E1446" s="118">
        <v>0.5</v>
      </c>
      <c r="F1446" s="118">
        <v>0.36</v>
      </c>
      <c r="G1446" s="118">
        <v>26.571999999999999</v>
      </c>
    </row>
    <row r="1447" spans="2:7" x14ac:dyDescent="0.2">
      <c r="B1447" s="116" t="s">
        <v>2500</v>
      </c>
      <c r="C1447" s="117" t="s">
        <v>2501</v>
      </c>
      <c r="D1447" s="118">
        <v>0.46</v>
      </c>
      <c r="E1447" s="118">
        <v>0.28000000000000003</v>
      </c>
      <c r="F1447" s="118">
        <v>0.65</v>
      </c>
      <c r="G1447" s="118">
        <v>39.393999999999998</v>
      </c>
    </row>
    <row r="1448" spans="2:7" x14ac:dyDescent="0.2">
      <c r="B1448" s="116" t="s">
        <v>2502</v>
      </c>
      <c r="C1448" s="117" t="s">
        <v>2503</v>
      </c>
      <c r="D1448" s="118">
        <v>0.53</v>
      </c>
      <c r="E1448" s="118">
        <v>0.79</v>
      </c>
      <c r="F1448" s="118">
        <v>0.99</v>
      </c>
      <c r="G1448" s="118">
        <v>49.692999999999998</v>
      </c>
    </row>
    <row r="1449" spans="2:7" x14ac:dyDescent="0.2">
      <c r="B1449" s="116" t="s">
        <v>2504</v>
      </c>
      <c r="C1449" s="117" t="s">
        <v>2505</v>
      </c>
      <c r="D1449" s="118">
        <v>1.84</v>
      </c>
      <c r="E1449" s="118">
        <v>1.72</v>
      </c>
      <c r="F1449" s="118">
        <v>0.1</v>
      </c>
      <c r="G1449" s="118">
        <v>8.8773</v>
      </c>
    </row>
    <row r="1450" spans="2:7" x14ac:dyDescent="0.2">
      <c r="B1450" s="116" t="s">
        <v>2506</v>
      </c>
      <c r="C1450" s="117" t="s">
        <v>2507</v>
      </c>
      <c r="D1450" s="118">
        <v>4.47</v>
      </c>
      <c r="E1450" s="118">
        <v>6.23</v>
      </c>
      <c r="F1450" s="118">
        <v>0.1</v>
      </c>
      <c r="G1450" s="118">
        <v>9.2230899999999991</v>
      </c>
    </row>
    <row r="1451" spans="2:7" x14ac:dyDescent="0.2">
      <c r="B1451" s="116" t="s">
        <v>2508</v>
      </c>
      <c r="C1451" s="117" t="s">
        <v>2509</v>
      </c>
      <c r="D1451" s="118">
        <v>0.85</v>
      </c>
      <c r="E1451" s="118">
        <v>0.86</v>
      </c>
      <c r="F1451" s="118">
        <v>1.97</v>
      </c>
      <c r="G1451" s="118">
        <v>66.377989999999997</v>
      </c>
    </row>
    <row r="1452" spans="2:7" x14ac:dyDescent="0.2">
      <c r="B1452" s="116" t="s">
        <v>2510</v>
      </c>
      <c r="C1452" s="117" t="s">
        <v>2511</v>
      </c>
      <c r="D1452" s="118">
        <v>1.33</v>
      </c>
      <c r="E1452" s="118">
        <v>1.47</v>
      </c>
      <c r="F1452" s="118">
        <v>0.6</v>
      </c>
      <c r="G1452" s="118">
        <v>37.63899</v>
      </c>
    </row>
    <row r="1453" spans="2:7" x14ac:dyDescent="0.2">
      <c r="B1453" s="116" t="s">
        <v>4190</v>
      </c>
      <c r="C1453" s="117" t="s">
        <v>4191</v>
      </c>
      <c r="D1453" s="118"/>
      <c r="E1453" s="118"/>
      <c r="F1453" s="118"/>
      <c r="G1453" s="118"/>
    </row>
    <row r="1454" spans="2:7" x14ac:dyDescent="0.2">
      <c r="B1454" s="116" t="s">
        <v>2512</v>
      </c>
      <c r="C1454" s="117" t="s">
        <v>2513</v>
      </c>
      <c r="D1454" s="118">
        <v>0.1</v>
      </c>
      <c r="E1454" s="118">
        <v>0.1</v>
      </c>
      <c r="F1454" s="118">
        <v>0.27</v>
      </c>
      <c r="G1454" s="118">
        <v>22.384</v>
      </c>
    </row>
    <row r="1455" spans="2:7" x14ac:dyDescent="0.2">
      <c r="B1455" s="116" t="s">
        <v>2514</v>
      </c>
      <c r="C1455" s="117" t="s">
        <v>2515</v>
      </c>
      <c r="D1455" s="118">
        <v>0.77</v>
      </c>
      <c r="E1455" s="118">
        <v>1.57</v>
      </c>
      <c r="F1455" s="118">
        <v>1.03</v>
      </c>
      <c r="G1455" s="118">
        <v>50.63899</v>
      </c>
    </row>
    <row r="1456" spans="2:7" x14ac:dyDescent="0.2">
      <c r="B1456" s="116" t="s">
        <v>2516</v>
      </c>
      <c r="C1456" s="117" t="s">
        <v>2517</v>
      </c>
      <c r="D1456" s="118">
        <v>0.81</v>
      </c>
      <c r="E1456" s="118">
        <v>0.67</v>
      </c>
      <c r="F1456" s="118">
        <v>7.0000000000000007E-2</v>
      </c>
      <c r="G1456" s="118">
        <v>6.1564899999999998</v>
      </c>
    </row>
    <row r="1457" spans="2:7" x14ac:dyDescent="0.2">
      <c r="B1457" s="116" t="s">
        <v>2518</v>
      </c>
      <c r="C1457" s="117" t="s">
        <v>2519</v>
      </c>
      <c r="D1457" s="118">
        <v>0.57999999999999996</v>
      </c>
      <c r="E1457" s="118">
        <v>0.75</v>
      </c>
      <c r="F1457" s="118">
        <v>0.44</v>
      </c>
      <c r="G1457" s="118">
        <v>30.003990000000002</v>
      </c>
    </row>
    <row r="1458" spans="2:7" x14ac:dyDescent="0.2">
      <c r="B1458" s="116" t="s">
        <v>4192</v>
      </c>
      <c r="C1458" s="117" t="s">
        <v>4193</v>
      </c>
      <c r="D1458" s="118"/>
      <c r="E1458" s="118"/>
      <c r="F1458" s="118"/>
      <c r="G1458" s="118"/>
    </row>
    <row r="1459" spans="2:7" x14ac:dyDescent="0.2">
      <c r="B1459" s="116" t="s">
        <v>2520</v>
      </c>
      <c r="C1459" s="117" t="s">
        <v>2521</v>
      </c>
      <c r="D1459" s="118">
        <v>0.36</v>
      </c>
      <c r="E1459" s="118">
        <v>0.36</v>
      </c>
      <c r="F1459" s="118">
        <v>0.34</v>
      </c>
      <c r="G1459" s="118">
        <v>25.761990000000001</v>
      </c>
    </row>
    <row r="1460" spans="2:7" x14ac:dyDescent="0.2">
      <c r="B1460" s="116" t="s">
        <v>2522</v>
      </c>
      <c r="C1460" s="117" t="s">
        <v>2523</v>
      </c>
      <c r="D1460" s="118">
        <v>3.28</v>
      </c>
      <c r="E1460" s="118">
        <v>1.1100000000000001</v>
      </c>
      <c r="F1460" s="118">
        <v>0.74</v>
      </c>
      <c r="G1460" s="118">
        <v>42.59299</v>
      </c>
    </row>
    <row r="1461" spans="2:7" x14ac:dyDescent="0.2">
      <c r="B1461" s="116" t="s">
        <v>4194</v>
      </c>
      <c r="C1461" s="117" t="s">
        <v>4195</v>
      </c>
      <c r="D1461" s="118"/>
      <c r="E1461" s="118"/>
      <c r="F1461" s="118"/>
      <c r="G1461" s="118"/>
    </row>
    <row r="1462" spans="2:7" x14ac:dyDescent="0.2">
      <c r="B1462" s="116" t="s">
        <v>2524</v>
      </c>
      <c r="C1462" s="117" t="s">
        <v>2525</v>
      </c>
      <c r="D1462" s="118">
        <v>1.9</v>
      </c>
      <c r="E1462" s="118">
        <v>2.4300000000000002</v>
      </c>
      <c r="F1462" s="118">
        <v>1.0900000000000001</v>
      </c>
      <c r="G1462" s="118">
        <v>52.213000000000001</v>
      </c>
    </row>
    <row r="1463" spans="2:7" x14ac:dyDescent="0.2">
      <c r="B1463" s="116" t="s">
        <v>2526</v>
      </c>
      <c r="C1463" s="117" t="s">
        <v>2527</v>
      </c>
      <c r="D1463" s="118">
        <v>0.87</v>
      </c>
      <c r="E1463" s="118">
        <v>1.27</v>
      </c>
      <c r="F1463" s="118">
        <v>0.4</v>
      </c>
      <c r="G1463" s="118">
        <v>28.63599</v>
      </c>
    </row>
    <row r="1464" spans="2:7" x14ac:dyDescent="0.2">
      <c r="B1464" s="116" t="s">
        <v>2528</v>
      </c>
      <c r="C1464" s="117" t="s">
        <v>2529</v>
      </c>
      <c r="D1464" s="118">
        <v>0.5</v>
      </c>
      <c r="E1464" s="118">
        <v>0.4</v>
      </c>
      <c r="F1464" s="118">
        <v>1.49</v>
      </c>
      <c r="G1464" s="118">
        <v>59.666989999999998</v>
      </c>
    </row>
    <row r="1465" spans="2:7" x14ac:dyDescent="0.2">
      <c r="B1465" s="116" t="s">
        <v>2530</v>
      </c>
      <c r="C1465" s="117" t="s">
        <v>2531</v>
      </c>
      <c r="D1465" s="118">
        <v>0.77</v>
      </c>
      <c r="E1465" s="118">
        <v>0.51</v>
      </c>
      <c r="F1465" s="118">
        <v>0.54</v>
      </c>
      <c r="G1465" s="118">
        <v>35.087000000000003</v>
      </c>
    </row>
    <row r="1466" spans="2:7" x14ac:dyDescent="0.2">
      <c r="B1466" s="116" t="s">
        <v>2532</v>
      </c>
      <c r="C1466" s="117" t="s">
        <v>2533</v>
      </c>
      <c r="D1466" s="118">
        <v>0.43</v>
      </c>
      <c r="E1466" s="118">
        <v>1.18</v>
      </c>
      <c r="F1466" s="118">
        <v>2</v>
      </c>
      <c r="G1466" s="118">
        <v>66.69999</v>
      </c>
    </row>
    <row r="1467" spans="2:7" x14ac:dyDescent="0.2">
      <c r="B1467" s="116" t="s">
        <v>2534</v>
      </c>
      <c r="C1467" s="117" t="s">
        <v>2535</v>
      </c>
      <c r="D1467" s="118">
        <v>1.23</v>
      </c>
      <c r="E1467" s="118">
        <v>1.34</v>
      </c>
      <c r="F1467" s="118">
        <v>-0.01</v>
      </c>
      <c r="G1467" s="118"/>
    </row>
    <row r="1468" spans="2:7" x14ac:dyDescent="0.2">
      <c r="B1468" s="116" t="s">
        <v>4196</v>
      </c>
      <c r="C1468" s="117" t="s">
        <v>4197</v>
      </c>
      <c r="D1468" s="118"/>
      <c r="E1468" s="118">
        <v>15.06</v>
      </c>
      <c r="F1468" s="118">
        <v>0.08</v>
      </c>
      <c r="G1468" s="118">
        <v>6.9914899999999998</v>
      </c>
    </row>
    <row r="1469" spans="2:7" x14ac:dyDescent="0.2">
      <c r="B1469" s="116" t="s">
        <v>4198</v>
      </c>
      <c r="C1469" s="117" t="s">
        <v>4199</v>
      </c>
      <c r="D1469" s="118"/>
      <c r="E1469" s="118">
        <v>1.74</v>
      </c>
      <c r="F1469" s="118">
        <v>0.56000000000000005</v>
      </c>
      <c r="G1469" s="118">
        <v>36.091990000000003</v>
      </c>
    </row>
    <row r="1470" spans="2:7" x14ac:dyDescent="0.2">
      <c r="B1470" s="116" t="s">
        <v>2536</v>
      </c>
      <c r="C1470" s="117" t="s">
        <v>2537</v>
      </c>
      <c r="D1470" s="118">
        <v>1.9</v>
      </c>
      <c r="E1470" s="118">
        <v>3.29</v>
      </c>
      <c r="F1470" s="118">
        <v>0.92</v>
      </c>
      <c r="G1470" s="118">
        <v>47.898989999999998</v>
      </c>
    </row>
    <row r="1471" spans="2:7" x14ac:dyDescent="0.2">
      <c r="B1471" s="116" t="s">
        <v>2538</v>
      </c>
      <c r="C1471" s="117" t="s">
        <v>2539</v>
      </c>
      <c r="D1471" s="118">
        <v>1.1599999999999999</v>
      </c>
      <c r="E1471" s="118">
        <v>1.89</v>
      </c>
      <c r="F1471" s="118">
        <v>0.84</v>
      </c>
      <c r="G1471" s="118">
        <v>45.594000000000001</v>
      </c>
    </row>
    <row r="1472" spans="2:7" x14ac:dyDescent="0.2">
      <c r="B1472" s="116" t="s">
        <v>4200</v>
      </c>
      <c r="C1472" s="117" t="s">
        <v>4201</v>
      </c>
      <c r="D1472" s="118">
        <v>1.1299999999999999</v>
      </c>
      <c r="E1472" s="118">
        <v>1.93</v>
      </c>
      <c r="F1472" s="118">
        <v>0.21</v>
      </c>
      <c r="G1472" s="118">
        <v>17.62199</v>
      </c>
    </row>
    <row r="1473" spans="2:7" x14ac:dyDescent="0.2">
      <c r="B1473" s="116" t="s">
        <v>2540</v>
      </c>
      <c r="C1473" s="117" t="s">
        <v>2541</v>
      </c>
      <c r="D1473" s="118">
        <v>2.15</v>
      </c>
      <c r="E1473" s="118">
        <v>1.87</v>
      </c>
      <c r="F1473" s="118">
        <v>0.11</v>
      </c>
      <c r="G1473" s="118">
        <v>9.8030000000000008</v>
      </c>
    </row>
    <row r="1474" spans="2:7" x14ac:dyDescent="0.2">
      <c r="B1474" s="116" t="s">
        <v>2542</v>
      </c>
      <c r="C1474" s="117" t="s">
        <v>2543</v>
      </c>
      <c r="D1474" s="118">
        <v>0.45</v>
      </c>
      <c r="E1474" s="118">
        <v>0.54</v>
      </c>
      <c r="F1474" s="118">
        <v>0.43</v>
      </c>
      <c r="G1474" s="118">
        <v>29.849</v>
      </c>
    </row>
    <row r="1475" spans="2:7" x14ac:dyDescent="0.2">
      <c r="B1475" s="116" t="s">
        <v>2544</v>
      </c>
      <c r="C1475" s="117" t="s">
        <v>2545</v>
      </c>
      <c r="D1475" s="118">
        <v>2.92</v>
      </c>
      <c r="E1475" s="118">
        <v>3.38</v>
      </c>
      <c r="F1475" s="118">
        <v>-4.04</v>
      </c>
      <c r="G1475" s="118"/>
    </row>
    <row r="1476" spans="2:7" x14ac:dyDescent="0.2">
      <c r="B1476" s="116" t="s">
        <v>4202</v>
      </c>
      <c r="C1476" s="117" t="s">
        <v>4203</v>
      </c>
      <c r="D1476" s="118">
        <v>1.41</v>
      </c>
      <c r="E1476" s="118">
        <v>1.49</v>
      </c>
      <c r="F1476" s="118">
        <v>0.6</v>
      </c>
      <c r="G1476" s="118">
        <v>37.567999999999998</v>
      </c>
    </row>
    <row r="1477" spans="2:7" x14ac:dyDescent="0.2">
      <c r="B1477" s="116" t="s">
        <v>2546</v>
      </c>
      <c r="C1477" s="117" t="s">
        <v>2547</v>
      </c>
      <c r="D1477" s="118">
        <v>0.62</v>
      </c>
      <c r="E1477" s="118">
        <v>0.95</v>
      </c>
      <c r="F1477" s="118">
        <v>-2.64</v>
      </c>
      <c r="G1477" s="118"/>
    </row>
    <row r="1478" spans="2:7" x14ac:dyDescent="0.2">
      <c r="B1478" s="116" t="s">
        <v>2548</v>
      </c>
      <c r="C1478" s="117" t="s">
        <v>2549</v>
      </c>
      <c r="D1478" s="118">
        <v>0.87</v>
      </c>
      <c r="E1478" s="118">
        <v>0.9</v>
      </c>
      <c r="F1478" s="118">
        <v>1.27</v>
      </c>
      <c r="G1478" s="118">
        <v>55.853000000000002</v>
      </c>
    </row>
    <row r="1479" spans="2:7" x14ac:dyDescent="0.2">
      <c r="B1479" s="116" t="s">
        <v>2550</v>
      </c>
      <c r="C1479" s="117" t="s">
        <v>2551</v>
      </c>
      <c r="D1479" s="118">
        <v>0.97</v>
      </c>
      <c r="E1479" s="118">
        <v>0.99</v>
      </c>
      <c r="F1479" s="118">
        <v>0.57999999999999996</v>
      </c>
      <c r="G1479" s="118">
        <v>36.726999999999997</v>
      </c>
    </row>
    <row r="1480" spans="2:7" x14ac:dyDescent="0.2">
      <c r="B1480" s="116" t="s">
        <v>4204</v>
      </c>
      <c r="C1480" s="117" t="s">
        <v>4205</v>
      </c>
      <c r="D1480" s="118">
        <v>0.54</v>
      </c>
      <c r="E1480" s="118">
        <v>0.54</v>
      </c>
      <c r="F1480" s="118"/>
      <c r="G1480" s="118">
        <v>42.991</v>
      </c>
    </row>
    <row r="1481" spans="2:7" x14ac:dyDescent="0.2">
      <c r="B1481" s="116" t="s">
        <v>2552</v>
      </c>
      <c r="C1481" s="117" t="s">
        <v>2553</v>
      </c>
      <c r="D1481" s="118">
        <v>0.45</v>
      </c>
      <c r="E1481" s="118">
        <v>0.45</v>
      </c>
      <c r="F1481" s="118">
        <v>1.67</v>
      </c>
      <c r="G1481" s="118">
        <v>62.317</v>
      </c>
    </row>
    <row r="1482" spans="2:7" x14ac:dyDescent="0.2">
      <c r="B1482" s="116" t="s">
        <v>2554</v>
      </c>
      <c r="C1482" s="117" t="s">
        <v>2555</v>
      </c>
      <c r="D1482" s="118">
        <v>0.8</v>
      </c>
      <c r="E1482" s="118">
        <v>1.47</v>
      </c>
      <c r="F1482" s="118">
        <v>0.67</v>
      </c>
      <c r="G1482" s="118">
        <v>40.212000000000003</v>
      </c>
    </row>
    <row r="1483" spans="2:7" x14ac:dyDescent="0.2">
      <c r="B1483" s="116" t="s">
        <v>2556</v>
      </c>
      <c r="C1483" s="117" t="s">
        <v>2557</v>
      </c>
      <c r="D1483" s="118">
        <v>0.38</v>
      </c>
      <c r="E1483" s="118">
        <v>0.54</v>
      </c>
      <c r="F1483" s="118">
        <v>0.92</v>
      </c>
      <c r="G1483" s="118">
        <v>47.972990000000003</v>
      </c>
    </row>
    <row r="1484" spans="2:7" x14ac:dyDescent="0.2">
      <c r="B1484" s="116" t="s">
        <v>2558</v>
      </c>
      <c r="C1484" s="117" t="s">
        <v>2559</v>
      </c>
      <c r="D1484" s="118">
        <v>3.37</v>
      </c>
      <c r="E1484" s="118">
        <v>4.72</v>
      </c>
      <c r="F1484" s="118">
        <v>2.4300000000000002</v>
      </c>
      <c r="G1484" s="118">
        <v>70.858999999999995</v>
      </c>
    </row>
    <row r="1485" spans="2:7" x14ac:dyDescent="0.2">
      <c r="B1485" s="116" t="s">
        <v>2560</v>
      </c>
      <c r="C1485" s="117" t="s">
        <v>2561</v>
      </c>
      <c r="D1485" s="118">
        <v>0.79</v>
      </c>
      <c r="E1485" s="118">
        <v>2.35</v>
      </c>
      <c r="F1485" s="118">
        <v>2.2999999999999998</v>
      </c>
      <c r="G1485" s="118">
        <v>69.655990000000003</v>
      </c>
    </row>
    <row r="1486" spans="2:7" x14ac:dyDescent="0.2">
      <c r="B1486" s="116" t="s">
        <v>2562</v>
      </c>
      <c r="C1486" s="117" t="s">
        <v>2563</v>
      </c>
      <c r="D1486" s="118">
        <v>0.71</v>
      </c>
      <c r="E1486" s="118">
        <v>1</v>
      </c>
      <c r="F1486" s="118">
        <v>0.99</v>
      </c>
      <c r="G1486" s="118">
        <v>49.722990000000003</v>
      </c>
    </row>
    <row r="1487" spans="2:7" x14ac:dyDescent="0.2">
      <c r="B1487" s="116" t="s">
        <v>2564</v>
      </c>
      <c r="C1487" s="117" t="s">
        <v>2565</v>
      </c>
      <c r="D1487" s="118"/>
      <c r="E1487" s="118"/>
      <c r="F1487" s="118"/>
      <c r="G1487" s="118"/>
    </row>
    <row r="1488" spans="2:7" x14ac:dyDescent="0.2">
      <c r="B1488" s="116" t="s">
        <v>2566</v>
      </c>
      <c r="C1488" s="117" t="s">
        <v>2567</v>
      </c>
      <c r="D1488" s="118">
        <v>2.17</v>
      </c>
      <c r="E1488" s="118">
        <v>2.02</v>
      </c>
      <c r="F1488" s="118">
        <v>1.97</v>
      </c>
      <c r="G1488" s="118">
        <v>66.281989999999993</v>
      </c>
    </row>
    <row r="1489" spans="2:7" x14ac:dyDescent="0.2">
      <c r="B1489" s="116" t="s">
        <v>2568</v>
      </c>
      <c r="C1489" s="117" t="s">
        <v>2569</v>
      </c>
      <c r="D1489" s="118">
        <v>0.83</v>
      </c>
      <c r="E1489" s="118">
        <v>1.78</v>
      </c>
      <c r="F1489" s="118">
        <v>1.1100000000000001</v>
      </c>
      <c r="G1489" s="118">
        <v>52.64799</v>
      </c>
    </row>
    <row r="1490" spans="2:7" x14ac:dyDescent="0.2">
      <c r="B1490" s="116" t="s">
        <v>4206</v>
      </c>
      <c r="C1490" s="117" t="s">
        <v>4207</v>
      </c>
      <c r="D1490" s="118"/>
      <c r="E1490" s="118"/>
      <c r="F1490" s="118"/>
      <c r="G1490" s="118"/>
    </row>
    <row r="1491" spans="2:7" x14ac:dyDescent="0.2">
      <c r="B1491" s="116" t="s">
        <v>2570</v>
      </c>
      <c r="C1491" s="117" t="s">
        <v>2571</v>
      </c>
      <c r="D1491" s="118">
        <v>0.96</v>
      </c>
      <c r="E1491" s="118">
        <v>1.43</v>
      </c>
      <c r="F1491" s="118">
        <v>1.04</v>
      </c>
      <c r="G1491" s="118">
        <v>51.08399</v>
      </c>
    </row>
    <row r="1492" spans="2:7" x14ac:dyDescent="0.2">
      <c r="B1492" s="116" t="s">
        <v>2572</v>
      </c>
      <c r="C1492" s="117" t="s">
        <v>2573</v>
      </c>
      <c r="D1492" s="118">
        <v>0.47</v>
      </c>
      <c r="E1492" s="118">
        <v>0.55000000000000004</v>
      </c>
      <c r="F1492" s="118">
        <v>1.75</v>
      </c>
      <c r="G1492" s="118">
        <v>63.631</v>
      </c>
    </row>
    <row r="1493" spans="2:7" x14ac:dyDescent="0.2">
      <c r="B1493" s="116" t="s">
        <v>2574</v>
      </c>
      <c r="C1493" s="117" t="s">
        <v>2575</v>
      </c>
      <c r="D1493" s="118">
        <v>0.66</v>
      </c>
      <c r="E1493" s="118">
        <v>1.05</v>
      </c>
      <c r="F1493" s="118"/>
      <c r="G1493" s="118">
        <v>23.966989999999999</v>
      </c>
    </row>
    <row r="1494" spans="2:7" x14ac:dyDescent="0.2">
      <c r="B1494" s="116" t="s">
        <v>2576</v>
      </c>
      <c r="C1494" s="117" t="s">
        <v>2577</v>
      </c>
      <c r="D1494" s="118">
        <v>0.87</v>
      </c>
      <c r="E1494" s="118">
        <v>0.99</v>
      </c>
      <c r="F1494" s="118">
        <v>1.1100000000000001</v>
      </c>
      <c r="G1494" s="118">
        <v>52.576990000000002</v>
      </c>
    </row>
    <row r="1495" spans="2:7" x14ac:dyDescent="0.2">
      <c r="B1495" s="116" t="s">
        <v>2578</v>
      </c>
      <c r="C1495" s="117" t="s">
        <v>2579</v>
      </c>
      <c r="D1495" s="118">
        <v>1.32</v>
      </c>
      <c r="E1495" s="118">
        <v>1.92</v>
      </c>
      <c r="F1495" s="118">
        <v>0.54</v>
      </c>
      <c r="G1495" s="118">
        <v>35.006990000000002</v>
      </c>
    </row>
    <row r="1496" spans="2:7" x14ac:dyDescent="0.2">
      <c r="B1496" s="116" t="s">
        <v>2580</v>
      </c>
      <c r="C1496" s="117" t="s">
        <v>2581</v>
      </c>
      <c r="D1496" s="118">
        <v>0.56999999999999995</v>
      </c>
      <c r="E1496" s="118">
        <v>0.55000000000000004</v>
      </c>
      <c r="F1496" s="118">
        <v>0.04</v>
      </c>
      <c r="G1496" s="118">
        <v>3.3906999999999998</v>
      </c>
    </row>
    <row r="1497" spans="2:7" x14ac:dyDescent="0.2">
      <c r="B1497" s="116" t="s">
        <v>2582</v>
      </c>
      <c r="C1497" s="117" t="s">
        <v>2583</v>
      </c>
      <c r="D1497" s="118">
        <v>0.87</v>
      </c>
      <c r="E1497" s="118">
        <v>0.86</v>
      </c>
      <c r="F1497" s="118">
        <v>1.1299999999999999</v>
      </c>
      <c r="G1497" s="118">
        <v>53.081000000000003</v>
      </c>
    </row>
    <row r="1498" spans="2:7" x14ac:dyDescent="0.2">
      <c r="B1498" s="116" t="s">
        <v>2584</v>
      </c>
      <c r="C1498" s="117" t="s">
        <v>2585</v>
      </c>
      <c r="D1498" s="118">
        <v>0.14000000000000001</v>
      </c>
      <c r="E1498" s="118">
        <v>0.11</v>
      </c>
      <c r="F1498" s="118">
        <v>0.28999999999999998</v>
      </c>
      <c r="G1498" s="118">
        <v>22.302990000000001</v>
      </c>
    </row>
    <row r="1499" spans="2:7" x14ac:dyDescent="0.2">
      <c r="B1499" s="116" t="s">
        <v>2586</v>
      </c>
      <c r="C1499" s="117" t="s">
        <v>2587</v>
      </c>
      <c r="D1499" s="118">
        <v>0.97</v>
      </c>
      <c r="E1499" s="118">
        <v>0.88</v>
      </c>
      <c r="F1499" s="118">
        <v>0.38</v>
      </c>
      <c r="G1499" s="118">
        <v>17.82799</v>
      </c>
    </row>
    <row r="1500" spans="2:7" x14ac:dyDescent="0.2">
      <c r="B1500" s="116" t="s">
        <v>2588</v>
      </c>
      <c r="C1500" s="117" t="s">
        <v>2589</v>
      </c>
      <c r="D1500" s="118">
        <v>0.85</v>
      </c>
      <c r="E1500" s="118">
        <v>0.98</v>
      </c>
      <c r="F1500" s="118">
        <v>0</v>
      </c>
      <c r="G1500" s="118">
        <v>0</v>
      </c>
    </row>
    <row r="1501" spans="2:7" x14ac:dyDescent="0.2">
      <c r="B1501" s="116" t="s">
        <v>4208</v>
      </c>
      <c r="C1501" s="117" t="s">
        <v>4209</v>
      </c>
      <c r="D1501" s="118"/>
      <c r="E1501" s="118"/>
      <c r="F1501" s="118"/>
      <c r="G1501" s="118"/>
    </row>
    <row r="1502" spans="2:7" x14ac:dyDescent="0.2">
      <c r="B1502" s="116" t="s">
        <v>4210</v>
      </c>
      <c r="C1502" s="117" t="s">
        <v>4211</v>
      </c>
      <c r="D1502" s="118">
        <v>1.03</v>
      </c>
      <c r="E1502" s="118">
        <v>3.75</v>
      </c>
      <c r="F1502" s="118"/>
      <c r="G1502" s="118">
        <v>0</v>
      </c>
    </row>
    <row r="1503" spans="2:7" x14ac:dyDescent="0.2">
      <c r="B1503" s="116" t="s">
        <v>4212</v>
      </c>
      <c r="C1503" s="117" t="s">
        <v>4213</v>
      </c>
      <c r="D1503" s="118">
        <v>1.48</v>
      </c>
      <c r="E1503" s="118">
        <v>1.44</v>
      </c>
      <c r="F1503" s="118">
        <v>-0.32</v>
      </c>
      <c r="G1503" s="118"/>
    </row>
    <row r="1504" spans="2:7" x14ac:dyDescent="0.2">
      <c r="B1504" s="116" t="s">
        <v>4214</v>
      </c>
      <c r="C1504" s="117" t="s">
        <v>4215</v>
      </c>
      <c r="D1504" s="118">
        <v>2.06</v>
      </c>
      <c r="E1504" s="118">
        <v>1.95</v>
      </c>
      <c r="F1504" s="118">
        <v>0.44</v>
      </c>
      <c r="G1504" s="118">
        <v>30.335999999999999</v>
      </c>
    </row>
    <row r="1505" spans="2:7" x14ac:dyDescent="0.2">
      <c r="B1505" s="116" t="s">
        <v>2590</v>
      </c>
      <c r="C1505" s="117" t="s">
        <v>2591</v>
      </c>
      <c r="D1505" s="118">
        <v>3.25</v>
      </c>
      <c r="E1505" s="118">
        <v>3.21</v>
      </c>
      <c r="F1505" s="118">
        <v>0.76</v>
      </c>
      <c r="G1505" s="118">
        <v>43.073</v>
      </c>
    </row>
    <row r="1506" spans="2:7" x14ac:dyDescent="0.2">
      <c r="B1506" s="116" t="s">
        <v>2592</v>
      </c>
      <c r="C1506" s="117" t="s">
        <v>2593</v>
      </c>
      <c r="D1506" s="118">
        <v>1.08</v>
      </c>
      <c r="E1506" s="118">
        <v>1.28</v>
      </c>
      <c r="F1506" s="118">
        <v>0.39</v>
      </c>
      <c r="G1506" s="118">
        <v>28.288989999999998</v>
      </c>
    </row>
    <row r="1507" spans="2:7" x14ac:dyDescent="0.2">
      <c r="B1507" s="116" t="s">
        <v>2594</v>
      </c>
      <c r="C1507" s="117" t="s">
        <v>2595</v>
      </c>
      <c r="D1507" s="118">
        <v>0.43</v>
      </c>
      <c r="E1507" s="118">
        <v>0.76</v>
      </c>
      <c r="F1507" s="118">
        <v>1.88</v>
      </c>
      <c r="G1507" s="118">
        <v>57.332000000000001</v>
      </c>
    </row>
    <row r="1508" spans="2:7" x14ac:dyDescent="0.2">
      <c r="B1508" s="116" t="s">
        <v>2597</v>
      </c>
      <c r="C1508" s="117" t="s">
        <v>2598</v>
      </c>
      <c r="D1508" s="118">
        <v>0.86</v>
      </c>
      <c r="E1508" s="118">
        <v>1.25</v>
      </c>
      <c r="F1508" s="118">
        <v>0.56999999999999995</v>
      </c>
      <c r="G1508" s="118">
        <v>36.506</v>
      </c>
    </row>
    <row r="1509" spans="2:7" x14ac:dyDescent="0.2">
      <c r="B1509" s="116" t="s">
        <v>2599</v>
      </c>
      <c r="C1509" s="117" t="s">
        <v>2600</v>
      </c>
      <c r="D1509" s="118">
        <v>0.44</v>
      </c>
      <c r="E1509" s="118">
        <v>0.8</v>
      </c>
      <c r="F1509" s="118">
        <v>0.31</v>
      </c>
      <c r="G1509" s="118">
        <v>23.625990000000002</v>
      </c>
    </row>
    <row r="1510" spans="2:7" x14ac:dyDescent="0.2">
      <c r="B1510" s="116" t="s">
        <v>2601</v>
      </c>
      <c r="C1510" s="117" t="s">
        <v>2602</v>
      </c>
      <c r="D1510" s="118">
        <v>0.92</v>
      </c>
      <c r="E1510" s="118">
        <v>0.94</v>
      </c>
      <c r="F1510" s="118"/>
      <c r="G1510" s="118">
        <v>37.277990000000003</v>
      </c>
    </row>
    <row r="1511" spans="2:7" x14ac:dyDescent="0.2">
      <c r="B1511" s="116" t="s">
        <v>2603</v>
      </c>
      <c r="C1511" s="117" t="s">
        <v>2604</v>
      </c>
      <c r="D1511" s="118">
        <v>0.71</v>
      </c>
      <c r="E1511" s="118">
        <v>0.94</v>
      </c>
      <c r="F1511" s="118"/>
      <c r="G1511" s="118">
        <v>21.15399</v>
      </c>
    </row>
    <row r="1512" spans="2:7" x14ac:dyDescent="0.2">
      <c r="B1512" s="116" t="s">
        <v>2605</v>
      </c>
      <c r="C1512" s="117" t="s">
        <v>2606</v>
      </c>
      <c r="D1512" s="118">
        <v>0.04</v>
      </c>
      <c r="E1512" s="118">
        <v>0.42</v>
      </c>
      <c r="F1512" s="118">
        <v>0.38</v>
      </c>
      <c r="G1512" s="118">
        <v>27.42099</v>
      </c>
    </row>
    <row r="1513" spans="2:7" x14ac:dyDescent="0.2">
      <c r="B1513" s="116" t="s">
        <v>2607</v>
      </c>
      <c r="C1513" s="117" t="s">
        <v>2608</v>
      </c>
      <c r="D1513" s="118">
        <v>0.8</v>
      </c>
      <c r="E1513" s="118">
        <v>1.4</v>
      </c>
      <c r="F1513" s="118">
        <v>0.73</v>
      </c>
      <c r="G1513" s="118">
        <v>42.14799</v>
      </c>
    </row>
    <row r="1514" spans="2:7" x14ac:dyDescent="0.2">
      <c r="B1514" s="116" t="s">
        <v>2609</v>
      </c>
      <c r="C1514" s="117" t="s">
        <v>2610</v>
      </c>
      <c r="D1514" s="118">
        <v>2.2000000000000002</v>
      </c>
      <c r="E1514" s="118">
        <v>2.42</v>
      </c>
      <c r="F1514" s="118">
        <v>0.09</v>
      </c>
      <c r="G1514" s="118">
        <v>8.4038000000000004</v>
      </c>
    </row>
    <row r="1515" spans="2:7" x14ac:dyDescent="0.2">
      <c r="B1515" s="116" t="s">
        <v>2611</v>
      </c>
      <c r="C1515" s="117" t="s">
        <v>2612</v>
      </c>
      <c r="D1515" s="118">
        <v>1.78</v>
      </c>
      <c r="E1515" s="118">
        <v>1.97</v>
      </c>
      <c r="F1515" s="118">
        <v>0.45</v>
      </c>
      <c r="G1515" s="118">
        <v>31.161999999999999</v>
      </c>
    </row>
    <row r="1516" spans="2:7" x14ac:dyDescent="0.2">
      <c r="B1516" s="116" t="s">
        <v>2613</v>
      </c>
      <c r="C1516" s="117" t="s">
        <v>2614</v>
      </c>
      <c r="D1516" s="118">
        <v>1.29</v>
      </c>
      <c r="E1516" s="118">
        <v>0.86</v>
      </c>
      <c r="F1516" s="118">
        <v>0.17</v>
      </c>
      <c r="G1516" s="118">
        <v>14.60999</v>
      </c>
    </row>
    <row r="1517" spans="2:7" x14ac:dyDescent="0.2">
      <c r="B1517" s="116" t="s">
        <v>2615</v>
      </c>
      <c r="C1517" s="117" t="s">
        <v>2616</v>
      </c>
      <c r="D1517" s="118">
        <v>1.27</v>
      </c>
      <c r="E1517" s="118">
        <v>1.22</v>
      </c>
      <c r="F1517" s="118">
        <v>0</v>
      </c>
      <c r="G1517" s="118">
        <v>0</v>
      </c>
    </row>
    <row r="1518" spans="2:7" x14ac:dyDescent="0.2">
      <c r="B1518" s="116" t="s">
        <v>2617</v>
      </c>
      <c r="C1518" s="117" t="s">
        <v>2618</v>
      </c>
      <c r="D1518" s="118">
        <v>1.4</v>
      </c>
      <c r="E1518" s="118">
        <v>1.77</v>
      </c>
      <c r="F1518" s="118">
        <v>2.46</v>
      </c>
      <c r="G1518" s="118">
        <v>71.078000000000003</v>
      </c>
    </row>
    <row r="1519" spans="2:7" x14ac:dyDescent="0.2">
      <c r="B1519" s="116" t="s">
        <v>2619</v>
      </c>
      <c r="C1519" s="117" t="s">
        <v>2620</v>
      </c>
      <c r="D1519" s="118">
        <v>2.0499999999999998</v>
      </c>
      <c r="E1519" s="118">
        <v>1.77</v>
      </c>
      <c r="F1519" s="118">
        <v>0.54</v>
      </c>
      <c r="G1519" s="118">
        <v>34.88899</v>
      </c>
    </row>
    <row r="1520" spans="2:7" x14ac:dyDescent="0.2">
      <c r="B1520" s="116" t="s">
        <v>2621</v>
      </c>
      <c r="C1520" s="117" t="s">
        <v>2622</v>
      </c>
      <c r="D1520" s="118">
        <v>1.92</v>
      </c>
      <c r="E1520" s="118">
        <v>1.83</v>
      </c>
      <c r="F1520" s="118">
        <v>0</v>
      </c>
      <c r="G1520" s="118">
        <v>0</v>
      </c>
    </row>
    <row r="1521" spans="2:7" x14ac:dyDescent="0.2">
      <c r="B1521" s="116" t="s">
        <v>4216</v>
      </c>
      <c r="C1521" s="117" t="s">
        <v>4217</v>
      </c>
      <c r="D1521" s="118"/>
      <c r="E1521" s="118"/>
      <c r="F1521" s="118"/>
      <c r="G1521" s="118"/>
    </row>
    <row r="1522" spans="2:7" x14ac:dyDescent="0.2">
      <c r="B1522" s="116" t="s">
        <v>2623</v>
      </c>
      <c r="C1522" s="117" t="s">
        <v>2624</v>
      </c>
      <c r="D1522" s="118">
        <v>0.69</v>
      </c>
      <c r="E1522" s="118">
        <v>1.1100000000000001</v>
      </c>
      <c r="F1522" s="118">
        <v>1.1100000000000001</v>
      </c>
      <c r="G1522" s="118">
        <v>52.692</v>
      </c>
    </row>
    <row r="1523" spans="2:7" x14ac:dyDescent="0.2">
      <c r="B1523" s="116" t="s">
        <v>2623</v>
      </c>
      <c r="C1523" s="117" t="s">
        <v>4218</v>
      </c>
      <c r="D1523" s="118">
        <v>0.69</v>
      </c>
      <c r="E1523" s="118">
        <v>1.1100000000000001</v>
      </c>
      <c r="F1523" s="118">
        <v>1.1100000000000001</v>
      </c>
      <c r="G1523" s="118">
        <v>52.692</v>
      </c>
    </row>
    <row r="1524" spans="2:7" x14ac:dyDescent="0.2">
      <c r="B1524" s="116" t="s">
        <v>2625</v>
      </c>
      <c r="C1524" s="117" t="s">
        <v>2626</v>
      </c>
      <c r="D1524" s="118">
        <v>2.69</v>
      </c>
      <c r="E1524" s="118">
        <v>3.44</v>
      </c>
      <c r="F1524" s="118">
        <v>0.23</v>
      </c>
      <c r="G1524" s="118">
        <v>19.017990000000001</v>
      </c>
    </row>
    <row r="1525" spans="2:7" x14ac:dyDescent="0.2">
      <c r="B1525" s="116" t="s">
        <v>2628</v>
      </c>
      <c r="C1525" s="117" t="s">
        <v>2629</v>
      </c>
      <c r="D1525" s="118">
        <v>1.01</v>
      </c>
      <c r="E1525" s="118">
        <v>1.2</v>
      </c>
      <c r="F1525" s="118">
        <v>3.3</v>
      </c>
      <c r="G1525" s="118">
        <v>76.755989999999997</v>
      </c>
    </row>
    <row r="1526" spans="2:7" x14ac:dyDescent="0.2">
      <c r="B1526" s="116" t="s">
        <v>2630</v>
      </c>
      <c r="C1526" s="117" t="s">
        <v>2631</v>
      </c>
      <c r="D1526" s="118">
        <v>2.96</v>
      </c>
      <c r="E1526" s="118">
        <v>6.72</v>
      </c>
      <c r="F1526" s="118">
        <v>1.1399999999999999</v>
      </c>
      <c r="G1526" s="118">
        <v>53.301990000000004</v>
      </c>
    </row>
    <row r="1527" spans="2:7" x14ac:dyDescent="0.2">
      <c r="B1527" s="116" t="s">
        <v>2632</v>
      </c>
      <c r="C1527" s="117" t="s">
        <v>2633</v>
      </c>
      <c r="D1527" s="118">
        <v>3.15</v>
      </c>
      <c r="E1527" s="118">
        <v>3.77</v>
      </c>
      <c r="F1527" s="118">
        <v>1.48</v>
      </c>
      <c r="G1527" s="118">
        <v>59.692</v>
      </c>
    </row>
    <row r="1528" spans="2:7" x14ac:dyDescent="0.2">
      <c r="B1528" s="116" t="s">
        <v>4219</v>
      </c>
      <c r="C1528" s="117" t="s">
        <v>4220</v>
      </c>
      <c r="D1528" s="118">
        <v>5.14</v>
      </c>
      <c r="E1528" s="118">
        <v>5.01</v>
      </c>
      <c r="F1528" s="118"/>
      <c r="G1528" s="118">
        <v>0</v>
      </c>
    </row>
    <row r="1529" spans="2:7" x14ac:dyDescent="0.2">
      <c r="B1529" s="116" t="s">
        <v>2634</v>
      </c>
      <c r="C1529" s="117" t="s">
        <v>2635</v>
      </c>
      <c r="D1529" s="118">
        <v>12.53</v>
      </c>
      <c r="E1529" s="118">
        <v>9.4</v>
      </c>
      <c r="F1529" s="118">
        <v>0</v>
      </c>
      <c r="G1529" s="118">
        <v>0</v>
      </c>
    </row>
    <row r="1530" spans="2:7" x14ac:dyDescent="0.2">
      <c r="B1530" s="116" t="s">
        <v>4221</v>
      </c>
      <c r="C1530" s="117" t="s">
        <v>4222</v>
      </c>
      <c r="D1530" s="118">
        <v>1.1100000000000001</v>
      </c>
      <c r="E1530" s="118">
        <v>0.98</v>
      </c>
      <c r="F1530" s="118"/>
      <c r="G1530" s="118">
        <v>19.131989999999998</v>
      </c>
    </row>
    <row r="1531" spans="2:7" x14ac:dyDescent="0.2">
      <c r="B1531" s="116" t="s">
        <v>2636</v>
      </c>
      <c r="C1531" s="117" t="s">
        <v>2637</v>
      </c>
      <c r="D1531" s="118">
        <v>1.1100000000000001</v>
      </c>
      <c r="E1531" s="118">
        <v>1.24</v>
      </c>
      <c r="F1531" s="118">
        <v>0.82</v>
      </c>
      <c r="G1531" s="118">
        <v>45.070990000000002</v>
      </c>
    </row>
    <row r="1532" spans="2:7" x14ac:dyDescent="0.2">
      <c r="B1532" s="116" t="s">
        <v>2638</v>
      </c>
      <c r="C1532" s="117" t="s">
        <v>2639</v>
      </c>
      <c r="D1532" s="118">
        <v>1.54</v>
      </c>
      <c r="E1532" s="118">
        <v>2.79</v>
      </c>
      <c r="F1532" s="118">
        <v>0.53</v>
      </c>
      <c r="G1532" s="118">
        <v>34.507989999999999</v>
      </c>
    </row>
    <row r="1533" spans="2:7" x14ac:dyDescent="0.2">
      <c r="B1533" s="116" t="s">
        <v>2640</v>
      </c>
      <c r="C1533" s="117" t="s">
        <v>2641</v>
      </c>
      <c r="D1533" s="118">
        <v>0.48</v>
      </c>
      <c r="E1533" s="118">
        <v>0.65</v>
      </c>
      <c r="F1533" s="118"/>
      <c r="G1533" s="118">
        <v>39.535989999999998</v>
      </c>
    </row>
    <row r="1534" spans="2:7" x14ac:dyDescent="0.2">
      <c r="B1534" s="116" t="s">
        <v>2642</v>
      </c>
      <c r="C1534" s="117" t="s">
        <v>2643</v>
      </c>
      <c r="D1534" s="118">
        <v>0.97</v>
      </c>
      <c r="E1534" s="118">
        <v>1.05</v>
      </c>
      <c r="F1534" s="118">
        <v>0.21</v>
      </c>
      <c r="G1534" s="118">
        <v>17.5</v>
      </c>
    </row>
    <row r="1535" spans="2:7" x14ac:dyDescent="0.2">
      <c r="B1535" s="116" t="s">
        <v>4223</v>
      </c>
      <c r="C1535" s="117" t="s">
        <v>4224</v>
      </c>
      <c r="D1535" s="118">
        <v>1.0900000000000001</v>
      </c>
      <c r="E1535" s="118">
        <v>1.05</v>
      </c>
      <c r="F1535" s="118">
        <v>0.21</v>
      </c>
      <c r="G1535" s="118">
        <v>17.5</v>
      </c>
    </row>
    <row r="1536" spans="2:7" x14ac:dyDescent="0.2">
      <c r="B1536" s="116" t="s">
        <v>4225</v>
      </c>
      <c r="C1536" s="117" t="s">
        <v>4226</v>
      </c>
      <c r="D1536" s="118"/>
      <c r="E1536" s="118"/>
      <c r="F1536" s="118"/>
      <c r="G1536" s="118"/>
    </row>
    <row r="1537" spans="2:7" x14ac:dyDescent="0.2">
      <c r="B1537" s="116" t="s">
        <v>2644</v>
      </c>
      <c r="C1537" s="117" t="s">
        <v>2645</v>
      </c>
      <c r="D1537" s="118">
        <v>0.65</v>
      </c>
      <c r="E1537" s="118">
        <v>0.79</v>
      </c>
      <c r="F1537" s="118">
        <v>1.94</v>
      </c>
      <c r="G1537" s="118">
        <v>65.954999999999998</v>
      </c>
    </row>
    <row r="1538" spans="2:7" x14ac:dyDescent="0.2">
      <c r="B1538" s="116" t="s">
        <v>2646</v>
      </c>
      <c r="C1538" s="117" t="s">
        <v>2647</v>
      </c>
      <c r="D1538" s="118">
        <v>0.15</v>
      </c>
      <c r="E1538" s="118">
        <v>0.17</v>
      </c>
      <c r="F1538" s="118">
        <v>0.83</v>
      </c>
      <c r="G1538" s="118">
        <v>46.732999999999997</v>
      </c>
    </row>
    <row r="1539" spans="2:7" x14ac:dyDescent="0.2">
      <c r="B1539" s="116" t="s">
        <v>2648</v>
      </c>
      <c r="C1539" s="117" t="s">
        <v>2649</v>
      </c>
      <c r="D1539" s="118"/>
      <c r="E1539" s="118">
        <v>1.71</v>
      </c>
      <c r="F1539" s="118"/>
      <c r="G1539" s="118">
        <v>13.66699</v>
      </c>
    </row>
    <row r="1540" spans="2:7" x14ac:dyDescent="0.2">
      <c r="B1540" s="116" t="s">
        <v>2650</v>
      </c>
      <c r="C1540" s="117" t="s">
        <v>2651</v>
      </c>
      <c r="D1540" s="118">
        <v>1.4</v>
      </c>
      <c r="E1540" s="118">
        <v>1.71</v>
      </c>
      <c r="F1540" s="118">
        <v>0.28999999999999998</v>
      </c>
      <c r="G1540" s="118">
        <v>22.354990000000001</v>
      </c>
    </row>
    <row r="1541" spans="2:7" x14ac:dyDescent="0.2">
      <c r="B1541" s="116" t="s">
        <v>2652</v>
      </c>
      <c r="C1541" s="117" t="s">
        <v>2653</v>
      </c>
      <c r="D1541" s="118">
        <v>0.98</v>
      </c>
      <c r="E1541" s="118">
        <v>1.1000000000000001</v>
      </c>
      <c r="F1541" s="118">
        <v>0.39</v>
      </c>
      <c r="G1541" s="118">
        <v>27.922999999999998</v>
      </c>
    </row>
    <row r="1542" spans="2:7" x14ac:dyDescent="0.2">
      <c r="B1542" s="116" t="s">
        <v>2652</v>
      </c>
      <c r="C1542" s="117" t="s">
        <v>4227</v>
      </c>
      <c r="D1542" s="118">
        <v>0.98</v>
      </c>
      <c r="E1542" s="118">
        <v>1.1000000000000001</v>
      </c>
      <c r="F1542" s="118">
        <v>0.39</v>
      </c>
      <c r="G1542" s="118">
        <v>27.922999999999998</v>
      </c>
    </row>
    <row r="1543" spans="2:7" x14ac:dyDescent="0.2">
      <c r="B1543" s="116" t="s">
        <v>2654</v>
      </c>
      <c r="C1543" s="117" t="s">
        <v>2655</v>
      </c>
      <c r="D1543" s="118">
        <v>1.68</v>
      </c>
      <c r="E1543" s="118">
        <v>2.4500000000000002</v>
      </c>
      <c r="F1543" s="118"/>
      <c r="G1543" s="118">
        <v>22.524000000000001</v>
      </c>
    </row>
    <row r="1544" spans="2:7" x14ac:dyDescent="0.2">
      <c r="B1544" s="116" t="s">
        <v>2656</v>
      </c>
      <c r="C1544" s="117" t="s">
        <v>2657</v>
      </c>
      <c r="D1544" s="118">
        <v>1.36</v>
      </c>
      <c r="E1544" s="118">
        <v>1.89</v>
      </c>
      <c r="F1544" s="118">
        <v>0.11</v>
      </c>
      <c r="G1544" s="118">
        <v>10.241</v>
      </c>
    </row>
    <row r="1545" spans="2:7" x14ac:dyDescent="0.2">
      <c r="B1545" s="116" t="s">
        <v>2658</v>
      </c>
      <c r="C1545" s="117" t="s">
        <v>2659</v>
      </c>
      <c r="D1545" s="118">
        <v>0.35</v>
      </c>
      <c r="E1545" s="118">
        <v>0.37</v>
      </c>
      <c r="F1545" s="118">
        <v>7.0000000000000007E-2</v>
      </c>
      <c r="G1545" s="118">
        <v>6.6581900000000003</v>
      </c>
    </row>
    <row r="1546" spans="2:7" x14ac:dyDescent="0.2">
      <c r="B1546" s="116" t="s">
        <v>2660</v>
      </c>
      <c r="C1546" s="117" t="s">
        <v>2661</v>
      </c>
      <c r="D1546" s="118">
        <v>0.97</v>
      </c>
      <c r="E1546" s="118">
        <v>1.03</v>
      </c>
      <c r="F1546" s="118">
        <v>0.61</v>
      </c>
      <c r="G1546" s="118">
        <v>38.052999999999997</v>
      </c>
    </row>
    <row r="1547" spans="2:7" x14ac:dyDescent="0.2">
      <c r="B1547" s="116" t="s">
        <v>2662</v>
      </c>
      <c r="C1547" s="117" t="s">
        <v>2663</v>
      </c>
      <c r="D1547" s="118">
        <v>3.67</v>
      </c>
      <c r="E1547" s="118">
        <v>3.88</v>
      </c>
      <c r="F1547" s="118">
        <v>7.0000000000000007E-2</v>
      </c>
      <c r="G1547" s="118">
        <v>6.79549</v>
      </c>
    </row>
    <row r="1548" spans="2:7" x14ac:dyDescent="0.2">
      <c r="B1548" s="116" t="s">
        <v>4228</v>
      </c>
      <c r="C1548" s="117" t="s">
        <v>4229</v>
      </c>
      <c r="D1548" s="118">
        <v>0.4</v>
      </c>
      <c r="E1548" s="118">
        <v>0.45</v>
      </c>
      <c r="F1548" s="118">
        <v>2.58</v>
      </c>
      <c r="G1548" s="118">
        <v>72.099990000000005</v>
      </c>
    </row>
    <row r="1549" spans="2:7" x14ac:dyDescent="0.2">
      <c r="B1549" s="116" t="s">
        <v>4230</v>
      </c>
      <c r="C1549" s="117" t="s">
        <v>4231</v>
      </c>
      <c r="D1549" s="118">
        <v>0.68</v>
      </c>
      <c r="E1549" s="118">
        <v>2.5299999999999998</v>
      </c>
      <c r="F1549" s="118"/>
      <c r="G1549" s="118">
        <v>22.908999999999999</v>
      </c>
    </row>
    <row r="1550" spans="2:7" x14ac:dyDescent="0.2">
      <c r="B1550" s="116" t="s">
        <v>2664</v>
      </c>
      <c r="C1550" s="117" t="s">
        <v>2665</v>
      </c>
      <c r="D1550" s="118">
        <v>1.01</v>
      </c>
      <c r="E1550" s="118">
        <v>1.33</v>
      </c>
      <c r="F1550" s="118"/>
      <c r="G1550" s="118">
        <v>0</v>
      </c>
    </row>
    <row r="1551" spans="2:7" x14ac:dyDescent="0.2">
      <c r="B1551" s="116" t="s">
        <v>2666</v>
      </c>
      <c r="C1551" s="117" t="s">
        <v>2667</v>
      </c>
      <c r="D1551" s="118">
        <v>8.81</v>
      </c>
      <c r="E1551" s="118">
        <v>7.17</v>
      </c>
      <c r="F1551" s="118">
        <v>0.34</v>
      </c>
      <c r="G1551" s="118">
        <v>24.266999999999999</v>
      </c>
    </row>
    <row r="1552" spans="2:7" x14ac:dyDescent="0.2">
      <c r="B1552" s="116" t="s">
        <v>2668</v>
      </c>
      <c r="C1552" s="117" t="s">
        <v>2669</v>
      </c>
      <c r="D1552" s="118">
        <v>0.9</v>
      </c>
      <c r="E1552" s="118">
        <v>0.89</v>
      </c>
      <c r="F1552" s="118">
        <v>0.6</v>
      </c>
      <c r="G1552" s="118">
        <v>35.68</v>
      </c>
    </row>
    <row r="1553" spans="2:7" x14ac:dyDescent="0.2">
      <c r="B1553" s="116" t="s">
        <v>2670</v>
      </c>
      <c r="C1553" s="117" t="s">
        <v>2671</v>
      </c>
      <c r="D1553" s="118">
        <v>0.13</v>
      </c>
      <c r="E1553" s="118">
        <v>0.13</v>
      </c>
      <c r="F1553" s="118">
        <v>0.32</v>
      </c>
      <c r="G1553" s="118">
        <v>23.997990000000001</v>
      </c>
    </row>
    <row r="1554" spans="2:7" x14ac:dyDescent="0.2">
      <c r="B1554" s="116" t="s">
        <v>2672</v>
      </c>
      <c r="C1554" s="117" t="s">
        <v>2673</v>
      </c>
      <c r="D1554" s="118">
        <v>1.8</v>
      </c>
      <c r="E1554" s="118">
        <v>2.25</v>
      </c>
      <c r="F1554" s="118">
        <v>0.02</v>
      </c>
      <c r="G1554" s="118">
        <v>2.24749</v>
      </c>
    </row>
    <row r="1555" spans="2:7" x14ac:dyDescent="0.2">
      <c r="B1555" s="116" t="s">
        <v>2674</v>
      </c>
      <c r="C1555" s="117" t="s">
        <v>2675</v>
      </c>
      <c r="D1555" s="118">
        <v>4.26</v>
      </c>
      <c r="E1555" s="118">
        <v>4.5999999999999996</v>
      </c>
      <c r="F1555" s="118">
        <v>0.1</v>
      </c>
      <c r="G1555" s="118">
        <v>8.9959000000000007</v>
      </c>
    </row>
    <row r="1556" spans="2:7" x14ac:dyDescent="0.2">
      <c r="B1556" s="116" t="s">
        <v>2676</v>
      </c>
      <c r="C1556" s="117" t="s">
        <v>2677</v>
      </c>
      <c r="D1556" s="118">
        <v>0.16</v>
      </c>
      <c r="E1556" s="118">
        <v>0.71</v>
      </c>
      <c r="F1556" s="118">
        <v>-9.0500000000000007</v>
      </c>
      <c r="G1556" s="118"/>
    </row>
    <row r="1557" spans="2:7" x14ac:dyDescent="0.2">
      <c r="B1557" s="116" t="s">
        <v>2679</v>
      </c>
      <c r="C1557" s="117" t="s">
        <v>2680</v>
      </c>
      <c r="D1557" s="118">
        <v>1.1100000000000001</v>
      </c>
      <c r="E1557" s="118">
        <v>1.4</v>
      </c>
      <c r="F1557" s="118"/>
      <c r="G1557" s="118">
        <v>34.616999999999997</v>
      </c>
    </row>
    <row r="1558" spans="2:7" x14ac:dyDescent="0.2">
      <c r="B1558" s="116" t="s">
        <v>2681</v>
      </c>
      <c r="C1558" s="117" t="s">
        <v>2682</v>
      </c>
      <c r="D1558" s="118">
        <v>1.8</v>
      </c>
      <c r="E1558" s="118">
        <v>1.72</v>
      </c>
      <c r="F1558" s="118">
        <v>0.18</v>
      </c>
      <c r="G1558" s="118">
        <v>15.288</v>
      </c>
    </row>
    <row r="1559" spans="2:7" x14ac:dyDescent="0.2">
      <c r="B1559" s="116" t="s">
        <v>2683</v>
      </c>
      <c r="C1559" s="117" t="s">
        <v>2684</v>
      </c>
      <c r="D1559" s="118">
        <v>1.05</v>
      </c>
      <c r="E1559" s="118">
        <v>1.29</v>
      </c>
      <c r="F1559" s="118">
        <v>5.97</v>
      </c>
      <c r="G1559" s="118">
        <v>86.902990000000003</v>
      </c>
    </row>
    <row r="1560" spans="2:7" x14ac:dyDescent="0.2">
      <c r="B1560" s="116" t="s">
        <v>2685</v>
      </c>
      <c r="C1560" s="117" t="s">
        <v>2686</v>
      </c>
      <c r="D1560" s="118">
        <v>1.4</v>
      </c>
      <c r="E1560" s="118">
        <v>1.65</v>
      </c>
      <c r="F1560" s="118"/>
      <c r="G1560" s="118">
        <v>39.541989999999998</v>
      </c>
    </row>
    <row r="1561" spans="2:7" x14ac:dyDescent="0.2">
      <c r="B1561" s="116" t="s">
        <v>2687</v>
      </c>
      <c r="C1561" s="117" t="s">
        <v>2688</v>
      </c>
      <c r="D1561" s="118">
        <v>2.38</v>
      </c>
      <c r="E1561" s="118">
        <v>2.88</v>
      </c>
      <c r="F1561" s="118">
        <v>0.74</v>
      </c>
      <c r="G1561" s="118">
        <v>42.366999999999997</v>
      </c>
    </row>
    <row r="1562" spans="2:7" x14ac:dyDescent="0.2">
      <c r="B1562" s="116" t="s">
        <v>2689</v>
      </c>
      <c r="C1562" s="117" t="s">
        <v>2690</v>
      </c>
      <c r="D1562" s="118">
        <v>1.65</v>
      </c>
      <c r="E1562" s="118">
        <v>1.55</v>
      </c>
      <c r="F1562" s="118">
        <v>0.3</v>
      </c>
      <c r="G1562" s="118">
        <v>23.117999999999999</v>
      </c>
    </row>
    <row r="1563" spans="2:7" x14ac:dyDescent="0.2">
      <c r="B1563" s="116" t="s">
        <v>2691</v>
      </c>
      <c r="C1563" s="117" t="s">
        <v>2692</v>
      </c>
      <c r="D1563" s="118">
        <v>1.1000000000000001</v>
      </c>
      <c r="E1563" s="118">
        <v>1.1100000000000001</v>
      </c>
      <c r="F1563" s="118">
        <v>0.42</v>
      </c>
      <c r="G1563" s="118">
        <v>29.675999999999998</v>
      </c>
    </row>
    <row r="1564" spans="2:7" x14ac:dyDescent="0.2">
      <c r="B1564" s="116" t="s">
        <v>4232</v>
      </c>
      <c r="C1564" s="117" t="s">
        <v>4233</v>
      </c>
      <c r="D1564" s="118">
        <v>1.1499999999999999</v>
      </c>
      <c r="E1564" s="118">
        <v>1.1399999999999999</v>
      </c>
      <c r="F1564" s="118"/>
      <c r="G1564" s="118">
        <v>61.597990000000003</v>
      </c>
    </row>
    <row r="1565" spans="2:7" x14ac:dyDescent="0.2">
      <c r="B1565" s="116" t="s">
        <v>2693</v>
      </c>
      <c r="C1565" s="117" t="s">
        <v>2694</v>
      </c>
      <c r="D1565" s="118">
        <v>2.31</v>
      </c>
      <c r="E1565" s="118">
        <v>2.2999999999999998</v>
      </c>
      <c r="F1565" s="118">
        <v>0.72</v>
      </c>
      <c r="G1565" s="118">
        <v>41.936</v>
      </c>
    </row>
    <row r="1566" spans="2:7" x14ac:dyDescent="0.2">
      <c r="B1566" s="116" t="s">
        <v>2695</v>
      </c>
      <c r="C1566" s="117" t="s">
        <v>2696</v>
      </c>
      <c r="D1566" s="118">
        <v>0.37</v>
      </c>
      <c r="E1566" s="118">
        <v>0.38</v>
      </c>
      <c r="F1566" s="118">
        <v>0.16</v>
      </c>
      <c r="G1566" s="118">
        <v>13.45199</v>
      </c>
    </row>
    <row r="1567" spans="2:7" x14ac:dyDescent="0.2">
      <c r="B1567" s="116" t="s">
        <v>2697</v>
      </c>
      <c r="C1567" s="117" t="s">
        <v>2698</v>
      </c>
      <c r="D1567" s="118">
        <v>1.43</v>
      </c>
      <c r="E1567" s="118">
        <v>2.06</v>
      </c>
      <c r="F1567" s="118">
        <v>0.61</v>
      </c>
      <c r="G1567" s="118">
        <v>37.791989999999998</v>
      </c>
    </row>
    <row r="1568" spans="2:7" x14ac:dyDescent="0.2">
      <c r="B1568" s="116" t="s">
        <v>2699</v>
      </c>
      <c r="C1568" s="117" t="s">
        <v>2700</v>
      </c>
      <c r="D1568" s="118">
        <v>3.55</v>
      </c>
      <c r="E1568" s="118">
        <v>2.99</v>
      </c>
      <c r="F1568" s="118">
        <v>1.1299999999999999</v>
      </c>
      <c r="G1568" s="118">
        <v>53.033000000000001</v>
      </c>
    </row>
    <row r="1569" spans="2:7" x14ac:dyDescent="0.2">
      <c r="B1569" s="116" t="s">
        <v>2701</v>
      </c>
      <c r="C1569" s="117" t="s">
        <v>2702</v>
      </c>
      <c r="D1569" s="118">
        <v>0.95</v>
      </c>
      <c r="E1569" s="118">
        <v>1.03</v>
      </c>
      <c r="F1569" s="118"/>
      <c r="G1569" s="118"/>
    </row>
    <row r="1570" spans="2:7" x14ac:dyDescent="0.2">
      <c r="B1570" s="116" t="s">
        <v>2703</v>
      </c>
      <c r="C1570" s="117" t="s">
        <v>2704</v>
      </c>
      <c r="D1570" s="118">
        <v>1.71</v>
      </c>
      <c r="E1570" s="118">
        <v>1.54</v>
      </c>
      <c r="F1570" s="118">
        <v>0.26</v>
      </c>
      <c r="G1570" s="118">
        <v>40.919989999999999</v>
      </c>
    </row>
    <row r="1571" spans="2:7" x14ac:dyDescent="0.2">
      <c r="B1571" s="116" t="s">
        <v>2705</v>
      </c>
      <c r="C1571" s="117" t="s">
        <v>2706</v>
      </c>
      <c r="D1571" s="118"/>
      <c r="E1571" s="118"/>
      <c r="F1571" s="118"/>
      <c r="G1571" s="118"/>
    </row>
    <row r="1572" spans="2:7" x14ac:dyDescent="0.2">
      <c r="B1572" s="116" t="s">
        <v>4234</v>
      </c>
      <c r="C1572" s="117" t="s">
        <v>4235</v>
      </c>
      <c r="D1572" s="118">
        <v>5.12</v>
      </c>
      <c r="E1572" s="118">
        <v>6.71</v>
      </c>
      <c r="F1572" s="118"/>
      <c r="G1572" s="118"/>
    </row>
    <row r="1573" spans="2:7" x14ac:dyDescent="0.2">
      <c r="B1573" s="116" t="s">
        <v>2707</v>
      </c>
      <c r="C1573" s="117" t="s">
        <v>2708</v>
      </c>
      <c r="D1573" s="118">
        <v>1.01</v>
      </c>
      <c r="E1573" s="118">
        <v>1.51</v>
      </c>
      <c r="F1573" s="118">
        <v>1.68</v>
      </c>
      <c r="G1573" s="118">
        <v>62.664999999999999</v>
      </c>
    </row>
    <row r="1574" spans="2:7" x14ac:dyDescent="0.2">
      <c r="B1574" s="116" t="s">
        <v>2709</v>
      </c>
      <c r="C1574" s="117" t="s">
        <v>2710</v>
      </c>
      <c r="D1574" s="118">
        <v>2.0499999999999998</v>
      </c>
      <c r="E1574" s="118">
        <v>2.73</v>
      </c>
      <c r="F1574" s="118">
        <v>0</v>
      </c>
      <c r="G1574" s="118">
        <v>0</v>
      </c>
    </row>
    <row r="1575" spans="2:7" x14ac:dyDescent="0.2">
      <c r="B1575" s="116" t="s">
        <v>2711</v>
      </c>
      <c r="C1575" s="117" t="s">
        <v>2712</v>
      </c>
      <c r="D1575" s="118">
        <v>0.9</v>
      </c>
      <c r="E1575" s="118">
        <v>0.77</v>
      </c>
      <c r="F1575" s="118">
        <v>0.45</v>
      </c>
      <c r="G1575" s="118">
        <v>30.834990000000001</v>
      </c>
    </row>
    <row r="1576" spans="2:7" x14ac:dyDescent="0.2">
      <c r="B1576" s="116" t="s">
        <v>2714</v>
      </c>
      <c r="C1576" s="117" t="s">
        <v>2715</v>
      </c>
      <c r="D1576" s="118">
        <v>1.87</v>
      </c>
      <c r="E1576" s="118">
        <v>5.15</v>
      </c>
      <c r="F1576" s="118">
        <v>0.05</v>
      </c>
      <c r="G1576" s="118">
        <v>4.5301999999999998</v>
      </c>
    </row>
    <row r="1577" spans="2:7" x14ac:dyDescent="0.2">
      <c r="B1577" s="116" t="s">
        <v>2716</v>
      </c>
      <c r="C1577" s="117" t="s">
        <v>2717</v>
      </c>
      <c r="D1577" s="118">
        <v>0.98</v>
      </c>
      <c r="E1577" s="118">
        <v>1.1100000000000001</v>
      </c>
      <c r="F1577" s="118">
        <v>0.56999999999999995</v>
      </c>
      <c r="G1577" s="118">
        <v>36.104990000000001</v>
      </c>
    </row>
    <row r="1578" spans="2:7" x14ac:dyDescent="0.2">
      <c r="B1578" s="116" t="s">
        <v>2718</v>
      </c>
      <c r="C1578" s="117" t="s">
        <v>2719</v>
      </c>
      <c r="D1578" s="118">
        <v>0.82</v>
      </c>
      <c r="E1578" s="118">
        <v>1.31</v>
      </c>
      <c r="F1578" s="118">
        <v>0.85</v>
      </c>
      <c r="G1578" s="118">
        <v>46.008989999999997</v>
      </c>
    </row>
    <row r="1579" spans="2:7" x14ac:dyDescent="0.2">
      <c r="B1579" s="116" t="s">
        <v>4236</v>
      </c>
      <c r="C1579" s="117" t="s">
        <v>4237</v>
      </c>
      <c r="D1579" s="118">
        <v>0.57999999999999996</v>
      </c>
      <c r="E1579" s="118">
        <v>0.72</v>
      </c>
      <c r="F1579" s="118"/>
      <c r="G1579" s="118">
        <v>42.665999999999997</v>
      </c>
    </row>
    <row r="1580" spans="2:7" x14ac:dyDescent="0.2">
      <c r="B1580" s="116" t="s">
        <v>2720</v>
      </c>
      <c r="C1580" s="117" t="s">
        <v>2721</v>
      </c>
      <c r="D1580" s="118">
        <v>1.31</v>
      </c>
      <c r="E1580" s="118">
        <v>0.81</v>
      </c>
      <c r="F1580" s="118">
        <v>0.35</v>
      </c>
      <c r="G1580" s="118">
        <v>25.783999999999999</v>
      </c>
    </row>
    <row r="1581" spans="2:7" x14ac:dyDescent="0.2">
      <c r="B1581" s="116" t="s">
        <v>2722</v>
      </c>
      <c r="C1581" s="117" t="s">
        <v>2723</v>
      </c>
      <c r="D1581" s="118">
        <v>1.0900000000000001</v>
      </c>
      <c r="E1581" s="118">
        <v>1.64</v>
      </c>
      <c r="F1581" s="118"/>
      <c r="G1581" s="118">
        <v>58.350999999999999</v>
      </c>
    </row>
    <row r="1582" spans="2:7" x14ac:dyDescent="0.2">
      <c r="B1582" s="116" t="s">
        <v>2724</v>
      </c>
      <c r="C1582" s="117" t="s">
        <v>2725</v>
      </c>
      <c r="D1582" s="118">
        <v>2.1</v>
      </c>
      <c r="E1582" s="118">
        <v>4.42</v>
      </c>
      <c r="F1582" s="118">
        <v>0.39</v>
      </c>
      <c r="G1582" s="118">
        <v>28.209990000000001</v>
      </c>
    </row>
    <row r="1583" spans="2:7" x14ac:dyDescent="0.2">
      <c r="B1583" s="116" t="s">
        <v>2726</v>
      </c>
      <c r="C1583" s="117" t="s">
        <v>2727</v>
      </c>
      <c r="D1583" s="118">
        <v>0.57999999999999996</v>
      </c>
      <c r="E1583" s="118">
        <v>0.41</v>
      </c>
      <c r="F1583" s="118">
        <v>0.87</v>
      </c>
      <c r="G1583" s="118">
        <v>46.389989999999997</v>
      </c>
    </row>
    <row r="1584" spans="2:7" x14ac:dyDescent="0.2">
      <c r="B1584" s="116" t="s">
        <v>4238</v>
      </c>
      <c r="C1584" s="117" t="s">
        <v>4239</v>
      </c>
      <c r="D1584" s="118"/>
      <c r="E1584" s="118"/>
      <c r="F1584" s="118"/>
      <c r="G1584" s="118"/>
    </row>
    <row r="1585" spans="2:7" x14ac:dyDescent="0.2">
      <c r="B1585" s="116" t="s">
        <v>2728</v>
      </c>
      <c r="C1585" s="117" t="s">
        <v>2729</v>
      </c>
      <c r="D1585" s="118">
        <v>1.37</v>
      </c>
      <c r="E1585" s="118">
        <v>1.46</v>
      </c>
      <c r="F1585" s="118">
        <v>0.41</v>
      </c>
      <c r="G1585" s="118">
        <v>28.968</v>
      </c>
    </row>
    <row r="1586" spans="2:7" x14ac:dyDescent="0.2">
      <c r="B1586" s="116" t="s">
        <v>2730</v>
      </c>
      <c r="C1586" s="117" t="s">
        <v>2731</v>
      </c>
      <c r="D1586" s="118">
        <v>0.76</v>
      </c>
      <c r="E1586" s="118">
        <v>0.88</v>
      </c>
      <c r="F1586" s="118"/>
      <c r="G1586" s="118">
        <v>58.002989999999997</v>
      </c>
    </row>
    <row r="1587" spans="2:7" x14ac:dyDescent="0.2">
      <c r="B1587" s="116" t="s">
        <v>2732</v>
      </c>
      <c r="C1587" s="117" t="s">
        <v>2733</v>
      </c>
      <c r="D1587" s="118">
        <v>1.67</v>
      </c>
      <c r="E1587" s="118">
        <v>2.2400000000000002</v>
      </c>
      <c r="F1587" s="118"/>
      <c r="G1587" s="118">
        <v>5.6696999999999997</v>
      </c>
    </row>
    <row r="1588" spans="2:7" x14ac:dyDescent="0.2">
      <c r="B1588" s="116" t="s">
        <v>2734</v>
      </c>
      <c r="C1588" s="117" t="s">
        <v>2735</v>
      </c>
      <c r="D1588" s="118">
        <v>1.31</v>
      </c>
      <c r="E1588" s="118">
        <v>1.25</v>
      </c>
      <c r="F1588" s="118"/>
      <c r="G1588" s="118">
        <v>16.158999999999999</v>
      </c>
    </row>
    <row r="1589" spans="2:7" x14ac:dyDescent="0.2">
      <c r="B1589" s="116" t="s">
        <v>2736</v>
      </c>
      <c r="C1589" s="117" t="s">
        <v>2737</v>
      </c>
      <c r="D1589" s="118">
        <v>0.91</v>
      </c>
      <c r="E1589" s="118">
        <v>0.91</v>
      </c>
      <c r="F1589" s="118">
        <v>0.13</v>
      </c>
      <c r="G1589" s="118">
        <v>10.648999999999999</v>
      </c>
    </row>
    <row r="1590" spans="2:7" x14ac:dyDescent="0.2">
      <c r="B1590" s="116" t="s">
        <v>2738</v>
      </c>
      <c r="C1590" s="117" t="s">
        <v>2739</v>
      </c>
      <c r="D1590" s="118">
        <v>0.93</v>
      </c>
      <c r="E1590" s="118">
        <v>1.08</v>
      </c>
      <c r="F1590" s="118">
        <v>0.79</v>
      </c>
      <c r="G1590" s="118">
        <v>44.164000000000001</v>
      </c>
    </row>
    <row r="1591" spans="2:7" x14ac:dyDescent="0.2">
      <c r="B1591" s="116" t="s">
        <v>2740</v>
      </c>
      <c r="C1591" s="117" t="s">
        <v>2741</v>
      </c>
      <c r="D1591" s="118">
        <v>0.84</v>
      </c>
      <c r="E1591" s="118">
        <v>1.1299999999999999</v>
      </c>
      <c r="F1591" s="118"/>
      <c r="G1591" s="118"/>
    </row>
    <row r="1592" spans="2:7" x14ac:dyDescent="0.2">
      <c r="B1592" s="116" t="s">
        <v>2742</v>
      </c>
      <c r="C1592" s="117" t="s">
        <v>2743</v>
      </c>
      <c r="D1592" s="118">
        <v>3.02</v>
      </c>
      <c r="E1592" s="118">
        <v>2.56</v>
      </c>
      <c r="F1592" s="118">
        <v>0.61</v>
      </c>
      <c r="G1592" s="118">
        <v>37.807989999999997</v>
      </c>
    </row>
    <row r="1593" spans="2:7" x14ac:dyDescent="0.2">
      <c r="B1593" s="116" t="s">
        <v>2744</v>
      </c>
      <c r="C1593" s="117" t="s">
        <v>2745</v>
      </c>
      <c r="D1593" s="118">
        <v>0.98</v>
      </c>
      <c r="E1593" s="118">
        <v>0.94</v>
      </c>
      <c r="F1593" s="118">
        <v>1.57</v>
      </c>
      <c r="G1593" s="118">
        <v>61.033000000000001</v>
      </c>
    </row>
    <row r="1594" spans="2:7" x14ac:dyDescent="0.2">
      <c r="B1594" s="116" t="s">
        <v>2746</v>
      </c>
      <c r="C1594" s="117" t="s">
        <v>2747</v>
      </c>
      <c r="D1594" s="118">
        <v>1.17</v>
      </c>
      <c r="E1594" s="118">
        <v>1.03</v>
      </c>
      <c r="F1594" s="118">
        <v>3.59</v>
      </c>
      <c r="G1594" s="118">
        <v>78.198989999999995</v>
      </c>
    </row>
    <row r="1595" spans="2:7" x14ac:dyDescent="0.2">
      <c r="B1595" s="116" t="s">
        <v>2748</v>
      </c>
      <c r="C1595" s="117" t="s">
        <v>2749</v>
      </c>
      <c r="D1595" s="118">
        <v>1.64</v>
      </c>
      <c r="E1595" s="118">
        <v>2.94</v>
      </c>
      <c r="F1595" s="118">
        <v>0.02</v>
      </c>
      <c r="G1595" s="118">
        <v>2.0264000000000002</v>
      </c>
    </row>
    <row r="1596" spans="2:7" x14ac:dyDescent="0.2">
      <c r="B1596" s="116" t="s">
        <v>2750</v>
      </c>
      <c r="C1596" s="117" t="s">
        <v>2751</v>
      </c>
      <c r="D1596" s="118">
        <v>0.6</v>
      </c>
      <c r="E1596" s="118">
        <v>0.86</v>
      </c>
      <c r="F1596" s="118"/>
      <c r="G1596" s="118">
        <v>24.395</v>
      </c>
    </row>
    <row r="1597" spans="2:7" x14ac:dyDescent="0.2">
      <c r="B1597" s="116" t="s">
        <v>2752</v>
      </c>
      <c r="C1597" s="117" t="s">
        <v>2753</v>
      </c>
      <c r="D1597" s="118">
        <v>10.98</v>
      </c>
      <c r="E1597" s="118">
        <v>16</v>
      </c>
      <c r="F1597" s="118">
        <v>0.03</v>
      </c>
      <c r="G1597" s="118">
        <v>2.6944900000000001</v>
      </c>
    </row>
    <row r="1598" spans="2:7" x14ac:dyDescent="0.2">
      <c r="B1598" s="116" t="s">
        <v>2754</v>
      </c>
      <c r="C1598" s="117" t="s">
        <v>2755</v>
      </c>
      <c r="D1598" s="118">
        <v>1.52</v>
      </c>
      <c r="E1598" s="118">
        <v>1.17</v>
      </c>
      <c r="F1598" s="118">
        <v>1.4</v>
      </c>
      <c r="G1598" s="118">
        <v>58.312989999999999</v>
      </c>
    </row>
    <row r="1599" spans="2:7" x14ac:dyDescent="0.2">
      <c r="B1599" s="116" t="s">
        <v>2756</v>
      </c>
      <c r="C1599" s="117" t="s">
        <v>2757</v>
      </c>
      <c r="D1599" s="118">
        <v>1.34</v>
      </c>
      <c r="E1599" s="118">
        <v>0.95</v>
      </c>
      <c r="F1599" s="118">
        <v>0</v>
      </c>
      <c r="G1599" s="118">
        <v>0</v>
      </c>
    </row>
    <row r="1600" spans="2:7" x14ac:dyDescent="0.2">
      <c r="B1600" s="116" t="s">
        <v>2758</v>
      </c>
      <c r="C1600" s="117" t="s">
        <v>2759</v>
      </c>
      <c r="D1600" s="118">
        <v>0.31</v>
      </c>
      <c r="E1600" s="118">
        <v>2.08</v>
      </c>
      <c r="F1600" s="118">
        <v>11.13</v>
      </c>
      <c r="G1600" s="118">
        <v>91.755989999999997</v>
      </c>
    </row>
    <row r="1601" spans="2:7" x14ac:dyDescent="0.2">
      <c r="B1601" s="116" t="s">
        <v>2760</v>
      </c>
      <c r="C1601" s="117" t="s">
        <v>2761</v>
      </c>
      <c r="D1601" s="118">
        <v>1.59</v>
      </c>
      <c r="E1601" s="118">
        <v>0.95</v>
      </c>
      <c r="F1601" s="118">
        <v>0.51</v>
      </c>
      <c r="G1601" s="118">
        <v>33.726999999999997</v>
      </c>
    </row>
    <row r="1602" spans="2:7" x14ac:dyDescent="0.2">
      <c r="B1602" s="116" t="s">
        <v>2762</v>
      </c>
      <c r="C1602" s="117" t="s">
        <v>2763</v>
      </c>
      <c r="D1602" s="118"/>
      <c r="E1602" s="118"/>
      <c r="F1602" s="118"/>
      <c r="G1602" s="118"/>
    </row>
    <row r="1603" spans="2:7" x14ac:dyDescent="0.2">
      <c r="B1603" s="116" t="s">
        <v>2764</v>
      </c>
      <c r="C1603" s="117" t="s">
        <v>2765</v>
      </c>
      <c r="D1603" s="118">
        <v>0.9</v>
      </c>
      <c r="E1603" s="118">
        <v>1.53</v>
      </c>
      <c r="F1603" s="118">
        <v>0.95</v>
      </c>
      <c r="G1603" s="118">
        <v>48.698</v>
      </c>
    </row>
    <row r="1604" spans="2:7" x14ac:dyDescent="0.2">
      <c r="B1604" s="116" t="s">
        <v>2766</v>
      </c>
      <c r="C1604" s="117" t="s">
        <v>2767</v>
      </c>
      <c r="D1604" s="118">
        <v>2.61</v>
      </c>
      <c r="E1604" s="118">
        <v>6.1</v>
      </c>
      <c r="F1604" s="118">
        <v>0.62</v>
      </c>
      <c r="G1604" s="118">
        <v>38.43</v>
      </c>
    </row>
    <row r="1605" spans="2:7" x14ac:dyDescent="0.2">
      <c r="B1605" s="116" t="s">
        <v>2768</v>
      </c>
      <c r="C1605" s="117" t="s">
        <v>2769</v>
      </c>
      <c r="D1605" s="118"/>
      <c r="E1605" s="118"/>
      <c r="F1605" s="118"/>
      <c r="G1605" s="118"/>
    </row>
    <row r="1606" spans="2:7" x14ac:dyDescent="0.2">
      <c r="B1606" s="116" t="s">
        <v>4240</v>
      </c>
      <c r="C1606" s="117" t="s">
        <v>4241</v>
      </c>
      <c r="D1606" s="118">
        <v>0.14000000000000001</v>
      </c>
      <c r="E1606" s="118">
        <v>0.14000000000000001</v>
      </c>
      <c r="F1606" s="118"/>
      <c r="G1606" s="118">
        <v>26.57799</v>
      </c>
    </row>
    <row r="1607" spans="2:7" x14ac:dyDescent="0.2">
      <c r="B1607" s="116" t="s">
        <v>2770</v>
      </c>
      <c r="C1607" s="117" t="s">
        <v>2771</v>
      </c>
      <c r="D1607" s="118">
        <v>0.31</v>
      </c>
      <c r="E1607" s="118">
        <v>0.22</v>
      </c>
      <c r="F1607" s="118">
        <v>-2.62</v>
      </c>
      <c r="G1607" s="118"/>
    </row>
    <row r="1608" spans="2:7" x14ac:dyDescent="0.2">
      <c r="B1608" s="116" t="s">
        <v>2772</v>
      </c>
      <c r="C1608" s="117" t="s">
        <v>2773</v>
      </c>
      <c r="D1608" s="118">
        <v>3.12</v>
      </c>
      <c r="E1608" s="118">
        <v>3.11</v>
      </c>
      <c r="F1608" s="118">
        <v>2.59</v>
      </c>
      <c r="G1608" s="118">
        <v>72.128990000000002</v>
      </c>
    </row>
    <row r="1609" spans="2:7" x14ac:dyDescent="0.2">
      <c r="B1609" s="116" t="s">
        <v>4242</v>
      </c>
      <c r="C1609" s="117" t="s">
        <v>4243</v>
      </c>
      <c r="D1609" s="118">
        <v>1.01</v>
      </c>
      <c r="E1609" s="118">
        <v>1.32</v>
      </c>
      <c r="F1609" s="118"/>
      <c r="G1609" s="118">
        <v>0</v>
      </c>
    </row>
    <row r="1610" spans="2:7" x14ac:dyDescent="0.2">
      <c r="B1610" s="116" t="s">
        <v>4244</v>
      </c>
      <c r="C1610" s="117" t="s">
        <v>4245</v>
      </c>
      <c r="D1610" s="118"/>
      <c r="E1610" s="118"/>
      <c r="F1610" s="118"/>
      <c r="G1610" s="118"/>
    </row>
    <row r="1611" spans="2:7" x14ac:dyDescent="0.2">
      <c r="B1611" s="116" t="s">
        <v>4246</v>
      </c>
      <c r="C1611" s="117" t="s">
        <v>4247</v>
      </c>
      <c r="D1611" s="118"/>
      <c r="E1611" s="118"/>
      <c r="F1611" s="118"/>
      <c r="G1611" s="118"/>
    </row>
    <row r="1612" spans="2:7" x14ac:dyDescent="0.2">
      <c r="B1612" s="116" t="s">
        <v>2774</v>
      </c>
      <c r="C1612" s="117" t="s">
        <v>2775</v>
      </c>
      <c r="D1612" s="118">
        <v>0.97</v>
      </c>
      <c r="E1612" s="118">
        <v>1</v>
      </c>
      <c r="F1612" s="118">
        <v>1.26</v>
      </c>
      <c r="G1612" s="118">
        <v>55.715989999999998</v>
      </c>
    </row>
    <row r="1613" spans="2:7" x14ac:dyDescent="0.2">
      <c r="B1613" s="116" t="s">
        <v>2776</v>
      </c>
      <c r="C1613" s="117" t="s">
        <v>2777</v>
      </c>
      <c r="D1613" s="118">
        <v>1.83</v>
      </c>
      <c r="E1613" s="118">
        <v>1.68</v>
      </c>
      <c r="F1613" s="118">
        <v>0.82</v>
      </c>
      <c r="G1613" s="118">
        <v>45.169989999999999</v>
      </c>
    </row>
    <row r="1614" spans="2:7" x14ac:dyDescent="0.2">
      <c r="B1614" s="116" t="s">
        <v>4248</v>
      </c>
      <c r="C1614" s="117" t="s">
        <v>4249</v>
      </c>
      <c r="D1614" s="118">
        <v>1.23</v>
      </c>
      <c r="E1614" s="118">
        <v>1.23</v>
      </c>
      <c r="F1614" s="118">
        <v>0.33</v>
      </c>
      <c r="G1614" s="118">
        <v>24.556989999999999</v>
      </c>
    </row>
    <row r="1615" spans="2:7" x14ac:dyDescent="0.2">
      <c r="B1615" s="116" t="s">
        <v>2778</v>
      </c>
      <c r="C1615" s="117" t="s">
        <v>2779</v>
      </c>
      <c r="D1615" s="118">
        <v>1.03</v>
      </c>
      <c r="E1615" s="118">
        <v>1.01</v>
      </c>
      <c r="F1615" s="118"/>
      <c r="G1615" s="118">
        <v>34.612990000000003</v>
      </c>
    </row>
    <row r="1616" spans="2:7" x14ac:dyDescent="0.2">
      <c r="B1616" s="116" t="s">
        <v>2780</v>
      </c>
      <c r="C1616" s="117" t="s">
        <v>2781</v>
      </c>
      <c r="D1616" s="118">
        <v>1.95</v>
      </c>
      <c r="E1616" s="118">
        <v>1.31</v>
      </c>
      <c r="F1616" s="118">
        <v>-2.58</v>
      </c>
      <c r="G1616" s="118"/>
    </row>
    <row r="1617" spans="2:7" x14ac:dyDescent="0.2">
      <c r="B1617" s="116" t="s">
        <v>2782</v>
      </c>
      <c r="C1617" s="117" t="s">
        <v>2783</v>
      </c>
      <c r="D1617" s="118">
        <v>0.81</v>
      </c>
      <c r="E1617" s="118">
        <v>0.8</v>
      </c>
      <c r="F1617" s="118">
        <v>0</v>
      </c>
      <c r="G1617" s="118">
        <v>0</v>
      </c>
    </row>
    <row r="1618" spans="2:7" x14ac:dyDescent="0.2">
      <c r="B1618" s="116" t="s">
        <v>2784</v>
      </c>
      <c r="C1618" s="117" t="s">
        <v>2785</v>
      </c>
      <c r="D1618" s="118"/>
      <c r="E1618" s="118"/>
      <c r="F1618" s="118"/>
      <c r="G1618" s="118"/>
    </row>
    <row r="1619" spans="2:7" x14ac:dyDescent="0.2">
      <c r="B1619" s="116" t="s">
        <v>2786</v>
      </c>
      <c r="C1619" s="117" t="s">
        <v>2787</v>
      </c>
      <c r="D1619" s="118">
        <v>1.77</v>
      </c>
      <c r="E1619" s="118">
        <v>2.2400000000000002</v>
      </c>
      <c r="F1619" s="118">
        <v>0.82</v>
      </c>
      <c r="G1619" s="118">
        <v>45.034990000000001</v>
      </c>
    </row>
    <row r="1620" spans="2:7" x14ac:dyDescent="0.2">
      <c r="B1620" s="116" t="s">
        <v>2788</v>
      </c>
      <c r="C1620" s="117" t="s">
        <v>2789</v>
      </c>
      <c r="D1620" s="118"/>
      <c r="E1620" s="118">
        <v>1.42</v>
      </c>
      <c r="F1620" s="118">
        <v>3.52</v>
      </c>
      <c r="G1620" s="118">
        <v>77.851990000000001</v>
      </c>
    </row>
    <row r="1621" spans="2:7" x14ac:dyDescent="0.2">
      <c r="B1621" s="116" t="s">
        <v>2790</v>
      </c>
      <c r="C1621" s="117" t="s">
        <v>2791</v>
      </c>
      <c r="D1621" s="118">
        <v>0.83</v>
      </c>
      <c r="E1621" s="118">
        <v>0.31</v>
      </c>
      <c r="F1621" s="118">
        <v>0.4</v>
      </c>
      <c r="G1621" s="118">
        <v>25.82799</v>
      </c>
    </row>
    <row r="1622" spans="2:7" x14ac:dyDescent="0.2">
      <c r="B1622" s="116" t="s">
        <v>4250</v>
      </c>
      <c r="C1622" s="117" t="s">
        <v>4251</v>
      </c>
      <c r="D1622" s="118">
        <v>1.63</v>
      </c>
      <c r="E1622" s="118">
        <v>1.64</v>
      </c>
      <c r="F1622" s="118"/>
      <c r="G1622" s="118">
        <v>55.736989999999999</v>
      </c>
    </row>
    <row r="1623" spans="2:7" x14ac:dyDescent="0.2">
      <c r="B1623" s="116" t="s">
        <v>2792</v>
      </c>
      <c r="C1623" s="117" t="s">
        <v>2793</v>
      </c>
      <c r="D1623" s="118">
        <v>0.55000000000000004</v>
      </c>
      <c r="E1623" s="118">
        <v>0.64</v>
      </c>
      <c r="F1623" s="118">
        <v>1.99</v>
      </c>
      <c r="G1623" s="118">
        <v>66.515990000000002</v>
      </c>
    </row>
    <row r="1624" spans="2:7" x14ac:dyDescent="0.2">
      <c r="B1624" s="116" t="s">
        <v>2795</v>
      </c>
      <c r="C1624" s="117" t="s">
        <v>2796</v>
      </c>
      <c r="D1624" s="118">
        <v>0.88</v>
      </c>
      <c r="E1624" s="118">
        <v>0.98</v>
      </c>
      <c r="F1624" s="118"/>
      <c r="G1624" s="118">
        <v>49.426990000000004</v>
      </c>
    </row>
    <row r="1625" spans="2:7" x14ac:dyDescent="0.2">
      <c r="B1625" s="116" t="s">
        <v>2797</v>
      </c>
      <c r="C1625" s="117" t="s">
        <v>2798</v>
      </c>
      <c r="D1625" s="118">
        <v>8.98</v>
      </c>
      <c r="E1625" s="118">
        <v>8.98</v>
      </c>
      <c r="F1625" s="118"/>
      <c r="G1625" s="118">
        <v>28.481999999999999</v>
      </c>
    </row>
    <row r="1626" spans="2:7" x14ac:dyDescent="0.2">
      <c r="B1626" s="116" t="s">
        <v>2799</v>
      </c>
      <c r="C1626" s="117" t="s">
        <v>2800</v>
      </c>
      <c r="D1626" s="118">
        <v>1.51</v>
      </c>
      <c r="E1626" s="118">
        <v>2.0699999999999998</v>
      </c>
      <c r="F1626" s="118">
        <v>0.41</v>
      </c>
      <c r="G1626" s="118">
        <v>28.856000000000002</v>
      </c>
    </row>
    <row r="1627" spans="2:7" x14ac:dyDescent="0.2">
      <c r="B1627" s="116" t="s">
        <v>4252</v>
      </c>
      <c r="C1627" s="117" t="s">
        <v>4253</v>
      </c>
      <c r="D1627" s="118"/>
      <c r="E1627" s="118"/>
      <c r="F1627" s="118"/>
      <c r="G1627" s="118"/>
    </row>
    <row r="1628" spans="2:7" x14ac:dyDescent="0.2">
      <c r="B1628" s="116" t="s">
        <v>4254</v>
      </c>
      <c r="C1628" s="117" t="s">
        <v>4255</v>
      </c>
      <c r="D1628" s="118"/>
      <c r="E1628" s="118"/>
      <c r="F1628" s="118"/>
      <c r="G1628" s="118"/>
    </row>
    <row r="1629" spans="2:7" x14ac:dyDescent="0.2">
      <c r="B1629" s="116" t="s">
        <v>2801</v>
      </c>
      <c r="C1629" s="117" t="s">
        <v>2802</v>
      </c>
      <c r="D1629" s="118">
        <v>1.41</v>
      </c>
      <c r="E1629" s="118">
        <v>1.89</v>
      </c>
      <c r="F1629" s="118">
        <v>0.4</v>
      </c>
      <c r="G1629" s="118">
        <v>28.7</v>
      </c>
    </row>
    <row r="1630" spans="2:7" x14ac:dyDescent="0.2">
      <c r="B1630" s="116" t="s">
        <v>4256</v>
      </c>
      <c r="C1630" s="117" t="s">
        <v>4257</v>
      </c>
      <c r="D1630" s="118">
        <v>2.82</v>
      </c>
      <c r="E1630" s="118">
        <v>3.4</v>
      </c>
      <c r="F1630" s="118">
        <v>0.33</v>
      </c>
      <c r="G1630" s="118">
        <v>24.757989999999999</v>
      </c>
    </row>
    <row r="1631" spans="2:7" x14ac:dyDescent="0.2">
      <c r="B1631" s="116" t="s">
        <v>2804</v>
      </c>
      <c r="C1631" s="117" t="s">
        <v>2805</v>
      </c>
      <c r="D1631" s="118">
        <v>2.38</v>
      </c>
      <c r="E1631" s="118">
        <v>2.4900000000000002</v>
      </c>
      <c r="F1631" s="118">
        <v>0.05</v>
      </c>
      <c r="G1631" s="118">
        <v>4.9649999999999999</v>
      </c>
    </row>
    <row r="1632" spans="2:7" x14ac:dyDescent="0.2">
      <c r="B1632" s="116" t="s">
        <v>2806</v>
      </c>
      <c r="C1632" s="117" t="s">
        <v>2807</v>
      </c>
      <c r="D1632" s="118">
        <v>0.68</v>
      </c>
      <c r="E1632" s="118">
        <v>0.99</v>
      </c>
      <c r="F1632" s="118">
        <v>-9.65</v>
      </c>
      <c r="G1632" s="118"/>
    </row>
    <row r="1633" spans="2:7" x14ac:dyDescent="0.2">
      <c r="B1633" s="116" t="s">
        <v>2808</v>
      </c>
      <c r="C1633" s="117" t="s">
        <v>2809</v>
      </c>
      <c r="D1633" s="118">
        <v>0.89</v>
      </c>
      <c r="E1633" s="118">
        <v>0.89</v>
      </c>
      <c r="F1633" s="118"/>
      <c r="G1633" s="118">
        <v>25.472989999999999</v>
      </c>
    </row>
    <row r="1634" spans="2:7" x14ac:dyDescent="0.2">
      <c r="B1634" s="116" t="s">
        <v>2810</v>
      </c>
      <c r="C1634" s="117" t="s">
        <v>2811</v>
      </c>
      <c r="D1634" s="118">
        <v>3.92</v>
      </c>
      <c r="E1634" s="118">
        <v>5.78</v>
      </c>
      <c r="F1634" s="118">
        <v>0.02</v>
      </c>
      <c r="G1634" s="118">
        <v>2.3553999999999999</v>
      </c>
    </row>
    <row r="1635" spans="2:7" x14ac:dyDescent="0.2">
      <c r="B1635" s="125" t="s">
        <v>2812</v>
      </c>
      <c r="C1635" s="118" t="s">
        <v>2813</v>
      </c>
      <c r="D1635" s="118"/>
      <c r="E1635" s="118"/>
      <c r="F1635" s="118"/>
      <c r="G1635" s="118"/>
    </row>
    <row r="1636" spans="2:7" x14ac:dyDescent="0.2">
      <c r="B1636" s="125" t="s">
        <v>4258</v>
      </c>
      <c r="C1636" s="118" t="s">
        <v>4259</v>
      </c>
      <c r="D1636" s="118">
        <v>0.85</v>
      </c>
      <c r="E1636" s="118">
        <v>1.35</v>
      </c>
      <c r="F1636" s="118"/>
      <c r="G1636" s="118">
        <v>25.174990000000001</v>
      </c>
    </row>
    <row r="1637" spans="2:7" x14ac:dyDescent="0.2">
      <c r="B1637" s="125" t="s">
        <v>2814</v>
      </c>
      <c r="C1637" s="118" t="s">
        <v>2815</v>
      </c>
      <c r="D1637" s="118">
        <v>1.0900000000000001</v>
      </c>
      <c r="E1637" s="118">
        <v>1.6</v>
      </c>
      <c r="F1637" s="118"/>
      <c r="G1637" s="118">
        <v>23.27</v>
      </c>
    </row>
    <row r="1638" spans="2:7" x14ac:dyDescent="0.2">
      <c r="B1638" s="125" t="s">
        <v>2816</v>
      </c>
      <c r="C1638" s="118" t="s">
        <v>2817</v>
      </c>
      <c r="D1638" s="118">
        <v>2.16</v>
      </c>
      <c r="E1638" s="118">
        <v>1.17</v>
      </c>
      <c r="F1638" s="118">
        <v>0.59</v>
      </c>
      <c r="G1638" s="118">
        <v>37.002989999999997</v>
      </c>
    </row>
    <row r="1639" spans="2:7" x14ac:dyDescent="0.2">
      <c r="B1639" s="125" t="s">
        <v>2818</v>
      </c>
      <c r="C1639" s="118" t="s">
        <v>2819</v>
      </c>
      <c r="D1639" s="118">
        <v>0.68</v>
      </c>
      <c r="E1639" s="118">
        <v>0.74</v>
      </c>
      <c r="F1639" s="118">
        <v>0.69</v>
      </c>
      <c r="G1639" s="118">
        <v>38.76699</v>
      </c>
    </row>
    <row r="1640" spans="2:7" x14ac:dyDescent="0.2">
      <c r="B1640" s="125" t="s">
        <v>4260</v>
      </c>
      <c r="C1640" s="118" t="s">
        <v>4261</v>
      </c>
      <c r="D1640" s="118"/>
      <c r="E1640" s="118">
        <v>1.06</v>
      </c>
      <c r="F1640" s="118"/>
      <c r="G1640" s="118">
        <v>57.948999999999998</v>
      </c>
    </row>
    <row r="1641" spans="2:7" x14ac:dyDescent="0.2">
      <c r="B1641" s="125" t="s">
        <v>4262</v>
      </c>
      <c r="C1641" s="118" t="s">
        <v>4263</v>
      </c>
      <c r="D1641" s="118">
        <v>0.76</v>
      </c>
      <c r="E1641" s="118">
        <v>0.8</v>
      </c>
      <c r="F1641" s="118"/>
      <c r="G1641" s="118">
        <v>22.76</v>
      </c>
    </row>
    <row r="1642" spans="2:7" x14ac:dyDescent="0.2">
      <c r="B1642" s="125" t="s">
        <v>4264</v>
      </c>
      <c r="C1642" s="118" t="s">
        <v>4265</v>
      </c>
      <c r="D1642" s="118"/>
      <c r="E1642" s="118"/>
      <c r="F1642" s="118"/>
      <c r="G1642" s="118"/>
    </row>
    <row r="1643" spans="2:7" x14ac:dyDescent="0.2">
      <c r="B1643" s="125" t="s">
        <v>2820</v>
      </c>
      <c r="C1643" s="118" t="s">
        <v>2821</v>
      </c>
      <c r="D1643" s="118">
        <v>2.67</v>
      </c>
      <c r="E1643" s="118">
        <v>3.03</v>
      </c>
      <c r="F1643" s="118">
        <v>0</v>
      </c>
      <c r="G1643" s="118">
        <v>0</v>
      </c>
    </row>
    <row r="1644" spans="2:7" x14ac:dyDescent="0.2">
      <c r="B1644" s="125" t="s">
        <v>2822</v>
      </c>
      <c r="C1644" s="118" t="s">
        <v>2823</v>
      </c>
      <c r="D1644" s="118">
        <v>0.84</v>
      </c>
      <c r="E1644" s="118">
        <v>0.75</v>
      </c>
      <c r="F1644" s="118"/>
      <c r="G1644" s="118">
        <v>35.703989999999997</v>
      </c>
    </row>
    <row r="1645" spans="2:7" x14ac:dyDescent="0.2">
      <c r="B1645" s="125" t="s">
        <v>2824</v>
      </c>
      <c r="C1645" s="118" t="s">
        <v>2825</v>
      </c>
      <c r="D1645" s="118">
        <v>1.53</v>
      </c>
      <c r="E1645" s="118">
        <v>1.49</v>
      </c>
      <c r="F1645" s="118">
        <v>1.9</v>
      </c>
      <c r="G1645" s="118">
        <v>65.512</v>
      </c>
    </row>
    <row r="1646" spans="2:7" x14ac:dyDescent="0.2">
      <c r="B1646" s="125" t="s">
        <v>4266</v>
      </c>
      <c r="C1646" s="118" t="s">
        <v>4267</v>
      </c>
      <c r="D1646" s="118"/>
      <c r="E1646" s="118">
        <v>3.53</v>
      </c>
      <c r="F1646" s="118"/>
      <c r="G1646" s="118"/>
    </row>
    <row r="1647" spans="2:7" x14ac:dyDescent="0.2">
      <c r="B1647" s="125" t="s">
        <v>2826</v>
      </c>
      <c r="C1647" s="118" t="s">
        <v>2827</v>
      </c>
      <c r="D1647" s="118">
        <v>1.66</v>
      </c>
      <c r="E1647" s="118">
        <v>1.1000000000000001</v>
      </c>
      <c r="F1647" s="118">
        <v>0.97</v>
      </c>
      <c r="G1647" s="118">
        <v>49.323</v>
      </c>
    </row>
    <row r="1648" spans="2:7" x14ac:dyDescent="0.2">
      <c r="B1648" s="125" t="s">
        <v>4268</v>
      </c>
      <c r="C1648" s="118" t="s">
        <v>4269</v>
      </c>
      <c r="D1648" s="118">
        <v>1.0900000000000001</v>
      </c>
      <c r="E1648" s="118">
        <v>1.1100000000000001</v>
      </c>
      <c r="F1648" s="118"/>
      <c r="G1648" s="118">
        <v>41.33</v>
      </c>
    </row>
    <row r="1649" spans="2:7" x14ac:dyDescent="0.2">
      <c r="B1649" s="125" t="s">
        <v>2828</v>
      </c>
      <c r="C1649" s="118" t="s">
        <v>2829</v>
      </c>
      <c r="D1649" s="118">
        <v>1.1000000000000001</v>
      </c>
      <c r="E1649" s="118">
        <v>1.24</v>
      </c>
      <c r="F1649" s="118">
        <v>2.0099999999999998</v>
      </c>
      <c r="G1649" s="118">
        <v>66.791989999999998</v>
      </c>
    </row>
    <row r="1650" spans="2:7" x14ac:dyDescent="0.2">
      <c r="B1650" s="125" t="s">
        <v>2830</v>
      </c>
      <c r="C1650" s="118" t="s">
        <v>2831</v>
      </c>
      <c r="D1650" s="118"/>
      <c r="E1650" s="118"/>
      <c r="F1650" s="118"/>
      <c r="G1650" s="118"/>
    </row>
    <row r="1651" spans="2:7" x14ac:dyDescent="0.2">
      <c r="B1651" s="125" t="s">
        <v>2832</v>
      </c>
      <c r="C1651" s="118" t="s">
        <v>2833</v>
      </c>
      <c r="D1651" s="118">
        <v>1.08</v>
      </c>
      <c r="E1651" s="118">
        <v>1.08</v>
      </c>
      <c r="F1651" s="118">
        <v>1.71</v>
      </c>
      <c r="G1651" s="118">
        <v>63.127989999999997</v>
      </c>
    </row>
    <row r="1652" spans="2:7" x14ac:dyDescent="0.2">
      <c r="B1652" s="125" t="s">
        <v>2834</v>
      </c>
      <c r="C1652" s="118" t="s">
        <v>2835</v>
      </c>
      <c r="D1652" s="118">
        <v>1.23</v>
      </c>
      <c r="E1652" s="118">
        <v>1.65</v>
      </c>
      <c r="F1652" s="118"/>
      <c r="G1652" s="118">
        <v>0</v>
      </c>
    </row>
    <row r="1653" spans="2:7" x14ac:dyDescent="0.2">
      <c r="B1653" s="125" t="s">
        <v>2836</v>
      </c>
      <c r="C1653" s="118" t="s">
        <v>2837</v>
      </c>
      <c r="D1653" s="118">
        <v>5.43</v>
      </c>
      <c r="E1653" s="118">
        <v>6.81</v>
      </c>
      <c r="F1653" s="118">
        <v>-3.55</v>
      </c>
      <c r="G1653" s="118"/>
    </row>
    <row r="1654" spans="2:7" x14ac:dyDescent="0.2">
      <c r="B1654" s="125" t="s">
        <v>4270</v>
      </c>
      <c r="C1654" s="118" t="s">
        <v>4271</v>
      </c>
      <c r="D1654" s="118"/>
      <c r="E1654" s="118"/>
      <c r="F1654" s="118"/>
      <c r="G1654" s="118"/>
    </row>
    <row r="1655" spans="2:7" x14ac:dyDescent="0.2">
      <c r="B1655" s="125" t="s">
        <v>4272</v>
      </c>
      <c r="C1655" s="118" t="s">
        <v>4273</v>
      </c>
      <c r="D1655" s="118">
        <v>1.3</v>
      </c>
      <c r="E1655" s="118">
        <v>1.37</v>
      </c>
      <c r="F1655" s="118">
        <v>0.22</v>
      </c>
      <c r="G1655" s="118">
        <v>18.152989999999999</v>
      </c>
    </row>
    <row r="1656" spans="2:7" x14ac:dyDescent="0.2">
      <c r="B1656" s="125" t="s">
        <v>2838</v>
      </c>
      <c r="C1656" s="118" t="s">
        <v>2839</v>
      </c>
      <c r="D1656" s="118"/>
      <c r="E1656" s="118"/>
      <c r="F1656" s="118"/>
      <c r="G1656" s="118"/>
    </row>
    <row r="1657" spans="2:7" x14ac:dyDescent="0.2">
      <c r="B1657" s="125" t="s">
        <v>2840</v>
      </c>
      <c r="C1657" s="118" t="s">
        <v>2841</v>
      </c>
      <c r="D1657" s="118">
        <v>3.9</v>
      </c>
      <c r="E1657" s="118">
        <v>6.97</v>
      </c>
      <c r="F1657" s="118">
        <v>0.41</v>
      </c>
      <c r="G1657" s="118">
        <v>27.666989999999998</v>
      </c>
    </row>
    <row r="1658" spans="2:7" x14ac:dyDescent="0.2">
      <c r="B1658" s="125" t="s">
        <v>2842</v>
      </c>
      <c r="C1658" s="118" t="s">
        <v>2843</v>
      </c>
      <c r="D1658" s="118">
        <v>15.35</v>
      </c>
      <c r="E1658" s="118">
        <v>11.44</v>
      </c>
      <c r="F1658" s="118">
        <v>0.05</v>
      </c>
      <c r="G1658" s="118">
        <v>4.7960000000000003</v>
      </c>
    </row>
    <row r="1659" spans="2:7" x14ac:dyDescent="0.2">
      <c r="B1659" s="125" t="s">
        <v>4274</v>
      </c>
      <c r="C1659" s="118" t="s">
        <v>4275</v>
      </c>
      <c r="D1659" s="118"/>
      <c r="E1659" s="118"/>
      <c r="F1659" s="118"/>
      <c r="G1659" s="118"/>
    </row>
    <row r="1660" spans="2:7" x14ac:dyDescent="0.2">
      <c r="B1660" s="125" t="s">
        <v>2844</v>
      </c>
      <c r="C1660" s="118" t="s">
        <v>2845</v>
      </c>
      <c r="D1660" s="118">
        <v>0.59</v>
      </c>
      <c r="E1660" s="118">
        <v>0.8</v>
      </c>
      <c r="F1660" s="118">
        <v>2.29</v>
      </c>
      <c r="G1660" s="118">
        <v>69.58</v>
      </c>
    </row>
    <row r="1661" spans="2:7" x14ac:dyDescent="0.2">
      <c r="B1661" s="125" t="s">
        <v>2846</v>
      </c>
      <c r="C1661" s="118" t="s">
        <v>2847</v>
      </c>
      <c r="D1661" s="118">
        <v>0.96</v>
      </c>
      <c r="E1661" s="118">
        <v>1.38</v>
      </c>
      <c r="F1661" s="118"/>
      <c r="G1661" s="118">
        <v>26.155000000000001</v>
      </c>
    </row>
    <row r="1662" spans="2:7" x14ac:dyDescent="0.2">
      <c r="B1662" s="125" t="s">
        <v>4276</v>
      </c>
      <c r="C1662" s="118" t="s">
        <v>4277</v>
      </c>
      <c r="D1662" s="118"/>
      <c r="E1662" s="118"/>
      <c r="F1662" s="118"/>
      <c r="G1662" s="118"/>
    </row>
    <row r="1663" spans="2:7" x14ac:dyDescent="0.2">
      <c r="B1663" s="125" t="s">
        <v>4278</v>
      </c>
      <c r="C1663" s="118" t="s">
        <v>4279</v>
      </c>
      <c r="D1663" s="118"/>
      <c r="E1663" s="118"/>
      <c r="F1663" s="118"/>
      <c r="G1663" s="118"/>
    </row>
    <row r="1664" spans="2:7" x14ac:dyDescent="0.2">
      <c r="B1664" s="125" t="s">
        <v>4280</v>
      </c>
      <c r="C1664" s="118" t="s">
        <v>4281</v>
      </c>
      <c r="D1664" s="118"/>
      <c r="E1664" s="118">
        <v>1.02</v>
      </c>
      <c r="F1664" s="118">
        <v>0.35</v>
      </c>
      <c r="G1664" s="118">
        <v>25.754989999999999</v>
      </c>
    </row>
    <row r="1665" spans="2:7" x14ac:dyDescent="0.2">
      <c r="B1665" s="125" t="s">
        <v>2848</v>
      </c>
      <c r="C1665" s="118" t="s">
        <v>2849</v>
      </c>
      <c r="D1665" s="118">
        <v>0.61</v>
      </c>
      <c r="E1665" s="118">
        <v>1.23</v>
      </c>
      <c r="F1665" s="118">
        <v>1.9</v>
      </c>
      <c r="G1665" s="118">
        <v>65.561989999999994</v>
      </c>
    </row>
    <row r="1666" spans="2:7" x14ac:dyDescent="0.2">
      <c r="B1666" s="125" t="s">
        <v>2850</v>
      </c>
      <c r="C1666" s="118" t="s">
        <v>2851</v>
      </c>
      <c r="D1666" s="118">
        <v>1.06</v>
      </c>
      <c r="E1666" s="118">
        <v>1.26</v>
      </c>
      <c r="F1666" s="118">
        <v>0.55000000000000004</v>
      </c>
      <c r="G1666" s="118">
        <v>35.5</v>
      </c>
    </row>
    <row r="1667" spans="2:7" x14ac:dyDescent="0.2">
      <c r="B1667" s="125" t="s">
        <v>2852</v>
      </c>
      <c r="C1667" s="118" t="s">
        <v>2853</v>
      </c>
      <c r="D1667" s="118">
        <v>0.31</v>
      </c>
      <c r="E1667" s="118">
        <v>0.32</v>
      </c>
      <c r="F1667" s="118">
        <v>0.27</v>
      </c>
      <c r="G1667" s="118">
        <v>21.1</v>
      </c>
    </row>
    <row r="1668" spans="2:7" x14ac:dyDescent="0.2">
      <c r="B1668" s="125" t="s">
        <v>2854</v>
      </c>
      <c r="C1668" s="118" t="s">
        <v>2855</v>
      </c>
      <c r="D1668" s="118">
        <v>2.91</v>
      </c>
      <c r="E1668" s="118">
        <v>2.52</v>
      </c>
      <c r="F1668" s="118">
        <v>0.24</v>
      </c>
      <c r="G1668" s="118">
        <v>19.12199</v>
      </c>
    </row>
    <row r="1669" spans="2:7" x14ac:dyDescent="0.2">
      <c r="B1669" s="125" t="s">
        <v>2857</v>
      </c>
      <c r="C1669" s="118" t="s">
        <v>2858</v>
      </c>
      <c r="D1669" s="118">
        <v>0.16</v>
      </c>
      <c r="E1669" s="118">
        <v>0.33</v>
      </c>
      <c r="F1669" s="118">
        <v>-16.89</v>
      </c>
      <c r="G1669" s="118">
        <v>97.9</v>
      </c>
    </row>
    <row r="1670" spans="2:7" x14ac:dyDescent="0.2">
      <c r="B1670" s="125" t="s">
        <v>2859</v>
      </c>
      <c r="C1670" s="118" t="s">
        <v>2860</v>
      </c>
      <c r="D1670" s="118">
        <v>1.25</v>
      </c>
      <c r="E1670" s="118">
        <v>2.5</v>
      </c>
      <c r="F1670" s="118">
        <v>2.33</v>
      </c>
      <c r="G1670" s="118">
        <v>69.968000000000004</v>
      </c>
    </row>
    <row r="1671" spans="2:7" x14ac:dyDescent="0.2">
      <c r="B1671" s="125" t="s">
        <v>2861</v>
      </c>
      <c r="C1671" s="118" t="s">
        <v>2862</v>
      </c>
      <c r="D1671" s="118">
        <v>0.65</v>
      </c>
      <c r="E1671" s="118">
        <v>0.71</v>
      </c>
      <c r="F1671" s="118">
        <v>0.12</v>
      </c>
      <c r="G1671" s="118">
        <v>10.885</v>
      </c>
    </row>
    <row r="1672" spans="2:7" x14ac:dyDescent="0.2">
      <c r="B1672" s="125" t="s">
        <v>2863</v>
      </c>
      <c r="C1672" s="118" t="s">
        <v>2864</v>
      </c>
      <c r="D1672" s="118">
        <v>0.57999999999999996</v>
      </c>
      <c r="E1672" s="118">
        <v>0.86</v>
      </c>
      <c r="F1672" s="118">
        <v>-3.29</v>
      </c>
      <c r="G1672" s="118"/>
    </row>
    <row r="1673" spans="2:7" x14ac:dyDescent="0.2">
      <c r="B1673" s="125" t="s">
        <v>2867</v>
      </c>
      <c r="C1673" s="118" t="s">
        <v>2868</v>
      </c>
      <c r="D1673" s="118">
        <v>0.31</v>
      </c>
      <c r="E1673" s="118">
        <v>0.7</v>
      </c>
      <c r="F1673" s="118">
        <v>0.6</v>
      </c>
      <c r="G1673" s="118">
        <v>37.469000000000001</v>
      </c>
    </row>
    <row r="1674" spans="2:7" x14ac:dyDescent="0.2">
      <c r="B1674" s="125" t="s">
        <v>4282</v>
      </c>
      <c r="C1674" s="118" t="s">
        <v>4283</v>
      </c>
      <c r="D1674" s="118"/>
      <c r="E1674" s="118"/>
      <c r="F1674" s="118"/>
      <c r="G1674" s="118"/>
    </row>
    <row r="1675" spans="2:7" x14ac:dyDescent="0.2">
      <c r="B1675" s="125" t="s">
        <v>4284</v>
      </c>
      <c r="C1675" s="118" t="s">
        <v>4285</v>
      </c>
      <c r="D1675" s="118"/>
      <c r="E1675" s="118">
        <v>0.76</v>
      </c>
      <c r="F1675" s="118"/>
      <c r="G1675" s="118">
        <v>39.412990000000001</v>
      </c>
    </row>
    <row r="1676" spans="2:7" x14ac:dyDescent="0.2">
      <c r="B1676" s="125" t="s">
        <v>2869</v>
      </c>
      <c r="C1676" s="118" t="s">
        <v>2870</v>
      </c>
      <c r="D1676" s="118">
        <v>1.41</v>
      </c>
      <c r="E1676" s="118">
        <v>2.09</v>
      </c>
      <c r="F1676" s="118">
        <v>0.5</v>
      </c>
      <c r="G1676" s="118">
        <v>33.174990000000001</v>
      </c>
    </row>
    <row r="1677" spans="2:7" x14ac:dyDescent="0.2">
      <c r="B1677" s="125" t="s">
        <v>4286</v>
      </c>
      <c r="C1677" s="118" t="s">
        <v>4287</v>
      </c>
      <c r="D1677" s="118">
        <v>0.63</v>
      </c>
      <c r="E1677" s="118">
        <v>2.11</v>
      </c>
      <c r="F1677" s="118"/>
      <c r="G1677" s="118">
        <v>24.481000000000002</v>
      </c>
    </row>
    <row r="1678" spans="2:7" x14ac:dyDescent="0.2">
      <c r="B1678" s="125" t="s">
        <v>2871</v>
      </c>
      <c r="C1678" s="118" t="s">
        <v>2872</v>
      </c>
      <c r="D1678" s="118">
        <v>1.1200000000000001</v>
      </c>
      <c r="E1678" s="118">
        <v>1.05</v>
      </c>
      <c r="F1678" s="118"/>
      <c r="G1678" s="118">
        <v>28.270990000000001</v>
      </c>
    </row>
    <row r="1679" spans="2:7" x14ac:dyDescent="0.2">
      <c r="B1679" s="125" t="s">
        <v>2873</v>
      </c>
      <c r="C1679" s="118" t="s">
        <v>2874</v>
      </c>
      <c r="D1679" s="118">
        <v>1.89</v>
      </c>
      <c r="E1679" s="118">
        <v>2.5099999999999998</v>
      </c>
      <c r="F1679" s="118">
        <v>0.43</v>
      </c>
      <c r="G1679" s="118">
        <v>30.175999999999998</v>
      </c>
    </row>
    <row r="1680" spans="2:7" x14ac:dyDescent="0.2">
      <c r="B1680" s="125" t="s">
        <v>2875</v>
      </c>
      <c r="C1680" s="118" t="s">
        <v>2876</v>
      </c>
      <c r="D1680" s="118">
        <v>0.97</v>
      </c>
      <c r="E1680" s="118">
        <v>0.84</v>
      </c>
      <c r="F1680" s="118">
        <v>1.45</v>
      </c>
      <c r="G1680" s="118">
        <v>59.255000000000003</v>
      </c>
    </row>
    <row r="1681" spans="2:7" x14ac:dyDescent="0.2">
      <c r="B1681" s="125" t="s">
        <v>2877</v>
      </c>
      <c r="C1681" s="118" t="s">
        <v>2878</v>
      </c>
      <c r="D1681" s="118">
        <v>5.19</v>
      </c>
      <c r="E1681" s="118">
        <v>6.47</v>
      </c>
      <c r="F1681" s="118">
        <v>0.34</v>
      </c>
      <c r="G1681" s="118">
        <v>25.58399</v>
      </c>
    </row>
    <row r="1682" spans="2:7" x14ac:dyDescent="0.2">
      <c r="B1682" s="125" t="s">
        <v>2879</v>
      </c>
      <c r="C1682" s="118" t="s">
        <v>2880</v>
      </c>
      <c r="D1682" s="118">
        <v>0.87</v>
      </c>
      <c r="E1682" s="118">
        <v>1.39</v>
      </c>
      <c r="F1682" s="118">
        <v>0.47</v>
      </c>
      <c r="G1682" s="118">
        <v>31.882989999999999</v>
      </c>
    </row>
    <row r="1683" spans="2:7" x14ac:dyDescent="0.2">
      <c r="B1683" s="125" t="s">
        <v>2881</v>
      </c>
      <c r="C1683" s="118" t="s">
        <v>2882</v>
      </c>
      <c r="D1683" s="118"/>
      <c r="E1683" s="118"/>
      <c r="F1683" s="118">
        <v>0.18</v>
      </c>
      <c r="G1683" s="118">
        <v>14.229990000000001</v>
      </c>
    </row>
    <row r="1684" spans="2:7" x14ac:dyDescent="0.2">
      <c r="B1684" s="125" t="s">
        <v>2883</v>
      </c>
      <c r="C1684" s="118" t="s">
        <v>2884</v>
      </c>
      <c r="D1684" s="118">
        <v>6.63</v>
      </c>
      <c r="E1684" s="118">
        <v>1.1100000000000001</v>
      </c>
      <c r="F1684" s="118">
        <v>0.09</v>
      </c>
      <c r="G1684" s="118">
        <v>8.2782999999999998</v>
      </c>
    </row>
    <row r="1685" spans="2:7" x14ac:dyDescent="0.2">
      <c r="B1685" s="125" t="s">
        <v>2885</v>
      </c>
      <c r="C1685" s="118" t="s">
        <v>2886</v>
      </c>
      <c r="D1685" s="118">
        <v>2.0499999999999998</v>
      </c>
      <c r="E1685" s="118">
        <v>1.91</v>
      </c>
      <c r="F1685" s="118">
        <v>1.01</v>
      </c>
      <c r="G1685" s="118">
        <v>48.26399</v>
      </c>
    </row>
    <row r="1686" spans="2:7" x14ac:dyDescent="0.2">
      <c r="B1686" s="125" t="s">
        <v>2887</v>
      </c>
      <c r="C1686" s="118" t="s">
        <v>2888</v>
      </c>
      <c r="D1686" s="118">
        <v>0.61</v>
      </c>
      <c r="E1686" s="118">
        <v>0.98</v>
      </c>
      <c r="F1686" s="118">
        <v>1.96</v>
      </c>
      <c r="G1686" s="118">
        <v>66.239990000000006</v>
      </c>
    </row>
    <row r="1687" spans="2:7" x14ac:dyDescent="0.2">
      <c r="B1687" s="125" t="s">
        <v>2889</v>
      </c>
      <c r="C1687" s="118" t="s">
        <v>2890</v>
      </c>
      <c r="D1687" s="118">
        <v>1.38</v>
      </c>
      <c r="E1687" s="118">
        <v>1.37</v>
      </c>
      <c r="F1687" s="118">
        <v>1.8</v>
      </c>
      <c r="G1687" s="118">
        <v>61.088999999999999</v>
      </c>
    </row>
    <row r="1688" spans="2:7" x14ac:dyDescent="0.2">
      <c r="B1688" s="125" t="s">
        <v>4288</v>
      </c>
      <c r="C1688" s="118" t="s">
        <v>4289</v>
      </c>
      <c r="D1688" s="118"/>
      <c r="E1688" s="118"/>
      <c r="F1688" s="118"/>
      <c r="G1688" s="118"/>
    </row>
    <row r="1689" spans="2:7" x14ac:dyDescent="0.2">
      <c r="B1689" s="125" t="s">
        <v>2891</v>
      </c>
      <c r="C1689" s="118" t="s">
        <v>2892</v>
      </c>
      <c r="D1689" s="118">
        <v>1.81</v>
      </c>
      <c r="E1689" s="118">
        <v>3.5</v>
      </c>
      <c r="F1689" s="118">
        <v>0.08</v>
      </c>
      <c r="G1689" s="118">
        <v>7.77379</v>
      </c>
    </row>
    <row r="1690" spans="2:7" x14ac:dyDescent="0.2">
      <c r="B1690" s="125" t="s">
        <v>2893</v>
      </c>
      <c r="C1690" s="118" t="s">
        <v>2894</v>
      </c>
      <c r="D1690" s="118">
        <v>6.27</v>
      </c>
      <c r="E1690" s="118">
        <v>8.15</v>
      </c>
      <c r="F1690" s="118">
        <v>0.01</v>
      </c>
      <c r="G1690" s="118">
        <v>0.60126000000000002</v>
      </c>
    </row>
    <row r="1691" spans="2:7" x14ac:dyDescent="0.2">
      <c r="B1691" s="125" t="s">
        <v>2895</v>
      </c>
      <c r="C1691" s="118" t="s">
        <v>2896</v>
      </c>
      <c r="D1691" s="118">
        <v>1.1100000000000001</v>
      </c>
      <c r="E1691" s="118">
        <v>1.06</v>
      </c>
      <c r="F1691" s="118">
        <v>1.98</v>
      </c>
      <c r="G1691" s="118">
        <v>66.481999999999999</v>
      </c>
    </row>
    <row r="1692" spans="2:7" x14ac:dyDescent="0.2">
      <c r="B1692" s="125" t="s">
        <v>2897</v>
      </c>
      <c r="C1692" s="118" t="s">
        <v>2898</v>
      </c>
      <c r="D1692" s="118">
        <v>0.99</v>
      </c>
      <c r="E1692" s="118">
        <v>1.39</v>
      </c>
      <c r="F1692" s="118"/>
      <c r="G1692" s="118">
        <v>53.848990000000001</v>
      </c>
    </row>
    <row r="1693" spans="2:7" x14ac:dyDescent="0.2">
      <c r="B1693" s="125" t="s">
        <v>2899</v>
      </c>
      <c r="C1693" s="118" t="s">
        <v>2900</v>
      </c>
      <c r="D1693" s="118">
        <v>0.66</v>
      </c>
      <c r="E1693" s="118">
        <v>1.45</v>
      </c>
      <c r="F1693" s="118">
        <v>1.94</v>
      </c>
      <c r="G1693" s="118">
        <v>66.007000000000005</v>
      </c>
    </row>
    <row r="1694" spans="2:7" x14ac:dyDescent="0.2">
      <c r="B1694" s="125" t="s">
        <v>4290</v>
      </c>
      <c r="C1694" s="118" t="s">
        <v>4291</v>
      </c>
      <c r="D1694" s="118">
        <v>1.08</v>
      </c>
      <c r="E1694" s="118">
        <v>1.37</v>
      </c>
      <c r="F1694" s="118"/>
      <c r="G1694" s="118">
        <v>57.20299</v>
      </c>
    </row>
    <row r="1695" spans="2:7" x14ac:dyDescent="0.2">
      <c r="B1695" s="125" t="s">
        <v>2901</v>
      </c>
      <c r="C1695" s="118" t="s">
        <v>2902</v>
      </c>
      <c r="D1695" s="118"/>
      <c r="E1695" s="118">
        <v>2.36</v>
      </c>
      <c r="F1695" s="118"/>
      <c r="G1695" s="118">
        <v>39.226999999999997</v>
      </c>
    </row>
    <row r="1696" spans="2:7" x14ac:dyDescent="0.2">
      <c r="B1696" s="125" t="s">
        <v>2903</v>
      </c>
      <c r="C1696" s="118" t="s">
        <v>2904</v>
      </c>
      <c r="D1696" s="118">
        <v>1.94</v>
      </c>
      <c r="E1696" s="118">
        <v>2.0299999999999998</v>
      </c>
      <c r="F1696" s="118">
        <v>0.28000000000000003</v>
      </c>
      <c r="G1696" s="118">
        <v>21.63599</v>
      </c>
    </row>
    <row r="1697" spans="2:7" x14ac:dyDescent="0.2">
      <c r="B1697" s="125" t="s">
        <v>4292</v>
      </c>
      <c r="C1697" s="118" t="s">
        <v>4293</v>
      </c>
      <c r="D1697" s="118"/>
      <c r="E1697" s="118"/>
      <c r="F1697" s="118"/>
      <c r="G1697" s="118"/>
    </row>
    <row r="1698" spans="2:7" x14ac:dyDescent="0.2">
      <c r="B1698" s="125" t="s">
        <v>4294</v>
      </c>
      <c r="C1698" s="118" t="s">
        <v>4295</v>
      </c>
      <c r="D1698" s="118"/>
      <c r="E1698" s="118"/>
      <c r="F1698" s="118"/>
      <c r="G1698" s="118"/>
    </row>
    <row r="1699" spans="2:7" x14ac:dyDescent="0.2">
      <c r="B1699" s="125" t="s">
        <v>2905</v>
      </c>
      <c r="C1699" s="118" t="s">
        <v>2906</v>
      </c>
      <c r="D1699" s="118">
        <v>3.25</v>
      </c>
      <c r="E1699" s="118">
        <v>4.0999999999999996</v>
      </c>
      <c r="F1699" s="118">
        <v>0.27</v>
      </c>
      <c r="G1699" s="118">
        <v>21.035990000000002</v>
      </c>
    </row>
    <row r="1700" spans="2:7" x14ac:dyDescent="0.2">
      <c r="B1700" s="125" t="s">
        <v>2907</v>
      </c>
      <c r="C1700" s="118" t="s">
        <v>2908</v>
      </c>
      <c r="D1700" s="118">
        <v>1.62</v>
      </c>
      <c r="E1700" s="118">
        <v>2.48</v>
      </c>
      <c r="F1700" s="118">
        <v>0.3</v>
      </c>
      <c r="G1700" s="118">
        <v>22.914999999999999</v>
      </c>
    </row>
    <row r="1701" spans="2:7" x14ac:dyDescent="0.2">
      <c r="B1701" s="125" t="s">
        <v>2910</v>
      </c>
      <c r="C1701" s="118" t="s">
        <v>2911</v>
      </c>
      <c r="D1701" s="118">
        <v>5.73</v>
      </c>
      <c r="E1701" s="118">
        <v>4.53</v>
      </c>
      <c r="F1701" s="118">
        <v>0.15</v>
      </c>
      <c r="G1701" s="118">
        <v>12.83399</v>
      </c>
    </row>
    <row r="1702" spans="2:7" x14ac:dyDescent="0.2">
      <c r="B1702" s="125" t="s">
        <v>2912</v>
      </c>
      <c r="C1702" s="118" t="s">
        <v>2913</v>
      </c>
      <c r="D1702" s="118">
        <v>2.42</v>
      </c>
      <c r="E1702" s="118">
        <v>1.98</v>
      </c>
      <c r="F1702" s="118">
        <v>0.15</v>
      </c>
      <c r="G1702" s="118">
        <v>13.273999999999999</v>
      </c>
    </row>
    <row r="1703" spans="2:7" x14ac:dyDescent="0.2">
      <c r="B1703" s="125" t="s">
        <v>2914</v>
      </c>
      <c r="C1703" s="118" t="s">
        <v>2915</v>
      </c>
      <c r="D1703" s="118">
        <v>0.76</v>
      </c>
      <c r="E1703" s="118">
        <v>0.83</v>
      </c>
      <c r="F1703" s="118">
        <v>0.17</v>
      </c>
      <c r="G1703" s="118">
        <v>14.899990000000001</v>
      </c>
    </row>
    <row r="1704" spans="2:7" x14ac:dyDescent="0.2">
      <c r="B1704" s="125" t="s">
        <v>4296</v>
      </c>
      <c r="C1704" s="118" t="s">
        <v>4297</v>
      </c>
      <c r="D1704" s="118"/>
      <c r="E1704" s="118"/>
      <c r="F1704" s="118"/>
      <c r="G1704" s="118"/>
    </row>
    <row r="1705" spans="2:7" x14ac:dyDescent="0.2">
      <c r="B1705" s="125" t="s">
        <v>2916</v>
      </c>
      <c r="C1705" s="118" t="s">
        <v>2917</v>
      </c>
      <c r="D1705" s="118">
        <v>1.1499999999999999</v>
      </c>
      <c r="E1705" s="118">
        <v>2</v>
      </c>
      <c r="F1705" s="118">
        <v>0.4</v>
      </c>
      <c r="G1705" s="118">
        <v>28.562989999999999</v>
      </c>
    </row>
    <row r="1706" spans="2:7" x14ac:dyDescent="0.2">
      <c r="B1706" s="125" t="s">
        <v>2918</v>
      </c>
      <c r="C1706" s="118" t="s">
        <v>2919</v>
      </c>
      <c r="D1706" s="118">
        <v>0.56999999999999995</v>
      </c>
      <c r="E1706" s="118">
        <v>0.9</v>
      </c>
      <c r="F1706" s="118">
        <v>0.31</v>
      </c>
      <c r="G1706" s="118">
        <v>23.895990000000001</v>
      </c>
    </row>
    <row r="1707" spans="2:7" x14ac:dyDescent="0.2">
      <c r="B1707" s="125" t="s">
        <v>2920</v>
      </c>
      <c r="C1707" s="118" t="s">
        <v>2921</v>
      </c>
      <c r="D1707" s="118">
        <v>0.68</v>
      </c>
      <c r="E1707" s="118">
        <v>0.99</v>
      </c>
      <c r="F1707" s="118">
        <v>0.03</v>
      </c>
      <c r="G1707" s="118">
        <v>3.08209</v>
      </c>
    </row>
    <row r="1708" spans="2:7" x14ac:dyDescent="0.2">
      <c r="B1708" s="125" t="s">
        <v>2922</v>
      </c>
      <c r="C1708" s="118" t="s">
        <v>2923</v>
      </c>
      <c r="D1708" s="118"/>
      <c r="E1708" s="118"/>
      <c r="F1708" s="118"/>
      <c r="G1708" s="118"/>
    </row>
    <row r="1709" spans="2:7" x14ac:dyDescent="0.2">
      <c r="B1709" s="125" t="s">
        <v>2924</v>
      </c>
      <c r="C1709" s="118" t="s">
        <v>2925</v>
      </c>
      <c r="D1709" s="118">
        <v>0.97</v>
      </c>
      <c r="E1709" s="118">
        <v>0.94</v>
      </c>
      <c r="F1709" s="118">
        <v>0.51</v>
      </c>
      <c r="G1709" s="118">
        <v>32.664000000000001</v>
      </c>
    </row>
    <row r="1710" spans="2:7" x14ac:dyDescent="0.2">
      <c r="B1710" s="125" t="s">
        <v>2926</v>
      </c>
      <c r="C1710" s="118" t="s">
        <v>2927</v>
      </c>
      <c r="D1710" s="118">
        <v>0.94</v>
      </c>
      <c r="E1710" s="118">
        <v>1.57</v>
      </c>
      <c r="F1710" s="118"/>
      <c r="G1710" s="118">
        <v>44.119990000000001</v>
      </c>
    </row>
    <row r="1711" spans="2:7" x14ac:dyDescent="0.2">
      <c r="B1711" s="125" t="s">
        <v>2928</v>
      </c>
      <c r="C1711" s="118" t="s">
        <v>2929</v>
      </c>
      <c r="D1711" s="118">
        <v>0.98</v>
      </c>
      <c r="E1711" s="118">
        <v>1.32</v>
      </c>
      <c r="F1711" s="118">
        <v>0.39</v>
      </c>
      <c r="G1711" s="118">
        <v>28.059989999999999</v>
      </c>
    </row>
    <row r="1712" spans="2:7" x14ac:dyDescent="0.2">
      <c r="B1712" s="125" t="s">
        <v>4298</v>
      </c>
      <c r="C1712" s="118" t="s">
        <v>4299</v>
      </c>
      <c r="D1712" s="118"/>
      <c r="E1712" s="118"/>
      <c r="F1712" s="118"/>
      <c r="G1712" s="118"/>
    </row>
    <row r="1713" spans="2:7" x14ac:dyDescent="0.2">
      <c r="B1713" s="125" t="s">
        <v>2930</v>
      </c>
      <c r="C1713" s="118" t="s">
        <v>2931</v>
      </c>
      <c r="D1713" s="118">
        <v>0.54</v>
      </c>
      <c r="E1713" s="118">
        <v>0.76</v>
      </c>
      <c r="F1713" s="118">
        <v>1.33</v>
      </c>
      <c r="G1713" s="118">
        <v>56.840989999999998</v>
      </c>
    </row>
    <row r="1714" spans="2:7" x14ac:dyDescent="0.2">
      <c r="B1714" s="125" t="s">
        <v>4300</v>
      </c>
      <c r="C1714" s="118" t="s">
        <v>4301</v>
      </c>
      <c r="D1714" s="118"/>
      <c r="E1714" s="118"/>
      <c r="F1714" s="118"/>
      <c r="G1714" s="118"/>
    </row>
    <row r="1715" spans="2:7" x14ac:dyDescent="0.2">
      <c r="B1715" s="125" t="s">
        <v>2932</v>
      </c>
      <c r="C1715" s="118" t="s">
        <v>2933</v>
      </c>
      <c r="D1715" s="118"/>
      <c r="E1715" s="118"/>
      <c r="F1715" s="118"/>
      <c r="G1715" s="118"/>
    </row>
    <row r="1716" spans="2:7" x14ac:dyDescent="0.2">
      <c r="B1716" s="125" t="s">
        <v>2934</v>
      </c>
      <c r="C1716" s="118" t="s">
        <v>2935</v>
      </c>
      <c r="D1716" s="118"/>
      <c r="E1716" s="118"/>
      <c r="F1716" s="118"/>
      <c r="G1716" s="118"/>
    </row>
    <row r="1717" spans="2:7" x14ac:dyDescent="0.2">
      <c r="B1717" s="125" t="s">
        <v>2936</v>
      </c>
      <c r="C1717" s="118" t="s">
        <v>2937</v>
      </c>
      <c r="D1717" s="118">
        <v>0.95</v>
      </c>
      <c r="E1717" s="118">
        <v>1.24</v>
      </c>
      <c r="F1717" s="118">
        <v>0.64</v>
      </c>
      <c r="G1717" s="118">
        <v>39.058990000000001</v>
      </c>
    </row>
    <row r="1718" spans="2:7" x14ac:dyDescent="0.2">
      <c r="B1718" s="125" t="s">
        <v>2938</v>
      </c>
      <c r="C1718" s="118" t="s">
        <v>2939</v>
      </c>
      <c r="D1718" s="118">
        <v>1</v>
      </c>
      <c r="E1718" s="118">
        <v>1.27</v>
      </c>
      <c r="F1718" s="118"/>
      <c r="G1718" s="118">
        <v>13.555</v>
      </c>
    </row>
    <row r="1719" spans="2:7" x14ac:dyDescent="0.2">
      <c r="B1719" s="125" t="s">
        <v>2940</v>
      </c>
      <c r="C1719" s="118" t="s">
        <v>2941</v>
      </c>
      <c r="D1719" s="118"/>
      <c r="E1719" s="118"/>
      <c r="F1719" s="118"/>
      <c r="G1719" s="118"/>
    </row>
    <row r="1720" spans="2:7" x14ac:dyDescent="0.2">
      <c r="B1720" s="125" t="s">
        <v>2942</v>
      </c>
      <c r="C1720" s="118" t="s">
        <v>2943</v>
      </c>
      <c r="D1720" s="118">
        <v>0.97</v>
      </c>
      <c r="E1720" s="118">
        <v>0.99</v>
      </c>
      <c r="F1720" s="118">
        <v>7.02</v>
      </c>
      <c r="G1720" s="118">
        <v>87.504990000000006</v>
      </c>
    </row>
    <row r="1721" spans="2:7" x14ac:dyDescent="0.2">
      <c r="B1721" s="125" t="s">
        <v>2944</v>
      </c>
      <c r="C1721" s="118" t="s">
        <v>2945</v>
      </c>
      <c r="D1721" s="118">
        <v>1.37</v>
      </c>
      <c r="E1721" s="118">
        <v>1.37</v>
      </c>
      <c r="F1721" s="118">
        <v>7.52</v>
      </c>
      <c r="G1721" s="118">
        <v>91.549000000000007</v>
      </c>
    </row>
    <row r="1722" spans="2:7" x14ac:dyDescent="0.2">
      <c r="B1722" s="125" t="s">
        <v>4302</v>
      </c>
      <c r="C1722" s="118" t="s">
        <v>4303</v>
      </c>
      <c r="D1722" s="118">
        <v>0.86</v>
      </c>
      <c r="E1722" s="118">
        <v>0.97</v>
      </c>
      <c r="F1722" s="118">
        <v>0.97</v>
      </c>
      <c r="G1722" s="118">
        <v>49.237990000000003</v>
      </c>
    </row>
    <row r="1723" spans="2:7" x14ac:dyDescent="0.2">
      <c r="B1723" s="125" t="s">
        <v>2946</v>
      </c>
      <c r="C1723" s="118" t="s">
        <v>2947</v>
      </c>
      <c r="D1723" s="118">
        <v>3.23</v>
      </c>
      <c r="E1723" s="118">
        <v>3.06</v>
      </c>
      <c r="F1723" s="118">
        <v>1.3</v>
      </c>
      <c r="G1723" s="118">
        <v>56.535989999999998</v>
      </c>
    </row>
    <row r="1724" spans="2:7" x14ac:dyDescent="0.2">
      <c r="B1724" s="125" t="s">
        <v>2948</v>
      </c>
      <c r="C1724" s="118" t="s">
        <v>2949</v>
      </c>
      <c r="D1724" s="118">
        <v>1.05</v>
      </c>
      <c r="E1724" s="118">
        <v>0.76</v>
      </c>
      <c r="F1724" s="118">
        <v>0.27</v>
      </c>
      <c r="G1724" s="118">
        <v>20.998999999999999</v>
      </c>
    </row>
    <row r="1725" spans="2:7" x14ac:dyDescent="0.2">
      <c r="B1725" s="125" t="s">
        <v>2950</v>
      </c>
      <c r="C1725" s="118" t="s">
        <v>2951</v>
      </c>
      <c r="D1725" s="118">
        <v>1.1599999999999999</v>
      </c>
      <c r="E1725" s="118">
        <v>1.96</v>
      </c>
      <c r="F1725" s="118">
        <v>1.47</v>
      </c>
      <c r="G1725" s="118">
        <v>59.503999999999998</v>
      </c>
    </row>
    <row r="1726" spans="2:7" x14ac:dyDescent="0.2">
      <c r="B1726" s="125" t="s">
        <v>2952</v>
      </c>
      <c r="C1726" s="118" t="s">
        <v>2953</v>
      </c>
      <c r="D1726" s="118"/>
      <c r="E1726" s="118"/>
      <c r="F1726" s="118"/>
      <c r="G1726" s="118"/>
    </row>
    <row r="1727" spans="2:7" x14ac:dyDescent="0.2">
      <c r="B1727" s="125" t="s">
        <v>4304</v>
      </c>
      <c r="C1727" s="118" t="s">
        <v>4305</v>
      </c>
      <c r="D1727" s="118"/>
      <c r="E1727" s="118"/>
      <c r="F1727" s="118"/>
      <c r="G1727" s="118"/>
    </row>
    <row r="1728" spans="2:7" x14ac:dyDescent="0.2">
      <c r="B1728" s="125" t="s">
        <v>2954</v>
      </c>
      <c r="C1728" s="118" t="s">
        <v>2955</v>
      </c>
      <c r="D1728" s="118">
        <v>2.0699999999999998</v>
      </c>
      <c r="E1728" s="118">
        <v>1.49</v>
      </c>
      <c r="F1728" s="118">
        <v>0.87</v>
      </c>
      <c r="G1728" s="118">
        <v>46.421999999999997</v>
      </c>
    </row>
    <row r="1729" spans="2:7" x14ac:dyDescent="0.2">
      <c r="B1729" s="125" t="s">
        <v>2956</v>
      </c>
      <c r="C1729" s="118" t="s">
        <v>2957</v>
      </c>
      <c r="D1729" s="118">
        <v>2.67</v>
      </c>
      <c r="E1729" s="118">
        <v>2.8</v>
      </c>
      <c r="F1729" s="118">
        <v>0.63</v>
      </c>
      <c r="G1729" s="118">
        <v>38.463000000000001</v>
      </c>
    </row>
    <row r="1730" spans="2:7" x14ac:dyDescent="0.2">
      <c r="B1730" s="125" t="s">
        <v>2958</v>
      </c>
      <c r="C1730" s="118" t="s">
        <v>2959</v>
      </c>
      <c r="D1730" s="118">
        <v>3.42</v>
      </c>
      <c r="E1730" s="118">
        <v>3.8</v>
      </c>
      <c r="F1730" s="118">
        <v>0</v>
      </c>
      <c r="G1730" s="118">
        <v>0</v>
      </c>
    </row>
    <row r="1731" spans="2:7" x14ac:dyDescent="0.2">
      <c r="B1731" s="125" t="s">
        <v>2961</v>
      </c>
      <c r="C1731" s="118" t="s">
        <v>2962</v>
      </c>
      <c r="D1731" s="118">
        <v>0.34</v>
      </c>
      <c r="E1731" s="118">
        <v>0.53</v>
      </c>
      <c r="F1731" s="118">
        <v>0.86</v>
      </c>
      <c r="G1731" s="118">
        <v>43.874000000000002</v>
      </c>
    </row>
    <row r="1732" spans="2:7" x14ac:dyDescent="0.2">
      <c r="B1732" s="125" t="s">
        <v>2963</v>
      </c>
      <c r="C1732" s="118" t="s">
        <v>2964</v>
      </c>
      <c r="D1732" s="118">
        <v>0.51</v>
      </c>
      <c r="E1732" s="118">
        <v>0.36</v>
      </c>
      <c r="F1732" s="118">
        <v>0.77</v>
      </c>
      <c r="G1732" s="118">
        <v>42.054000000000002</v>
      </c>
    </row>
    <row r="1733" spans="2:7" x14ac:dyDescent="0.2">
      <c r="B1733" s="125" t="s">
        <v>2965</v>
      </c>
      <c r="C1733" s="118" t="s">
        <v>2966</v>
      </c>
      <c r="D1733" s="118">
        <v>1.02</v>
      </c>
      <c r="E1733" s="118">
        <v>1.04</v>
      </c>
      <c r="F1733" s="118">
        <v>1.18</v>
      </c>
      <c r="G1733" s="118">
        <v>54.054000000000002</v>
      </c>
    </row>
    <row r="1734" spans="2:7" x14ac:dyDescent="0.2">
      <c r="B1734" s="125" t="s">
        <v>2967</v>
      </c>
      <c r="C1734" s="118" t="s">
        <v>2968</v>
      </c>
      <c r="D1734" s="118">
        <v>0.45</v>
      </c>
      <c r="E1734" s="118">
        <v>0.34</v>
      </c>
      <c r="F1734" s="118">
        <v>1.24</v>
      </c>
      <c r="G1734" s="118">
        <v>52.171999999999997</v>
      </c>
    </row>
    <row r="1735" spans="2:7" x14ac:dyDescent="0.2">
      <c r="B1735" s="125" t="s">
        <v>2969</v>
      </c>
      <c r="C1735" s="118" t="s">
        <v>2970</v>
      </c>
      <c r="D1735" s="118">
        <v>7.49</v>
      </c>
      <c r="E1735" s="118">
        <v>8.81</v>
      </c>
      <c r="F1735" s="118">
        <v>0.44</v>
      </c>
      <c r="G1735" s="118">
        <v>30.451000000000001</v>
      </c>
    </row>
    <row r="1736" spans="2:7" x14ac:dyDescent="0.2">
      <c r="B1736" s="125" t="s">
        <v>2971</v>
      </c>
      <c r="C1736" s="118" t="s">
        <v>2972</v>
      </c>
      <c r="D1736" s="118">
        <v>2.13</v>
      </c>
      <c r="E1736" s="118">
        <v>3.9</v>
      </c>
      <c r="F1736" s="118">
        <v>0.03</v>
      </c>
      <c r="G1736" s="118">
        <v>3.1412900000000001</v>
      </c>
    </row>
    <row r="1737" spans="2:7" x14ac:dyDescent="0.2">
      <c r="B1737" s="125" t="s">
        <v>2973</v>
      </c>
      <c r="C1737" s="118" t="s">
        <v>2974</v>
      </c>
      <c r="D1737" s="118">
        <v>1.07</v>
      </c>
      <c r="E1737" s="118">
        <v>1.37</v>
      </c>
      <c r="F1737" s="118"/>
      <c r="G1737" s="118">
        <v>13.177</v>
      </c>
    </row>
    <row r="1738" spans="2:7" x14ac:dyDescent="0.2">
      <c r="B1738" s="125" t="s">
        <v>2975</v>
      </c>
      <c r="C1738" s="118" t="s">
        <v>2976</v>
      </c>
      <c r="D1738" s="118">
        <v>1</v>
      </c>
      <c r="E1738" s="118">
        <v>1.03</v>
      </c>
      <c r="F1738" s="118"/>
      <c r="G1738" s="118">
        <v>59.603999999999999</v>
      </c>
    </row>
    <row r="1739" spans="2:7" x14ac:dyDescent="0.2">
      <c r="B1739" s="125" t="s">
        <v>2977</v>
      </c>
      <c r="C1739" s="118" t="s">
        <v>2978</v>
      </c>
      <c r="D1739" s="118"/>
      <c r="E1739" s="118">
        <v>1.57</v>
      </c>
      <c r="F1739" s="118"/>
      <c r="G1739" s="118">
        <v>33.353999999999999</v>
      </c>
    </row>
    <row r="1740" spans="2:7" x14ac:dyDescent="0.2">
      <c r="B1740" s="125" t="s">
        <v>4306</v>
      </c>
      <c r="C1740" s="118" t="s">
        <v>4307</v>
      </c>
      <c r="D1740" s="118">
        <v>2.1800000000000002</v>
      </c>
      <c r="E1740" s="118">
        <v>2.74</v>
      </c>
      <c r="F1740" s="118"/>
      <c r="G1740" s="118">
        <v>0.15625</v>
      </c>
    </row>
    <row r="1741" spans="2:7" x14ac:dyDescent="0.2">
      <c r="B1741" s="125" t="s">
        <v>2979</v>
      </c>
      <c r="C1741" s="118" t="s">
        <v>2980</v>
      </c>
      <c r="D1741" s="118">
        <v>1.07</v>
      </c>
      <c r="E1741" s="118">
        <v>1.0900000000000001</v>
      </c>
      <c r="F1741" s="118">
        <v>1.68</v>
      </c>
      <c r="G1741" s="118">
        <v>62.633989999999997</v>
      </c>
    </row>
    <row r="1742" spans="2:7" x14ac:dyDescent="0.2">
      <c r="B1742" s="125" t="s">
        <v>4308</v>
      </c>
      <c r="C1742" s="118" t="s">
        <v>4309</v>
      </c>
      <c r="D1742" s="118"/>
      <c r="E1742" s="118"/>
      <c r="F1742" s="118"/>
      <c r="G1742" s="118"/>
    </row>
    <row r="1743" spans="2:7" x14ac:dyDescent="0.2">
      <c r="B1743" s="125" t="s">
        <v>2981</v>
      </c>
      <c r="C1743" s="118" t="s">
        <v>2982</v>
      </c>
      <c r="D1743" s="118">
        <v>0.25</v>
      </c>
      <c r="E1743" s="118">
        <v>0.25</v>
      </c>
      <c r="F1743" s="118"/>
      <c r="G1743" s="118">
        <v>22.83699</v>
      </c>
    </row>
    <row r="1744" spans="2:7" x14ac:dyDescent="0.2">
      <c r="B1744" s="125" t="s">
        <v>4310</v>
      </c>
      <c r="C1744" s="118" t="s">
        <v>4311</v>
      </c>
      <c r="D1744" s="118">
        <v>1.1499999999999999</v>
      </c>
      <c r="E1744" s="118">
        <v>1.53</v>
      </c>
      <c r="F1744" s="118">
        <v>1.02</v>
      </c>
      <c r="G1744" s="118">
        <v>50.470999999999997</v>
      </c>
    </row>
    <row r="1745" spans="2:7" x14ac:dyDescent="0.2">
      <c r="B1745" s="125" t="s">
        <v>2983</v>
      </c>
      <c r="C1745" s="118" t="s">
        <v>2984</v>
      </c>
      <c r="D1745" s="118">
        <v>2.23</v>
      </c>
      <c r="E1745" s="118">
        <v>3.13</v>
      </c>
      <c r="F1745" s="118">
        <v>1.24</v>
      </c>
      <c r="G1745" s="118">
        <v>55.366</v>
      </c>
    </row>
    <row r="1746" spans="2:7" x14ac:dyDescent="0.2">
      <c r="B1746" s="125" t="s">
        <v>2986</v>
      </c>
      <c r="C1746" s="118" t="s">
        <v>2987</v>
      </c>
      <c r="D1746" s="118">
        <v>1.1000000000000001</v>
      </c>
      <c r="E1746" s="118">
        <v>1.02</v>
      </c>
      <c r="F1746" s="118">
        <v>0.72</v>
      </c>
      <c r="G1746" s="118">
        <v>40.820990000000002</v>
      </c>
    </row>
    <row r="1747" spans="2:7" x14ac:dyDescent="0.2">
      <c r="B1747" s="125" t="s">
        <v>4312</v>
      </c>
      <c r="C1747" s="118" t="s">
        <v>4313</v>
      </c>
      <c r="D1747" s="118"/>
      <c r="E1747" s="118"/>
      <c r="F1747" s="118"/>
      <c r="G1747" s="118"/>
    </row>
    <row r="1748" spans="2:7" x14ac:dyDescent="0.2">
      <c r="B1748" s="125" t="s">
        <v>2988</v>
      </c>
      <c r="C1748" s="118" t="s">
        <v>2989</v>
      </c>
      <c r="D1748" s="118">
        <v>1.82</v>
      </c>
      <c r="E1748" s="118">
        <v>2.41</v>
      </c>
      <c r="F1748" s="118">
        <v>0.4</v>
      </c>
      <c r="G1748" s="118">
        <v>28.79899</v>
      </c>
    </row>
    <row r="1749" spans="2:7" x14ac:dyDescent="0.2">
      <c r="B1749" s="125" t="s">
        <v>2990</v>
      </c>
      <c r="C1749" s="118" t="s">
        <v>2991</v>
      </c>
      <c r="D1749" s="118">
        <v>0.94</v>
      </c>
      <c r="E1749" s="118">
        <v>0.98</v>
      </c>
      <c r="F1749" s="118">
        <v>0.85</v>
      </c>
      <c r="G1749" s="118">
        <v>43.853999999999999</v>
      </c>
    </row>
    <row r="1750" spans="2:7" x14ac:dyDescent="0.2">
      <c r="B1750" s="125" t="s">
        <v>2992</v>
      </c>
      <c r="C1750" s="118" t="s">
        <v>2993</v>
      </c>
      <c r="D1750" s="118">
        <v>0.93</v>
      </c>
      <c r="E1750" s="118">
        <v>0.99</v>
      </c>
      <c r="F1750" s="118">
        <v>0.97</v>
      </c>
      <c r="G1750" s="118">
        <v>48.545999999999999</v>
      </c>
    </row>
    <row r="1751" spans="2:7" x14ac:dyDescent="0.2">
      <c r="B1751" s="125" t="s">
        <v>2994</v>
      </c>
      <c r="C1751" s="118" t="s">
        <v>2995</v>
      </c>
      <c r="D1751" s="118">
        <v>2.13</v>
      </c>
      <c r="E1751" s="118">
        <v>4.3499999999999996</v>
      </c>
      <c r="F1751" s="118">
        <v>0.6</v>
      </c>
      <c r="G1751" s="118">
        <v>38.972000000000001</v>
      </c>
    </row>
    <row r="1752" spans="2:7" x14ac:dyDescent="0.2">
      <c r="B1752" s="125" t="s">
        <v>2996</v>
      </c>
      <c r="C1752" s="118" t="s">
        <v>2997</v>
      </c>
      <c r="D1752" s="118">
        <v>2.02</v>
      </c>
      <c r="E1752" s="118">
        <v>2.77</v>
      </c>
      <c r="F1752" s="118">
        <v>0.31</v>
      </c>
      <c r="G1752" s="118">
        <v>23.576989999999999</v>
      </c>
    </row>
    <row r="1753" spans="2:7" x14ac:dyDescent="0.2">
      <c r="B1753" s="125" t="s">
        <v>2998</v>
      </c>
      <c r="C1753" s="118" t="s">
        <v>2999</v>
      </c>
      <c r="D1753" s="118">
        <v>2.0499999999999998</v>
      </c>
      <c r="E1753" s="118">
        <v>1.9</v>
      </c>
      <c r="F1753" s="118">
        <v>0.05</v>
      </c>
      <c r="G1753" s="118">
        <v>4.7126900000000003</v>
      </c>
    </row>
    <row r="1754" spans="2:7" x14ac:dyDescent="0.2">
      <c r="B1754" s="125" t="s">
        <v>3000</v>
      </c>
      <c r="C1754" s="118" t="s">
        <v>3001</v>
      </c>
      <c r="D1754" s="118">
        <v>0.37</v>
      </c>
      <c r="E1754" s="118">
        <v>0.35</v>
      </c>
      <c r="F1754" s="118">
        <v>0.52</v>
      </c>
      <c r="G1754" s="118">
        <v>34.103999999999999</v>
      </c>
    </row>
    <row r="1755" spans="2:7" x14ac:dyDescent="0.2">
      <c r="B1755" s="125" t="s">
        <v>3002</v>
      </c>
      <c r="C1755" s="118" t="s">
        <v>3003</v>
      </c>
      <c r="D1755" s="118">
        <v>3.36</v>
      </c>
      <c r="E1755" s="118">
        <v>3.19</v>
      </c>
      <c r="F1755" s="118">
        <v>0</v>
      </c>
      <c r="G1755" s="118">
        <v>0</v>
      </c>
    </row>
    <row r="1756" spans="2:7" x14ac:dyDescent="0.2">
      <c r="B1756" s="125" t="s">
        <v>3004</v>
      </c>
      <c r="C1756" s="118" t="s">
        <v>3005</v>
      </c>
      <c r="D1756" s="118">
        <v>0.53</v>
      </c>
      <c r="E1756" s="118">
        <v>0.48</v>
      </c>
      <c r="F1756" s="118">
        <v>0.52</v>
      </c>
      <c r="G1756" s="118">
        <v>30.884</v>
      </c>
    </row>
    <row r="1757" spans="2:7" x14ac:dyDescent="0.2">
      <c r="B1757" s="125" t="s">
        <v>3006</v>
      </c>
      <c r="C1757" s="118" t="s">
        <v>3007</v>
      </c>
      <c r="D1757" s="118">
        <v>2.52</v>
      </c>
      <c r="E1757" s="118">
        <v>2.61</v>
      </c>
      <c r="F1757" s="118">
        <v>2.29</v>
      </c>
      <c r="G1757" s="118">
        <v>69.569000000000003</v>
      </c>
    </row>
    <row r="1758" spans="2:7" x14ac:dyDescent="0.2">
      <c r="B1758" s="125" t="s">
        <v>3008</v>
      </c>
      <c r="C1758" s="118" t="s">
        <v>3009</v>
      </c>
      <c r="D1758" s="118">
        <v>1.52</v>
      </c>
      <c r="E1758" s="118">
        <v>1.95</v>
      </c>
      <c r="F1758" s="118">
        <v>1.97</v>
      </c>
      <c r="G1758" s="118">
        <v>66.297989999999999</v>
      </c>
    </row>
    <row r="1759" spans="2:7" x14ac:dyDescent="0.2">
      <c r="B1759" s="125" t="s">
        <v>3010</v>
      </c>
      <c r="C1759" s="118" t="s">
        <v>3011</v>
      </c>
      <c r="D1759" s="118">
        <v>0.49</v>
      </c>
      <c r="E1759" s="118">
        <v>1.22</v>
      </c>
      <c r="F1759" s="118"/>
      <c r="G1759" s="118">
        <v>48.46799</v>
      </c>
    </row>
    <row r="1760" spans="2:7" x14ac:dyDescent="0.2">
      <c r="B1760" s="125" t="s">
        <v>3010</v>
      </c>
      <c r="C1760" s="118" t="s">
        <v>4314</v>
      </c>
      <c r="D1760" s="118">
        <v>0.49</v>
      </c>
      <c r="E1760" s="118">
        <v>1.22</v>
      </c>
      <c r="F1760" s="118"/>
      <c r="G1760" s="118">
        <v>48.46799</v>
      </c>
    </row>
    <row r="1761" spans="2:7" x14ac:dyDescent="0.2">
      <c r="B1761" s="125" t="s">
        <v>3012</v>
      </c>
      <c r="C1761" s="118" t="s">
        <v>3013</v>
      </c>
      <c r="D1761" s="118">
        <v>0.54</v>
      </c>
      <c r="E1761" s="118">
        <v>0.98</v>
      </c>
      <c r="F1761" s="118">
        <v>0.34</v>
      </c>
      <c r="G1761" s="118">
        <v>25.62199</v>
      </c>
    </row>
    <row r="1762" spans="2:7" x14ac:dyDescent="0.2">
      <c r="B1762" s="125" t="s">
        <v>3014</v>
      </c>
      <c r="C1762" s="118" t="s">
        <v>3015</v>
      </c>
      <c r="D1762" s="118">
        <v>1.47</v>
      </c>
      <c r="E1762" s="118">
        <v>1.21</v>
      </c>
      <c r="F1762" s="118">
        <v>0.09</v>
      </c>
      <c r="G1762" s="118">
        <v>8.6511999999999993</v>
      </c>
    </row>
    <row r="1763" spans="2:7" x14ac:dyDescent="0.2">
      <c r="B1763" s="125" t="s">
        <v>3016</v>
      </c>
      <c r="C1763" s="118" t="s">
        <v>3017</v>
      </c>
      <c r="D1763" s="118"/>
      <c r="E1763" s="118">
        <v>12.66</v>
      </c>
      <c r="F1763" s="118"/>
      <c r="G1763" s="118">
        <v>12.987</v>
      </c>
    </row>
    <row r="1764" spans="2:7" x14ac:dyDescent="0.2">
      <c r="B1764" s="125" t="s">
        <v>3018</v>
      </c>
      <c r="C1764" s="118" t="s">
        <v>3019</v>
      </c>
      <c r="D1764" s="118"/>
      <c r="E1764" s="118"/>
      <c r="F1764" s="118">
        <v>0.85</v>
      </c>
      <c r="G1764" s="118">
        <v>46.13</v>
      </c>
    </row>
    <row r="1765" spans="2:7" x14ac:dyDescent="0.2">
      <c r="B1765" s="125" t="s">
        <v>3020</v>
      </c>
      <c r="C1765" s="118" t="s">
        <v>3021</v>
      </c>
      <c r="D1765" s="118">
        <v>0.61</v>
      </c>
      <c r="E1765" s="118">
        <v>1.24</v>
      </c>
      <c r="F1765" s="118">
        <v>4.51</v>
      </c>
      <c r="G1765" s="118">
        <v>81.858000000000004</v>
      </c>
    </row>
    <row r="1766" spans="2:7" x14ac:dyDescent="0.2">
      <c r="B1766" s="125" t="s">
        <v>3022</v>
      </c>
      <c r="C1766" s="118" t="s">
        <v>3023</v>
      </c>
      <c r="D1766" s="118">
        <v>1.4</v>
      </c>
      <c r="E1766" s="118">
        <v>3.18</v>
      </c>
      <c r="F1766" s="118"/>
      <c r="G1766" s="118">
        <v>27.40699</v>
      </c>
    </row>
    <row r="1767" spans="2:7" x14ac:dyDescent="0.2">
      <c r="B1767" s="125" t="s">
        <v>4315</v>
      </c>
      <c r="C1767" s="118" t="s">
        <v>4316</v>
      </c>
      <c r="D1767" s="118"/>
      <c r="E1767" s="118"/>
      <c r="F1767" s="118"/>
      <c r="G1767" s="118"/>
    </row>
    <row r="1768" spans="2:7" x14ac:dyDescent="0.2">
      <c r="B1768" s="125" t="s">
        <v>4317</v>
      </c>
      <c r="C1768" s="118" t="s">
        <v>4318</v>
      </c>
      <c r="D1768" s="118">
        <v>4.78</v>
      </c>
      <c r="E1768" s="118">
        <v>1.79</v>
      </c>
      <c r="F1768" s="118">
        <v>2.92</v>
      </c>
      <c r="G1768" s="118">
        <v>74.474990000000005</v>
      </c>
    </row>
    <row r="1769" spans="2:7" x14ac:dyDescent="0.2">
      <c r="B1769" s="125" t="s">
        <v>3024</v>
      </c>
      <c r="C1769" s="118" t="s">
        <v>3025</v>
      </c>
      <c r="D1769" s="118">
        <v>0.6</v>
      </c>
      <c r="E1769" s="118">
        <v>1.2</v>
      </c>
      <c r="F1769" s="118">
        <v>0.18</v>
      </c>
      <c r="G1769" s="118">
        <v>14.975989999999999</v>
      </c>
    </row>
    <row r="1770" spans="2:7" x14ac:dyDescent="0.2">
      <c r="B1770" s="125" t="s">
        <v>4319</v>
      </c>
      <c r="C1770" s="118" t="s">
        <v>4320</v>
      </c>
      <c r="D1770" s="118"/>
      <c r="E1770" s="118"/>
      <c r="F1770" s="118"/>
      <c r="G1770" s="118"/>
    </row>
    <row r="1771" spans="2:7" x14ac:dyDescent="0.2">
      <c r="B1771" s="125" t="s">
        <v>4321</v>
      </c>
      <c r="C1771" s="118" t="s">
        <v>4322</v>
      </c>
      <c r="D1771" s="118">
        <v>1.0900000000000001</v>
      </c>
      <c r="E1771" s="118">
        <v>1.1399999999999999</v>
      </c>
      <c r="F1771" s="118"/>
      <c r="G1771" s="118">
        <v>23.01399</v>
      </c>
    </row>
    <row r="1772" spans="2:7" x14ac:dyDescent="0.2">
      <c r="B1772" s="125" t="s">
        <v>3026</v>
      </c>
      <c r="C1772" s="118" t="s">
        <v>3027</v>
      </c>
      <c r="D1772" s="118">
        <v>1.44</v>
      </c>
      <c r="E1772" s="118">
        <v>0.97</v>
      </c>
      <c r="F1772" s="118">
        <v>0.87</v>
      </c>
      <c r="G1772" s="118">
        <v>46.408000000000001</v>
      </c>
    </row>
    <row r="1773" spans="2:7" x14ac:dyDescent="0.2">
      <c r="B1773" s="125" t="s">
        <v>4323</v>
      </c>
      <c r="C1773" s="118" t="s">
        <v>4324</v>
      </c>
      <c r="D1773" s="118">
        <v>1.67</v>
      </c>
      <c r="E1773" s="118">
        <v>1.65</v>
      </c>
      <c r="F1773" s="118">
        <v>7.27</v>
      </c>
      <c r="G1773" s="118">
        <v>87.902000000000001</v>
      </c>
    </row>
    <row r="1774" spans="2:7" x14ac:dyDescent="0.2">
      <c r="B1774" s="125" t="s">
        <v>4325</v>
      </c>
      <c r="C1774" s="118" t="s">
        <v>4326</v>
      </c>
      <c r="D1774" s="118">
        <v>1.64</v>
      </c>
      <c r="E1774" s="118">
        <v>5.74</v>
      </c>
      <c r="F1774" s="118">
        <v>0</v>
      </c>
      <c r="G1774" s="118">
        <v>0.19619</v>
      </c>
    </row>
    <row r="1775" spans="2:7" x14ac:dyDescent="0.2">
      <c r="B1775" s="125" t="s">
        <v>3028</v>
      </c>
      <c r="C1775" s="118" t="s">
        <v>3029</v>
      </c>
      <c r="D1775" s="118">
        <v>1.36</v>
      </c>
      <c r="E1775" s="118">
        <v>0.74</v>
      </c>
      <c r="F1775" s="118">
        <v>0.72</v>
      </c>
      <c r="G1775" s="118">
        <v>41.893000000000001</v>
      </c>
    </row>
    <row r="1776" spans="2:7" x14ac:dyDescent="0.2">
      <c r="B1776" s="125" t="s">
        <v>3030</v>
      </c>
      <c r="C1776" s="118" t="s">
        <v>3031</v>
      </c>
      <c r="D1776" s="118">
        <v>0.55000000000000004</v>
      </c>
      <c r="E1776" s="118">
        <v>0.95</v>
      </c>
      <c r="F1776" s="118">
        <v>0.52</v>
      </c>
      <c r="G1776" s="118">
        <v>32.194000000000003</v>
      </c>
    </row>
    <row r="1777" spans="2:7" x14ac:dyDescent="0.2">
      <c r="B1777" s="125" t="s">
        <v>3032</v>
      </c>
      <c r="C1777" s="118" t="s">
        <v>3033</v>
      </c>
      <c r="D1777" s="118">
        <v>4.55</v>
      </c>
      <c r="E1777" s="118">
        <v>5.56</v>
      </c>
      <c r="F1777" s="118">
        <v>0</v>
      </c>
      <c r="G1777" s="118">
        <v>0</v>
      </c>
    </row>
    <row r="1778" spans="2:7" x14ac:dyDescent="0.2">
      <c r="B1778" s="125" t="s">
        <v>3034</v>
      </c>
      <c r="C1778" s="118" t="s">
        <v>3035</v>
      </c>
      <c r="D1778" s="118">
        <v>0.98</v>
      </c>
      <c r="E1778" s="118">
        <v>1.1200000000000001</v>
      </c>
      <c r="F1778" s="118"/>
      <c r="G1778" s="118">
        <v>15.635</v>
      </c>
    </row>
    <row r="1779" spans="2:7" x14ac:dyDescent="0.2">
      <c r="B1779" s="125" t="s">
        <v>4327</v>
      </c>
      <c r="C1779" s="118" t="s">
        <v>4328</v>
      </c>
      <c r="D1779" s="118"/>
      <c r="E1779" s="118"/>
      <c r="F1779" s="118"/>
      <c r="G1779" s="118"/>
    </row>
    <row r="1780" spans="2:7" x14ac:dyDescent="0.2">
      <c r="B1780" s="125" t="s">
        <v>3036</v>
      </c>
      <c r="C1780" s="118" t="s">
        <v>3037</v>
      </c>
      <c r="D1780" s="118">
        <v>0.89</v>
      </c>
      <c r="E1780" s="118">
        <v>1.04</v>
      </c>
      <c r="F1780" s="118">
        <v>0.98</v>
      </c>
      <c r="G1780" s="118">
        <v>50.377989999999997</v>
      </c>
    </row>
    <row r="1781" spans="2:7" x14ac:dyDescent="0.2">
      <c r="B1781" s="125" t="s">
        <v>3038</v>
      </c>
      <c r="C1781" s="118" t="s">
        <v>3039</v>
      </c>
      <c r="D1781" s="118">
        <v>1.41</v>
      </c>
      <c r="E1781" s="118">
        <v>1.36</v>
      </c>
      <c r="F1781" s="118">
        <v>1.44</v>
      </c>
      <c r="G1781" s="118">
        <v>59.046999999999997</v>
      </c>
    </row>
    <row r="1782" spans="2:7" x14ac:dyDescent="0.2">
      <c r="B1782" s="125" t="s">
        <v>4329</v>
      </c>
      <c r="C1782" s="118" t="s">
        <v>4330</v>
      </c>
      <c r="D1782" s="118"/>
      <c r="E1782" s="118"/>
      <c r="F1782" s="118"/>
      <c r="G1782" s="118"/>
    </row>
    <row r="1783" spans="2:7" x14ac:dyDescent="0.2">
      <c r="B1783" s="125" t="s">
        <v>3040</v>
      </c>
      <c r="C1783" s="118" t="s">
        <v>3041</v>
      </c>
      <c r="D1783" s="118">
        <v>1.41</v>
      </c>
      <c r="E1783" s="118">
        <v>2.0699999999999998</v>
      </c>
      <c r="F1783" s="118">
        <v>0.67</v>
      </c>
      <c r="G1783" s="118">
        <v>40.035989999999998</v>
      </c>
    </row>
    <row r="1784" spans="2:7" x14ac:dyDescent="0.2">
      <c r="B1784" s="125" t="s">
        <v>3042</v>
      </c>
      <c r="C1784" s="118" t="s">
        <v>3043</v>
      </c>
      <c r="D1784" s="118">
        <v>0.85</v>
      </c>
      <c r="E1784" s="118">
        <v>0.71</v>
      </c>
      <c r="F1784" s="118">
        <v>0.79</v>
      </c>
      <c r="G1784" s="118">
        <v>44.012</v>
      </c>
    </row>
    <row r="1785" spans="2:7" x14ac:dyDescent="0.2">
      <c r="B1785" s="125" t="s">
        <v>3044</v>
      </c>
      <c r="C1785" s="118" t="s">
        <v>3045</v>
      </c>
      <c r="D1785" s="118">
        <v>0.99</v>
      </c>
      <c r="E1785" s="118">
        <v>0.89</v>
      </c>
      <c r="F1785" s="118">
        <v>0.99</v>
      </c>
      <c r="G1785" s="118">
        <v>49.715000000000003</v>
      </c>
    </row>
    <row r="1786" spans="2:7" x14ac:dyDescent="0.2">
      <c r="B1786" s="125" t="s">
        <v>3046</v>
      </c>
      <c r="C1786" s="118" t="s">
        <v>3047</v>
      </c>
      <c r="D1786" s="118">
        <v>0.81</v>
      </c>
      <c r="E1786" s="118">
        <v>1.33</v>
      </c>
      <c r="F1786" s="118">
        <v>3.25</v>
      </c>
      <c r="G1786" s="118">
        <v>76.524000000000001</v>
      </c>
    </row>
    <row r="1787" spans="2:7" x14ac:dyDescent="0.2">
      <c r="B1787" s="125" t="s">
        <v>4331</v>
      </c>
      <c r="C1787" s="118" t="s">
        <v>4332</v>
      </c>
      <c r="D1787" s="118">
        <v>0.89</v>
      </c>
      <c r="E1787" s="118">
        <v>0.92</v>
      </c>
      <c r="F1787" s="118">
        <v>1.17</v>
      </c>
      <c r="G1787" s="118">
        <v>54.008989999999997</v>
      </c>
    </row>
    <row r="1788" spans="2:7" x14ac:dyDescent="0.2">
      <c r="B1788" s="125" t="s">
        <v>3048</v>
      </c>
      <c r="C1788" s="118" t="s">
        <v>3049</v>
      </c>
      <c r="D1788" s="118">
        <v>0.95</v>
      </c>
      <c r="E1788" s="118">
        <v>1.22</v>
      </c>
      <c r="F1788" s="118">
        <v>0.13</v>
      </c>
      <c r="G1788" s="118">
        <v>11.42</v>
      </c>
    </row>
    <row r="1789" spans="2:7" x14ac:dyDescent="0.2">
      <c r="B1789" s="125" t="s">
        <v>3050</v>
      </c>
      <c r="C1789" s="118" t="s">
        <v>3051</v>
      </c>
      <c r="D1789" s="118">
        <v>0.8</v>
      </c>
      <c r="E1789" s="118">
        <v>0.71</v>
      </c>
      <c r="F1789" s="118">
        <v>0.81</v>
      </c>
      <c r="G1789" s="118">
        <v>44.84299</v>
      </c>
    </row>
    <row r="1790" spans="2:7" x14ac:dyDescent="0.2">
      <c r="B1790" s="125" t="s">
        <v>3052</v>
      </c>
      <c r="C1790" s="118" t="s">
        <v>3053</v>
      </c>
      <c r="D1790" s="118">
        <v>0.82</v>
      </c>
      <c r="E1790" s="118">
        <v>1.46</v>
      </c>
      <c r="F1790" s="118">
        <v>1.05</v>
      </c>
      <c r="G1790" s="118">
        <v>51.286990000000003</v>
      </c>
    </row>
    <row r="1791" spans="2:7" x14ac:dyDescent="0.2">
      <c r="B1791" s="125" t="s">
        <v>3054</v>
      </c>
      <c r="C1791" s="118" t="s">
        <v>3055</v>
      </c>
      <c r="D1791" s="118">
        <v>1.47</v>
      </c>
      <c r="E1791" s="118">
        <v>1.27</v>
      </c>
      <c r="F1791" s="118"/>
      <c r="G1791" s="118">
        <v>24.100989999999999</v>
      </c>
    </row>
    <row r="1792" spans="2:7" x14ac:dyDescent="0.2">
      <c r="B1792" s="125" t="s">
        <v>3056</v>
      </c>
      <c r="C1792" s="118" t="s">
        <v>3057</v>
      </c>
      <c r="D1792" s="118">
        <v>0.51</v>
      </c>
      <c r="E1792" s="118">
        <v>0.64</v>
      </c>
      <c r="F1792" s="118">
        <v>0.6</v>
      </c>
      <c r="G1792" s="118">
        <v>37.584989999999998</v>
      </c>
    </row>
    <row r="1793" spans="2:7" x14ac:dyDescent="0.2">
      <c r="B1793" s="125" t="s">
        <v>3058</v>
      </c>
      <c r="C1793" s="118" t="s">
        <v>3059</v>
      </c>
      <c r="D1793" s="118">
        <v>6.16</v>
      </c>
      <c r="E1793" s="118">
        <v>8.1</v>
      </c>
      <c r="F1793" s="118">
        <v>0</v>
      </c>
      <c r="G1793" s="118">
        <v>0</v>
      </c>
    </row>
    <row r="1794" spans="2:7" x14ac:dyDescent="0.2">
      <c r="B1794" s="125" t="s">
        <v>3060</v>
      </c>
      <c r="C1794" s="118" t="s">
        <v>3061</v>
      </c>
      <c r="D1794" s="118">
        <v>0.97</v>
      </c>
      <c r="E1794" s="118">
        <v>1.61</v>
      </c>
      <c r="F1794" s="118"/>
      <c r="G1794" s="118">
        <v>20.03199</v>
      </c>
    </row>
    <row r="1795" spans="2:7" x14ac:dyDescent="0.2">
      <c r="B1795" s="125" t="s">
        <v>3062</v>
      </c>
      <c r="C1795" s="118" t="s">
        <v>3063</v>
      </c>
      <c r="D1795" s="118">
        <v>1.07</v>
      </c>
      <c r="E1795" s="118">
        <v>1.06</v>
      </c>
      <c r="F1795" s="118"/>
      <c r="G1795" s="118">
        <v>26.228000000000002</v>
      </c>
    </row>
    <row r="1796" spans="2:7" x14ac:dyDescent="0.2">
      <c r="B1796" s="125" t="s">
        <v>4333</v>
      </c>
      <c r="C1796" s="118" t="s">
        <v>4334</v>
      </c>
      <c r="D1796" s="118"/>
      <c r="E1796" s="118"/>
      <c r="F1796" s="118"/>
      <c r="G1796" s="118"/>
    </row>
    <row r="1797" spans="2:7" x14ac:dyDescent="0.2">
      <c r="B1797" s="125" t="s">
        <v>3064</v>
      </c>
      <c r="C1797" s="118" t="s">
        <v>3065</v>
      </c>
      <c r="D1797" s="118">
        <v>0.91</v>
      </c>
      <c r="E1797" s="118">
        <v>1.01</v>
      </c>
      <c r="F1797" s="118">
        <v>0.13</v>
      </c>
      <c r="G1797" s="118">
        <v>10.925990000000001</v>
      </c>
    </row>
    <row r="1798" spans="2:7" x14ac:dyDescent="0.2">
      <c r="B1798" s="125" t="s">
        <v>3066</v>
      </c>
      <c r="C1798" s="118" t="s">
        <v>3067</v>
      </c>
      <c r="D1798" s="118">
        <v>1.39</v>
      </c>
      <c r="E1798" s="118">
        <v>1.31</v>
      </c>
      <c r="F1798" s="118">
        <v>1.54</v>
      </c>
      <c r="G1798" s="118">
        <v>60.58</v>
      </c>
    </row>
    <row r="1799" spans="2:7" x14ac:dyDescent="0.2">
      <c r="B1799" s="125" t="s">
        <v>3068</v>
      </c>
      <c r="C1799" s="118" t="s">
        <v>3069</v>
      </c>
      <c r="D1799" s="118">
        <v>3.17</v>
      </c>
      <c r="E1799" s="118">
        <v>3.92</v>
      </c>
      <c r="F1799" s="118">
        <v>-12.59</v>
      </c>
      <c r="G1799" s="118"/>
    </row>
    <row r="1800" spans="2:7" x14ac:dyDescent="0.2">
      <c r="B1800" s="125" t="s">
        <v>3070</v>
      </c>
      <c r="C1800" s="118" t="s">
        <v>3071</v>
      </c>
      <c r="D1800" s="118">
        <v>8.5299999999999994</v>
      </c>
      <c r="E1800" s="118">
        <v>7.56</v>
      </c>
      <c r="F1800" s="118">
        <v>0.43</v>
      </c>
      <c r="G1800" s="118">
        <v>29.876999999999999</v>
      </c>
    </row>
    <row r="1801" spans="2:7" x14ac:dyDescent="0.2">
      <c r="B1801" s="125" t="s">
        <v>3072</v>
      </c>
      <c r="C1801" s="118" t="s">
        <v>3073</v>
      </c>
      <c r="D1801" s="118">
        <v>1.04</v>
      </c>
      <c r="E1801" s="118">
        <v>1.63</v>
      </c>
      <c r="F1801" s="118">
        <v>0.31</v>
      </c>
      <c r="G1801" s="118">
        <v>23.933</v>
      </c>
    </row>
    <row r="1802" spans="2:7" x14ac:dyDescent="0.2">
      <c r="B1802" s="125" t="s">
        <v>3074</v>
      </c>
      <c r="C1802" s="118" t="s">
        <v>3075</v>
      </c>
      <c r="D1802" s="118">
        <v>0.88</v>
      </c>
      <c r="E1802" s="118">
        <v>0.88</v>
      </c>
      <c r="F1802" s="118">
        <v>0</v>
      </c>
      <c r="G1802" s="118">
        <v>0</v>
      </c>
    </row>
    <row r="1803" spans="2:7" x14ac:dyDescent="0.2">
      <c r="B1803" s="125" t="s">
        <v>3076</v>
      </c>
      <c r="C1803" s="118" t="s">
        <v>3077</v>
      </c>
      <c r="D1803" s="118">
        <v>0.86</v>
      </c>
      <c r="E1803" s="118">
        <v>1.27</v>
      </c>
      <c r="F1803" s="118">
        <v>0.45</v>
      </c>
      <c r="G1803" s="118">
        <v>30.982990000000001</v>
      </c>
    </row>
    <row r="1804" spans="2:7" x14ac:dyDescent="0.2">
      <c r="B1804" s="125" t="s">
        <v>3079</v>
      </c>
      <c r="C1804" s="118" t="s">
        <v>3080</v>
      </c>
      <c r="D1804" s="118">
        <v>3.15</v>
      </c>
      <c r="E1804" s="118">
        <v>4.05</v>
      </c>
      <c r="F1804" s="118">
        <v>0.42</v>
      </c>
      <c r="G1804" s="118">
        <v>29.709990000000001</v>
      </c>
    </row>
    <row r="1805" spans="2:7" x14ac:dyDescent="0.2">
      <c r="B1805" s="125" t="s">
        <v>3081</v>
      </c>
      <c r="C1805" s="118" t="s">
        <v>3082</v>
      </c>
      <c r="D1805" s="118">
        <v>1.29</v>
      </c>
      <c r="E1805" s="118">
        <v>2.4700000000000002</v>
      </c>
      <c r="F1805" s="118">
        <v>0.2</v>
      </c>
      <c r="G1805" s="118">
        <v>16.410990000000002</v>
      </c>
    </row>
    <row r="1806" spans="2:7" x14ac:dyDescent="0.2">
      <c r="B1806" s="125" t="s">
        <v>3083</v>
      </c>
      <c r="C1806" s="118" t="s">
        <v>3084</v>
      </c>
      <c r="D1806" s="118">
        <v>0.73</v>
      </c>
      <c r="E1806" s="118">
        <v>0.84</v>
      </c>
      <c r="F1806" s="118">
        <v>1.98</v>
      </c>
      <c r="G1806" s="118">
        <v>66.393990000000002</v>
      </c>
    </row>
    <row r="1807" spans="2:7" x14ac:dyDescent="0.2">
      <c r="B1807" s="125" t="s">
        <v>3085</v>
      </c>
      <c r="C1807" s="118" t="s">
        <v>3086</v>
      </c>
      <c r="D1807" s="118">
        <v>0.98</v>
      </c>
      <c r="E1807" s="118">
        <v>1.47</v>
      </c>
      <c r="F1807" s="118">
        <v>0.32</v>
      </c>
      <c r="G1807" s="118">
        <v>24.430990000000001</v>
      </c>
    </row>
    <row r="1808" spans="2:7" x14ac:dyDescent="0.2">
      <c r="B1808" s="125" t="s">
        <v>3087</v>
      </c>
      <c r="C1808" s="118" t="s">
        <v>3088</v>
      </c>
      <c r="D1808" s="118">
        <v>0.63</v>
      </c>
      <c r="E1808" s="118">
        <v>0.82</v>
      </c>
      <c r="F1808" s="118">
        <v>2.21</v>
      </c>
      <c r="G1808" s="118">
        <v>68.819000000000003</v>
      </c>
    </row>
    <row r="1809" spans="2:7" x14ac:dyDescent="0.2">
      <c r="B1809" s="125" t="s">
        <v>3089</v>
      </c>
      <c r="C1809" s="118" t="s">
        <v>3090</v>
      </c>
      <c r="D1809" s="118">
        <v>0.57999999999999996</v>
      </c>
      <c r="E1809" s="118">
        <v>0.7</v>
      </c>
      <c r="F1809" s="118">
        <v>0.27</v>
      </c>
      <c r="G1809" s="118">
        <v>21.469989999999999</v>
      </c>
    </row>
    <row r="1810" spans="2:7" x14ac:dyDescent="0.2">
      <c r="B1810" s="125" t="s">
        <v>3091</v>
      </c>
      <c r="C1810" s="118" t="s">
        <v>3092</v>
      </c>
      <c r="D1810" s="118">
        <v>3.32</v>
      </c>
      <c r="E1810" s="118">
        <v>3.46</v>
      </c>
      <c r="F1810" s="118">
        <v>0.28999999999999998</v>
      </c>
      <c r="G1810" s="118">
        <v>22.67</v>
      </c>
    </row>
    <row r="1811" spans="2:7" x14ac:dyDescent="0.2">
      <c r="B1811" s="125" t="s">
        <v>3093</v>
      </c>
      <c r="C1811" s="118" t="s">
        <v>3094</v>
      </c>
      <c r="D1811" s="118">
        <v>0.73</v>
      </c>
      <c r="E1811" s="118">
        <v>0.65</v>
      </c>
      <c r="F1811" s="118">
        <v>2.08</v>
      </c>
      <c r="G1811" s="118">
        <v>67.672989999999999</v>
      </c>
    </row>
    <row r="1812" spans="2:7" x14ac:dyDescent="0.2">
      <c r="B1812" s="125" t="s">
        <v>3095</v>
      </c>
      <c r="C1812" s="118" t="s">
        <v>3096</v>
      </c>
      <c r="D1812" s="118">
        <v>0.63</v>
      </c>
      <c r="E1812" s="118">
        <v>0.96</v>
      </c>
      <c r="F1812" s="118">
        <v>1.73</v>
      </c>
      <c r="G1812" s="118">
        <v>63.366999999999997</v>
      </c>
    </row>
    <row r="1813" spans="2:7" x14ac:dyDescent="0.2">
      <c r="B1813" s="125" t="s">
        <v>4335</v>
      </c>
      <c r="C1813" s="118" t="s">
        <v>4336</v>
      </c>
      <c r="D1813" s="118"/>
      <c r="E1813" s="118"/>
      <c r="F1813" s="118"/>
      <c r="G1813" s="118"/>
    </row>
    <row r="1814" spans="2:7" x14ac:dyDescent="0.2">
      <c r="B1814" s="125" t="s">
        <v>4337</v>
      </c>
      <c r="C1814" s="118" t="s">
        <v>4338</v>
      </c>
      <c r="D1814" s="118">
        <v>1.55</v>
      </c>
      <c r="E1814" s="118">
        <v>1.52</v>
      </c>
      <c r="F1814" s="118">
        <v>2.2400000000000002</v>
      </c>
      <c r="G1814" s="118">
        <v>69.147999999999996</v>
      </c>
    </row>
    <row r="1815" spans="2:7" x14ac:dyDescent="0.2">
      <c r="B1815" s="125" t="s">
        <v>3097</v>
      </c>
      <c r="C1815" s="118" t="s">
        <v>3098</v>
      </c>
      <c r="D1815" s="118">
        <v>1.39</v>
      </c>
      <c r="E1815" s="118">
        <v>2.52</v>
      </c>
      <c r="F1815" s="118">
        <v>0.82</v>
      </c>
      <c r="G1815" s="118">
        <v>44.972000000000001</v>
      </c>
    </row>
    <row r="1816" spans="2:7" x14ac:dyDescent="0.2">
      <c r="B1816" s="125" t="s">
        <v>3099</v>
      </c>
      <c r="C1816" s="118" t="s">
        <v>3100</v>
      </c>
      <c r="D1816" s="118">
        <v>0.59</v>
      </c>
      <c r="E1816" s="118">
        <v>0.69</v>
      </c>
      <c r="F1816" s="118">
        <v>1.51</v>
      </c>
      <c r="G1816" s="118">
        <v>60.100999999999999</v>
      </c>
    </row>
    <row r="1817" spans="2:7" x14ac:dyDescent="0.2">
      <c r="B1817" s="125" t="s">
        <v>3101</v>
      </c>
      <c r="C1817" s="118" t="s">
        <v>3102</v>
      </c>
      <c r="D1817" s="118">
        <v>1.72</v>
      </c>
      <c r="E1817" s="118">
        <v>1.94</v>
      </c>
      <c r="F1817" s="118">
        <v>2.0499999999999998</v>
      </c>
      <c r="G1817" s="118">
        <v>67.236990000000006</v>
      </c>
    </row>
    <row r="1818" spans="2:7" x14ac:dyDescent="0.2">
      <c r="B1818" s="125" t="s">
        <v>3103</v>
      </c>
      <c r="C1818" s="118" t="s">
        <v>3104</v>
      </c>
      <c r="D1818" s="118">
        <v>0.2</v>
      </c>
      <c r="E1818" s="118">
        <v>0.84</v>
      </c>
      <c r="F1818" s="118">
        <v>1.05</v>
      </c>
      <c r="G1818" s="118">
        <v>51.316000000000003</v>
      </c>
    </row>
    <row r="1819" spans="2:7" x14ac:dyDescent="0.2">
      <c r="B1819" s="125" t="s">
        <v>3105</v>
      </c>
      <c r="C1819" s="118" t="s">
        <v>3106</v>
      </c>
      <c r="D1819" s="118">
        <v>0.51</v>
      </c>
      <c r="E1819" s="118">
        <v>0.4</v>
      </c>
      <c r="F1819" s="118">
        <v>0.22</v>
      </c>
      <c r="G1819" s="118">
        <v>18.17099</v>
      </c>
    </row>
    <row r="1820" spans="2:7" x14ac:dyDescent="0.2">
      <c r="B1820" s="125" t="s">
        <v>4339</v>
      </c>
      <c r="C1820" s="118" t="s">
        <v>4340</v>
      </c>
      <c r="D1820" s="118"/>
      <c r="E1820" s="118"/>
      <c r="F1820" s="118"/>
      <c r="G1820" s="118"/>
    </row>
    <row r="1821" spans="2:7" x14ac:dyDescent="0.2">
      <c r="B1821" s="125" t="s">
        <v>3107</v>
      </c>
      <c r="C1821" s="118" t="s">
        <v>3108</v>
      </c>
      <c r="D1821" s="118">
        <v>0.69</v>
      </c>
      <c r="E1821" s="118">
        <v>1.71</v>
      </c>
      <c r="F1821" s="118">
        <v>1.24</v>
      </c>
      <c r="G1821" s="118">
        <v>55.283999999999999</v>
      </c>
    </row>
    <row r="1822" spans="2:7" x14ac:dyDescent="0.2">
      <c r="B1822" s="125" t="s">
        <v>3114</v>
      </c>
      <c r="C1822" s="118" t="s">
        <v>4341</v>
      </c>
      <c r="D1822" s="118">
        <v>0.65</v>
      </c>
      <c r="E1822" s="118">
        <v>0.74</v>
      </c>
      <c r="F1822" s="118"/>
      <c r="G1822" s="118">
        <v>52.980989999999998</v>
      </c>
    </row>
    <row r="1823" spans="2:7" x14ac:dyDescent="0.2">
      <c r="B1823" s="125" t="s">
        <v>3109</v>
      </c>
      <c r="C1823" s="118" t="s">
        <v>3110</v>
      </c>
      <c r="D1823" s="118">
        <v>1.85</v>
      </c>
      <c r="E1823" s="118">
        <v>4.22</v>
      </c>
      <c r="F1823" s="118">
        <v>0.57999999999999996</v>
      </c>
      <c r="G1823" s="118">
        <v>36.728999999999999</v>
      </c>
    </row>
    <row r="1824" spans="2:7" x14ac:dyDescent="0.2">
      <c r="B1824" s="125" t="s">
        <v>3112</v>
      </c>
      <c r="C1824" s="118" t="s">
        <v>3113</v>
      </c>
      <c r="D1824" s="118">
        <v>0.56000000000000005</v>
      </c>
      <c r="E1824" s="118">
        <v>0.79</v>
      </c>
      <c r="F1824" s="118">
        <v>2.17</v>
      </c>
      <c r="G1824" s="118">
        <v>68.415000000000006</v>
      </c>
    </row>
    <row r="1825" spans="2:7" x14ac:dyDescent="0.2">
      <c r="B1825" s="125" t="s">
        <v>3114</v>
      </c>
      <c r="C1825" s="118" t="s">
        <v>3115</v>
      </c>
      <c r="D1825" s="118">
        <v>0.65</v>
      </c>
      <c r="E1825" s="118">
        <v>0.74</v>
      </c>
      <c r="F1825" s="118"/>
      <c r="G1825" s="118">
        <v>52.980989999999998</v>
      </c>
    </row>
    <row r="1826" spans="2:7" x14ac:dyDescent="0.2">
      <c r="B1826" s="125" t="s">
        <v>4342</v>
      </c>
      <c r="C1826" s="118" t="s">
        <v>4343</v>
      </c>
      <c r="D1826" s="118">
        <v>1.26</v>
      </c>
      <c r="E1826" s="118">
        <v>1.75</v>
      </c>
      <c r="F1826" s="118"/>
      <c r="G1826" s="118">
        <v>36.029989999999998</v>
      </c>
    </row>
    <row r="1827" spans="2:7" x14ac:dyDescent="0.2">
      <c r="B1827" s="125" t="s">
        <v>4344</v>
      </c>
      <c r="C1827" s="118" t="s">
        <v>4345</v>
      </c>
      <c r="D1827" s="118"/>
      <c r="E1827" s="118"/>
      <c r="F1827" s="118"/>
      <c r="G1827" s="118"/>
    </row>
    <row r="1828" spans="2:7" x14ac:dyDescent="0.2">
      <c r="B1828" s="125" t="s">
        <v>3116</v>
      </c>
      <c r="C1828" s="118" t="s">
        <v>3117</v>
      </c>
      <c r="D1828" s="118">
        <v>0.7</v>
      </c>
      <c r="E1828" s="118">
        <v>1.25</v>
      </c>
      <c r="F1828" s="118">
        <v>1.88</v>
      </c>
      <c r="G1828" s="118">
        <v>65.297989999999999</v>
      </c>
    </row>
    <row r="1829" spans="2:7" x14ac:dyDescent="0.2">
      <c r="B1829" s="125" t="s">
        <v>3118</v>
      </c>
      <c r="C1829" s="118" t="s">
        <v>3119</v>
      </c>
      <c r="D1829" s="118">
        <v>0.74</v>
      </c>
      <c r="E1829" s="118">
        <v>0.75</v>
      </c>
      <c r="F1829" s="118">
        <v>1.35</v>
      </c>
      <c r="G1829" s="118">
        <v>57.453989999999997</v>
      </c>
    </row>
    <row r="1830" spans="2:7" x14ac:dyDescent="0.2">
      <c r="B1830" s="125" t="s">
        <v>3120</v>
      </c>
      <c r="C1830" s="118" t="s">
        <v>3121</v>
      </c>
      <c r="D1830" s="118">
        <v>0.88</v>
      </c>
      <c r="E1830" s="118">
        <v>1.1200000000000001</v>
      </c>
      <c r="F1830" s="118"/>
      <c r="G1830" s="118">
        <v>64.134</v>
      </c>
    </row>
    <row r="1831" spans="2:7" x14ac:dyDescent="0.2">
      <c r="B1831" s="125" t="s">
        <v>3122</v>
      </c>
      <c r="C1831" s="118" t="s">
        <v>3123</v>
      </c>
      <c r="D1831" s="118">
        <v>1.55</v>
      </c>
      <c r="E1831" s="118">
        <v>1.73</v>
      </c>
      <c r="F1831" s="118">
        <v>0.84</v>
      </c>
      <c r="G1831" s="118">
        <v>45.65399</v>
      </c>
    </row>
    <row r="1832" spans="2:7" x14ac:dyDescent="0.2">
      <c r="B1832" s="125" t="s">
        <v>3124</v>
      </c>
      <c r="C1832" s="118" t="s">
        <v>3125</v>
      </c>
      <c r="D1832" s="118"/>
      <c r="E1832" s="118"/>
      <c r="F1832" s="118"/>
      <c r="G1832" s="118"/>
    </row>
    <row r="1833" spans="2:7" x14ac:dyDescent="0.2">
      <c r="B1833" s="125" t="s">
        <v>3126</v>
      </c>
      <c r="C1833" s="118" t="s">
        <v>3127</v>
      </c>
      <c r="D1833" s="118">
        <v>1.31</v>
      </c>
      <c r="E1833" s="118">
        <v>2.68</v>
      </c>
      <c r="F1833" s="118">
        <v>0.96</v>
      </c>
      <c r="G1833" s="118">
        <v>49.027990000000003</v>
      </c>
    </row>
    <row r="1834" spans="2:7" x14ac:dyDescent="0.2">
      <c r="B1834" s="125" t="s">
        <v>4346</v>
      </c>
      <c r="C1834" s="118" t="s">
        <v>4347</v>
      </c>
      <c r="D1834" s="118">
        <v>0.91</v>
      </c>
      <c r="E1834" s="118">
        <v>0.93</v>
      </c>
      <c r="F1834" s="118">
        <v>0.42</v>
      </c>
      <c r="G1834" s="118">
        <v>29.628</v>
      </c>
    </row>
    <row r="1835" spans="2:7" x14ac:dyDescent="0.2">
      <c r="B1835" s="125" t="s">
        <v>3128</v>
      </c>
      <c r="C1835" s="118" t="s">
        <v>3129</v>
      </c>
      <c r="D1835" s="118">
        <v>1.17</v>
      </c>
      <c r="E1835" s="118">
        <v>0.92</v>
      </c>
      <c r="F1835" s="118">
        <v>1.0900000000000001</v>
      </c>
      <c r="G1835" s="118">
        <v>52.231990000000003</v>
      </c>
    </row>
    <row r="1836" spans="2:7" x14ac:dyDescent="0.2">
      <c r="B1836" s="125" t="s">
        <v>3130</v>
      </c>
      <c r="C1836" s="118" t="s">
        <v>3131</v>
      </c>
      <c r="D1836" s="118"/>
      <c r="E1836" s="118"/>
      <c r="F1836" s="118"/>
      <c r="G1836" s="118"/>
    </row>
    <row r="1837" spans="2:7" x14ac:dyDescent="0.2">
      <c r="B1837" s="125" t="s">
        <v>4348</v>
      </c>
      <c r="C1837" s="118" t="s">
        <v>4349</v>
      </c>
      <c r="D1837" s="118"/>
      <c r="E1837" s="118"/>
      <c r="F1837" s="118"/>
      <c r="G1837" s="118"/>
    </row>
    <row r="1838" spans="2:7" x14ac:dyDescent="0.2">
      <c r="B1838" s="125" t="s">
        <v>3132</v>
      </c>
      <c r="C1838" s="118" t="s">
        <v>3133</v>
      </c>
      <c r="D1838" s="118">
        <v>1.1299999999999999</v>
      </c>
      <c r="E1838" s="118">
        <v>0.97</v>
      </c>
      <c r="F1838" s="118">
        <v>0.8</v>
      </c>
      <c r="G1838" s="118">
        <v>44.383989999999997</v>
      </c>
    </row>
    <row r="1839" spans="2:7" x14ac:dyDescent="0.2">
      <c r="B1839" s="125" t="s">
        <v>3134</v>
      </c>
      <c r="C1839" s="118" t="s">
        <v>3135</v>
      </c>
      <c r="D1839" s="118">
        <v>0.89</v>
      </c>
      <c r="E1839" s="118">
        <v>1.08</v>
      </c>
      <c r="F1839" s="118">
        <v>0.52</v>
      </c>
      <c r="G1839" s="118">
        <v>34.261000000000003</v>
      </c>
    </row>
    <row r="1840" spans="2:7" x14ac:dyDescent="0.2">
      <c r="B1840" s="125" t="s">
        <v>3136</v>
      </c>
      <c r="C1840" s="118" t="s">
        <v>3137</v>
      </c>
      <c r="D1840" s="118">
        <v>3.33</v>
      </c>
      <c r="E1840" s="118">
        <v>3.31</v>
      </c>
      <c r="F1840" s="118">
        <v>0</v>
      </c>
      <c r="G1840" s="118">
        <v>0.20039000000000001</v>
      </c>
    </row>
    <row r="1841" spans="2:7" x14ac:dyDescent="0.2">
      <c r="B1841" s="125" t="s">
        <v>3138</v>
      </c>
      <c r="C1841" s="118" t="s">
        <v>3139</v>
      </c>
      <c r="D1841" s="118">
        <v>2.13</v>
      </c>
      <c r="E1841" s="118">
        <v>1.91</v>
      </c>
      <c r="F1841" s="118"/>
      <c r="G1841" s="118">
        <v>0</v>
      </c>
    </row>
    <row r="1842" spans="2:7" x14ac:dyDescent="0.2">
      <c r="B1842" s="125" t="s">
        <v>4350</v>
      </c>
      <c r="C1842" s="118" t="s">
        <v>4351</v>
      </c>
      <c r="D1842" s="118"/>
      <c r="E1842" s="118"/>
      <c r="F1842" s="118"/>
      <c r="G1842" s="118"/>
    </row>
    <row r="1843" spans="2:7" x14ac:dyDescent="0.2">
      <c r="B1843" s="125" t="s">
        <v>3140</v>
      </c>
      <c r="C1843" s="118" t="s">
        <v>3141</v>
      </c>
      <c r="D1843" s="118">
        <v>1.24</v>
      </c>
      <c r="E1843" s="118">
        <v>1.49</v>
      </c>
      <c r="F1843" s="118">
        <v>0.57999999999999996</v>
      </c>
      <c r="G1843" s="118">
        <v>36.70899</v>
      </c>
    </row>
    <row r="1844" spans="2:7" x14ac:dyDescent="0.2">
      <c r="B1844" s="125" t="s">
        <v>3142</v>
      </c>
      <c r="C1844" s="118" t="s">
        <v>3143</v>
      </c>
      <c r="D1844" s="118">
        <v>0.7</v>
      </c>
      <c r="E1844" s="118">
        <v>0.62</v>
      </c>
      <c r="F1844" s="118">
        <v>1.43</v>
      </c>
      <c r="G1844" s="118">
        <v>58.898989999999998</v>
      </c>
    </row>
    <row r="1845" spans="2:7" x14ac:dyDescent="0.2">
      <c r="B1845" s="125" t="s">
        <v>4352</v>
      </c>
      <c r="C1845" s="118" t="s">
        <v>4353</v>
      </c>
      <c r="D1845" s="118"/>
      <c r="E1845" s="118"/>
      <c r="F1845" s="118"/>
      <c r="G1845" s="118"/>
    </row>
    <row r="1846" spans="2:7" x14ac:dyDescent="0.2">
      <c r="B1846" s="125" t="s">
        <v>3144</v>
      </c>
      <c r="C1846" s="118" t="s">
        <v>3145</v>
      </c>
      <c r="D1846" s="118">
        <v>2.5299999999999998</v>
      </c>
      <c r="E1846" s="118">
        <v>2.5299999999999998</v>
      </c>
      <c r="F1846" s="118">
        <v>0.11</v>
      </c>
      <c r="G1846" s="118">
        <v>10.255000000000001</v>
      </c>
    </row>
    <row r="1847" spans="2:7" x14ac:dyDescent="0.2">
      <c r="B1847" s="125" t="s">
        <v>3146</v>
      </c>
      <c r="C1847" s="118" t="s">
        <v>3147</v>
      </c>
      <c r="D1847" s="118">
        <v>1.1599999999999999</v>
      </c>
      <c r="E1847" s="118">
        <v>1.19</v>
      </c>
      <c r="F1847" s="118">
        <v>0.87</v>
      </c>
      <c r="G1847" s="118">
        <v>46.39799</v>
      </c>
    </row>
    <row r="1848" spans="2:7" x14ac:dyDescent="0.2">
      <c r="B1848" s="125" t="s">
        <v>3148</v>
      </c>
      <c r="C1848" s="118" t="s">
        <v>3149</v>
      </c>
      <c r="D1848" s="118"/>
      <c r="E1848" s="118"/>
      <c r="F1848" s="118"/>
      <c r="G1848" s="118"/>
    </row>
    <row r="1849" spans="2:7" x14ac:dyDescent="0.2">
      <c r="B1849" s="125" t="s">
        <v>3150</v>
      </c>
      <c r="C1849" s="118" t="s">
        <v>3151</v>
      </c>
      <c r="D1849" s="118">
        <v>1.27</v>
      </c>
      <c r="E1849" s="118">
        <v>7.43</v>
      </c>
      <c r="F1849" s="118">
        <v>0.75</v>
      </c>
      <c r="G1849" s="118">
        <v>42.94699</v>
      </c>
    </row>
    <row r="1850" spans="2:7" x14ac:dyDescent="0.2">
      <c r="B1850" s="125" t="s">
        <v>4354</v>
      </c>
      <c r="C1850" s="118" t="s">
        <v>4355</v>
      </c>
      <c r="D1850" s="118">
        <v>1.37</v>
      </c>
      <c r="E1850" s="118">
        <v>1.62</v>
      </c>
      <c r="F1850" s="118"/>
      <c r="G1850" s="118">
        <v>14.38199</v>
      </c>
    </row>
    <row r="1851" spans="2:7" x14ac:dyDescent="0.2">
      <c r="B1851" s="125" t="s">
        <v>3152</v>
      </c>
      <c r="C1851" s="118" t="s">
        <v>3153</v>
      </c>
      <c r="D1851" s="118">
        <v>1.04</v>
      </c>
      <c r="E1851" s="118">
        <v>1.25</v>
      </c>
      <c r="F1851" s="118">
        <v>0.38</v>
      </c>
      <c r="G1851" s="118">
        <v>27.574999999999999</v>
      </c>
    </row>
    <row r="1852" spans="2:7" x14ac:dyDescent="0.2">
      <c r="B1852" s="125" t="s">
        <v>4356</v>
      </c>
      <c r="C1852" s="118" t="s">
        <v>4357</v>
      </c>
      <c r="D1852" s="118">
        <v>16.03</v>
      </c>
      <c r="E1852" s="118">
        <v>9.76</v>
      </c>
      <c r="F1852" s="118">
        <v>0.01</v>
      </c>
      <c r="G1852" s="118">
        <v>0.90232999999999997</v>
      </c>
    </row>
    <row r="1853" spans="2:7" x14ac:dyDescent="0.2">
      <c r="B1853" s="125" t="s">
        <v>4358</v>
      </c>
      <c r="C1853" s="118" t="s">
        <v>4359</v>
      </c>
      <c r="D1853" s="118">
        <v>1.94</v>
      </c>
      <c r="E1853" s="118">
        <v>2.79</v>
      </c>
      <c r="F1853" s="118">
        <v>0.46</v>
      </c>
      <c r="G1853" s="118">
        <v>31.315989999999999</v>
      </c>
    </row>
    <row r="1854" spans="2:7" x14ac:dyDescent="0.2">
      <c r="B1854" s="125" t="s">
        <v>3154</v>
      </c>
      <c r="C1854" s="118" t="s">
        <v>3155</v>
      </c>
      <c r="D1854" s="118">
        <v>0.87</v>
      </c>
      <c r="E1854" s="118">
        <v>1.21</v>
      </c>
      <c r="F1854" s="118">
        <v>5.79</v>
      </c>
      <c r="G1854" s="118">
        <v>85.279989999999998</v>
      </c>
    </row>
    <row r="1855" spans="2:7" x14ac:dyDescent="0.2">
      <c r="B1855" s="125" t="s">
        <v>3156</v>
      </c>
      <c r="C1855" s="118" t="s">
        <v>3157</v>
      </c>
      <c r="D1855" s="118">
        <v>0.89</v>
      </c>
      <c r="E1855" s="118">
        <v>0.67</v>
      </c>
      <c r="F1855" s="118">
        <v>0.69</v>
      </c>
      <c r="G1855" s="118">
        <v>40.790999999999997</v>
      </c>
    </row>
    <row r="1856" spans="2:7" x14ac:dyDescent="0.2">
      <c r="B1856" s="125" t="s">
        <v>3158</v>
      </c>
      <c r="C1856" s="118" t="s">
        <v>3159</v>
      </c>
      <c r="D1856" s="118">
        <v>2.29</v>
      </c>
      <c r="E1856" s="118">
        <v>3.51</v>
      </c>
      <c r="F1856" s="118">
        <v>0.09</v>
      </c>
      <c r="G1856" s="118">
        <v>8.6459899999999994</v>
      </c>
    </row>
    <row r="1857" spans="2:7" x14ac:dyDescent="0.2">
      <c r="B1857" s="125" t="s">
        <v>3160</v>
      </c>
      <c r="C1857" s="118" t="s">
        <v>3161</v>
      </c>
      <c r="D1857" s="118">
        <v>0.45</v>
      </c>
      <c r="E1857" s="118">
        <v>0.73</v>
      </c>
      <c r="F1857" s="118">
        <v>0.74</v>
      </c>
      <c r="G1857" s="118">
        <v>41.912990000000001</v>
      </c>
    </row>
    <row r="1858" spans="2:7" x14ac:dyDescent="0.2">
      <c r="B1858" s="125" t="s">
        <v>3162</v>
      </c>
      <c r="C1858" s="118" t="s">
        <v>3163</v>
      </c>
      <c r="D1858" s="118">
        <v>1.84</v>
      </c>
      <c r="E1858" s="118">
        <v>1.93</v>
      </c>
      <c r="F1858" s="118">
        <v>0.36</v>
      </c>
      <c r="G1858" s="118">
        <v>26.218</v>
      </c>
    </row>
    <row r="1859" spans="2:7" x14ac:dyDescent="0.2">
      <c r="B1859" s="125" t="s">
        <v>3164</v>
      </c>
      <c r="C1859" s="118" t="s">
        <v>3165</v>
      </c>
      <c r="D1859" s="118">
        <v>2.33</v>
      </c>
      <c r="E1859" s="118">
        <v>1.99</v>
      </c>
      <c r="F1859" s="118">
        <v>0</v>
      </c>
      <c r="G1859" s="118">
        <v>0</v>
      </c>
    </row>
    <row r="1860" spans="2:7" x14ac:dyDescent="0.2">
      <c r="B1860" s="125" t="s">
        <v>3166</v>
      </c>
      <c r="C1860" s="118" t="s">
        <v>3167</v>
      </c>
      <c r="D1860" s="118">
        <v>0.75</v>
      </c>
      <c r="E1860" s="118">
        <v>1.04</v>
      </c>
      <c r="F1860" s="118">
        <v>0.56999999999999995</v>
      </c>
      <c r="G1860" s="118">
        <v>36.481990000000003</v>
      </c>
    </row>
    <row r="1861" spans="2:7" x14ac:dyDescent="0.2">
      <c r="B1861" s="125" t="s">
        <v>3168</v>
      </c>
      <c r="C1861" s="118" t="s">
        <v>3169</v>
      </c>
      <c r="D1861" s="118">
        <v>1.25</v>
      </c>
      <c r="E1861" s="118">
        <v>4.96</v>
      </c>
      <c r="F1861" s="118">
        <v>0.32</v>
      </c>
      <c r="G1861" s="118">
        <v>24.082000000000001</v>
      </c>
    </row>
    <row r="1862" spans="2:7" x14ac:dyDescent="0.2">
      <c r="B1862" s="125" t="s">
        <v>3170</v>
      </c>
      <c r="C1862" s="118" t="s">
        <v>3171</v>
      </c>
      <c r="D1862" s="118">
        <v>4.8600000000000003</v>
      </c>
      <c r="E1862" s="118">
        <v>3.91</v>
      </c>
      <c r="F1862" s="118">
        <v>0.02</v>
      </c>
      <c r="G1862" s="118">
        <v>15.06799</v>
      </c>
    </row>
    <row r="1863" spans="2:7" x14ac:dyDescent="0.2">
      <c r="B1863" s="125" t="s">
        <v>3172</v>
      </c>
      <c r="C1863" s="118" t="s">
        <v>3173</v>
      </c>
      <c r="D1863" s="118">
        <v>0.36</v>
      </c>
      <c r="E1863" s="118">
        <v>0.44</v>
      </c>
      <c r="F1863" s="118">
        <v>1.53</v>
      </c>
      <c r="G1863" s="118">
        <v>57.258989999999997</v>
      </c>
    </row>
    <row r="1864" spans="2:7" x14ac:dyDescent="0.2">
      <c r="B1864" s="125" t="s">
        <v>3174</v>
      </c>
      <c r="C1864" s="118" t="s">
        <v>3175</v>
      </c>
      <c r="D1864" s="118">
        <v>1.53</v>
      </c>
      <c r="E1864" s="118">
        <v>1.51</v>
      </c>
      <c r="F1864" s="118">
        <v>1.82</v>
      </c>
      <c r="G1864" s="118">
        <v>64.502989999999997</v>
      </c>
    </row>
    <row r="1865" spans="2:7" x14ac:dyDescent="0.2">
      <c r="B1865" s="125" t="s">
        <v>4360</v>
      </c>
      <c r="C1865" s="118" t="s">
        <v>4361</v>
      </c>
      <c r="D1865" s="118"/>
      <c r="E1865" s="118"/>
      <c r="F1865" s="118"/>
      <c r="G1865" s="118"/>
    </row>
    <row r="1866" spans="2:7" x14ac:dyDescent="0.2">
      <c r="B1866" s="125" t="s">
        <v>3176</v>
      </c>
      <c r="C1866" s="118" t="s">
        <v>3177</v>
      </c>
      <c r="D1866" s="118">
        <v>0.38</v>
      </c>
      <c r="E1866" s="118">
        <v>0.38</v>
      </c>
      <c r="F1866" s="118">
        <v>0.26</v>
      </c>
      <c r="G1866" s="118">
        <v>20.571999999999999</v>
      </c>
    </row>
    <row r="1867" spans="2:7" x14ac:dyDescent="0.2">
      <c r="B1867" s="125" t="s">
        <v>3178</v>
      </c>
      <c r="C1867" s="118" t="s">
        <v>3179</v>
      </c>
      <c r="D1867" s="118"/>
      <c r="E1867" s="118"/>
      <c r="F1867" s="118"/>
      <c r="G1867" s="118"/>
    </row>
    <row r="1868" spans="2:7" x14ac:dyDescent="0.2">
      <c r="B1868" s="125" t="s">
        <v>3181</v>
      </c>
      <c r="C1868" s="118" t="s">
        <v>3182</v>
      </c>
      <c r="D1868" s="118">
        <v>1.71</v>
      </c>
      <c r="E1868" s="118">
        <v>2.94</v>
      </c>
      <c r="F1868" s="118">
        <v>0.02</v>
      </c>
      <c r="G1868" s="118">
        <v>1.9562999999999999</v>
      </c>
    </row>
    <row r="1869" spans="2:7" x14ac:dyDescent="0.2">
      <c r="B1869" s="125" t="s">
        <v>3184</v>
      </c>
      <c r="C1869" s="118" t="s">
        <v>3185</v>
      </c>
      <c r="D1869" s="118">
        <v>0.49</v>
      </c>
      <c r="E1869" s="118">
        <v>0.61</v>
      </c>
      <c r="F1869" s="118"/>
      <c r="G1869" s="118">
        <v>27.663989999999998</v>
      </c>
    </row>
    <row r="1870" spans="2:7" x14ac:dyDescent="0.2">
      <c r="B1870" s="125" t="s">
        <v>3186</v>
      </c>
      <c r="C1870" s="118" t="s">
        <v>3187</v>
      </c>
      <c r="D1870" s="118">
        <v>0.22</v>
      </c>
      <c r="E1870" s="118">
        <v>1.52</v>
      </c>
      <c r="F1870" s="118">
        <v>1.57</v>
      </c>
      <c r="G1870" s="118">
        <v>61.055</v>
      </c>
    </row>
    <row r="1871" spans="2:7" x14ac:dyDescent="0.2">
      <c r="B1871" s="125" t="s">
        <v>3188</v>
      </c>
      <c r="C1871" s="118" t="s">
        <v>3189</v>
      </c>
      <c r="D1871" s="118">
        <v>1.03</v>
      </c>
      <c r="E1871" s="118">
        <v>0.96</v>
      </c>
      <c r="F1871" s="118">
        <v>1.17</v>
      </c>
      <c r="G1871" s="118">
        <v>53.84299</v>
      </c>
    </row>
    <row r="1872" spans="2:7" x14ac:dyDescent="0.2">
      <c r="B1872" s="125" t="s">
        <v>4362</v>
      </c>
      <c r="C1872" s="118" t="s">
        <v>4363</v>
      </c>
      <c r="D1872" s="118"/>
      <c r="E1872" s="118"/>
      <c r="F1872" s="118"/>
      <c r="G1872" s="118"/>
    </row>
    <row r="1873" spans="2:7" x14ac:dyDescent="0.2">
      <c r="B1873" s="125" t="s">
        <v>3190</v>
      </c>
      <c r="C1873" s="118" t="s">
        <v>3191</v>
      </c>
      <c r="D1873" s="118">
        <v>0.52</v>
      </c>
      <c r="E1873" s="118">
        <v>1.06</v>
      </c>
      <c r="F1873" s="118">
        <v>1.71</v>
      </c>
      <c r="G1873" s="118">
        <v>64.263000000000005</v>
      </c>
    </row>
    <row r="1874" spans="2:7" x14ac:dyDescent="0.2">
      <c r="B1874" s="125" t="s">
        <v>3192</v>
      </c>
      <c r="C1874" s="118" t="s">
        <v>3193</v>
      </c>
      <c r="D1874" s="118">
        <v>2.38</v>
      </c>
      <c r="E1874" s="118">
        <v>1.62</v>
      </c>
      <c r="F1874" s="118">
        <v>0.03</v>
      </c>
      <c r="G1874" s="118">
        <v>3.1589900000000002</v>
      </c>
    </row>
    <row r="1875" spans="2:7" x14ac:dyDescent="0.2">
      <c r="B1875" s="125" t="s">
        <v>3195</v>
      </c>
      <c r="C1875" s="118" t="s">
        <v>3196</v>
      </c>
      <c r="D1875" s="118">
        <v>0.43</v>
      </c>
      <c r="E1875" s="118">
        <v>1.33</v>
      </c>
      <c r="F1875" s="118">
        <v>0.74</v>
      </c>
      <c r="G1875" s="118">
        <v>42.520989999999998</v>
      </c>
    </row>
    <row r="1876" spans="2:7" x14ac:dyDescent="0.2">
      <c r="B1876" s="125" t="s">
        <v>3197</v>
      </c>
      <c r="C1876" s="118" t="s">
        <v>3198</v>
      </c>
      <c r="D1876" s="118">
        <v>0.82</v>
      </c>
      <c r="E1876" s="118">
        <v>1.06</v>
      </c>
      <c r="F1876" s="118">
        <v>0.38</v>
      </c>
      <c r="G1876" s="118">
        <v>27.332999999999998</v>
      </c>
    </row>
    <row r="1877" spans="2:7" x14ac:dyDescent="0.2">
      <c r="B1877" s="125" t="s">
        <v>4364</v>
      </c>
      <c r="C1877" s="118" t="s">
        <v>4365</v>
      </c>
      <c r="D1877" s="118"/>
      <c r="E1877" s="118"/>
      <c r="F1877" s="118"/>
      <c r="G1877" s="118"/>
    </row>
    <row r="1878" spans="2:7" x14ac:dyDescent="0.2">
      <c r="B1878" s="125" t="s">
        <v>3199</v>
      </c>
      <c r="C1878" s="118" t="s">
        <v>3200</v>
      </c>
      <c r="D1878" s="118">
        <v>1.01</v>
      </c>
      <c r="E1878" s="118">
        <v>1.49</v>
      </c>
      <c r="F1878" s="118">
        <v>0.74</v>
      </c>
      <c r="G1878" s="118">
        <v>42.387</v>
      </c>
    </row>
    <row r="1879" spans="2:7" x14ac:dyDescent="0.2">
      <c r="B1879" s="125" t="s">
        <v>3201</v>
      </c>
      <c r="C1879" s="118" t="s">
        <v>3202</v>
      </c>
      <c r="D1879" s="118">
        <v>1.48</v>
      </c>
      <c r="E1879" s="118">
        <v>1.62</v>
      </c>
      <c r="F1879" s="118">
        <v>0.15</v>
      </c>
      <c r="G1879" s="118">
        <v>12.713990000000001</v>
      </c>
    </row>
    <row r="1880" spans="2:7" x14ac:dyDescent="0.2">
      <c r="B1880" s="125" t="s">
        <v>3203</v>
      </c>
      <c r="C1880" s="118" t="s">
        <v>3204</v>
      </c>
      <c r="D1880" s="118"/>
      <c r="E1880" s="118"/>
      <c r="F1880" s="118"/>
      <c r="G1880" s="118"/>
    </row>
    <row r="1881" spans="2:7" x14ac:dyDescent="0.2">
      <c r="B1881" s="125" t="s">
        <v>3205</v>
      </c>
      <c r="C1881" s="118" t="s">
        <v>3206</v>
      </c>
      <c r="D1881" s="118">
        <v>1.7</v>
      </c>
      <c r="E1881" s="118">
        <v>1.73</v>
      </c>
      <c r="F1881" s="118">
        <v>0.32</v>
      </c>
      <c r="G1881" s="118">
        <v>24.187000000000001</v>
      </c>
    </row>
    <row r="1882" spans="2:7" x14ac:dyDescent="0.2">
      <c r="B1882" s="125" t="s">
        <v>3207</v>
      </c>
      <c r="C1882" s="118" t="s">
        <v>3208</v>
      </c>
      <c r="D1882" s="118">
        <v>0.57999999999999996</v>
      </c>
      <c r="E1882" s="118">
        <v>0.85</v>
      </c>
      <c r="F1882" s="118"/>
      <c r="G1882" s="118">
        <v>55.923000000000002</v>
      </c>
    </row>
    <row r="1883" spans="2:7" x14ac:dyDescent="0.2">
      <c r="B1883" s="125" t="s">
        <v>4366</v>
      </c>
      <c r="C1883" s="118" t="s">
        <v>4367</v>
      </c>
      <c r="D1883" s="118">
        <v>0.94</v>
      </c>
      <c r="E1883" s="118">
        <v>1.62</v>
      </c>
      <c r="F1883" s="118"/>
      <c r="G1883" s="118">
        <v>15.03299</v>
      </c>
    </row>
    <row r="1884" spans="2:7" x14ac:dyDescent="0.2">
      <c r="B1884" s="125" t="s">
        <v>3209</v>
      </c>
      <c r="C1884" s="118" t="s">
        <v>3210</v>
      </c>
      <c r="D1884" s="118">
        <v>1.43</v>
      </c>
      <c r="E1884" s="118">
        <v>1.45</v>
      </c>
      <c r="F1884" s="118">
        <v>0.06</v>
      </c>
      <c r="G1884" s="118">
        <v>5.6581900000000003</v>
      </c>
    </row>
    <row r="1885" spans="2:7" x14ac:dyDescent="0.2">
      <c r="B1885" s="125" t="s">
        <v>3211</v>
      </c>
      <c r="C1885" s="118" t="s">
        <v>3212</v>
      </c>
      <c r="D1885" s="118">
        <v>0.72</v>
      </c>
      <c r="E1885" s="118">
        <v>0.71</v>
      </c>
      <c r="F1885" s="118">
        <v>1.42</v>
      </c>
      <c r="G1885" s="118">
        <v>58.626989999999999</v>
      </c>
    </row>
    <row r="1886" spans="2:7" x14ac:dyDescent="0.2">
      <c r="B1886" s="125" t="s">
        <v>4368</v>
      </c>
      <c r="C1886" s="118" t="s">
        <v>4369</v>
      </c>
      <c r="D1886" s="118">
        <v>0.7</v>
      </c>
      <c r="E1886" s="118">
        <v>0.52</v>
      </c>
      <c r="F1886" s="118"/>
      <c r="G1886" s="118">
        <v>43.285989999999998</v>
      </c>
    </row>
    <row r="1887" spans="2:7" x14ac:dyDescent="0.2">
      <c r="B1887" s="125" t="s">
        <v>3213</v>
      </c>
      <c r="C1887" s="118" t="s">
        <v>3214</v>
      </c>
      <c r="D1887" s="118">
        <v>1.46</v>
      </c>
      <c r="E1887" s="118">
        <v>1.59</v>
      </c>
      <c r="F1887" s="118">
        <v>1.38</v>
      </c>
      <c r="G1887" s="118">
        <v>58.037990000000001</v>
      </c>
    </row>
    <row r="1888" spans="2:7" x14ac:dyDescent="0.2">
      <c r="B1888" s="125" t="s">
        <v>3215</v>
      </c>
      <c r="C1888" s="118" t="s">
        <v>3216</v>
      </c>
      <c r="D1888" s="118"/>
      <c r="E1888" s="118"/>
      <c r="F1888" s="118"/>
      <c r="G1888" s="118"/>
    </row>
    <row r="1889" spans="2:7" x14ac:dyDescent="0.2">
      <c r="B1889" s="125" t="s">
        <v>4370</v>
      </c>
      <c r="C1889" s="118" t="s">
        <v>4371</v>
      </c>
      <c r="D1889" s="118"/>
      <c r="E1889" s="118">
        <v>1.73</v>
      </c>
      <c r="F1889" s="118">
        <v>0.01</v>
      </c>
      <c r="G1889" s="118">
        <v>0.76910999999999996</v>
      </c>
    </row>
    <row r="1890" spans="2:7" x14ac:dyDescent="0.2">
      <c r="B1890" s="125" t="s">
        <v>3217</v>
      </c>
      <c r="C1890" s="118" t="s">
        <v>3218</v>
      </c>
      <c r="D1890" s="118">
        <v>6.33</v>
      </c>
      <c r="E1890" s="118">
        <v>10.210000000000001</v>
      </c>
      <c r="F1890" s="118">
        <v>0.14000000000000001</v>
      </c>
      <c r="G1890" s="118">
        <v>12.163</v>
      </c>
    </row>
    <row r="1891" spans="2:7" x14ac:dyDescent="0.2">
      <c r="B1891" s="125" t="s">
        <v>3219</v>
      </c>
      <c r="C1891" s="118" t="s">
        <v>3220</v>
      </c>
      <c r="D1891" s="118">
        <v>1.1499999999999999</v>
      </c>
      <c r="E1891" s="118">
        <v>1.1200000000000001</v>
      </c>
      <c r="F1891" s="118">
        <v>0.09</v>
      </c>
      <c r="G1891" s="118">
        <v>6.4256000000000002</v>
      </c>
    </row>
    <row r="1892" spans="2:7" x14ac:dyDescent="0.2">
      <c r="B1892" s="125" t="s">
        <v>4372</v>
      </c>
      <c r="C1892" s="118" t="s">
        <v>4373</v>
      </c>
      <c r="D1892" s="118"/>
      <c r="E1892" s="118"/>
      <c r="F1892" s="118"/>
      <c r="G1892" s="118"/>
    </row>
    <row r="1893" spans="2:7" x14ac:dyDescent="0.2">
      <c r="B1893" s="125" t="s">
        <v>3221</v>
      </c>
      <c r="C1893" s="118" t="s">
        <v>3222</v>
      </c>
      <c r="D1893" s="118">
        <v>4.6900000000000004</v>
      </c>
      <c r="E1893" s="118">
        <v>4.33</v>
      </c>
      <c r="F1893" s="118">
        <v>0.28999999999999998</v>
      </c>
      <c r="G1893" s="118">
        <v>22.29899</v>
      </c>
    </row>
    <row r="1894" spans="2:7" x14ac:dyDescent="0.2">
      <c r="B1894" s="125" t="s">
        <v>3223</v>
      </c>
      <c r="C1894" s="118" t="s">
        <v>3224</v>
      </c>
      <c r="D1894" s="118">
        <v>0.95</v>
      </c>
      <c r="E1894" s="118">
        <v>2.2999999999999998</v>
      </c>
      <c r="F1894" s="118">
        <v>0.27</v>
      </c>
      <c r="G1894" s="118">
        <v>21.434000000000001</v>
      </c>
    </row>
    <row r="1895" spans="2:7" x14ac:dyDescent="0.2">
      <c r="B1895" s="125" t="s">
        <v>3225</v>
      </c>
      <c r="C1895" s="118" t="s">
        <v>3226</v>
      </c>
      <c r="D1895" s="118">
        <v>2.38</v>
      </c>
      <c r="E1895" s="118">
        <v>3.01</v>
      </c>
      <c r="F1895" s="118">
        <v>0.54</v>
      </c>
      <c r="G1895" s="118">
        <v>34.942999999999998</v>
      </c>
    </row>
    <row r="1896" spans="2:7" x14ac:dyDescent="0.2">
      <c r="B1896" s="125" t="s">
        <v>3227</v>
      </c>
      <c r="C1896" s="118" t="s">
        <v>3228</v>
      </c>
      <c r="D1896" s="118">
        <v>0.85</v>
      </c>
      <c r="E1896" s="118">
        <v>0.61</v>
      </c>
      <c r="F1896" s="118">
        <v>0.57999999999999996</v>
      </c>
      <c r="G1896" s="118">
        <v>36.555990000000001</v>
      </c>
    </row>
    <row r="1897" spans="2:7" x14ac:dyDescent="0.2">
      <c r="B1897" s="125" t="s">
        <v>3229</v>
      </c>
      <c r="C1897" s="118" t="s">
        <v>3230</v>
      </c>
      <c r="D1897" s="118">
        <v>1.05</v>
      </c>
      <c r="E1897" s="118">
        <v>2.17</v>
      </c>
      <c r="F1897" s="118">
        <v>0.68</v>
      </c>
      <c r="G1897" s="118">
        <v>40.372999999999998</v>
      </c>
    </row>
    <row r="1898" spans="2:7" x14ac:dyDescent="0.2">
      <c r="B1898" s="125" t="s">
        <v>4374</v>
      </c>
      <c r="C1898" s="118" t="s">
        <v>4375</v>
      </c>
      <c r="D1898" s="118"/>
      <c r="E1898" s="118"/>
      <c r="F1898" s="118"/>
      <c r="G1898" s="118"/>
    </row>
    <row r="1899" spans="2:7" x14ac:dyDescent="0.2">
      <c r="B1899" s="125" t="s">
        <v>3231</v>
      </c>
      <c r="C1899" s="118" t="s">
        <v>3232</v>
      </c>
      <c r="D1899" s="118">
        <v>1.22</v>
      </c>
      <c r="E1899" s="118">
        <v>1</v>
      </c>
      <c r="F1899" s="118">
        <v>0.02</v>
      </c>
      <c r="G1899" s="118">
        <v>2.3203</v>
      </c>
    </row>
    <row r="1900" spans="2:7" x14ac:dyDescent="0.2">
      <c r="B1900" s="125" t="s">
        <v>3233</v>
      </c>
      <c r="C1900" s="118" t="s">
        <v>4376</v>
      </c>
      <c r="D1900" s="118">
        <v>1.2</v>
      </c>
      <c r="E1900" s="118">
        <v>1.83</v>
      </c>
      <c r="F1900" s="118">
        <v>0.57999999999999996</v>
      </c>
      <c r="G1900" s="118">
        <v>36.807989999999997</v>
      </c>
    </row>
    <row r="1901" spans="2:7" x14ac:dyDescent="0.2">
      <c r="B1901" s="125" t="s">
        <v>3233</v>
      </c>
      <c r="C1901" s="118" t="s">
        <v>3234</v>
      </c>
      <c r="D1901" s="118">
        <v>1.2</v>
      </c>
      <c r="E1901" s="118">
        <v>1.83</v>
      </c>
      <c r="F1901" s="118">
        <v>0.57999999999999996</v>
      </c>
      <c r="G1901" s="118">
        <v>36.807989999999997</v>
      </c>
    </row>
    <row r="1902" spans="2:7" x14ac:dyDescent="0.2">
      <c r="B1902" s="125" t="s">
        <v>3235</v>
      </c>
      <c r="C1902" s="118" t="s">
        <v>3236</v>
      </c>
      <c r="D1902" s="118">
        <v>0.47</v>
      </c>
      <c r="E1902" s="118">
        <v>0.55000000000000004</v>
      </c>
      <c r="F1902" s="118">
        <v>1.76</v>
      </c>
      <c r="G1902" s="118">
        <v>63.781999999999996</v>
      </c>
    </row>
    <row r="1903" spans="2:7" x14ac:dyDescent="0.2">
      <c r="B1903" s="125" t="s">
        <v>4377</v>
      </c>
      <c r="C1903" s="118" t="s">
        <v>4378</v>
      </c>
      <c r="D1903" s="118">
        <v>2.0299999999999998</v>
      </c>
      <c r="E1903" s="118">
        <v>2.57</v>
      </c>
      <c r="F1903" s="118">
        <v>0.36</v>
      </c>
      <c r="G1903" s="118">
        <v>26.65399</v>
      </c>
    </row>
    <row r="1904" spans="2:7" x14ac:dyDescent="0.2">
      <c r="B1904" s="125" t="s">
        <v>3237</v>
      </c>
      <c r="C1904" s="118" t="s">
        <v>3238</v>
      </c>
      <c r="D1904" s="118">
        <v>1</v>
      </c>
      <c r="E1904" s="118">
        <v>0.96</v>
      </c>
      <c r="F1904" s="118">
        <v>3.54</v>
      </c>
      <c r="G1904" s="118">
        <v>77.966999999999999</v>
      </c>
    </row>
    <row r="1905" spans="2:7" x14ac:dyDescent="0.2">
      <c r="B1905" s="125" t="s">
        <v>4379</v>
      </c>
      <c r="C1905" s="118" t="s">
        <v>4380</v>
      </c>
      <c r="D1905" s="118"/>
      <c r="E1905" s="118"/>
      <c r="F1905" s="118"/>
      <c r="G1905" s="118"/>
    </row>
    <row r="1906" spans="2:7" x14ac:dyDescent="0.2">
      <c r="B1906" s="125" t="s">
        <v>3239</v>
      </c>
      <c r="C1906" s="118" t="s">
        <v>3240</v>
      </c>
      <c r="D1906" s="118">
        <v>1.01</v>
      </c>
      <c r="E1906" s="118">
        <v>1.04</v>
      </c>
      <c r="F1906" s="118">
        <v>0.53</v>
      </c>
      <c r="G1906" s="118">
        <v>34.853000000000002</v>
      </c>
    </row>
    <row r="1907" spans="2:7" x14ac:dyDescent="0.2">
      <c r="B1907" s="125" t="s">
        <v>4381</v>
      </c>
      <c r="C1907" s="118" t="s">
        <v>4382</v>
      </c>
      <c r="D1907" s="118"/>
      <c r="E1907" s="118"/>
      <c r="F1907" s="118"/>
      <c r="G1907" s="118"/>
    </row>
    <row r="1908" spans="2:7" x14ac:dyDescent="0.2">
      <c r="B1908" s="125" t="s">
        <v>3241</v>
      </c>
      <c r="C1908" s="118" t="s">
        <v>3242</v>
      </c>
      <c r="D1908" s="118"/>
      <c r="E1908" s="118"/>
      <c r="F1908" s="118"/>
      <c r="G1908" s="118"/>
    </row>
    <row r="1909" spans="2:7" x14ac:dyDescent="0.2">
      <c r="B1909" s="125" t="s">
        <v>3243</v>
      </c>
      <c r="C1909" s="118" t="s">
        <v>3244</v>
      </c>
      <c r="D1909" s="118">
        <v>7.61</v>
      </c>
      <c r="E1909" s="118">
        <v>6.43</v>
      </c>
      <c r="F1909" s="118">
        <v>1.32</v>
      </c>
      <c r="G1909" s="118">
        <v>62.137999999999998</v>
      </c>
    </row>
    <row r="1910" spans="2:7" x14ac:dyDescent="0.2">
      <c r="B1910" s="125" t="s">
        <v>3245</v>
      </c>
      <c r="C1910" s="118" t="s">
        <v>3246</v>
      </c>
      <c r="D1910" s="118">
        <v>0.91</v>
      </c>
      <c r="E1910" s="118">
        <v>1.08</v>
      </c>
      <c r="F1910" s="118">
        <v>1.03</v>
      </c>
      <c r="G1910" s="118">
        <v>50.69699</v>
      </c>
    </row>
    <row r="1911" spans="2:7" x14ac:dyDescent="0.2">
      <c r="B1911" s="125" t="s">
        <v>3247</v>
      </c>
      <c r="C1911" s="118" t="s">
        <v>3248</v>
      </c>
      <c r="D1911" s="118">
        <v>2.0299999999999998</v>
      </c>
      <c r="E1911" s="118">
        <v>3.01</v>
      </c>
      <c r="F1911" s="118">
        <v>1.45</v>
      </c>
      <c r="G1911" s="118">
        <v>59.244990000000001</v>
      </c>
    </row>
    <row r="1912" spans="2:7" x14ac:dyDescent="0.2">
      <c r="B1912" s="125" t="s">
        <v>3249</v>
      </c>
      <c r="C1912" s="118" t="s">
        <v>3250</v>
      </c>
      <c r="D1912" s="118">
        <v>1.93</v>
      </c>
      <c r="E1912" s="118">
        <v>1.78</v>
      </c>
      <c r="F1912" s="118">
        <v>1.1100000000000001</v>
      </c>
      <c r="G1912" s="118">
        <v>53.485999999999997</v>
      </c>
    </row>
    <row r="1913" spans="2:7" x14ac:dyDescent="0.2">
      <c r="B1913" s="125" t="s">
        <v>3251</v>
      </c>
      <c r="C1913" s="118" t="s">
        <v>3252</v>
      </c>
      <c r="D1913" s="118">
        <v>1.24</v>
      </c>
      <c r="E1913" s="118">
        <v>1.27</v>
      </c>
      <c r="F1913" s="118">
        <v>0.79</v>
      </c>
      <c r="G1913" s="118">
        <v>44.247</v>
      </c>
    </row>
    <row r="1914" spans="2:7" x14ac:dyDescent="0.2">
      <c r="B1914" s="125" t="s">
        <v>3253</v>
      </c>
      <c r="C1914" s="118" t="s">
        <v>3254</v>
      </c>
      <c r="D1914" s="118">
        <v>2.73</v>
      </c>
      <c r="E1914" s="118">
        <v>4.21</v>
      </c>
      <c r="F1914" s="118">
        <v>4.68</v>
      </c>
      <c r="G1914" s="118">
        <v>82.397000000000006</v>
      </c>
    </row>
    <row r="1915" spans="2:7" x14ac:dyDescent="0.2">
      <c r="B1915" s="125" t="s">
        <v>3255</v>
      </c>
      <c r="C1915" s="118" t="s">
        <v>3256</v>
      </c>
      <c r="D1915" s="118">
        <v>0.56999999999999995</v>
      </c>
      <c r="E1915" s="118">
        <v>0.81</v>
      </c>
      <c r="F1915" s="118"/>
      <c r="G1915" s="118">
        <v>0</v>
      </c>
    </row>
    <row r="1916" spans="2:7" x14ac:dyDescent="0.2">
      <c r="B1916" s="125" t="s">
        <v>3257</v>
      </c>
      <c r="C1916" s="118" t="s">
        <v>3258</v>
      </c>
      <c r="D1916" s="118">
        <v>0.85</v>
      </c>
      <c r="E1916" s="118">
        <v>1.8</v>
      </c>
      <c r="F1916" s="118">
        <v>0.92</v>
      </c>
      <c r="G1916" s="118">
        <v>47.79</v>
      </c>
    </row>
    <row r="1917" spans="2:7" x14ac:dyDescent="0.2">
      <c r="B1917" s="125" t="s">
        <v>3259</v>
      </c>
      <c r="C1917" s="118" t="s">
        <v>3260</v>
      </c>
      <c r="D1917" s="118">
        <v>0.69</v>
      </c>
      <c r="E1917" s="118">
        <v>0.68</v>
      </c>
      <c r="F1917" s="118">
        <v>0.04</v>
      </c>
      <c r="G1917" s="118">
        <v>3.4512</v>
      </c>
    </row>
    <row r="1918" spans="2:7" x14ac:dyDescent="0.2">
      <c r="B1918" s="125" t="s">
        <v>4383</v>
      </c>
      <c r="C1918" s="118" t="s">
        <v>4384</v>
      </c>
      <c r="D1918" s="118">
        <v>2.46</v>
      </c>
      <c r="E1918" s="118">
        <v>1.95</v>
      </c>
      <c r="F1918" s="118">
        <v>0.25</v>
      </c>
      <c r="G1918" s="118">
        <v>20.08399</v>
      </c>
    </row>
    <row r="1919" spans="2:7" x14ac:dyDescent="0.2">
      <c r="B1919" s="125" t="s">
        <v>3261</v>
      </c>
      <c r="C1919" s="118" t="s">
        <v>3262</v>
      </c>
      <c r="D1919" s="118">
        <v>0.98</v>
      </c>
      <c r="E1919" s="118">
        <v>1.01</v>
      </c>
      <c r="F1919" s="118">
        <v>0.28000000000000003</v>
      </c>
      <c r="G1919" s="118">
        <v>21.92399</v>
      </c>
    </row>
    <row r="1920" spans="2:7" x14ac:dyDescent="0.2">
      <c r="B1920" s="125" t="s">
        <v>3263</v>
      </c>
      <c r="C1920" s="118" t="s">
        <v>3264</v>
      </c>
      <c r="D1920" s="118">
        <v>0.56999999999999995</v>
      </c>
      <c r="E1920" s="118">
        <v>0.81</v>
      </c>
      <c r="F1920" s="118"/>
      <c r="G1920" s="118">
        <v>0</v>
      </c>
    </row>
    <row r="1921" spans="2:7" x14ac:dyDescent="0.2">
      <c r="B1921" s="125" t="s">
        <v>3265</v>
      </c>
      <c r="C1921" s="118" t="s">
        <v>3266</v>
      </c>
      <c r="D1921" s="118"/>
      <c r="E1921" s="118"/>
      <c r="F1921" s="118"/>
      <c r="G1921" s="118"/>
    </row>
    <row r="1922" spans="2:7" x14ac:dyDescent="0.2">
      <c r="B1922" s="125" t="s">
        <v>3267</v>
      </c>
      <c r="C1922" s="118" t="s">
        <v>3268</v>
      </c>
      <c r="D1922" s="118"/>
      <c r="E1922" s="118">
        <v>4.95</v>
      </c>
      <c r="F1922" s="118"/>
      <c r="G1922" s="118">
        <v>0</v>
      </c>
    </row>
    <row r="1923" spans="2:7" x14ac:dyDescent="0.2">
      <c r="B1923" s="125" t="s">
        <v>3269</v>
      </c>
      <c r="C1923" s="118" t="s">
        <v>3270</v>
      </c>
      <c r="D1923" s="118">
        <v>0.73</v>
      </c>
      <c r="E1923" s="118">
        <v>0.67</v>
      </c>
      <c r="F1923" s="118">
        <v>0.62</v>
      </c>
      <c r="G1923" s="118">
        <v>39.636000000000003</v>
      </c>
    </row>
    <row r="1924" spans="2:7" x14ac:dyDescent="0.2">
      <c r="B1924" s="125" t="s">
        <v>4385</v>
      </c>
      <c r="C1924" s="118" t="s">
        <v>4386</v>
      </c>
      <c r="D1924" s="118"/>
      <c r="E1924" s="118"/>
      <c r="F1924" s="118"/>
      <c r="G1924" s="118"/>
    </row>
    <row r="1925" spans="2:7" x14ac:dyDescent="0.2">
      <c r="B1925" s="125" t="s">
        <v>3271</v>
      </c>
      <c r="C1925" s="118" t="s">
        <v>3272</v>
      </c>
      <c r="D1925" s="118">
        <v>0.17</v>
      </c>
      <c r="E1925" s="118">
        <v>0.17</v>
      </c>
      <c r="F1925" s="118">
        <v>0.35</v>
      </c>
      <c r="G1925" s="118">
        <v>26.114989999999999</v>
      </c>
    </row>
    <row r="1926" spans="2:7" x14ac:dyDescent="0.2">
      <c r="B1926" s="125" t="s">
        <v>3273</v>
      </c>
      <c r="C1926" s="118" t="s">
        <v>3274</v>
      </c>
      <c r="D1926" s="118">
        <v>0.74</v>
      </c>
      <c r="E1926" s="118">
        <v>0.72</v>
      </c>
      <c r="F1926" s="118">
        <v>1.26</v>
      </c>
      <c r="G1926" s="118">
        <v>55.816000000000003</v>
      </c>
    </row>
    <row r="1927" spans="2:7" x14ac:dyDescent="0.2">
      <c r="B1927" s="125" t="s">
        <v>3275</v>
      </c>
      <c r="C1927" s="118" t="s">
        <v>3276</v>
      </c>
      <c r="D1927" s="118">
        <v>1.04</v>
      </c>
      <c r="E1927" s="118">
        <v>1.75</v>
      </c>
      <c r="F1927" s="118">
        <v>1.76</v>
      </c>
      <c r="G1927" s="118">
        <v>63.723990000000001</v>
      </c>
    </row>
    <row r="1928" spans="2:7" x14ac:dyDescent="0.2">
      <c r="B1928" s="125" t="s">
        <v>3277</v>
      </c>
      <c r="C1928" s="118" t="s">
        <v>3278</v>
      </c>
      <c r="D1928" s="118"/>
      <c r="E1928" s="118"/>
      <c r="F1928" s="118"/>
      <c r="G1928" s="118"/>
    </row>
    <row r="1929" spans="2:7" x14ac:dyDescent="0.2">
      <c r="B1929" s="125" t="s">
        <v>3279</v>
      </c>
      <c r="C1929" s="118" t="s">
        <v>3280</v>
      </c>
      <c r="D1929" s="118">
        <v>1.1499999999999999</v>
      </c>
      <c r="E1929" s="118">
        <v>1.0900000000000001</v>
      </c>
      <c r="F1929" s="118">
        <v>4.62</v>
      </c>
      <c r="G1929" s="118">
        <v>82.200990000000004</v>
      </c>
    </row>
    <row r="1930" spans="2:7" x14ac:dyDescent="0.2">
      <c r="B1930" s="125" t="s">
        <v>3281</v>
      </c>
      <c r="C1930" s="118" t="s">
        <v>3282</v>
      </c>
      <c r="D1930" s="118">
        <v>0.78</v>
      </c>
      <c r="E1930" s="118">
        <v>0.73</v>
      </c>
      <c r="F1930" s="118">
        <v>3.08</v>
      </c>
      <c r="G1930" s="118">
        <v>75.468999999999994</v>
      </c>
    </row>
    <row r="1931" spans="2:7" x14ac:dyDescent="0.2">
      <c r="B1931" s="125" t="s">
        <v>3283</v>
      </c>
      <c r="C1931" s="118" t="s">
        <v>3284</v>
      </c>
      <c r="D1931" s="118">
        <v>0.85</v>
      </c>
      <c r="E1931" s="118">
        <v>0.84</v>
      </c>
      <c r="F1931" s="118">
        <v>0.86</v>
      </c>
      <c r="G1931" s="118">
        <v>43.372999999999998</v>
      </c>
    </row>
    <row r="1932" spans="2:7" x14ac:dyDescent="0.2">
      <c r="B1932" s="125" t="s">
        <v>3285</v>
      </c>
      <c r="C1932" s="118" t="s">
        <v>3286</v>
      </c>
      <c r="D1932" s="118">
        <v>0.82</v>
      </c>
      <c r="E1932" s="118">
        <v>1.37</v>
      </c>
      <c r="F1932" s="118">
        <v>0.9</v>
      </c>
      <c r="G1932" s="118">
        <v>47.444989999999997</v>
      </c>
    </row>
    <row r="1933" spans="2:7" x14ac:dyDescent="0.2">
      <c r="B1933" s="125" t="s">
        <v>3287</v>
      </c>
      <c r="C1933" s="118" t="s">
        <v>3288</v>
      </c>
      <c r="D1933" s="118">
        <v>2.42</v>
      </c>
      <c r="E1933" s="118">
        <v>2.3199999999999998</v>
      </c>
      <c r="F1933" s="118">
        <v>0.59</v>
      </c>
      <c r="G1933" s="118">
        <v>37.113990000000001</v>
      </c>
    </row>
    <row r="1934" spans="2:7" x14ac:dyDescent="0.2">
      <c r="B1934" s="125" t="s">
        <v>3289</v>
      </c>
      <c r="C1934" s="118" t="s">
        <v>3290</v>
      </c>
      <c r="D1934" s="118"/>
      <c r="E1934" s="118"/>
      <c r="F1934" s="118"/>
      <c r="G1934" s="118"/>
    </row>
    <row r="1935" spans="2:7" x14ac:dyDescent="0.2">
      <c r="B1935" s="125" t="s">
        <v>3291</v>
      </c>
      <c r="C1935" s="118" t="s">
        <v>3292</v>
      </c>
      <c r="D1935" s="118">
        <v>6.03</v>
      </c>
      <c r="E1935" s="118">
        <v>4.62</v>
      </c>
      <c r="F1935" s="118">
        <v>0.31</v>
      </c>
      <c r="G1935" s="118">
        <v>23.820989999999998</v>
      </c>
    </row>
    <row r="1936" spans="2:7" x14ac:dyDescent="0.2">
      <c r="B1936" s="125" t="s">
        <v>3293</v>
      </c>
      <c r="C1936" s="118" t="s">
        <v>3294</v>
      </c>
      <c r="D1936" s="118">
        <v>0.81</v>
      </c>
      <c r="E1936" s="118">
        <v>1.05</v>
      </c>
      <c r="F1936" s="118">
        <v>0.93</v>
      </c>
      <c r="G1936" s="118">
        <v>48.377989999999997</v>
      </c>
    </row>
    <row r="1937" spans="2:7" x14ac:dyDescent="0.2">
      <c r="B1937" s="125" t="s">
        <v>4387</v>
      </c>
      <c r="C1937" s="118" t="s">
        <v>4388</v>
      </c>
      <c r="D1937" s="118"/>
      <c r="E1937" s="118"/>
      <c r="F1937" s="118"/>
      <c r="G1937" s="118"/>
    </row>
    <row r="1938" spans="2:7" x14ac:dyDescent="0.2">
      <c r="B1938" s="125" t="s">
        <v>3295</v>
      </c>
      <c r="C1938" s="118" t="s">
        <v>3296</v>
      </c>
      <c r="D1938" s="118">
        <v>1.61</v>
      </c>
      <c r="E1938" s="118">
        <v>1.69</v>
      </c>
      <c r="F1938" s="118">
        <v>0.56999999999999995</v>
      </c>
      <c r="G1938" s="118">
        <v>32.296999999999997</v>
      </c>
    </row>
    <row r="1939" spans="2:7" x14ac:dyDescent="0.2">
      <c r="B1939" s="125" t="s">
        <v>3297</v>
      </c>
      <c r="C1939" s="118" t="s">
        <v>3298</v>
      </c>
      <c r="D1939" s="118">
        <v>2.71</v>
      </c>
      <c r="E1939" s="118">
        <v>3.41</v>
      </c>
      <c r="F1939" s="118">
        <v>1.21</v>
      </c>
      <c r="G1939" s="118">
        <v>54.70299</v>
      </c>
    </row>
    <row r="1940" spans="2:7" x14ac:dyDescent="0.2">
      <c r="B1940" s="125" t="s">
        <v>3299</v>
      </c>
      <c r="C1940" s="118" t="s">
        <v>3300</v>
      </c>
      <c r="D1940" s="118">
        <v>1.19</v>
      </c>
      <c r="E1940" s="118">
        <v>1.24</v>
      </c>
      <c r="F1940" s="118">
        <v>0.37</v>
      </c>
      <c r="G1940" s="118">
        <v>27.103999999999999</v>
      </c>
    </row>
    <row r="1941" spans="2:7" x14ac:dyDescent="0.2">
      <c r="B1941" s="125" t="s">
        <v>3301</v>
      </c>
      <c r="C1941" s="118" t="s">
        <v>3302</v>
      </c>
      <c r="D1941" s="118">
        <v>1.31</v>
      </c>
      <c r="E1941" s="118">
        <v>1.29</v>
      </c>
      <c r="F1941" s="118">
        <v>0</v>
      </c>
      <c r="G1941" s="118">
        <v>0</v>
      </c>
    </row>
    <row r="1942" spans="2:7" x14ac:dyDescent="0.2">
      <c r="B1942" s="125" t="s">
        <v>4389</v>
      </c>
      <c r="C1942" s="118" t="s">
        <v>4390</v>
      </c>
      <c r="D1942" s="118">
        <v>0.88</v>
      </c>
      <c r="E1942" s="118">
        <v>0.92</v>
      </c>
      <c r="F1942" s="118"/>
      <c r="G1942" s="118">
        <v>49.736989999999999</v>
      </c>
    </row>
    <row r="1943" spans="2:7" x14ac:dyDescent="0.2">
      <c r="B1943" s="125" t="s">
        <v>4391</v>
      </c>
      <c r="C1943" s="118" t="s">
        <v>4392</v>
      </c>
      <c r="D1943" s="118">
        <v>0.61</v>
      </c>
      <c r="E1943" s="118">
        <v>0.78</v>
      </c>
      <c r="F1943" s="118"/>
      <c r="G1943" s="118">
        <v>32.229990000000001</v>
      </c>
    </row>
    <row r="1944" spans="2:7" x14ac:dyDescent="0.2">
      <c r="B1944" s="125" t="s">
        <v>3303</v>
      </c>
      <c r="C1944" s="118" t="s">
        <v>3304</v>
      </c>
      <c r="D1944" s="118">
        <v>3.57</v>
      </c>
      <c r="E1944" s="118">
        <v>4.2300000000000004</v>
      </c>
      <c r="F1944" s="118">
        <v>0.01</v>
      </c>
      <c r="G1944" s="118">
        <v>1.0625</v>
      </c>
    </row>
    <row r="1945" spans="2:7" x14ac:dyDescent="0.2">
      <c r="B1945" s="125" t="s">
        <v>3305</v>
      </c>
      <c r="C1945" s="118" t="s">
        <v>3306</v>
      </c>
      <c r="D1945" s="118"/>
      <c r="E1945" s="118"/>
      <c r="F1945" s="118"/>
      <c r="G1945" s="118"/>
    </row>
    <row r="1946" spans="2:7" x14ac:dyDescent="0.2">
      <c r="B1946" s="125" t="s">
        <v>3307</v>
      </c>
      <c r="C1946" s="118" t="s">
        <v>3308</v>
      </c>
      <c r="D1946" s="118">
        <v>0.67</v>
      </c>
      <c r="E1946" s="118">
        <v>0.61</v>
      </c>
      <c r="F1946" s="118">
        <v>2.6</v>
      </c>
      <c r="G1946" s="118">
        <v>72.23</v>
      </c>
    </row>
    <row r="1947" spans="2:7" x14ac:dyDescent="0.2">
      <c r="B1947" s="125" t="s">
        <v>3309</v>
      </c>
      <c r="C1947" s="118" t="s">
        <v>3310</v>
      </c>
      <c r="D1947" s="118">
        <v>0.78</v>
      </c>
      <c r="E1947" s="118">
        <v>1.1000000000000001</v>
      </c>
      <c r="F1947" s="118">
        <v>0.75</v>
      </c>
      <c r="G1947" s="118">
        <v>42.738990000000001</v>
      </c>
    </row>
    <row r="1948" spans="2:7" x14ac:dyDescent="0.2">
      <c r="B1948" s="125" t="s">
        <v>3311</v>
      </c>
      <c r="C1948" s="118" t="s">
        <v>3312</v>
      </c>
      <c r="D1948" s="118">
        <v>1.03</v>
      </c>
      <c r="E1948" s="118">
        <v>2.0499999999999998</v>
      </c>
      <c r="F1948" s="118">
        <v>0.76</v>
      </c>
      <c r="G1948" s="118">
        <v>43.299990000000001</v>
      </c>
    </row>
    <row r="1949" spans="2:7" x14ac:dyDescent="0.2">
      <c r="B1949" s="125" t="s">
        <v>4393</v>
      </c>
      <c r="C1949" s="118" t="s">
        <v>4394</v>
      </c>
      <c r="D1949" s="118"/>
      <c r="E1949" s="118"/>
      <c r="F1949" s="118"/>
      <c r="G1949" s="118"/>
    </row>
    <row r="1950" spans="2:7" x14ac:dyDescent="0.2">
      <c r="B1950" s="125" t="s">
        <v>3315</v>
      </c>
      <c r="C1950" s="118" t="s">
        <v>4395</v>
      </c>
      <c r="D1950" s="118">
        <v>1.28</v>
      </c>
      <c r="E1950" s="118">
        <v>1.36</v>
      </c>
      <c r="F1950" s="118">
        <v>1.02</v>
      </c>
      <c r="G1950" s="118">
        <v>51.165999999999997</v>
      </c>
    </row>
    <row r="1951" spans="2:7" x14ac:dyDescent="0.2">
      <c r="B1951" s="125" t="s">
        <v>4396</v>
      </c>
      <c r="C1951" s="118" t="s">
        <v>4397</v>
      </c>
      <c r="D1951" s="118"/>
      <c r="E1951" s="118"/>
      <c r="F1951" s="118"/>
      <c r="G1951" s="118"/>
    </row>
    <row r="1952" spans="2:7" x14ac:dyDescent="0.2">
      <c r="B1952" s="125" t="s">
        <v>3315</v>
      </c>
      <c r="C1952" s="118" t="s">
        <v>3316</v>
      </c>
      <c r="D1952" s="118">
        <v>1.28</v>
      </c>
      <c r="E1952" s="118">
        <v>1.36</v>
      </c>
      <c r="F1952" s="118">
        <v>1.02</v>
      </c>
      <c r="G1952" s="118">
        <v>51.165999999999997</v>
      </c>
    </row>
    <row r="1953" spans="2:7" x14ac:dyDescent="0.2">
      <c r="B1953" s="125" t="s">
        <v>3317</v>
      </c>
      <c r="C1953" s="118" t="s">
        <v>3318</v>
      </c>
      <c r="D1953" s="118">
        <v>2.87</v>
      </c>
      <c r="E1953" s="118">
        <v>3.23</v>
      </c>
      <c r="F1953" s="118">
        <v>0.8</v>
      </c>
      <c r="G1953" s="118">
        <v>44.366</v>
      </c>
    </row>
    <row r="1954" spans="2:7" x14ac:dyDescent="0.2">
      <c r="B1954" s="125" t="s">
        <v>3319</v>
      </c>
      <c r="C1954" s="118" t="s">
        <v>3320</v>
      </c>
      <c r="D1954" s="118">
        <v>162.33000000000001</v>
      </c>
      <c r="E1954" s="118">
        <v>179.91</v>
      </c>
      <c r="F1954" s="118">
        <v>0.51</v>
      </c>
      <c r="G1954" s="118">
        <v>33.816000000000003</v>
      </c>
    </row>
    <row r="1955" spans="2:7" x14ac:dyDescent="0.2">
      <c r="B1955" s="125" t="s">
        <v>3321</v>
      </c>
      <c r="C1955" s="118" t="s">
        <v>3322</v>
      </c>
      <c r="D1955" s="118">
        <v>0.85</v>
      </c>
      <c r="E1955" s="118">
        <v>1.07</v>
      </c>
      <c r="F1955" s="118">
        <v>0</v>
      </c>
      <c r="G1955" s="118">
        <v>0</v>
      </c>
    </row>
    <row r="1956" spans="2:7" x14ac:dyDescent="0.2">
      <c r="B1956" s="125" t="s">
        <v>3323</v>
      </c>
      <c r="C1956" s="118" t="s">
        <v>3324</v>
      </c>
      <c r="D1956" s="118">
        <v>0.68</v>
      </c>
      <c r="E1956" s="118">
        <v>0.63</v>
      </c>
      <c r="F1956" s="118">
        <v>1.72</v>
      </c>
      <c r="G1956" s="118">
        <v>63.181989999999999</v>
      </c>
    </row>
    <row r="1957" spans="2:7" x14ac:dyDescent="0.2">
      <c r="B1957" s="125" t="s">
        <v>3325</v>
      </c>
      <c r="C1957" s="118" t="s">
        <v>3326</v>
      </c>
      <c r="D1957" s="118">
        <v>1.04</v>
      </c>
      <c r="E1957" s="118">
        <v>1.02</v>
      </c>
      <c r="F1957" s="118">
        <v>0.17</v>
      </c>
      <c r="G1957" s="118">
        <v>14.262</v>
      </c>
    </row>
    <row r="1958" spans="2:7" x14ac:dyDescent="0.2">
      <c r="B1958" s="125" t="s">
        <v>3327</v>
      </c>
      <c r="C1958" s="118" t="s">
        <v>3328</v>
      </c>
      <c r="D1958" s="118">
        <v>1.0900000000000001</v>
      </c>
      <c r="E1958" s="118">
        <v>1.1100000000000001</v>
      </c>
      <c r="F1958" s="118"/>
      <c r="G1958" s="118">
        <v>16.433</v>
      </c>
    </row>
    <row r="1959" spans="2:7" x14ac:dyDescent="0.2">
      <c r="B1959" s="125" t="s">
        <v>3329</v>
      </c>
      <c r="C1959" s="118" t="s">
        <v>3330</v>
      </c>
      <c r="D1959" s="118">
        <v>0.71</v>
      </c>
      <c r="E1959" s="118">
        <v>0.95</v>
      </c>
      <c r="F1959" s="118"/>
      <c r="G1959" s="118">
        <v>39.189990000000002</v>
      </c>
    </row>
    <row r="1960" spans="2:7" x14ac:dyDescent="0.2">
      <c r="B1960" s="125" t="s">
        <v>3331</v>
      </c>
      <c r="C1960" s="118" t="s">
        <v>3332</v>
      </c>
      <c r="D1960" s="118">
        <v>1.04</v>
      </c>
      <c r="E1960" s="118">
        <v>1.42</v>
      </c>
      <c r="F1960" s="118">
        <v>0.42</v>
      </c>
      <c r="G1960" s="118">
        <v>29.566990000000001</v>
      </c>
    </row>
    <row r="1961" spans="2:7" x14ac:dyDescent="0.2">
      <c r="B1961" s="125" t="s">
        <v>3333</v>
      </c>
      <c r="C1961" s="118" t="s">
        <v>3334</v>
      </c>
      <c r="D1961" s="118"/>
      <c r="E1961" s="118">
        <v>1.51</v>
      </c>
      <c r="F1961" s="118"/>
      <c r="G1961" s="118">
        <v>31.363</v>
      </c>
    </row>
    <row r="1962" spans="2:7" x14ac:dyDescent="0.2">
      <c r="B1962" s="125" t="s">
        <v>3336</v>
      </c>
      <c r="C1962" s="118" t="s">
        <v>3337</v>
      </c>
      <c r="D1962" s="118">
        <v>0.87</v>
      </c>
      <c r="E1962" s="118">
        <v>1.25</v>
      </c>
      <c r="F1962" s="118">
        <v>0.8</v>
      </c>
      <c r="G1962" s="118">
        <v>44.416989999999998</v>
      </c>
    </row>
    <row r="1963" spans="2:7" x14ac:dyDescent="0.2">
      <c r="B1963" s="125" t="s">
        <v>3338</v>
      </c>
      <c r="C1963" s="118" t="s">
        <v>3339</v>
      </c>
      <c r="D1963" s="118">
        <v>0.95</v>
      </c>
      <c r="E1963" s="118">
        <v>0.96</v>
      </c>
      <c r="F1963" s="118">
        <v>0.56000000000000005</v>
      </c>
      <c r="G1963" s="118">
        <v>34.622999999999998</v>
      </c>
    </row>
    <row r="1964" spans="2:7" x14ac:dyDescent="0.2">
      <c r="B1964" s="125" t="s">
        <v>3340</v>
      </c>
      <c r="C1964" s="118" t="s">
        <v>3341</v>
      </c>
      <c r="D1964" s="118">
        <v>1.08</v>
      </c>
      <c r="E1964" s="118">
        <v>1.89</v>
      </c>
      <c r="F1964" s="118">
        <v>0.59</v>
      </c>
      <c r="G1964" s="118">
        <v>37.177999999999997</v>
      </c>
    </row>
    <row r="1965" spans="2:7" x14ac:dyDescent="0.2">
      <c r="B1965" s="125" t="s">
        <v>3344</v>
      </c>
      <c r="C1965" s="118" t="s">
        <v>3345</v>
      </c>
      <c r="D1965" s="118">
        <v>0.99</v>
      </c>
      <c r="E1965" s="118">
        <v>0.96</v>
      </c>
      <c r="F1965" s="118">
        <v>0.93</v>
      </c>
      <c r="G1965" s="118">
        <v>48.180990000000001</v>
      </c>
    </row>
    <row r="1966" spans="2:7" x14ac:dyDescent="0.2">
      <c r="B1966" s="125" t="s">
        <v>3346</v>
      </c>
      <c r="C1966" s="118" t="s">
        <v>3347</v>
      </c>
      <c r="D1966" s="118">
        <v>4</v>
      </c>
      <c r="E1966" s="118">
        <v>4.87</v>
      </c>
      <c r="F1966" s="118">
        <v>1.1399999999999999</v>
      </c>
      <c r="G1966" s="118">
        <v>52.811999999999998</v>
      </c>
    </row>
    <row r="1967" spans="2:7" x14ac:dyDescent="0.2">
      <c r="B1967" s="125" t="s">
        <v>3348</v>
      </c>
      <c r="C1967" s="118" t="s">
        <v>3349</v>
      </c>
      <c r="D1967" s="118">
        <v>10.84</v>
      </c>
      <c r="E1967" s="118">
        <v>17.7</v>
      </c>
      <c r="F1967" s="118">
        <v>0.13</v>
      </c>
      <c r="G1967" s="118">
        <v>11.697990000000001</v>
      </c>
    </row>
    <row r="1968" spans="2:7" x14ac:dyDescent="0.2">
      <c r="B1968" s="125" t="s">
        <v>4398</v>
      </c>
      <c r="C1968" s="118" t="s">
        <v>4399</v>
      </c>
      <c r="D1968" s="118"/>
      <c r="E1968" s="118"/>
      <c r="F1968" s="118"/>
      <c r="G1968" s="118"/>
    </row>
    <row r="1969" spans="2:7" x14ac:dyDescent="0.2">
      <c r="B1969" s="125" t="s">
        <v>3350</v>
      </c>
      <c r="C1969" s="118" t="s">
        <v>3351</v>
      </c>
      <c r="D1969" s="118">
        <v>1.52</v>
      </c>
      <c r="E1969" s="118">
        <v>1.55</v>
      </c>
      <c r="F1969" s="118"/>
      <c r="G1969" s="118">
        <v>43.417990000000003</v>
      </c>
    </row>
    <row r="1970" spans="2:7" x14ac:dyDescent="0.2">
      <c r="B1970" s="125" t="s">
        <v>4400</v>
      </c>
      <c r="C1970" s="118" t="s">
        <v>4401</v>
      </c>
      <c r="D1970" s="118"/>
      <c r="E1970" s="118"/>
      <c r="F1970" s="118"/>
      <c r="G1970" s="118"/>
    </row>
    <row r="1971" spans="2:7" x14ac:dyDescent="0.2">
      <c r="B1971" s="125" t="s">
        <v>3352</v>
      </c>
      <c r="C1971" s="118" t="s">
        <v>3353</v>
      </c>
      <c r="D1971" s="118">
        <v>0.69</v>
      </c>
      <c r="E1971" s="118">
        <v>0.69</v>
      </c>
      <c r="F1971" s="118"/>
      <c r="G1971" s="118">
        <v>37.834989999999998</v>
      </c>
    </row>
    <row r="1972" spans="2:7" x14ac:dyDescent="0.2">
      <c r="B1972" s="125" t="s">
        <v>3354</v>
      </c>
      <c r="C1972" s="118" t="s">
        <v>3355</v>
      </c>
      <c r="D1972" s="118">
        <v>0.17</v>
      </c>
      <c r="E1972" s="118">
        <v>0.17</v>
      </c>
      <c r="F1972" s="118">
        <v>0.47</v>
      </c>
      <c r="G1972" s="118">
        <v>31.824999999999999</v>
      </c>
    </row>
    <row r="1973" spans="2:7" x14ac:dyDescent="0.2">
      <c r="B1973" s="125" t="s">
        <v>3356</v>
      </c>
      <c r="C1973" s="118" t="s">
        <v>3357</v>
      </c>
      <c r="D1973" s="118">
        <v>1.48</v>
      </c>
      <c r="E1973" s="118">
        <v>1.5</v>
      </c>
      <c r="F1973" s="118">
        <v>0.68</v>
      </c>
      <c r="G1973" s="118">
        <v>40.472990000000003</v>
      </c>
    </row>
    <row r="1974" spans="2:7" x14ac:dyDescent="0.2">
      <c r="B1974" s="125" t="s">
        <v>3358</v>
      </c>
      <c r="C1974" s="118" t="s">
        <v>3359</v>
      </c>
      <c r="D1974" s="118">
        <v>0.49</v>
      </c>
      <c r="E1974" s="118">
        <v>0.77</v>
      </c>
      <c r="F1974" s="118">
        <v>1.21</v>
      </c>
      <c r="G1974" s="118">
        <v>54.685000000000002</v>
      </c>
    </row>
    <row r="1975" spans="2:7" x14ac:dyDescent="0.2">
      <c r="B1975" s="125" t="s">
        <v>3360</v>
      </c>
      <c r="C1975" s="118" t="s">
        <v>3361</v>
      </c>
      <c r="D1975" s="118">
        <v>1.39</v>
      </c>
      <c r="E1975" s="118">
        <v>1.39</v>
      </c>
      <c r="F1975" s="118">
        <v>-1.45</v>
      </c>
      <c r="G1975" s="118"/>
    </row>
    <row r="1976" spans="2:7" x14ac:dyDescent="0.2">
      <c r="B1976" s="125" t="s">
        <v>3362</v>
      </c>
      <c r="C1976" s="118" t="s">
        <v>3363</v>
      </c>
      <c r="D1976" s="118">
        <v>3.32</v>
      </c>
      <c r="E1976" s="118">
        <v>3.74</v>
      </c>
      <c r="F1976" s="118">
        <v>0.12</v>
      </c>
      <c r="G1976" s="118">
        <v>10.77</v>
      </c>
    </row>
    <row r="1977" spans="2:7" x14ac:dyDescent="0.2">
      <c r="B1977" s="125" t="s">
        <v>3364</v>
      </c>
      <c r="C1977" s="118" t="s">
        <v>3365</v>
      </c>
      <c r="D1977" s="118">
        <v>1.34</v>
      </c>
      <c r="E1977" s="118">
        <v>1.64</v>
      </c>
      <c r="F1977" s="118">
        <v>0.85</v>
      </c>
      <c r="G1977" s="118">
        <v>45.997999999999998</v>
      </c>
    </row>
    <row r="1978" spans="2:7" x14ac:dyDescent="0.2">
      <c r="B1978" s="125" t="s">
        <v>3366</v>
      </c>
      <c r="C1978" s="118" t="s">
        <v>3367</v>
      </c>
      <c r="D1978" s="118">
        <v>3.39</v>
      </c>
      <c r="E1978" s="118">
        <v>4.33</v>
      </c>
      <c r="F1978" s="118">
        <v>4.7699999999999996</v>
      </c>
      <c r="G1978" s="118">
        <v>82.668989999999994</v>
      </c>
    </row>
    <row r="1979" spans="2:7" x14ac:dyDescent="0.2">
      <c r="B1979" s="125" t="s">
        <v>3368</v>
      </c>
      <c r="C1979" s="118" t="s">
        <v>3369</v>
      </c>
      <c r="D1979" s="118">
        <v>0.83</v>
      </c>
      <c r="E1979" s="118">
        <v>1.24</v>
      </c>
      <c r="F1979" s="118">
        <v>1.42</v>
      </c>
      <c r="G1979" s="118">
        <v>58.698</v>
      </c>
    </row>
    <row r="1980" spans="2:7" x14ac:dyDescent="0.2">
      <c r="B1980" s="125" t="s">
        <v>4402</v>
      </c>
      <c r="C1980" s="118" t="s">
        <v>4403</v>
      </c>
      <c r="D1980" s="118"/>
      <c r="E1980" s="118"/>
      <c r="F1980" s="118"/>
      <c r="G1980" s="118"/>
    </row>
    <row r="1981" spans="2:7" x14ac:dyDescent="0.2">
      <c r="B1981" s="125" t="s">
        <v>3370</v>
      </c>
      <c r="C1981" s="118" t="s">
        <v>3371</v>
      </c>
      <c r="D1981" s="118">
        <v>0.53</v>
      </c>
      <c r="E1981" s="118">
        <v>0.67</v>
      </c>
      <c r="F1981" s="118">
        <v>0.94</v>
      </c>
      <c r="G1981" s="118">
        <v>48.531999999999996</v>
      </c>
    </row>
    <row r="1982" spans="2:7" x14ac:dyDescent="0.2">
      <c r="B1982" s="125" t="s">
        <v>3372</v>
      </c>
      <c r="C1982" s="118" t="s">
        <v>3373</v>
      </c>
      <c r="D1982" s="118">
        <v>1.34</v>
      </c>
      <c r="E1982" s="118">
        <v>1.94</v>
      </c>
      <c r="F1982" s="118">
        <v>-5.29</v>
      </c>
      <c r="G1982" s="118"/>
    </row>
    <row r="1983" spans="2:7" x14ac:dyDescent="0.2">
      <c r="B1983" s="125" t="s">
        <v>3374</v>
      </c>
      <c r="C1983" s="118" t="s">
        <v>3375</v>
      </c>
      <c r="D1983" s="118">
        <v>0.82</v>
      </c>
      <c r="E1983" s="118">
        <v>1.1100000000000001</v>
      </c>
      <c r="F1983" s="118"/>
      <c r="G1983" s="118">
        <v>0</v>
      </c>
    </row>
    <row r="1984" spans="2:7" x14ac:dyDescent="0.2">
      <c r="B1984" s="125" t="s">
        <v>4404</v>
      </c>
      <c r="C1984" s="118" t="s">
        <v>4405</v>
      </c>
      <c r="D1984" s="118">
        <v>0.75</v>
      </c>
      <c r="E1984" s="118">
        <v>1.1299999999999999</v>
      </c>
      <c r="F1984" s="118"/>
      <c r="G1984" s="118">
        <v>17.58399</v>
      </c>
    </row>
    <row r="1985" spans="2:7" x14ac:dyDescent="0.2">
      <c r="B1985" s="125" t="s">
        <v>4406</v>
      </c>
      <c r="C1985" s="118" t="s">
        <v>4407</v>
      </c>
      <c r="D1985" s="118"/>
      <c r="E1985" s="118"/>
      <c r="F1985" s="118"/>
      <c r="G1985" s="118"/>
    </row>
    <row r="1986" spans="2:7" x14ac:dyDescent="0.2">
      <c r="B1986" s="125" t="s">
        <v>3376</v>
      </c>
      <c r="C1986" s="118" t="s">
        <v>3377</v>
      </c>
      <c r="D1986" s="118">
        <v>0.88</v>
      </c>
      <c r="E1986" s="118">
        <v>0.87</v>
      </c>
      <c r="F1986" s="118">
        <v>2.12</v>
      </c>
      <c r="G1986" s="118">
        <v>67.948989999999995</v>
      </c>
    </row>
    <row r="1987" spans="2:7" x14ac:dyDescent="0.2">
      <c r="B1987" s="125" t="s">
        <v>3378</v>
      </c>
      <c r="C1987" s="118" t="s">
        <v>3379</v>
      </c>
      <c r="D1987" s="118">
        <v>1.06</v>
      </c>
      <c r="E1987" s="118">
        <v>0.79</v>
      </c>
      <c r="F1987" s="118">
        <v>-2.39</v>
      </c>
      <c r="G1987" s="118"/>
    </row>
    <row r="1988" spans="2:7" x14ac:dyDescent="0.2">
      <c r="B1988" s="125" t="s">
        <v>3380</v>
      </c>
      <c r="C1988" s="118" t="s">
        <v>3381</v>
      </c>
      <c r="D1988" s="118">
        <v>2.19</v>
      </c>
      <c r="E1988" s="118">
        <v>1.32</v>
      </c>
      <c r="F1988" s="118">
        <v>0.46</v>
      </c>
      <c r="G1988" s="118">
        <v>31.52899</v>
      </c>
    </row>
    <row r="1989" spans="2:7" x14ac:dyDescent="0.2">
      <c r="B1989" s="125" t="s">
        <v>3382</v>
      </c>
      <c r="C1989" s="118" t="s">
        <v>3383</v>
      </c>
      <c r="D1989" s="118">
        <v>0.94</v>
      </c>
      <c r="E1989" s="118">
        <v>0.94</v>
      </c>
      <c r="F1989" s="118">
        <v>0.14000000000000001</v>
      </c>
      <c r="G1989" s="118">
        <v>11.956989999999999</v>
      </c>
    </row>
    <row r="1990" spans="2:7" x14ac:dyDescent="0.2">
      <c r="B1990" s="125" t="s">
        <v>3384</v>
      </c>
      <c r="C1990" s="118" t="s">
        <v>3385</v>
      </c>
      <c r="D1990" s="118">
        <v>5.28</v>
      </c>
      <c r="E1990" s="118">
        <v>2.65</v>
      </c>
      <c r="F1990" s="118">
        <v>2</v>
      </c>
      <c r="G1990" s="118">
        <v>66.718999999999994</v>
      </c>
    </row>
    <row r="1991" spans="2:7" x14ac:dyDescent="0.2">
      <c r="B1991" s="125" t="s">
        <v>3386</v>
      </c>
      <c r="C1991" s="118" t="s">
        <v>3387</v>
      </c>
      <c r="D1991" s="118">
        <v>3.92</v>
      </c>
      <c r="E1991" s="118">
        <v>3.58</v>
      </c>
      <c r="F1991" s="118">
        <v>0.44</v>
      </c>
      <c r="G1991" s="118">
        <v>30.448989999999998</v>
      </c>
    </row>
    <row r="1992" spans="2:7" x14ac:dyDescent="0.2">
      <c r="B1992" s="125" t="s">
        <v>4408</v>
      </c>
      <c r="C1992" s="118" t="s">
        <v>4409</v>
      </c>
      <c r="D1992" s="118"/>
      <c r="E1992" s="118">
        <v>0.76</v>
      </c>
      <c r="F1992" s="118"/>
      <c r="G1992" s="118">
        <v>32.866</v>
      </c>
    </row>
    <row r="1993" spans="2:7" x14ac:dyDescent="0.2">
      <c r="B1993" s="125" t="s">
        <v>3388</v>
      </c>
      <c r="C1993" s="118" t="s">
        <v>3389</v>
      </c>
      <c r="D1993" s="118">
        <v>2.48</v>
      </c>
      <c r="E1993" s="118">
        <v>2.98</v>
      </c>
      <c r="F1993" s="118">
        <v>0.65</v>
      </c>
      <c r="G1993" s="118">
        <v>39.415999999999997</v>
      </c>
    </row>
    <row r="1994" spans="2:7" x14ac:dyDescent="0.2">
      <c r="B1994" s="125" t="s">
        <v>3390</v>
      </c>
      <c r="C1994" s="118" t="s">
        <v>3391</v>
      </c>
      <c r="D1994" s="118">
        <v>1.26</v>
      </c>
      <c r="E1994" s="118">
        <v>1.26</v>
      </c>
      <c r="F1994" s="118"/>
      <c r="G1994" s="118">
        <v>76.269990000000007</v>
      </c>
    </row>
    <row r="1995" spans="2:7" x14ac:dyDescent="0.2">
      <c r="B1995" s="125" t="s">
        <v>3392</v>
      </c>
      <c r="C1995" s="118" t="s">
        <v>3393</v>
      </c>
      <c r="D1995" s="118">
        <v>0.83</v>
      </c>
      <c r="E1995" s="118">
        <v>0.83</v>
      </c>
      <c r="F1995" s="118">
        <v>0.67</v>
      </c>
      <c r="G1995" s="118">
        <v>39.063989999999997</v>
      </c>
    </row>
    <row r="1996" spans="2:7" x14ac:dyDescent="0.2">
      <c r="B1996" s="125" t="s">
        <v>4410</v>
      </c>
      <c r="C1996" s="118" t="s">
        <v>4411</v>
      </c>
      <c r="D1996" s="118"/>
      <c r="E1996" s="118"/>
      <c r="F1996" s="118"/>
      <c r="G1996" s="118"/>
    </row>
    <row r="1997" spans="2:7" x14ac:dyDescent="0.2">
      <c r="B1997" s="125" t="s">
        <v>3394</v>
      </c>
      <c r="C1997" s="118" t="s">
        <v>3395</v>
      </c>
      <c r="D1997" s="118">
        <v>1.36</v>
      </c>
      <c r="E1997" s="118">
        <v>1.23</v>
      </c>
      <c r="F1997" s="118">
        <v>0.45</v>
      </c>
      <c r="G1997" s="118">
        <v>31.103999999999999</v>
      </c>
    </row>
    <row r="1998" spans="2:7" x14ac:dyDescent="0.2">
      <c r="B1998" s="125" t="s">
        <v>3396</v>
      </c>
      <c r="C1998" s="118" t="s">
        <v>3397</v>
      </c>
      <c r="D1998" s="118">
        <v>1.27</v>
      </c>
      <c r="E1998" s="118">
        <v>1.05</v>
      </c>
      <c r="F1998" s="118">
        <v>0.64</v>
      </c>
      <c r="G1998" s="118">
        <v>39.056989999999999</v>
      </c>
    </row>
    <row r="1999" spans="2:7" x14ac:dyDescent="0.2">
      <c r="B1999" s="125" t="s">
        <v>3398</v>
      </c>
      <c r="C1999" s="118" t="s">
        <v>3399</v>
      </c>
      <c r="D1999" s="118">
        <v>1.1100000000000001</v>
      </c>
      <c r="E1999" s="118">
        <v>0.81</v>
      </c>
      <c r="F1999" s="118">
        <v>0.11</v>
      </c>
      <c r="G1999" s="118">
        <v>9.9367999999999999</v>
      </c>
    </row>
    <row r="2000" spans="2:7" x14ac:dyDescent="0.2">
      <c r="B2000" s="125" t="s">
        <v>3400</v>
      </c>
      <c r="C2000" s="118" t="s">
        <v>3401</v>
      </c>
      <c r="D2000" s="118">
        <v>1.36</v>
      </c>
      <c r="E2000" s="118">
        <v>2.2200000000000002</v>
      </c>
      <c r="F2000" s="118">
        <v>1.03</v>
      </c>
      <c r="G2000" s="118">
        <v>50.689990000000002</v>
      </c>
    </row>
    <row r="2001" spans="2:7" x14ac:dyDescent="0.2">
      <c r="B2001" s="125" t="s">
        <v>3402</v>
      </c>
      <c r="C2001" s="118" t="s">
        <v>3403</v>
      </c>
      <c r="D2001" s="118">
        <v>0.51</v>
      </c>
      <c r="E2001" s="118">
        <v>0.55000000000000004</v>
      </c>
      <c r="F2001" s="118">
        <v>0.98</v>
      </c>
      <c r="G2001" s="118">
        <v>49.433990000000001</v>
      </c>
    </row>
    <row r="2002" spans="2:7" x14ac:dyDescent="0.2">
      <c r="B2002" s="125" t="s">
        <v>3404</v>
      </c>
      <c r="C2002" s="118" t="s">
        <v>3405</v>
      </c>
      <c r="D2002" s="118">
        <v>0.85</v>
      </c>
      <c r="E2002" s="118">
        <v>1.3</v>
      </c>
      <c r="F2002" s="118"/>
      <c r="G2002" s="118">
        <v>25.638000000000002</v>
      </c>
    </row>
    <row r="2003" spans="2:7" x14ac:dyDescent="0.2">
      <c r="B2003" s="125" t="s">
        <v>4412</v>
      </c>
      <c r="C2003" s="118" t="s">
        <v>4413</v>
      </c>
      <c r="D2003" s="118"/>
      <c r="E2003" s="118"/>
      <c r="F2003" s="118"/>
      <c r="G2003" s="118"/>
    </row>
    <row r="2004" spans="2:7" x14ac:dyDescent="0.2">
      <c r="B2004" s="125" t="s">
        <v>3406</v>
      </c>
      <c r="C2004" s="118" t="s">
        <v>3407</v>
      </c>
      <c r="D2004" s="118">
        <v>1.64</v>
      </c>
      <c r="E2004" s="118">
        <v>1.73</v>
      </c>
      <c r="F2004" s="118">
        <v>0.95</v>
      </c>
      <c r="G2004" s="118">
        <v>49.469000000000001</v>
      </c>
    </row>
    <row r="2005" spans="2:7" x14ac:dyDescent="0.2">
      <c r="B2005" s="125" t="s">
        <v>3408</v>
      </c>
      <c r="C2005" s="118" t="s">
        <v>3409</v>
      </c>
      <c r="D2005" s="118">
        <v>2.33</v>
      </c>
      <c r="E2005" s="118">
        <v>1.97</v>
      </c>
      <c r="F2005" s="118">
        <v>5.67</v>
      </c>
      <c r="G2005" s="118">
        <v>84.995999999999995</v>
      </c>
    </row>
    <row r="2006" spans="2:7" x14ac:dyDescent="0.2">
      <c r="B2006" s="125" t="s">
        <v>3410</v>
      </c>
      <c r="C2006" s="118" t="s">
        <v>3411</v>
      </c>
      <c r="D2006" s="118">
        <v>0.63</v>
      </c>
      <c r="E2006" s="118">
        <v>0.67</v>
      </c>
      <c r="F2006" s="118">
        <v>2.15</v>
      </c>
      <c r="G2006" s="118">
        <v>68.206000000000003</v>
      </c>
    </row>
    <row r="2007" spans="2:7" x14ac:dyDescent="0.2">
      <c r="B2007" s="125" t="s">
        <v>3412</v>
      </c>
      <c r="C2007" s="118" t="s">
        <v>3413</v>
      </c>
      <c r="D2007" s="118">
        <v>1.47</v>
      </c>
      <c r="E2007" s="118">
        <v>1.42</v>
      </c>
      <c r="F2007" s="118">
        <v>1.5</v>
      </c>
      <c r="G2007" s="118">
        <v>60.991999999999997</v>
      </c>
    </row>
    <row r="2008" spans="2:7" x14ac:dyDescent="0.2">
      <c r="B2008" s="125" t="s">
        <v>3414</v>
      </c>
      <c r="C2008" s="118" t="s">
        <v>3415</v>
      </c>
      <c r="D2008" s="118">
        <v>1.06</v>
      </c>
      <c r="E2008" s="118">
        <v>1.07</v>
      </c>
      <c r="F2008" s="118">
        <v>0.85</v>
      </c>
      <c r="G2008" s="118">
        <v>45.853000000000002</v>
      </c>
    </row>
    <row r="2009" spans="2:7" x14ac:dyDescent="0.2">
      <c r="B2009" s="125" t="s">
        <v>3416</v>
      </c>
      <c r="C2009" s="118" t="s">
        <v>3417</v>
      </c>
      <c r="D2009" s="118">
        <v>0.87</v>
      </c>
      <c r="E2009" s="118">
        <v>0.89</v>
      </c>
      <c r="F2009" s="118">
        <v>1.36</v>
      </c>
      <c r="G2009" s="118">
        <v>54.692999999999998</v>
      </c>
    </row>
    <row r="2010" spans="2:7" x14ac:dyDescent="0.2">
      <c r="B2010" s="125" t="s">
        <v>3418</v>
      </c>
      <c r="C2010" s="118" t="s">
        <v>3419</v>
      </c>
      <c r="D2010" s="118">
        <v>1.23</v>
      </c>
      <c r="E2010" s="118">
        <v>1.24</v>
      </c>
      <c r="F2010" s="118">
        <v>1.62</v>
      </c>
      <c r="G2010" s="118">
        <v>61.876989999999999</v>
      </c>
    </row>
    <row r="2011" spans="2:7" x14ac:dyDescent="0.2">
      <c r="B2011" s="125" t="s">
        <v>3420</v>
      </c>
      <c r="C2011" s="118" t="s">
        <v>3421</v>
      </c>
      <c r="D2011" s="118">
        <v>0.55000000000000004</v>
      </c>
      <c r="E2011" s="118">
        <v>0.84</v>
      </c>
      <c r="F2011" s="118">
        <v>1.31</v>
      </c>
      <c r="G2011" s="118">
        <v>56.76699</v>
      </c>
    </row>
    <row r="2012" spans="2:7" x14ac:dyDescent="0.2">
      <c r="B2012" s="125" t="s">
        <v>3422</v>
      </c>
      <c r="C2012" s="118" t="s">
        <v>3423</v>
      </c>
      <c r="D2012" s="118">
        <v>0.57999999999999996</v>
      </c>
      <c r="E2012" s="118">
        <v>0.8</v>
      </c>
      <c r="F2012" s="118"/>
      <c r="G2012" s="118">
        <v>23.462990000000001</v>
      </c>
    </row>
    <row r="2013" spans="2:7" x14ac:dyDescent="0.2">
      <c r="B2013" s="125" t="s">
        <v>3424</v>
      </c>
      <c r="C2013" s="118" t="s">
        <v>3425</v>
      </c>
      <c r="D2013" s="118">
        <v>2.65</v>
      </c>
      <c r="E2013" s="118">
        <v>2.71</v>
      </c>
      <c r="F2013" s="118">
        <v>0.04</v>
      </c>
      <c r="G2013" s="118">
        <v>3.6350899999999999</v>
      </c>
    </row>
    <row r="2014" spans="2:7" x14ac:dyDescent="0.2">
      <c r="B2014" s="125" t="s">
        <v>3426</v>
      </c>
      <c r="C2014" s="118" t="s">
        <v>3427</v>
      </c>
      <c r="D2014" s="118">
        <v>2.15</v>
      </c>
      <c r="E2014" s="118">
        <v>1.93</v>
      </c>
      <c r="F2014" s="118">
        <v>2.02</v>
      </c>
      <c r="G2014" s="118">
        <v>66.924999999999997</v>
      </c>
    </row>
    <row r="2015" spans="2:7" x14ac:dyDescent="0.2">
      <c r="B2015" s="125" t="s">
        <v>3428</v>
      </c>
      <c r="C2015" s="118" t="s">
        <v>3429</v>
      </c>
      <c r="D2015" s="118">
        <v>0.57999999999999996</v>
      </c>
      <c r="E2015" s="118">
        <v>0.75</v>
      </c>
      <c r="F2015" s="118"/>
      <c r="G2015" s="118">
        <v>42.881990000000002</v>
      </c>
    </row>
    <row r="2016" spans="2:7" x14ac:dyDescent="0.2">
      <c r="B2016" s="125" t="s">
        <v>3430</v>
      </c>
      <c r="C2016" s="118" t="s">
        <v>3431</v>
      </c>
      <c r="D2016" s="118">
        <v>1.55</v>
      </c>
      <c r="E2016" s="118">
        <v>2.0699999999999998</v>
      </c>
      <c r="F2016" s="118">
        <v>0.47</v>
      </c>
      <c r="G2016" s="118">
        <v>32.130000000000003</v>
      </c>
    </row>
    <row r="2017" spans="2:7" x14ac:dyDescent="0.2">
      <c r="B2017" s="125" t="s">
        <v>4414</v>
      </c>
      <c r="C2017" s="118" t="s">
        <v>4415</v>
      </c>
      <c r="D2017" s="118">
        <v>0.81</v>
      </c>
      <c r="E2017" s="118">
        <v>1.1499999999999999</v>
      </c>
      <c r="F2017" s="118"/>
      <c r="G2017" s="118">
        <v>25.1</v>
      </c>
    </row>
    <row r="2018" spans="2:7" x14ac:dyDescent="0.2">
      <c r="B2018" s="125" t="s">
        <v>3432</v>
      </c>
      <c r="C2018" s="118" t="s">
        <v>3433</v>
      </c>
      <c r="D2018" s="118">
        <v>1.86</v>
      </c>
      <c r="E2018" s="118">
        <v>1.83</v>
      </c>
      <c r="F2018" s="118">
        <v>0.51</v>
      </c>
      <c r="G2018" s="118">
        <v>33.984999999999999</v>
      </c>
    </row>
    <row r="2019" spans="2:7" x14ac:dyDescent="0.2">
      <c r="B2019" s="125" t="s">
        <v>4416</v>
      </c>
      <c r="C2019" s="118" t="s">
        <v>4417</v>
      </c>
      <c r="D2019" s="118"/>
      <c r="E2019" s="118"/>
      <c r="F2019" s="118"/>
      <c r="G2019" s="118"/>
    </row>
    <row r="2020" spans="2:7" x14ac:dyDescent="0.2">
      <c r="B2020" s="125" t="s">
        <v>3434</v>
      </c>
      <c r="C2020" s="118" t="s">
        <v>3435</v>
      </c>
      <c r="D2020" s="118">
        <v>0.82</v>
      </c>
      <c r="E2020" s="118">
        <v>1.7</v>
      </c>
      <c r="F2020" s="118">
        <v>1.95</v>
      </c>
      <c r="G2020" s="118">
        <v>66.123999999999995</v>
      </c>
    </row>
    <row r="2021" spans="2:7" x14ac:dyDescent="0.2">
      <c r="B2021" s="125" t="s">
        <v>3436</v>
      </c>
      <c r="C2021" s="118" t="s">
        <v>3437</v>
      </c>
      <c r="D2021" s="118">
        <v>0.74</v>
      </c>
      <c r="E2021" s="118">
        <v>0.6</v>
      </c>
      <c r="F2021" s="118">
        <v>1.22</v>
      </c>
      <c r="G2021" s="118">
        <v>54.802999999999997</v>
      </c>
    </row>
    <row r="2022" spans="2:7" x14ac:dyDescent="0.2">
      <c r="B2022" s="125" t="s">
        <v>3438</v>
      </c>
      <c r="C2022" s="118" t="s">
        <v>3439</v>
      </c>
      <c r="D2022" s="118">
        <v>0.46</v>
      </c>
      <c r="E2022" s="118">
        <v>0.86</v>
      </c>
      <c r="F2022" s="118">
        <v>0.33</v>
      </c>
      <c r="G2022" s="118">
        <v>25.088999999999999</v>
      </c>
    </row>
    <row r="2023" spans="2:7" x14ac:dyDescent="0.2">
      <c r="B2023" s="125" t="s">
        <v>3440</v>
      </c>
      <c r="C2023" s="118" t="s">
        <v>3441</v>
      </c>
      <c r="D2023" s="118">
        <v>0.23</v>
      </c>
      <c r="E2023" s="118">
        <v>0.76</v>
      </c>
      <c r="F2023" s="118">
        <v>0.83</v>
      </c>
      <c r="G2023" s="118">
        <v>45.501989999999999</v>
      </c>
    </row>
    <row r="2024" spans="2:7" x14ac:dyDescent="0.2">
      <c r="B2024" s="125" t="s">
        <v>4418</v>
      </c>
      <c r="C2024" s="118" t="s">
        <v>4419</v>
      </c>
      <c r="D2024" s="118">
        <v>0.71</v>
      </c>
      <c r="E2024" s="118">
        <v>1.26</v>
      </c>
      <c r="F2024" s="118">
        <v>1.38</v>
      </c>
      <c r="G2024" s="118">
        <v>57.912990000000001</v>
      </c>
    </row>
    <row r="2025" spans="2:7" x14ac:dyDescent="0.2">
      <c r="B2025" s="125" t="s">
        <v>3442</v>
      </c>
      <c r="C2025" s="118" t="s">
        <v>3443</v>
      </c>
      <c r="D2025" s="118">
        <v>2.0699999999999998</v>
      </c>
      <c r="E2025" s="118">
        <v>1.77</v>
      </c>
      <c r="F2025" s="118">
        <v>0.06</v>
      </c>
      <c r="G2025" s="118">
        <v>5.8426999999999998</v>
      </c>
    </row>
    <row r="2026" spans="2:7" x14ac:dyDescent="0.2">
      <c r="B2026" s="125" t="s">
        <v>4420</v>
      </c>
      <c r="C2026" s="118" t="s">
        <v>4421</v>
      </c>
      <c r="D2026" s="118"/>
      <c r="E2026" s="118"/>
      <c r="F2026" s="118"/>
      <c r="G2026" s="118"/>
    </row>
    <row r="2027" spans="2:7" x14ac:dyDescent="0.2">
      <c r="B2027" s="125" t="s">
        <v>4422</v>
      </c>
      <c r="C2027" s="118" t="s">
        <v>4423</v>
      </c>
      <c r="D2027" s="118">
        <v>2.96</v>
      </c>
      <c r="E2027" s="118">
        <v>2.2799999999999998</v>
      </c>
      <c r="F2027" s="118">
        <v>0</v>
      </c>
      <c r="G2027" s="118">
        <v>0</v>
      </c>
    </row>
    <row r="2028" spans="2:7" x14ac:dyDescent="0.2">
      <c r="B2028" s="125" t="s">
        <v>3444</v>
      </c>
      <c r="C2028" s="118" t="s">
        <v>3445</v>
      </c>
      <c r="D2028" s="118">
        <v>0.44</v>
      </c>
      <c r="E2028" s="118">
        <v>0.35</v>
      </c>
      <c r="F2028" s="118">
        <v>0.87</v>
      </c>
      <c r="G2028" s="118">
        <v>46.457999999999998</v>
      </c>
    </row>
    <row r="2029" spans="2:7" x14ac:dyDescent="0.2">
      <c r="B2029" s="125" t="s">
        <v>3446</v>
      </c>
      <c r="C2029" s="118" t="s">
        <v>3447</v>
      </c>
      <c r="D2029" s="118">
        <v>2.76</v>
      </c>
      <c r="E2029" s="118">
        <v>3.65</v>
      </c>
      <c r="F2029" s="118">
        <v>0.22</v>
      </c>
      <c r="G2029" s="118">
        <v>17.698989999999998</v>
      </c>
    </row>
    <row r="2030" spans="2:7" x14ac:dyDescent="0.2">
      <c r="B2030" s="125" t="s">
        <v>3448</v>
      </c>
      <c r="C2030" s="118" t="s">
        <v>3449</v>
      </c>
      <c r="D2030" s="118">
        <v>0.96</v>
      </c>
      <c r="E2030" s="118">
        <v>0.95</v>
      </c>
      <c r="F2030" s="118">
        <v>0.72</v>
      </c>
      <c r="G2030" s="118">
        <v>41.997</v>
      </c>
    </row>
    <row r="2031" spans="2:7" x14ac:dyDescent="0.2">
      <c r="B2031" s="125" t="s">
        <v>3450</v>
      </c>
      <c r="C2031" s="118" t="s">
        <v>3451</v>
      </c>
      <c r="D2031" s="118">
        <v>0.97</v>
      </c>
      <c r="E2031" s="118">
        <v>0.75</v>
      </c>
      <c r="F2031" s="118">
        <v>0.47</v>
      </c>
      <c r="G2031" s="118">
        <v>32.107999999999997</v>
      </c>
    </row>
    <row r="2032" spans="2:7" x14ac:dyDescent="0.2">
      <c r="B2032" s="125" t="s">
        <v>3452</v>
      </c>
      <c r="C2032" s="118" t="s">
        <v>3453</v>
      </c>
      <c r="D2032" s="118">
        <v>0.35</v>
      </c>
      <c r="E2032" s="118">
        <v>0.48</v>
      </c>
      <c r="F2032" s="118">
        <v>0.46</v>
      </c>
      <c r="G2032" s="118">
        <v>31.603999999999999</v>
      </c>
    </row>
    <row r="2033" spans="2:7" x14ac:dyDescent="0.2">
      <c r="B2033" s="125" t="s">
        <v>3454</v>
      </c>
      <c r="C2033" s="118" t="s">
        <v>3455</v>
      </c>
      <c r="D2033" s="118">
        <v>1.54</v>
      </c>
      <c r="E2033" s="118">
        <v>2.1800000000000002</v>
      </c>
      <c r="F2033" s="118">
        <v>1</v>
      </c>
      <c r="G2033" s="118">
        <v>49.895989999999998</v>
      </c>
    </row>
    <row r="2034" spans="2:7" x14ac:dyDescent="0.2">
      <c r="B2034" s="125" t="s">
        <v>3456</v>
      </c>
      <c r="C2034" s="118" t="s">
        <v>3457</v>
      </c>
      <c r="D2034" s="118">
        <v>0.89</v>
      </c>
      <c r="E2034" s="118">
        <v>1.45</v>
      </c>
      <c r="F2034" s="118">
        <v>0.82</v>
      </c>
      <c r="G2034" s="118">
        <v>45.188989999999997</v>
      </c>
    </row>
    <row r="2035" spans="2:7" x14ac:dyDescent="0.2">
      <c r="B2035" s="125" t="s">
        <v>4424</v>
      </c>
      <c r="C2035" s="118" t="s">
        <v>4425</v>
      </c>
      <c r="D2035" s="118">
        <v>1</v>
      </c>
      <c r="E2035" s="118">
        <v>1.43</v>
      </c>
      <c r="F2035" s="118">
        <v>0.45</v>
      </c>
      <c r="G2035" s="118">
        <v>31.145</v>
      </c>
    </row>
    <row r="2036" spans="2:7" x14ac:dyDescent="0.2">
      <c r="B2036" s="125" t="s">
        <v>3458</v>
      </c>
      <c r="C2036" s="118" t="s">
        <v>3459</v>
      </c>
      <c r="D2036" s="118">
        <v>0.53</v>
      </c>
      <c r="E2036" s="118">
        <v>1.31</v>
      </c>
      <c r="F2036" s="118">
        <v>1.29</v>
      </c>
      <c r="G2036" s="118">
        <v>56.347000000000001</v>
      </c>
    </row>
    <row r="2037" spans="2:7" x14ac:dyDescent="0.2">
      <c r="B2037" s="125" t="s">
        <v>3460</v>
      </c>
      <c r="C2037" s="118" t="s">
        <v>3461</v>
      </c>
      <c r="D2037" s="118">
        <v>1.69</v>
      </c>
      <c r="E2037" s="118">
        <v>2.92</v>
      </c>
      <c r="F2037" s="118">
        <v>0.14000000000000001</v>
      </c>
      <c r="G2037" s="118">
        <v>11.93299</v>
      </c>
    </row>
    <row r="2038" spans="2:7" x14ac:dyDescent="0.2">
      <c r="B2038" s="125" t="s">
        <v>3460</v>
      </c>
      <c r="C2038" s="118" t="s">
        <v>4426</v>
      </c>
      <c r="D2038" s="118">
        <v>1.69</v>
      </c>
      <c r="E2038" s="118">
        <v>2.92</v>
      </c>
      <c r="F2038" s="118">
        <v>0.14000000000000001</v>
      </c>
      <c r="G2038" s="118">
        <v>11.93299</v>
      </c>
    </row>
    <row r="2039" spans="2:7" x14ac:dyDescent="0.2">
      <c r="B2039" s="125" t="s">
        <v>3462</v>
      </c>
      <c r="C2039" s="118" t="s">
        <v>3463</v>
      </c>
      <c r="D2039" s="118">
        <v>2.4</v>
      </c>
      <c r="E2039" s="118">
        <v>3.02</v>
      </c>
      <c r="F2039" s="118">
        <v>0.18</v>
      </c>
      <c r="G2039" s="118">
        <v>15.366989999999999</v>
      </c>
    </row>
    <row r="2040" spans="2:7" x14ac:dyDescent="0.2">
      <c r="B2040" s="125" t="s">
        <v>3464</v>
      </c>
      <c r="C2040" s="118" t="s">
        <v>3465</v>
      </c>
      <c r="D2040" s="118">
        <v>0.98</v>
      </c>
      <c r="E2040" s="118">
        <v>1</v>
      </c>
      <c r="F2040" s="118">
        <v>0.51</v>
      </c>
      <c r="G2040" s="118">
        <v>32.799990000000001</v>
      </c>
    </row>
    <row r="2041" spans="2:7" x14ac:dyDescent="0.2">
      <c r="B2041" s="125" t="s">
        <v>4427</v>
      </c>
      <c r="C2041" s="118" t="s">
        <v>4428</v>
      </c>
      <c r="D2041" s="118">
        <v>0.66</v>
      </c>
      <c r="E2041" s="118">
        <v>0.68</v>
      </c>
      <c r="F2041" s="118"/>
      <c r="G2041" s="118">
        <v>47.619990000000001</v>
      </c>
    </row>
    <row r="2042" spans="2:7" x14ac:dyDescent="0.2">
      <c r="B2042" s="125" t="s">
        <v>4429</v>
      </c>
      <c r="C2042" s="118" t="s">
        <v>4430</v>
      </c>
      <c r="D2042" s="118">
        <v>1.41</v>
      </c>
      <c r="E2042" s="118">
        <v>1.39</v>
      </c>
      <c r="F2042" s="118">
        <v>0.08</v>
      </c>
      <c r="G2042" s="118">
        <v>7.1177000000000001</v>
      </c>
    </row>
    <row r="2043" spans="2:7" x14ac:dyDescent="0.2">
      <c r="B2043" s="125" t="s">
        <v>3466</v>
      </c>
      <c r="C2043" s="118" t="s">
        <v>3467</v>
      </c>
      <c r="D2043" s="118">
        <v>0.33</v>
      </c>
      <c r="E2043" s="118">
        <v>5.31</v>
      </c>
      <c r="F2043" s="118">
        <v>0.72</v>
      </c>
      <c r="G2043" s="118">
        <v>41.924990000000001</v>
      </c>
    </row>
    <row r="2044" spans="2:7" x14ac:dyDescent="0.2">
      <c r="B2044" s="125" t="s">
        <v>3468</v>
      </c>
      <c r="C2044" s="118" t="s">
        <v>3469</v>
      </c>
      <c r="D2044" s="118">
        <v>1.25</v>
      </c>
      <c r="E2044" s="118">
        <v>1.86</v>
      </c>
      <c r="F2044" s="118">
        <v>0.26</v>
      </c>
      <c r="G2044" s="118">
        <v>20.357990000000001</v>
      </c>
    </row>
    <row r="2045" spans="2:7" x14ac:dyDescent="0.2">
      <c r="B2045" s="125" t="s">
        <v>3470</v>
      </c>
      <c r="C2045" s="118" t="s">
        <v>3471</v>
      </c>
      <c r="D2045" s="118">
        <v>0.88</v>
      </c>
      <c r="E2045" s="118">
        <v>0.94</v>
      </c>
      <c r="F2045" s="118">
        <v>101.99</v>
      </c>
      <c r="G2045" s="118">
        <v>99.028989999999993</v>
      </c>
    </row>
    <row r="2046" spans="2:7" x14ac:dyDescent="0.2">
      <c r="B2046" s="125" t="s">
        <v>3472</v>
      </c>
      <c r="C2046" s="118" t="s">
        <v>3473</v>
      </c>
      <c r="D2046" s="118">
        <v>1.31</v>
      </c>
      <c r="E2046" s="118">
        <v>1.41</v>
      </c>
      <c r="F2046" s="118">
        <v>0.01</v>
      </c>
      <c r="G2046" s="118">
        <v>7.2922000000000002</v>
      </c>
    </row>
    <row r="2047" spans="2:7" x14ac:dyDescent="0.2">
      <c r="B2047" s="125" t="s">
        <v>3474</v>
      </c>
      <c r="C2047" s="118" t="s">
        <v>3475</v>
      </c>
      <c r="D2047" s="118">
        <v>0.96</v>
      </c>
      <c r="E2047" s="118">
        <v>2.02</v>
      </c>
      <c r="F2047" s="118">
        <v>0.59</v>
      </c>
      <c r="G2047" s="118">
        <v>37.236989999999999</v>
      </c>
    </row>
    <row r="2048" spans="2:7" x14ac:dyDescent="0.2">
      <c r="B2048" s="125" t="s">
        <v>3476</v>
      </c>
      <c r="C2048" s="118" t="s">
        <v>3477</v>
      </c>
      <c r="D2048" s="118">
        <v>1.3</v>
      </c>
      <c r="E2048" s="118">
        <v>1.24</v>
      </c>
      <c r="F2048" s="118">
        <v>0.13</v>
      </c>
      <c r="G2048" s="118">
        <v>11.645</v>
      </c>
    </row>
    <row r="2049" spans="2:7" x14ac:dyDescent="0.2">
      <c r="B2049" s="125" t="s">
        <v>4431</v>
      </c>
      <c r="C2049" s="118" t="s">
        <v>4432</v>
      </c>
      <c r="D2049" s="118"/>
      <c r="E2049" s="118"/>
      <c r="F2049" s="118"/>
      <c r="G2049" s="118"/>
    </row>
    <row r="2050" spans="2:7" x14ac:dyDescent="0.2">
      <c r="B2050" s="125" t="s">
        <v>4433</v>
      </c>
      <c r="C2050" s="118" t="s">
        <v>4434</v>
      </c>
      <c r="D2050" s="118"/>
      <c r="E2050" s="118"/>
      <c r="F2050" s="118"/>
      <c r="G2050" s="118"/>
    </row>
    <row r="2051" spans="2:7" x14ac:dyDescent="0.2">
      <c r="B2051" s="125" t="s">
        <v>3478</v>
      </c>
      <c r="C2051" s="118" t="s">
        <v>3479</v>
      </c>
      <c r="D2051" s="118">
        <v>0.63</v>
      </c>
      <c r="E2051" s="118">
        <v>1.39</v>
      </c>
      <c r="F2051" s="118">
        <v>0.71</v>
      </c>
      <c r="G2051" s="118">
        <v>41.359000000000002</v>
      </c>
    </row>
    <row r="2052" spans="2:7" x14ac:dyDescent="0.2">
      <c r="B2052" s="125" t="s">
        <v>3480</v>
      </c>
      <c r="C2052" s="118" t="s">
        <v>3481</v>
      </c>
      <c r="D2052" s="118">
        <v>2.3199999999999998</v>
      </c>
      <c r="E2052" s="118">
        <v>1.27</v>
      </c>
      <c r="F2052" s="118">
        <v>-5.46</v>
      </c>
      <c r="G2052" s="118"/>
    </row>
    <row r="2053" spans="2:7" x14ac:dyDescent="0.2">
      <c r="B2053" s="125" t="s">
        <v>4435</v>
      </c>
      <c r="C2053" s="118" t="s">
        <v>4436</v>
      </c>
      <c r="D2053" s="118"/>
      <c r="E2053" s="118"/>
      <c r="F2053" s="118"/>
      <c r="G2053" s="118"/>
    </row>
    <row r="2054" spans="2:7" x14ac:dyDescent="0.2">
      <c r="B2054" s="125" t="s">
        <v>3482</v>
      </c>
      <c r="C2054" s="118" t="s">
        <v>3483</v>
      </c>
      <c r="D2054" s="118">
        <v>1.37</v>
      </c>
      <c r="E2054" s="118">
        <v>1</v>
      </c>
      <c r="F2054" s="118">
        <v>5</v>
      </c>
      <c r="G2054" s="118">
        <v>83.320989999999995</v>
      </c>
    </row>
    <row r="2055" spans="2:7" x14ac:dyDescent="0.2">
      <c r="B2055" s="125" t="s">
        <v>4437</v>
      </c>
      <c r="C2055" s="118" t="s">
        <v>4438</v>
      </c>
      <c r="D2055" s="118"/>
      <c r="E2055" s="118"/>
      <c r="F2055" s="118"/>
      <c r="G2055" s="118"/>
    </row>
    <row r="2056" spans="2:7" x14ac:dyDescent="0.2">
      <c r="B2056" s="125" t="s">
        <v>3484</v>
      </c>
      <c r="C2056" s="118" t="s">
        <v>3485</v>
      </c>
      <c r="D2056" s="118">
        <v>1.93</v>
      </c>
      <c r="E2056" s="118">
        <v>0.64</v>
      </c>
      <c r="F2056" s="118">
        <v>0.56000000000000005</v>
      </c>
      <c r="G2056" s="118">
        <v>36.034990000000001</v>
      </c>
    </row>
    <row r="2057" spans="2:7" x14ac:dyDescent="0.2">
      <c r="B2057" s="125" t="s">
        <v>3486</v>
      </c>
      <c r="C2057" s="118" t="s">
        <v>3487</v>
      </c>
      <c r="D2057" s="118">
        <v>0.56999999999999995</v>
      </c>
      <c r="E2057" s="118">
        <v>0.57999999999999996</v>
      </c>
      <c r="F2057" s="118">
        <v>1.29</v>
      </c>
      <c r="G2057" s="118">
        <v>56.398989999999998</v>
      </c>
    </row>
    <row r="2058" spans="2:7" x14ac:dyDescent="0.2">
      <c r="B2058" s="125" t="s">
        <v>4439</v>
      </c>
      <c r="C2058" s="118" t="s">
        <v>4440</v>
      </c>
      <c r="D2058" s="118"/>
      <c r="E2058" s="118"/>
      <c r="F2058" s="118"/>
      <c r="G2058" s="118"/>
    </row>
    <row r="2059" spans="2:7" x14ac:dyDescent="0.2">
      <c r="B2059" s="125" t="s">
        <v>4441</v>
      </c>
      <c r="C2059" s="118" t="s">
        <v>4442</v>
      </c>
      <c r="D2059" s="118"/>
      <c r="E2059" s="118"/>
      <c r="F2059" s="118"/>
      <c r="G2059" s="118"/>
    </row>
    <row r="2060" spans="2:7" x14ac:dyDescent="0.2">
      <c r="B2060" s="125" t="s">
        <v>3488</v>
      </c>
      <c r="C2060" s="118" t="s">
        <v>3489</v>
      </c>
      <c r="D2060" s="118">
        <v>7.53</v>
      </c>
      <c r="E2060" s="118">
        <v>7.22</v>
      </c>
      <c r="F2060" s="118">
        <v>0.48</v>
      </c>
      <c r="G2060" s="118">
        <v>32.27899</v>
      </c>
    </row>
    <row r="2061" spans="2:7" x14ac:dyDescent="0.2">
      <c r="B2061" s="125" t="s">
        <v>4443</v>
      </c>
      <c r="C2061" s="118" t="s">
        <v>4444</v>
      </c>
      <c r="D2061" s="118"/>
      <c r="E2061" s="118"/>
      <c r="F2061" s="118"/>
      <c r="G2061" s="118"/>
    </row>
    <row r="2062" spans="2:7" x14ac:dyDescent="0.2">
      <c r="B2062" s="125" t="s">
        <v>4445</v>
      </c>
      <c r="C2062" s="118" t="s">
        <v>4446</v>
      </c>
      <c r="D2062" s="118"/>
      <c r="E2062" s="118"/>
      <c r="F2062" s="118"/>
      <c r="G2062" s="118"/>
    </row>
    <row r="2063" spans="2:7" x14ac:dyDescent="0.2">
      <c r="B2063" s="125" t="s">
        <v>3491</v>
      </c>
      <c r="C2063" s="118" t="s">
        <v>3492</v>
      </c>
      <c r="D2063" s="118">
        <v>0.61</v>
      </c>
      <c r="E2063" s="118">
        <v>0.65</v>
      </c>
      <c r="F2063" s="118"/>
      <c r="G2063" s="118">
        <v>27.332999999999998</v>
      </c>
    </row>
    <row r="2064" spans="2:7" x14ac:dyDescent="0.2">
      <c r="B2064" s="125" t="s">
        <v>3493</v>
      </c>
      <c r="C2064" s="118" t="s">
        <v>3494</v>
      </c>
      <c r="D2064" s="118">
        <v>0.51</v>
      </c>
      <c r="E2064" s="118">
        <v>0.74</v>
      </c>
      <c r="F2064" s="118">
        <v>0.1</v>
      </c>
      <c r="G2064" s="118">
        <v>8.7375000000000007</v>
      </c>
    </row>
    <row r="2065" spans="2:7" x14ac:dyDescent="0.2">
      <c r="B2065" s="125" t="s">
        <v>3495</v>
      </c>
      <c r="C2065" s="118" t="s">
        <v>3496</v>
      </c>
      <c r="D2065" s="118">
        <v>1.1100000000000001</v>
      </c>
      <c r="E2065" s="118">
        <v>1.03</v>
      </c>
      <c r="F2065" s="118">
        <v>2.35</v>
      </c>
      <c r="G2065" s="118">
        <v>69.846000000000004</v>
      </c>
    </row>
    <row r="2066" spans="2:7" x14ac:dyDescent="0.2">
      <c r="B2066" s="125" t="s">
        <v>3497</v>
      </c>
      <c r="C2066" s="118" t="s">
        <v>3498</v>
      </c>
      <c r="D2066" s="118">
        <v>1.27</v>
      </c>
      <c r="E2066" s="118">
        <v>2.08</v>
      </c>
      <c r="F2066" s="118">
        <v>0.3</v>
      </c>
      <c r="G2066" s="118">
        <v>23.141999999999999</v>
      </c>
    </row>
    <row r="2067" spans="2:7" x14ac:dyDescent="0.2">
      <c r="B2067" s="125" t="s">
        <v>3499</v>
      </c>
      <c r="C2067" s="118" t="s">
        <v>3500</v>
      </c>
      <c r="D2067" s="118">
        <v>1.19</v>
      </c>
      <c r="E2067" s="118">
        <v>1.33</v>
      </c>
      <c r="F2067" s="118">
        <v>0.79</v>
      </c>
      <c r="G2067" s="118">
        <v>43.215989999999998</v>
      </c>
    </row>
    <row r="2068" spans="2:7" x14ac:dyDescent="0.2">
      <c r="B2068" s="125" t="s">
        <v>4447</v>
      </c>
      <c r="C2068" s="118" t="s">
        <v>4448</v>
      </c>
      <c r="D2068" s="118"/>
      <c r="E2068" s="118"/>
      <c r="F2068" s="118"/>
      <c r="G2068" s="118"/>
    </row>
    <row r="2069" spans="2:7" x14ac:dyDescent="0.2">
      <c r="B2069" s="125" t="s">
        <v>3501</v>
      </c>
      <c r="C2069" s="118" t="s">
        <v>3502</v>
      </c>
      <c r="D2069" s="118">
        <v>1.08</v>
      </c>
      <c r="E2069" s="118">
        <v>1.47</v>
      </c>
      <c r="F2069" s="118">
        <v>0.71</v>
      </c>
      <c r="G2069" s="118">
        <v>41.375990000000002</v>
      </c>
    </row>
    <row r="2070" spans="2:7" x14ac:dyDescent="0.2">
      <c r="B2070" s="125" t="s">
        <v>3503</v>
      </c>
      <c r="C2070" s="118" t="s">
        <v>3504</v>
      </c>
      <c r="D2070" s="118">
        <v>0.33</v>
      </c>
      <c r="E2070" s="118">
        <v>0.33</v>
      </c>
      <c r="F2070" s="118">
        <v>0.2</v>
      </c>
      <c r="G2070" s="118">
        <v>17.872990000000001</v>
      </c>
    </row>
    <row r="2071" spans="2:7" x14ac:dyDescent="0.2">
      <c r="B2071" s="125" t="s">
        <v>3505</v>
      </c>
      <c r="C2071" s="118" t="s">
        <v>3506</v>
      </c>
      <c r="D2071" s="118"/>
      <c r="E2071" s="118"/>
      <c r="F2071" s="118"/>
      <c r="G2071" s="118"/>
    </row>
    <row r="2072" spans="2:7" x14ac:dyDescent="0.2">
      <c r="B2072" s="125" t="s">
        <v>3507</v>
      </c>
      <c r="C2072" s="118" t="s">
        <v>3508</v>
      </c>
      <c r="D2072" s="118">
        <v>0.93</v>
      </c>
      <c r="E2072" s="118">
        <v>1.58</v>
      </c>
      <c r="F2072" s="118">
        <v>0.14000000000000001</v>
      </c>
      <c r="G2072" s="118">
        <v>12.462999999999999</v>
      </c>
    </row>
    <row r="2073" spans="2:7" x14ac:dyDescent="0.2">
      <c r="B2073" s="125" t="s">
        <v>4449</v>
      </c>
      <c r="C2073" s="118" t="s">
        <v>4450</v>
      </c>
      <c r="D2073" s="118">
        <v>0.76</v>
      </c>
      <c r="E2073" s="118">
        <v>1.4</v>
      </c>
      <c r="F2073" s="118">
        <v>0.34</v>
      </c>
      <c r="G2073" s="118">
        <v>25.215990000000001</v>
      </c>
    </row>
    <row r="2074" spans="2:7" x14ac:dyDescent="0.2">
      <c r="B2074" s="125" t="s">
        <v>4451</v>
      </c>
      <c r="C2074" s="118" t="s">
        <v>4452</v>
      </c>
      <c r="D2074" s="118">
        <v>1.27</v>
      </c>
      <c r="E2074" s="118">
        <v>1.82</v>
      </c>
      <c r="F2074" s="118"/>
      <c r="G2074" s="118">
        <v>6.4596999999999998</v>
      </c>
    </row>
    <row r="2075" spans="2:7" x14ac:dyDescent="0.2">
      <c r="B2075" s="125" t="s">
        <v>3509</v>
      </c>
      <c r="C2075" s="118" t="s">
        <v>3510</v>
      </c>
      <c r="D2075" s="118">
        <v>3.89</v>
      </c>
      <c r="E2075" s="118">
        <v>3.03</v>
      </c>
      <c r="F2075" s="118">
        <v>0.05</v>
      </c>
      <c r="G2075" s="118">
        <v>10.092000000000001</v>
      </c>
    </row>
    <row r="2076" spans="2:7" x14ac:dyDescent="0.2">
      <c r="B2076" s="125" t="s">
        <v>3511</v>
      </c>
      <c r="C2076" s="118" t="s">
        <v>3512</v>
      </c>
      <c r="D2076" s="118">
        <v>0.87</v>
      </c>
      <c r="E2076" s="118">
        <v>1.1200000000000001</v>
      </c>
      <c r="F2076" s="118">
        <v>0.83</v>
      </c>
      <c r="G2076" s="118">
        <v>45.271990000000002</v>
      </c>
    </row>
    <row r="2077" spans="2:7" x14ac:dyDescent="0.2">
      <c r="B2077" s="125" t="s">
        <v>4453</v>
      </c>
      <c r="C2077" s="118" t="s">
        <v>4454</v>
      </c>
      <c r="D2077" s="118">
        <v>1.1399999999999999</v>
      </c>
      <c r="E2077" s="118">
        <v>1.91</v>
      </c>
      <c r="F2077" s="118"/>
      <c r="G2077" s="118">
        <v>22.607990000000001</v>
      </c>
    </row>
    <row r="2078" spans="2:7" x14ac:dyDescent="0.2">
      <c r="B2078" s="125" t="s">
        <v>3513</v>
      </c>
      <c r="C2078" s="118" t="s">
        <v>3514</v>
      </c>
      <c r="D2078" s="118">
        <v>0.93</v>
      </c>
      <c r="E2078" s="118">
        <v>0.95</v>
      </c>
      <c r="F2078" s="118">
        <v>-1.23</v>
      </c>
      <c r="G2078" s="118"/>
    </row>
    <row r="2079" spans="2:7" x14ac:dyDescent="0.2">
      <c r="B2079" s="125" t="s">
        <v>3515</v>
      </c>
      <c r="C2079" s="118" t="s">
        <v>3516</v>
      </c>
      <c r="D2079" s="118">
        <v>1.31</v>
      </c>
      <c r="E2079" s="118">
        <v>1.31</v>
      </c>
      <c r="F2079" s="118">
        <v>0.01</v>
      </c>
      <c r="G2079" s="118">
        <v>0.80567</v>
      </c>
    </row>
    <row r="2080" spans="2:7" x14ac:dyDescent="0.2">
      <c r="B2080" s="125" t="s">
        <v>3517</v>
      </c>
      <c r="C2080" s="118" t="s">
        <v>3518</v>
      </c>
      <c r="D2080" s="118">
        <v>4.28</v>
      </c>
      <c r="E2080" s="118">
        <v>4.29</v>
      </c>
      <c r="F2080" s="118">
        <v>0.13</v>
      </c>
      <c r="G2080" s="118">
        <v>12.54899</v>
      </c>
    </row>
    <row r="2081" spans="2:7" x14ac:dyDescent="0.2">
      <c r="B2081" s="125" t="s">
        <v>4455</v>
      </c>
      <c r="C2081" s="118" t="s">
        <v>4456</v>
      </c>
      <c r="D2081" s="118"/>
      <c r="E2081" s="118"/>
      <c r="F2081" s="118"/>
      <c r="G2081" s="118"/>
    </row>
    <row r="2082" spans="2:7" x14ac:dyDescent="0.2">
      <c r="B2082" s="125" t="s">
        <v>4457</v>
      </c>
      <c r="C2082" s="118" t="s">
        <v>4458</v>
      </c>
      <c r="D2082" s="118">
        <v>6.02</v>
      </c>
      <c r="E2082" s="118">
        <v>3.67</v>
      </c>
      <c r="F2082" s="118">
        <v>0.28000000000000003</v>
      </c>
      <c r="G2082" s="118">
        <v>22.070989999999998</v>
      </c>
    </row>
    <row r="2083" spans="2:7" x14ac:dyDescent="0.2">
      <c r="B2083" s="125" t="s">
        <v>3519</v>
      </c>
      <c r="C2083" s="118" t="s">
        <v>3520</v>
      </c>
      <c r="D2083" s="118">
        <v>0.75</v>
      </c>
      <c r="E2083" s="118">
        <v>0.75</v>
      </c>
      <c r="F2083" s="118">
        <v>4.4800000000000004</v>
      </c>
      <c r="G2083" s="118">
        <v>81.757000000000005</v>
      </c>
    </row>
    <row r="2084" spans="2:7" x14ac:dyDescent="0.2">
      <c r="B2084" s="125" t="s">
        <v>3522</v>
      </c>
      <c r="C2084" s="118" t="s">
        <v>3523</v>
      </c>
      <c r="D2084" s="118">
        <v>0.9</v>
      </c>
      <c r="E2084" s="118">
        <v>1.19</v>
      </c>
      <c r="F2084" s="118">
        <v>0.57999999999999996</v>
      </c>
      <c r="G2084" s="118">
        <v>36.555</v>
      </c>
    </row>
    <row r="2085" spans="2:7" x14ac:dyDescent="0.2">
      <c r="B2085" s="125" t="s">
        <v>3524</v>
      </c>
      <c r="C2085" s="118" t="s">
        <v>3525</v>
      </c>
      <c r="D2085" s="118">
        <v>0.49</v>
      </c>
      <c r="E2085" s="118">
        <v>0.99</v>
      </c>
      <c r="F2085" s="118">
        <v>1.07</v>
      </c>
      <c r="G2085" s="118">
        <v>51.643999999999998</v>
      </c>
    </row>
    <row r="2086" spans="2:7" x14ac:dyDescent="0.2">
      <c r="B2086" s="125" t="s">
        <v>3526</v>
      </c>
      <c r="C2086" s="118" t="s">
        <v>3527</v>
      </c>
      <c r="D2086" s="118">
        <v>1.67</v>
      </c>
      <c r="E2086" s="118">
        <v>0.67</v>
      </c>
      <c r="F2086" s="118">
        <v>0.23</v>
      </c>
      <c r="G2086" s="118">
        <v>18.645990000000001</v>
      </c>
    </row>
    <row r="2087" spans="2:7" x14ac:dyDescent="0.2">
      <c r="B2087" s="125" t="s">
        <v>4457</v>
      </c>
      <c r="C2087" s="118" t="s">
        <v>4459</v>
      </c>
      <c r="D2087" s="118">
        <v>6.02</v>
      </c>
      <c r="E2087" s="118">
        <v>3.67</v>
      </c>
      <c r="F2087" s="118">
        <v>0.28000000000000003</v>
      </c>
      <c r="G2087" s="118">
        <v>22.070989999999998</v>
      </c>
    </row>
    <row r="2088" spans="2:7" x14ac:dyDescent="0.2">
      <c r="B2088" s="125" t="s">
        <v>3528</v>
      </c>
      <c r="C2088" s="118" t="s">
        <v>3529</v>
      </c>
      <c r="D2088" s="118">
        <v>0.91</v>
      </c>
      <c r="E2088" s="118">
        <v>0.83</v>
      </c>
      <c r="F2088" s="118">
        <v>0.18</v>
      </c>
      <c r="G2088" s="118">
        <v>13.989990000000001</v>
      </c>
    </row>
    <row r="2089" spans="2:7" x14ac:dyDescent="0.2">
      <c r="B2089" s="125" t="s">
        <v>4460</v>
      </c>
      <c r="C2089" s="118" t="s">
        <v>4461</v>
      </c>
      <c r="D2089" s="118">
        <v>1.02</v>
      </c>
      <c r="E2089" s="118">
        <v>1.43</v>
      </c>
      <c r="F2089" s="118"/>
      <c r="G2089" s="118">
        <v>22.851990000000001</v>
      </c>
    </row>
    <row r="2090" spans="2:7" x14ac:dyDescent="0.2">
      <c r="B2090" s="125" t="s">
        <v>4462</v>
      </c>
      <c r="C2090" s="118" t="s">
        <v>4463</v>
      </c>
      <c r="D2090" s="118"/>
      <c r="E2090" s="118">
        <v>4</v>
      </c>
      <c r="F2090" s="118">
        <v>0.06</v>
      </c>
      <c r="G2090" s="118">
        <v>6.0744999999999996</v>
      </c>
    </row>
    <row r="2091" spans="2:7" x14ac:dyDescent="0.2">
      <c r="B2091" s="125" t="s">
        <v>3530</v>
      </c>
      <c r="C2091" s="118" t="s">
        <v>3531</v>
      </c>
      <c r="D2091" s="118">
        <v>1.56</v>
      </c>
      <c r="E2091" s="118">
        <v>1.99</v>
      </c>
      <c r="F2091" s="118">
        <v>0.33</v>
      </c>
      <c r="G2091" s="118">
        <v>25.065000000000001</v>
      </c>
    </row>
    <row r="2092" spans="2:7" x14ac:dyDescent="0.2">
      <c r="B2092" s="125" t="s">
        <v>3532</v>
      </c>
      <c r="C2092" s="118" t="s">
        <v>3533</v>
      </c>
      <c r="D2092" s="118">
        <v>0.27</v>
      </c>
      <c r="E2092" s="118">
        <v>0.2</v>
      </c>
      <c r="F2092" s="118">
        <v>1.61</v>
      </c>
      <c r="G2092" s="118">
        <v>61.69699</v>
      </c>
    </row>
    <row r="2093" spans="2:7" x14ac:dyDescent="0.2">
      <c r="B2093" s="125" t="s">
        <v>3534</v>
      </c>
      <c r="C2093" s="118" t="s">
        <v>3535</v>
      </c>
      <c r="D2093" s="118"/>
      <c r="E2093" s="118">
        <v>1.89</v>
      </c>
      <c r="F2093" s="118">
        <v>0</v>
      </c>
      <c r="G2093" s="118">
        <v>0</v>
      </c>
    </row>
    <row r="2094" spans="2:7" x14ac:dyDescent="0.2">
      <c r="B2094" s="125" t="s">
        <v>3536</v>
      </c>
      <c r="C2094" s="118" t="s">
        <v>3537</v>
      </c>
      <c r="D2094" s="118">
        <v>0.76</v>
      </c>
      <c r="E2094" s="118">
        <v>1.04</v>
      </c>
      <c r="F2094" s="118"/>
      <c r="G2094" s="118">
        <v>9.56569</v>
      </c>
    </row>
    <row r="2095" spans="2:7" x14ac:dyDescent="0.2">
      <c r="B2095" s="125" t="s">
        <v>3538</v>
      </c>
      <c r="C2095" s="118" t="s">
        <v>3539</v>
      </c>
      <c r="D2095" s="118">
        <v>4.12</v>
      </c>
      <c r="E2095" s="118">
        <v>3.77</v>
      </c>
      <c r="F2095" s="118">
        <v>0.01</v>
      </c>
      <c r="G2095" s="118">
        <v>1.1012999999999999</v>
      </c>
    </row>
    <row r="2096" spans="2:7" x14ac:dyDescent="0.2">
      <c r="B2096" s="125" t="s">
        <v>3540</v>
      </c>
      <c r="C2096" s="118" t="s">
        <v>3541</v>
      </c>
      <c r="D2096" s="118">
        <v>2.46</v>
      </c>
      <c r="E2096" s="118">
        <v>4.17</v>
      </c>
      <c r="F2096" s="118">
        <v>2.74</v>
      </c>
      <c r="G2096" s="118">
        <v>73.287999999999997</v>
      </c>
    </row>
    <row r="2097" spans="2:7" x14ac:dyDescent="0.2">
      <c r="B2097" s="125" t="s">
        <v>3542</v>
      </c>
      <c r="C2097" s="118" t="s">
        <v>3543</v>
      </c>
      <c r="D2097" s="118">
        <v>20.420000000000002</v>
      </c>
      <c r="E2097" s="118">
        <v>20.420000000000002</v>
      </c>
      <c r="F2097" s="118"/>
      <c r="G2097" s="118">
        <v>27.416</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B2:H2097"/>
  <sheetViews>
    <sheetView zoomScale="150" zoomScaleNormal="150" workbookViewId="0">
      <selection activeCell="I14" sqref="I14"/>
    </sheetView>
  </sheetViews>
  <sheetFormatPr baseColWidth="10" defaultColWidth="9.1640625" defaultRowHeight="15" x14ac:dyDescent="0.2"/>
  <cols>
    <col min="1" max="1" width="9.1640625" style="2" customWidth="1"/>
    <col min="2" max="2" width="29" style="2" customWidth="1"/>
    <col min="3" max="3" width="29" style="3" customWidth="1"/>
    <col min="4" max="6" width="33" style="3" customWidth="1"/>
    <col min="7" max="7" width="9.1640625" style="2" customWidth="1"/>
    <col min="8" max="16384" width="9.1640625" style="2"/>
  </cols>
  <sheetData>
    <row r="2" spans="2:8" ht="16" customHeight="1" thickBot="1" x14ac:dyDescent="0.25"/>
    <row r="3" spans="2:8" x14ac:dyDescent="0.2">
      <c r="B3" s="112" t="s">
        <v>25</v>
      </c>
      <c r="C3" s="113" t="s">
        <v>26</v>
      </c>
      <c r="D3" s="113" t="s">
        <v>4475</v>
      </c>
      <c r="E3" s="113" t="s">
        <v>4476</v>
      </c>
      <c r="F3" s="113" t="s">
        <v>4477</v>
      </c>
    </row>
    <row r="4" spans="2:8" x14ac:dyDescent="0.2">
      <c r="B4" s="116" t="s">
        <v>32</v>
      </c>
      <c r="C4" s="117" t="s">
        <v>33</v>
      </c>
      <c r="D4" s="118">
        <v>4.74</v>
      </c>
      <c r="E4" s="118">
        <v>5.08</v>
      </c>
      <c r="F4" s="118">
        <v>20</v>
      </c>
      <c r="H4" s="2" t="s">
        <v>4478</v>
      </c>
    </row>
    <row r="5" spans="2:8" x14ac:dyDescent="0.2">
      <c r="B5" s="116" t="s">
        <v>37</v>
      </c>
      <c r="C5" s="117" t="s">
        <v>38</v>
      </c>
      <c r="D5" s="118">
        <v>0.33</v>
      </c>
      <c r="E5" s="118">
        <v>0.59</v>
      </c>
      <c r="F5" s="118">
        <v>2.78</v>
      </c>
    </row>
    <row r="6" spans="2:8" x14ac:dyDescent="0.2">
      <c r="B6" s="116" t="s">
        <v>3550</v>
      </c>
      <c r="C6" s="117" t="s">
        <v>3551</v>
      </c>
      <c r="D6" s="118"/>
      <c r="E6" s="118"/>
      <c r="F6" s="118"/>
    </row>
    <row r="7" spans="2:8" x14ac:dyDescent="0.2">
      <c r="B7" s="116" t="s">
        <v>42</v>
      </c>
      <c r="C7" s="117" t="s">
        <v>43</v>
      </c>
      <c r="D7" s="118">
        <v>2.75</v>
      </c>
      <c r="E7" s="118">
        <v>2.59</v>
      </c>
      <c r="F7" s="118">
        <v>22.06</v>
      </c>
    </row>
    <row r="8" spans="2:8" x14ac:dyDescent="0.2">
      <c r="B8" s="116" t="s">
        <v>3552</v>
      </c>
      <c r="C8" s="117" t="s">
        <v>3553</v>
      </c>
      <c r="D8" s="118"/>
      <c r="E8" s="118"/>
      <c r="F8" s="118"/>
    </row>
    <row r="9" spans="2:8" x14ac:dyDescent="0.2">
      <c r="B9" s="116" t="s">
        <v>46</v>
      </c>
      <c r="C9" s="117" t="s">
        <v>47</v>
      </c>
      <c r="D9" s="118">
        <v>0.28000000000000003</v>
      </c>
      <c r="E9" s="118"/>
      <c r="F9" s="118">
        <v>-588.1</v>
      </c>
    </row>
    <row r="10" spans="2:8" x14ac:dyDescent="0.2">
      <c r="B10" s="116" t="s">
        <v>50</v>
      </c>
      <c r="C10" s="117" t="s">
        <v>51</v>
      </c>
      <c r="D10" s="118">
        <v>1.04</v>
      </c>
      <c r="E10" s="118">
        <v>2.25</v>
      </c>
      <c r="F10" s="118">
        <v>14.34</v>
      </c>
    </row>
    <row r="11" spans="2:8" x14ac:dyDescent="0.2">
      <c r="B11" s="116" t="s">
        <v>54</v>
      </c>
      <c r="C11" s="117" t="s">
        <v>55</v>
      </c>
      <c r="D11" s="118">
        <v>1.1499999999999999</v>
      </c>
      <c r="E11" s="118">
        <v>3.04</v>
      </c>
      <c r="F11" s="118">
        <v>15.16</v>
      </c>
    </row>
    <row r="12" spans="2:8" x14ac:dyDescent="0.2">
      <c r="B12" s="116" t="s">
        <v>57</v>
      </c>
      <c r="C12" s="117" t="s">
        <v>58</v>
      </c>
      <c r="D12" s="118">
        <v>3.8</v>
      </c>
      <c r="E12" s="118">
        <v>10.199999999999999</v>
      </c>
      <c r="F12" s="118">
        <v>52.13</v>
      </c>
    </row>
    <row r="13" spans="2:8" x14ac:dyDescent="0.2">
      <c r="B13" s="116" t="s">
        <v>60</v>
      </c>
      <c r="C13" s="117" t="s">
        <v>61</v>
      </c>
      <c r="D13" s="118">
        <v>8.41</v>
      </c>
      <c r="E13" s="118">
        <v>7.7</v>
      </c>
      <c r="F13" s="118">
        <v>3.19</v>
      </c>
    </row>
    <row r="14" spans="2:8" x14ac:dyDescent="0.2">
      <c r="B14" s="116" t="s">
        <v>63</v>
      </c>
      <c r="C14" s="117" t="s">
        <v>64</v>
      </c>
      <c r="D14" s="118">
        <v>1.4</v>
      </c>
      <c r="E14" s="118">
        <v>3.21</v>
      </c>
      <c r="F14" s="118">
        <v>18.97</v>
      </c>
    </row>
    <row r="15" spans="2:8" x14ac:dyDescent="0.2">
      <c r="B15" s="116" t="s">
        <v>66</v>
      </c>
      <c r="C15" s="117" t="s">
        <v>67</v>
      </c>
      <c r="D15" s="118">
        <v>3.28</v>
      </c>
      <c r="E15" s="118"/>
      <c r="F15" s="118">
        <v>-182.7</v>
      </c>
    </row>
    <row r="16" spans="2:8" x14ac:dyDescent="0.2">
      <c r="B16" s="116" t="s">
        <v>70</v>
      </c>
      <c r="C16" s="117" t="s">
        <v>71</v>
      </c>
      <c r="D16" s="118">
        <v>0.1</v>
      </c>
      <c r="E16" s="118">
        <v>5.76</v>
      </c>
      <c r="F16" s="118">
        <v>47.88</v>
      </c>
    </row>
    <row r="17" spans="2:6" x14ac:dyDescent="0.2">
      <c r="B17" s="116" t="s">
        <v>76</v>
      </c>
      <c r="C17" s="117" t="s">
        <v>77</v>
      </c>
      <c r="D17" s="118">
        <v>5.52</v>
      </c>
      <c r="E17" s="118">
        <v>4.53</v>
      </c>
      <c r="F17" s="118">
        <v>19.48</v>
      </c>
    </row>
    <row r="18" spans="2:6" x14ac:dyDescent="0.2">
      <c r="B18" s="116" t="s">
        <v>80</v>
      </c>
      <c r="C18" s="117" t="s">
        <v>81</v>
      </c>
      <c r="D18" s="118">
        <v>10.97</v>
      </c>
      <c r="E18" s="118">
        <v>8.7200000000000006</v>
      </c>
      <c r="F18" s="118">
        <v>19.84</v>
      </c>
    </row>
    <row r="19" spans="2:6" x14ac:dyDescent="0.2">
      <c r="B19" s="116" t="s">
        <v>83</v>
      </c>
      <c r="C19" s="117" t="s">
        <v>84</v>
      </c>
      <c r="D19" s="118">
        <v>4.78</v>
      </c>
      <c r="E19" s="118">
        <v>4.63</v>
      </c>
      <c r="F19" s="118">
        <v>17.260000000000002</v>
      </c>
    </row>
    <row r="20" spans="2:6" x14ac:dyDescent="0.2">
      <c r="B20" s="116" t="s">
        <v>85</v>
      </c>
      <c r="C20" s="117" t="s">
        <v>86</v>
      </c>
      <c r="D20" s="118">
        <v>22.29</v>
      </c>
      <c r="E20" s="118">
        <v>15.14</v>
      </c>
      <c r="F20" s="118">
        <v>-70.97</v>
      </c>
    </row>
    <row r="21" spans="2:6" x14ac:dyDescent="0.2">
      <c r="B21" s="116" t="s">
        <v>88</v>
      </c>
      <c r="C21" s="117" t="s">
        <v>89</v>
      </c>
      <c r="D21" s="118">
        <v>25.86</v>
      </c>
      <c r="E21" s="118">
        <v>1.54</v>
      </c>
      <c r="F21" s="118">
        <v>-0.83</v>
      </c>
    </row>
    <row r="22" spans="2:6" x14ac:dyDescent="0.2">
      <c r="B22" s="116" t="s">
        <v>90</v>
      </c>
      <c r="C22" s="117" t="s">
        <v>91</v>
      </c>
      <c r="D22" s="118">
        <v>7.05</v>
      </c>
      <c r="E22" s="118">
        <v>1.88</v>
      </c>
      <c r="F22" s="118">
        <v>2.0499999999999998</v>
      </c>
    </row>
    <row r="23" spans="2:6" x14ac:dyDescent="0.2">
      <c r="B23" s="116" t="s">
        <v>3554</v>
      </c>
      <c r="C23" s="117" t="s">
        <v>3555</v>
      </c>
      <c r="D23" s="118">
        <v>0.6</v>
      </c>
      <c r="E23" s="118">
        <v>3.43</v>
      </c>
      <c r="F23" s="118">
        <v>22.87</v>
      </c>
    </row>
    <row r="24" spans="2:6" x14ac:dyDescent="0.2">
      <c r="B24" s="116" t="s">
        <v>3556</v>
      </c>
      <c r="C24" s="117" t="s">
        <v>3557</v>
      </c>
      <c r="D24" s="118"/>
      <c r="E24" s="118">
        <v>0.56000000000000005</v>
      </c>
      <c r="F24" s="118"/>
    </row>
    <row r="25" spans="2:6" x14ac:dyDescent="0.2">
      <c r="B25" s="116" t="s">
        <v>94</v>
      </c>
      <c r="C25" s="117" t="s">
        <v>95</v>
      </c>
      <c r="D25" s="118">
        <v>2.65</v>
      </c>
      <c r="E25" s="118">
        <v>1.53</v>
      </c>
      <c r="F25" s="118">
        <v>10.58</v>
      </c>
    </row>
    <row r="26" spans="2:6" x14ac:dyDescent="0.2">
      <c r="B26" s="116" t="s">
        <v>3558</v>
      </c>
      <c r="C26" s="117" t="s">
        <v>3559</v>
      </c>
      <c r="D26" s="118">
        <v>0.2</v>
      </c>
      <c r="E26" s="118">
        <v>0.48</v>
      </c>
      <c r="F26" s="118">
        <v>0.97</v>
      </c>
    </row>
    <row r="27" spans="2:6" x14ac:dyDescent="0.2">
      <c r="B27" s="116" t="s">
        <v>97</v>
      </c>
      <c r="C27" s="117" t="s">
        <v>98</v>
      </c>
      <c r="D27" s="118">
        <v>3.48</v>
      </c>
      <c r="E27" s="118">
        <v>3.35</v>
      </c>
      <c r="F27" s="118">
        <v>10.14</v>
      </c>
    </row>
    <row r="28" spans="2:6" x14ac:dyDescent="0.2">
      <c r="B28" s="116" t="s">
        <v>100</v>
      </c>
      <c r="C28" s="117" t="s">
        <v>101</v>
      </c>
      <c r="D28" s="118">
        <v>0.28999999999999998</v>
      </c>
      <c r="E28" s="118">
        <v>1.31</v>
      </c>
      <c r="F28" s="118">
        <v>10.27</v>
      </c>
    </row>
    <row r="29" spans="2:6" x14ac:dyDescent="0.2">
      <c r="B29" s="116" t="s">
        <v>104</v>
      </c>
      <c r="C29" s="117" t="s">
        <v>105</v>
      </c>
      <c r="D29" s="118">
        <v>3.03</v>
      </c>
      <c r="E29" s="118">
        <v>9.17</v>
      </c>
      <c r="F29" s="118">
        <v>36.24</v>
      </c>
    </row>
    <row r="30" spans="2:6" x14ac:dyDescent="0.2">
      <c r="B30" s="116" t="s">
        <v>3560</v>
      </c>
      <c r="C30" s="117" t="s">
        <v>3561</v>
      </c>
      <c r="D30" s="118"/>
      <c r="E30" s="118"/>
      <c r="F30" s="118"/>
    </row>
    <row r="31" spans="2:6" x14ac:dyDescent="0.2">
      <c r="B31" s="116" t="s">
        <v>108</v>
      </c>
      <c r="C31" s="117" t="s">
        <v>109</v>
      </c>
      <c r="D31" s="118">
        <v>12.67</v>
      </c>
      <c r="E31" s="118">
        <v>13.17</v>
      </c>
      <c r="F31" s="118">
        <v>30.49</v>
      </c>
    </row>
    <row r="32" spans="2:6" x14ac:dyDescent="0.2">
      <c r="B32" s="116" t="s">
        <v>110</v>
      </c>
      <c r="C32" s="117" t="s">
        <v>111</v>
      </c>
      <c r="D32" s="118">
        <v>18.64</v>
      </c>
      <c r="E32" s="118">
        <v>2.1</v>
      </c>
      <c r="F32" s="118">
        <v>5.19</v>
      </c>
    </row>
    <row r="33" spans="2:6" x14ac:dyDescent="0.2">
      <c r="B33" s="116" t="s">
        <v>113</v>
      </c>
      <c r="C33" s="117" t="s">
        <v>114</v>
      </c>
      <c r="D33" s="118">
        <v>2.33</v>
      </c>
      <c r="E33" s="118">
        <v>8.09</v>
      </c>
      <c r="F33" s="118">
        <v>27.74</v>
      </c>
    </row>
    <row r="34" spans="2:6" x14ac:dyDescent="0.2">
      <c r="B34" s="116" t="s">
        <v>117</v>
      </c>
      <c r="C34" s="117" t="s">
        <v>118</v>
      </c>
      <c r="D34" s="118">
        <v>6.93</v>
      </c>
      <c r="E34" s="118">
        <v>3.61</v>
      </c>
      <c r="F34" s="118">
        <v>17.87</v>
      </c>
    </row>
    <row r="35" spans="2:6" x14ac:dyDescent="0.2">
      <c r="B35" s="116" t="s">
        <v>120</v>
      </c>
      <c r="C35" s="117" t="s">
        <v>121</v>
      </c>
      <c r="D35" s="118">
        <v>0.36</v>
      </c>
      <c r="E35" s="118">
        <v>1.21</v>
      </c>
      <c r="F35" s="118">
        <v>8.5299999999999994</v>
      </c>
    </row>
    <row r="36" spans="2:6" x14ac:dyDescent="0.2">
      <c r="B36" s="116" t="s">
        <v>123</v>
      </c>
      <c r="C36" s="117" t="s">
        <v>124</v>
      </c>
      <c r="D36" s="118">
        <v>4.88</v>
      </c>
      <c r="E36" s="118">
        <v>12.84</v>
      </c>
      <c r="F36" s="118">
        <v>47.48</v>
      </c>
    </row>
    <row r="37" spans="2:6" x14ac:dyDescent="0.2">
      <c r="B37" s="116" t="s">
        <v>3562</v>
      </c>
      <c r="C37" s="117" t="s">
        <v>3563</v>
      </c>
      <c r="D37" s="118"/>
      <c r="E37" s="118"/>
      <c r="F37" s="118"/>
    </row>
    <row r="38" spans="2:6" x14ac:dyDescent="0.2">
      <c r="B38" s="116" t="s">
        <v>126</v>
      </c>
      <c r="C38" s="117" t="s">
        <v>127</v>
      </c>
      <c r="D38" s="118">
        <v>0.38</v>
      </c>
      <c r="E38" s="118">
        <v>1.71</v>
      </c>
      <c r="F38" s="118">
        <v>13.56</v>
      </c>
    </row>
    <row r="39" spans="2:6" x14ac:dyDescent="0.2">
      <c r="B39" s="116" t="s">
        <v>3564</v>
      </c>
      <c r="C39" s="117" t="s">
        <v>3565</v>
      </c>
      <c r="D39" s="118">
        <v>0.5</v>
      </c>
      <c r="E39" s="118">
        <v>2.73</v>
      </c>
      <c r="F39" s="118">
        <v>15.95</v>
      </c>
    </row>
    <row r="40" spans="2:6" x14ac:dyDescent="0.2">
      <c r="B40" s="116" t="s">
        <v>129</v>
      </c>
      <c r="C40" s="117" t="s">
        <v>130</v>
      </c>
      <c r="D40" s="118">
        <v>1</v>
      </c>
      <c r="E40" s="118">
        <v>2.78</v>
      </c>
      <c r="F40" s="118">
        <v>46.72</v>
      </c>
    </row>
    <row r="41" spans="2:6" x14ac:dyDescent="0.2">
      <c r="B41" s="116" t="s">
        <v>132</v>
      </c>
      <c r="C41" s="117" t="s">
        <v>133</v>
      </c>
      <c r="D41" s="118">
        <v>11.49</v>
      </c>
      <c r="E41" s="118"/>
      <c r="F41" s="118">
        <v>-59.32</v>
      </c>
    </row>
    <row r="42" spans="2:6" x14ac:dyDescent="0.2">
      <c r="B42" s="116" t="s">
        <v>134</v>
      </c>
      <c r="C42" s="117" t="s">
        <v>135</v>
      </c>
      <c r="D42" s="118">
        <v>0.93</v>
      </c>
      <c r="E42" s="118">
        <v>1.19</v>
      </c>
      <c r="F42" s="118">
        <v>-1.75</v>
      </c>
    </row>
    <row r="43" spans="2:6" x14ac:dyDescent="0.2">
      <c r="B43" s="116" t="s">
        <v>136</v>
      </c>
      <c r="C43" s="117" t="s">
        <v>137</v>
      </c>
      <c r="D43" s="118">
        <v>3.2</v>
      </c>
      <c r="E43" s="118">
        <v>2.4500000000000002</v>
      </c>
      <c r="F43" s="118">
        <v>10.31</v>
      </c>
    </row>
    <row r="44" spans="2:6" x14ac:dyDescent="0.2">
      <c r="B44" s="116" t="s">
        <v>140</v>
      </c>
      <c r="C44" s="117" t="s">
        <v>141</v>
      </c>
      <c r="D44" s="118"/>
      <c r="E44" s="118">
        <v>0.41</v>
      </c>
      <c r="F44" s="118"/>
    </row>
    <row r="45" spans="2:6" x14ac:dyDescent="0.2">
      <c r="B45" s="116" t="s">
        <v>143</v>
      </c>
      <c r="C45" s="117" t="s">
        <v>144</v>
      </c>
      <c r="D45" s="118">
        <v>6.56</v>
      </c>
      <c r="E45" s="118">
        <v>2.97</v>
      </c>
      <c r="F45" s="118">
        <v>1.92</v>
      </c>
    </row>
    <row r="46" spans="2:6" x14ac:dyDescent="0.2">
      <c r="B46" s="116" t="s">
        <v>147</v>
      </c>
      <c r="C46" s="117" t="s">
        <v>148</v>
      </c>
      <c r="D46" s="118">
        <v>2.92</v>
      </c>
      <c r="E46" s="118">
        <v>2.37</v>
      </c>
      <c r="F46" s="118">
        <v>10.69</v>
      </c>
    </row>
    <row r="47" spans="2:6" x14ac:dyDescent="0.2">
      <c r="B47" s="116" t="s">
        <v>149</v>
      </c>
      <c r="C47" s="117" t="s">
        <v>150</v>
      </c>
      <c r="D47" s="118">
        <v>1.55</v>
      </c>
      <c r="E47" s="118">
        <v>0.92</v>
      </c>
      <c r="F47" s="118">
        <v>11.85</v>
      </c>
    </row>
    <row r="48" spans="2:6" x14ac:dyDescent="0.2">
      <c r="B48" s="116" t="s">
        <v>152</v>
      </c>
      <c r="C48" s="117" t="s">
        <v>153</v>
      </c>
      <c r="D48" s="118">
        <v>1.01</v>
      </c>
      <c r="E48" s="118">
        <v>1.95</v>
      </c>
      <c r="F48" s="118">
        <v>18.940000000000001</v>
      </c>
    </row>
    <row r="49" spans="2:6" x14ac:dyDescent="0.2">
      <c r="B49" s="116" t="s">
        <v>3566</v>
      </c>
      <c r="C49" s="117" t="s">
        <v>3567</v>
      </c>
      <c r="D49" s="118"/>
      <c r="E49" s="118">
        <v>0.99</v>
      </c>
      <c r="F49" s="118"/>
    </row>
    <row r="50" spans="2:6" x14ac:dyDescent="0.2">
      <c r="B50" s="116" t="s">
        <v>154</v>
      </c>
      <c r="C50" s="117" t="s">
        <v>155</v>
      </c>
      <c r="D50" s="118">
        <v>1.26</v>
      </c>
      <c r="E50" s="118">
        <v>1.59</v>
      </c>
      <c r="F50" s="118">
        <v>13.39</v>
      </c>
    </row>
    <row r="51" spans="2:6" x14ac:dyDescent="0.2">
      <c r="B51" s="116" t="s">
        <v>156</v>
      </c>
      <c r="C51" s="117" t="s">
        <v>157</v>
      </c>
      <c r="D51" s="118">
        <v>1.76</v>
      </c>
      <c r="E51" s="118">
        <v>1.36</v>
      </c>
      <c r="F51" s="118">
        <v>12.94</v>
      </c>
    </row>
    <row r="52" spans="2:6" x14ac:dyDescent="0.2">
      <c r="B52" s="116" t="s">
        <v>159</v>
      </c>
      <c r="C52" s="117" t="s">
        <v>160</v>
      </c>
      <c r="D52" s="118">
        <v>0.14000000000000001</v>
      </c>
      <c r="E52" s="118">
        <v>1.95</v>
      </c>
      <c r="F52" s="118">
        <v>12.8</v>
      </c>
    </row>
    <row r="53" spans="2:6" x14ac:dyDescent="0.2">
      <c r="B53" s="116" t="s">
        <v>161</v>
      </c>
      <c r="C53" s="117" t="s">
        <v>162</v>
      </c>
      <c r="D53" s="118">
        <v>0.63</v>
      </c>
      <c r="E53" s="118">
        <v>1.88</v>
      </c>
      <c r="F53" s="118">
        <v>12.64</v>
      </c>
    </row>
    <row r="54" spans="2:6" x14ac:dyDescent="0.2">
      <c r="B54" s="116" t="s">
        <v>164</v>
      </c>
      <c r="C54" s="117" t="s">
        <v>165</v>
      </c>
      <c r="D54" s="118">
        <v>0.7</v>
      </c>
      <c r="E54" s="118">
        <v>0.8</v>
      </c>
      <c r="F54" s="118">
        <v>8.11</v>
      </c>
    </row>
    <row r="55" spans="2:6" x14ac:dyDescent="0.2">
      <c r="B55" s="116" t="s">
        <v>3568</v>
      </c>
      <c r="C55" s="117" t="s">
        <v>3569</v>
      </c>
      <c r="D55" s="118"/>
      <c r="E55" s="118"/>
      <c r="F55" s="118"/>
    </row>
    <row r="56" spans="2:6" x14ac:dyDescent="0.2">
      <c r="B56" s="116" t="s">
        <v>166</v>
      </c>
      <c r="C56" s="117" t="s">
        <v>167</v>
      </c>
      <c r="D56" s="118">
        <v>3.48</v>
      </c>
      <c r="E56" s="118">
        <v>0.91</v>
      </c>
      <c r="F56" s="118">
        <v>8.73</v>
      </c>
    </row>
    <row r="57" spans="2:6" x14ac:dyDescent="0.2">
      <c r="B57" s="116" t="s">
        <v>169</v>
      </c>
      <c r="C57" s="117" t="s">
        <v>170</v>
      </c>
      <c r="D57" s="118">
        <v>7.24</v>
      </c>
      <c r="E57" s="118">
        <v>0.91</v>
      </c>
      <c r="F57" s="118">
        <v>11.47</v>
      </c>
    </row>
    <row r="58" spans="2:6" x14ac:dyDescent="0.2">
      <c r="B58" s="116" t="s">
        <v>3570</v>
      </c>
      <c r="C58" s="117" t="s">
        <v>3571</v>
      </c>
      <c r="D58" s="118">
        <v>4.7300000000000004</v>
      </c>
      <c r="E58" s="118">
        <v>0.69</v>
      </c>
      <c r="F58" s="118">
        <v>7.24</v>
      </c>
    </row>
    <row r="59" spans="2:6" x14ac:dyDescent="0.2">
      <c r="B59" s="116" t="s">
        <v>3572</v>
      </c>
      <c r="C59" s="117" t="s">
        <v>3573</v>
      </c>
      <c r="D59" s="118"/>
      <c r="E59" s="118">
        <v>0.63</v>
      </c>
      <c r="F59" s="118"/>
    </row>
    <row r="60" spans="2:6" x14ac:dyDescent="0.2">
      <c r="B60" s="116" t="s">
        <v>172</v>
      </c>
      <c r="C60" s="117" t="s">
        <v>173</v>
      </c>
      <c r="D60" s="118">
        <v>2.4700000000000002</v>
      </c>
      <c r="E60" s="118">
        <v>1.02</v>
      </c>
      <c r="F60" s="118">
        <v>4.09</v>
      </c>
    </row>
    <row r="61" spans="2:6" x14ac:dyDescent="0.2">
      <c r="B61" s="116" t="s">
        <v>174</v>
      </c>
      <c r="C61" s="117" t="s">
        <v>175</v>
      </c>
      <c r="D61" s="118"/>
      <c r="E61" s="118">
        <v>0.44</v>
      </c>
      <c r="F61" s="118"/>
    </row>
    <row r="62" spans="2:6" x14ac:dyDescent="0.2">
      <c r="B62" s="116" t="s">
        <v>3574</v>
      </c>
      <c r="C62" s="117" t="s">
        <v>3575</v>
      </c>
      <c r="D62" s="118">
        <v>0.34</v>
      </c>
      <c r="E62" s="118">
        <v>2.2200000000000002</v>
      </c>
      <c r="F62" s="118">
        <v>18.36</v>
      </c>
    </row>
    <row r="63" spans="2:6" x14ac:dyDescent="0.2">
      <c r="B63" s="116" t="s">
        <v>177</v>
      </c>
      <c r="C63" s="117" t="s">
        <v>178</v>
      </c>
      <c r="D63" s="118">
        <v>0.73</v>
      </c>
      <c r="E63" s="118">
        <v>1.1599999999999999</v>
      </c>
      <c r="F63" s="118">
        <v>10.98</v>
      </c>
    </row>
    <row r="64" spans="2:6" x14ac:dyDescent="0.2">
      <c r="B64" s="116" t="s">
        <v>180</v>
      </c>
      <c r="C64" s="117" t="s">
        <v>181</v>
      </c>
      <c r="D64" s="118">
        <v>1.02</v>
      </c>
      <c r="E64" s="118">
        <v>0.76</v>
      </c>
      <c r="F64" s="118">
        <v>2.97</v>
      </c>
    </row>
    <row r="65" spans="2:6" x14ac:dyDescent="0.2">
      <c r="B65" s="116" t="s">
        <v>182</v>
      </c>
      <c r="C65" s="117" t="s">
        <v>183</v>
      </c>
      <c r="D65" s="118"/>
      <c r="E65" s="118">
        <v>3.04</v>
      </c>
      <c r="F65" s="118"/>
    </row>
    <row r="66" spans="2:6" x14ac:dyDescent="0.2">
      <c r="B66" s="116" t="s">
        <v>184</v>
      </c>
      <c r="C66" s="117" t="s">
        <v>185</v>
      </c>
      <c r="D66" s="118">
        <v>0.64</v>
      </c>
      <c r="E66" s="118">
        <v>0.28999999999999998</v>
      </c>
      <c r="F66" s="118">
        <v>7.35</v>
      </c>
    </row>
    <row r="67" spans="2:6" x14ac:dyDescent="0.2">
      <c r="B67" s="116" t="s">
        <v>186</v>
      </c>
      <c r="C67" s="117" t="s">
        <v>187</v>
      </c>
      <c r="D67" s="118">
        <v>8.19</v>
      </c>
      <c r="E67" s="118">
        <v>4.13</v>
      </c>
      <c r="F67" s="118">
        <v>49.61</v>
      </c>
    </row>
    <row r="68" spans="2:6" x14ac:dyDescent="0.2">
      <c r="B68" s="116" t="s">
        <v>188</v>
      </c>
      <c r="C68" s="117" t="s">
        <v>189</v>
      </c>
      <c r="D68" s="118">
        <v>0.81</v>
      </c>
      <c r="E68" s="118">
        <v>1.35</v>
      </c>
      <c r="F68" s="118">
        <v>7.58</v>
      </c>
    </row>
    <row r="69" spans="2:6" x14ac:dyDescent="0.2">
      <c r="B69" s="116" t="s">
        <v>190</v>
      </c>
      <c r="C69" s="117" t="s">
        <v>191</v>
      </c>
      <c r="D69" s="118">
        <v>2.34</v>
      </c>
      <c r="E69" s="118">
        <v>3.34</v>
      </c>
      <c r="F69" s="118">
        <v>14.19</v>
      </c>
    </row>
    <row r="70" spans="2:6" x14ac:dyDescent="0.2">
      <c r="B70" s="116" t="s">
        <v>3576</v>
      </c>
      <c r="C70" s="117" t="s">
        <v>3577</v>
      </c>
      <c r="D70" s="118">
        <v>0.96</v>
      </c>
      <c r="E70" s="118">
        <v>1.62</v>
      </c>
      <c r="F70" s="118"/>
    </row>
    <row r="71" spans="2:6" x14ac:dyDescent="0.2">
      <c r="B71" s="116" t="s">
        <v>193</v>
      </c>
      <c r="C71" s="117" t="s">
        <v>194</v>
      </c>
      <c r="D71" s="118"/>
      <c r="E71" s="118"/>
      <c r="F71" s="118"/>
    </row>
    <row r="72" spans="2:6" x14ac:dyDescent="0.2">
      <c r="B72" s="116" t="s">
        <v>196</v>
      </c>
      <c r="C72" s="117" t="s">
        <v>197</v>
      </c>
      <c r="D72" s="118">
        <v>2.12</v>
      </c>
      <c r="E72" s="118">
        <v>7.78</v>
      </c>
      <c r="F72" s="118">
        <v>30.58</v>
      </c>
    </row>
    <row r="73" spans="2:6" x14ac:dyDescent="0.2">
      <c r="B73" s="116" t="s">
        <v>200</v>
      </c>
      <c r="C73" s="117" t="s">
        <v>201</v>
      </c>
      <c r="D73" s="118">
        <v>5.28</v>
      </c>
      <c r="E73" s="118">
        <v>4.32</v>
      </c>
      <c r="F73" s="118">
        <v>16.32</v>
      </c>
    </row>
    <row r="74" spans="2:6" x14ac:dyDescent="0.2">
      <c r="B74" s="116" t="s">
        <v>3578</v>
      </c>
      <c r="C74" s="117" t="s">
        <v>3579</v>
      </c>
      <c r="D74" s="118">
        <v>0.77</v>
      </c>
      <c r="E74" s="118">
        <v>0.73</v>
      </c>
      <c r="F74" s="118">
        <v>12.37</v>
      </c>
    </row>
    <row r="75" spans="2:6" x14ac:dyDescent="0.2">
      <c r="B75" s="116" t="s">
        <v>203</v>
      </c>
      <c r="C75" s="117" t="s">
        <v>204</v>
      </c>
      <c r="D75" s="118">
        <v>1.75</v>
      </c>
      <c r="E75" s="118">
        <v>2.23</v>
      </c>
      <c r="F75" s="118">
        <v>5.79</v>
      </c>
    </row>
    <row r="76" spans="2:6" x14ac:dyDescent="0.2">
      <c r="B76" s="116" t="s">
        <v>205</v>
      </c>
      <c r="C76" s="117" t="s">
        <v>206</v>
      </c>
      <c r="D76" s="118">
        <v>2.59</v>
      </c>
      <c r="E76" s="118">
        <v>0.89</v>
      </c>
      <c r="F76" s="118">
        <v>11.16</v>
      </c>
    </row>
    <row r="77" spans="2:6" x14ac:dyDescent="0.2">
      <c r="B77" s="116" t="s">
        <v>208</v>
      </c>
      <c r="C77" s="117" t="s">
        <v>209</v>
      </c>
      <c r="D77" s="118">
        <v>2.14</v>
      </c>
      <c r="E77" s="118">
        <v>1.84</v>
      </c>
      <c r="F77" s="118">
        <v>15.71</v>
      </c>
    </row>
    <row r="78" spans="2:6" x14ac:dyDescent="0.2">
      <c r="B78" s="116" t="s">
        <v>210</v>
      </c>
      <c r="C78" s="117" t="s">
        <v>211</v>
      </c>
      <c r="D78" s="118">
        <v>3.12</v>
      </c>
      <c r="E78" s="118">
        <v>2.04</v>
      </c>
      <c r="F78" s="118">
        <v>9.14</v>
      </c>
    </row>
    <row r="79" spans="2:6" x14ac:dyDescent="0.2">
      <c r="B79" s="116" t="s">
        <v>3580</v>
      </c>
      <c r="C79" s="117" t="s">
        <v>3581</v>
      </c>
      <c r="D79" s="118">
        <v>1.71</v>
      </c>
      <c r="E79" s="118">
        <v>3.06</v>
      </c>
      <c r="F79" s="118">
        <v>20.68</v>
      </c>
    </row>
    <row r="80" spans="2:6" x14ac:dyDescent="0.2">
      <c r="B80" s="116" t="s">
        <v>212</v>
      </c>
      <c r="C80" s="117" t="s">
        <v>213</v>
      </c>
      <c r="D80" s="118">
        <v>6.81</v>
      </c>
      <c r="E80" s="118">
        <v>10.85</v>
      </c>
      <c r="F80" s="118">
        <v>29.26</v>
      </c>
    </row>
    <row r="81" spans="2:6" x14ac:dyDescent="0.2">
      <c r="B81" s="116" t="s">
        <v>214</v>
      </c>
      <c r="C81" s="117" t="s">
        <v>215</v>
      </c>
      <c r="D81" s="118">
        <v>0.95</v>
      </c>
      <c r="E81" s="118">
        <v>2.02</v>
      </c>
      <c r="F81" s="118">
        <v>16.28</v>
      </c>
    </row>
    <row r="82" spans="2:6" x14ac:dyDescent="0.2">
      <c r="B82" s="116" t="s">
        <v>216</v>
      </c>
      <c r="C82" s="117" t="s">
        <v>217</v>
      </c>
      <c r="D82" s="118">
        <v>3.12</v>
      </c>
      <c r="E82" s="118">
        <v>3.05</v>
      </c>
      <c r="F82" s="118">
        <v>-4.13</v>
      </c>
    </row>
    <row r="83" spans="2:6" x14ac:dyDescent="0.2">
      <c r="B83" s="116" t="s">
        <v>218</v>
      </c>
      <c r="C83" s="117" t="s">
        <v>219</v>
      </c>
      <c r="D83" s="118">
        <v>0.84</v>
      </c>
      <c r="E83" s="118">
        <v>1.58</v>
      </c>
      <c r="F83" s="118">
        <v>12.66</v>
      </c>
    </row>
    <row r="84" spans="2:6" x14ac:dyDescent="0.2">
      <c r="B84" s="116" t="s">
        <v>220</v>
      </c>
      <c r="C84" s="117" t="s">
        <v>221</v>
      </c>
      <c r="D84" s="118">
        <v>3.39</v>
      </c>
      <c r="E84" s="118">
        <v>14.29</v>
      </c>
      <c r="F84" s="118">
        <v>68.47</v>
      </c>
    </row>
    <row r="85" spans="2:6" x14ac:dyDescent="0.2">
      <c r="B85" s="116" t="s">
        <v>222</v>
      </c>
      <c r="C85" s="117" t="s">
        <v>223</v>
      </c>
      <c r="D85" s="118"/>
      <c r="E85" s="118">
        <v>24.76</v>
      </c>
      <c r="F85" s="118">
        <v>-36.97</v>
      </c>
    </row>
    <row r="86" spans="2:6" x14ac:dyDescent="0.2">
      <c r="B86" s="116" t="s">
        <v>224</v>
      </c>
      <c r="C86" s="117" t="s">
        <v>225</v>
      </c>
      <c r="D86" s="118"/>
      <c r="E86" s="118">
        <v>6.12</v>
      </c>
      <c r="F86" s="118">
        <v>-31</v>
      </c>
    </row>
    <row r="87" spans="2:6" x14ac:dyDescent="0.2">
      <c r="B87" s="116" t="s">
        <v>226</v>
      </c>
      <c r="C87" s="117" t="s">
        <v>227</v>
      </c>
      <c r="D87" s="118">
        <v>2.16</v>
      </c>
      <c r="E87" s="118">
        <v>0.92</v>
      </c>
      <c r="F87" s="118">
        <v>10.89</v>
      </c>
    </row>
    <row r="88" spans="2:6" x14ac:dyDescent="0.2">
      <c r="B88" s="116" t="s">
        <v>3582</v>
      </c>
      <c r="C88" s="117" t="s">
        <v>3583</v>
      </c>
      <c r="D88" s="118">
        <v>0.62</v>
      </c>
      <c r="E88" s="118">
        <v>1.1599999999999999</v>
      </c>
      <c r="F88" s="118">
        <v>9.8800000000000008</v>
      </c>
    </row>
    <row r="89" spans="2:6" x14ac:dyDescent="0.2">
      <c r="B89" s="116" t="s">
        <v>229</v>
      </c>
      <c r="C89" s="117" t="s">
        <v>230</v>
      </c>
      <c r="D89" s="118">
        <v>95.14</v>
      </c>
      <c r="E89" s="118">
        <v>5.24</v>
      </c>
      <c r="F89" s="118">
        <v>-56.42</v>
      </c>
    </row>
    <row r="90" spans="2:6" x14ac:dyDescent="0.2">
      <c r="B90" s="116" t="s">
        <v>3584</v>
      </c>
      <c r="C90" s="117" t="s">
        <v>3585</v>
      </c>
      <c r="D90" s="118">
        <v>2.39</v>
      </c>
      <c r="E90" s="118">
        <v>2.4700000000000002</v>
      </c>
      <c r="F90" s="118">
        <v>17.71</v>
      </c>
    </row>
    <row r="91" spans="2:6" x14ac:dyDescent="0.2">
      <c r="B91" s="116" t="s">
        <v>3586</v>
      </c>
      <c r="C91" s="117" t="s">
        <v>3587</v>
      </c>
      <c r="D91" s="118"/>
      <c r="E91" s="118">
        <v>1.9</v>
      </c>
      <c r="F91" s="118"/>
    </row>
    <row r="92" spans="2:6" x14ac:dyDescent="0.2">
      <c r="B92" s="116" t="s">
        <v>231</v>
      </c>
      <c r="C92" s="117" t="s">
        <v>232</v>
      </c>
      <c r="D92" s="118">
        <v>2.0299999999999998</v>
      </c>
      <c r="E92" s="118">
        <v>8.36</v>
      </c>
      <c r="F92" s="118">
        <v>96.05</v>
      </c>
    </row>
    <row r="93" spans="2:6" x14ac:dyDescent="0.2">
      <c r="B93" s="116" t="s">
        <v>235</v>
      </c>
      <c r="C93" s="117" t="s">
        <v>236</v>
      </c>
      <c r="D93" s="118">
        <v>0.8</v>
      </c>
      <c r="E93" s="118">
        <v>3.35</v>
      </c>
      <c r="F93" s="118">
        <v>23.49</v>
      </c>
    </row>
    <row r="94" spans="2:6" x14ac:dyDescent="0.2">
      <c r="B94" s="116" t="s">
        <v>237</v>
      </c>
      <c r="C94" s="117" t="s">
        <v>238</v>
      </c>
      <c r="D94" s="118">
        <v>5.3</v>
      </c>
      <c r="E94" s="118">
        <v>2.35</v>
      </c>
      <c r="F94" s="118">
        <v>20.23</v>
      </c>
    </row>
    <row r="95" spans="2:6" x14ac:dyDescent="0.2">
      <c r="B95" s="116" t="s">
        <v>239</v>
      </c>
      <c r="C95" s="117" t="s">
        <v>240</v>
      </c>
      <c r="D95" s="118">
        <v>9.5299999999999994</v>
      </c>
      <c r="E95" s="118">
        <v>0.94</v>
      </c>
      <c r="F95" s="118">
        <v>10.52</v>
      </c>
    </row>
    <row r="96" spans="2:6" x14ac:dyDescent="0.2">
      <c r="B96" s="116" t="s">
        <v>243</v>
      </c>
      <c r="C96" s="117" t="s">
        <v>244</v>
      </c>
      <c r="D96" s="118">
        <v>5.66</v>
      </c>
      <c r="E96" s="118">
        <v>8.67</v>
      </c>
      <c r="F96" s="118"/>
    </row>
    <row r="97" spans="2:6" x14ac:dyDescent="0.2">
      <c r="B97" s="116" t="s">
        <v>246</v>
      </c>
      <c r="C97" s="117" t="s">
        <v>247</v>
      </c>
      <c r="D97" s="118">
        <v>3.17</v>
      </c>
      <c r="E97" s="118">
        <v>5.8</v>
      </c>
      <c r="F97" s="118">
        <v>39.369999999999997</v>
      </c>
    </row>
    <row r="98" spans="2:6" x14ac:dyDescent="0.2">
      <c r="B98" s="116" t="s">
        <v>3588</v>
      </c>
      <c r="C98" s="117" t="s">
        <v>3589</v>
      </c>
      <c r="D98" s="118">
        <v>1.5</v>
      </c>
      <c r="E98" s="118">
        <v>2.76</v>
      </c>
      <c r="F98" s="118">
        <v>22.1</v>
      </c>
    </row>
    <row r="99" spans="2:6" x14ac:dyDescent="0.2">
      <c r="B99" s="116" t="s">
        <v>249</v>
      </c>
      <c r="C99" s="117" t="s">
        <v>250</v>
      </c>
      <c r="D99" s="118">
        <v>5.55</v>
      </c>
      <c r="E99" s="118">
        <v>17.16</v>
      </c>
      <c r="F99" s="118">
        <v>16.04</v>
      </c>
    </row>
    <row r="100" spans="2:6" x14ac:dyDescent="0.2">
      <c r="B100" s="116" t="s">
        <v>3590</v>
      </c>
      <c r="C100" s="117" t="s">
        <v>3591</v>
      </c>
      <c r="D100" s="118">
        <v>1.22</v>
      </c>
      <c r="E100" s="118">
        <v>0.93</v>
      </c>
      <c r="F100" s="118">
        <v>7.57</v>
      </c>
    </row>
    <row r="101" spans="2:6" x14ac:dyDescent="0.2">
      <c r="B101" s="116" t="s">
        <v>252</v>
      </c>
      <c r="C101" s="117" t="s">
        <v>253</v>
      </c>
      <c r="D101" s="118">
        <v>4.07</v>
      </c>
      <c r="E101" s="118">
        <v>4.4000000000000004</v>
      </c>
      <c r="F101" s="118">
        <v>19.27</v>
      </c>
    </row>
    <row r="102" spans="2:6" x14ac:dyDescent="0.2">
      <c r="B102" s="116" t="s">
        <v>254</v>
      </c>
      <c r="C102" s="117" t="s">
        <v>255</v>
      </c>
      <c r="D102" s="118">
        <v>2.4</v>
      </c>
      <c r="E102" s="118">
        <v>7.74</v>
      </c>
      <c r="F102" s="118">
        <v>27.23</v>
      </c>
    </row>
    <row r="103" spans="2:6" x14ac:dyDescent="0.2">
      <c r="B103" s="116" t="s">
        <v>257</v>
      </c>
      <c r="C103" s="117" t="s">
        <v>258</v>
      </c>
      <c r="D103" s="118">
        <v>1.89</v>
      </c>
      <c r="E103" s="118">
        <v>1.1299999999999999</v>
      </c>
      <c r="F103" s="118">
        <v>17.68</v>
      </c>
    </row>
    <row r="104" spans="2:6" x14ac:dyDescent="0.2">
      <c r="B104" s="116" t="s">
        <v>259</v>
      </c>
      <c r="C104" s="117" t="s">
        <v>260</v>
      </c>
      <c r="D104" s="118">
        <v>5.01</v>
      </c>
      <c r="E104" s="118">
        <v>10.94</v>
      </c>
      <c r="F104" s="118">
        <v>76.17</v>
      </c>
    </row>
    <row r="105" spans="2:6" x14ac:dyDescent="0.2">
      <c r="B105" s="116" t="s">
        <v>261</v>
      </c>
      <c r="C105" s="117" t="s">
        <v>262</v>
      </c>
      <c r="D105" s="118">
        <v>6.85</v>
      </c>
      <c r="E105" s="118">
        <v>1.27</v>
      </c>
      <c r="F105" s="118">
        <v>1.86</v>
      </c>
    </row>
    <row r="106" spans="2:6" x14ac:dyDescent="0.2">
      <c r="B106" s="116" t="s">
        <v>263</v>
      </c>
      <c r="C106" s="117" t="s">
        <v>264</v>
      </c>
      <c r="D106" s="118">
        <v>0.6</v>
      </c>
      <c r="E106" s="118">
        <v>0.72</v>
      </c>
      <c r="F106" s="118">
        <v>0.85</v>
      </c>
    </row>
    <row r="107" spans="2:6" x14ac:dyDescent="0.2">
      <c r="B107" s="116" t="s">
        <v>266</v>
      </c>
      <c r="C107" s="117" t="s">
        <v>267</v>
      </c>
      <c r="D107" s="118">
        <v>1.49</v>
      </c>
      <c r="E107" s="118">
        <v>3.16</v>
      </c>
      <c r="F107" s="118">
        <v>37.729999999999997</v>
      </c>
    </row>
    <row r="108" spans="2:6" x14ac:dyDescent="0.2">
      <c r="B108" s="116" t="s">
        <v>268</v>
      </c>
      <c r="C108" s="117" t="s">
        <v>269</v>
      </c>
      <c r="D108" s="118">
        <v>19.61</v>
      </c>
      <c r="E108" s="118">
        <v>43.85</v>
      </c>
      <c r="F108" s="118">
        <v>-111.75</v>
      </c>
    </row>
    <row r="109" spans="2:6" x14ac:dyDescent="0.2">
      <c r="B109" s="116" t="s">
        <v>3592</v>
      </c>
      <c r="C109" s="117" t="s">
        <v>3593</v>
      </c>
      <c r="D109" s="118">
        <v>2.17</v>
      </c>
      <c r="E109" s="118">
        <v>2.64</v>
      </c>
      <c r="F109" s="118">
        <v>2.41</v>
      </c>
    </row>
    <row r="110" spans="2:6" x14ac:dyDescent="0.2">
      <c r="B110" s="116" t="s">
        <v>270</v>
      </c>
      <c r="C110" s="117" t="s">
        <v>271</v>
      </c>
      <c r="D110" s="118">
        <v>13.1</v>
      </c>
      <c r="E110" s="118">
        <v>16.510000000000002</v>
      </c>
      <c r="F110" s="118">
        <v>24.75</v>
      </c>
    </row>
    <row r="111" spans="2:6" x14ac:dyDescent="0.2">
      <c r="B111" s="116" t="s">
        <v>273</v>
      </c>
      <c r="C111" s="117" t="s">
        <v>274</v>
      </c>
      <c r="D111" s="118">
        <v>4.62</v>
      </c>
      <c r="E111" s="118">
        <v>3.18</v>
      </c>
      <c r="F111" s="118">
        <v>27.13</v>
      </c>
    </row>
    <row r="112" spans="2:6" x14ac:dyDescent="0.2">
      <c r="B112" s="116" t="s">
        <v>276</v>
      </c>
      <c r="C112" s="117" t="s">
        <v>277</v>
      </c>
      <c r="D112" s="118">
        <v>0.96</v>
      </c>
      <c r="E112" s="118">
        <v>3.84</v>
      </c>
      <c r="F112" s="118">
        <v>26.07</v>
      </c>
    </row>
    <row r="113" spans="2:6" x14ac:dyDescent="0.2">
      <c r="B113" s="116" t="s">
        <v>279</v>
      </c>
      <c r="C113" s="117" t="s">
        <v>280</v>
      </c>
      <c r="D113" s="118">
        <v>3.52</v>
      </c>
      <c r="E113" s="118">
        <v>16.73</v>
      </c>
      <c r="F113" s="118">
        <v>26.27</v>
      </c>
    </row>
    <row r="114" spans="2:6" x14ac:dyDescent="0.2">
      <c r="B114" s="116" t="s">
        <v>282</v>
      </c>
      <c r="C114" s="117" t="s">
        <v>283</v>
      </c>
      <c r="D114" s="118">
        <v>0.21</v>
      </c>
      <c r="E114" s="118">
        <v>1.56</v>
      </c>
      <c r="F114" s="118">
        <v>15.1</v>
      </c>
    </row>
    <row r="115" spans="2:6" x14ac:dyDescent="0.2">
      <c r="B115" s="116" t="s">
        <v>3594</v>
      </c>
      <c r="C115" s="117" t="s">
        <v>3595</v>
      </c>
      <c r="D115" s="118">
        <v>0.91</v>
      </c>
      <c r="E115" s="118">
        <v>0.56999999999999995</v>
      </c>
      <c r="F115" s="118">
        <v>4.3600000000000003</v>
      </c>
    </row>
    <row r="116" spans="2:6" x14ac:dyDescent="0.2">
      <c r="B116" s="116" t="s">
        <v>285</v>
      </c>
      <c r="C116" s="117" t="s">
        <v>286</v>
      </c>
      <c r="D116" s="118">
        <v>7.79</v>
      </c>
      <c r="E116" s="118">
        <v>7.29</v>
      </c>
      <c r="F116" s="118">
        <v>28.76</v>
      </c>
    </row>
    <row r="117" spans="2:6" x14ac:dyDescent="0.2">
      <c r="B117" s="116" t="s">
        <v>288</v>
      </c>
      <c r="C117" s="117" t="s">
        <v>289</v>
      </c>
      <c r="D117" s="118">
        <v>2.91</v>
      </c>
      <c r="E117" s="118">
        <v>2.66</v>
      </c>
      <c r="F117" s="118">
        <v>6.42</v>
      </c>
    </row>
    <row r="118" spans="2:6" x14ac:dyDescent="0.2">
      <c r="B118" s="116" t="s">
        <v>290</v>
      </c>
      <c r="C118" s="117" t="s">
        <v>291</v>
      </c>
      <c r="D118" s="118"/>
      <c r="E118" s="118"/>
      <c r="F118" s="118"/>
    </row>
    <row r="119" spans="2:6" x14ac:dyDescent="0.2">
      <c r="B119" s="116" t="s">
        <v>292</v>
      </c>
      <c r="C119" s="117" t="s">
        <v>293</v>
      </c>
      <c r="D119" s="118">
        <v>13.1</v>
      </c>
      <c r="E119" s="118">
        <v>6.45</v>
      </c>
      <c r="F119" s="118">
        <v>17.170000000000002</v>
      </c>
    </row>
    <row r="120" spans="2:6" x14ac:dyDescent="0.2">
      <c r="B120" s="116" t="s">
        <v>294</v>
      </c>
      <c r="C120" s="117" t="s">
        <v>295</v>
      </c>
      <c r="D120" s="118">
        <v>0.67</v>
      </c>
      <c r="E120" s="118">
        <v>2.09</v>
      </c>
      <c r="F120" s="118">
        <v>15.02</v>
      </c>
    </row>
    <row r="121" spans="2:6" x14ac:dyDescent="0.2">
      <c r="B121" s="116" t="s">
        <v>297</v>
      </c>
      <c r="C121" s="117" t="s">
        <v>298</v>
      </c>
      <c r="D121" s="118"/>
      <c r="E121" s="118">
        <v>1.26</v>
      </c>
      <c r="F121" s="118"/>
    </row>
    <row r="122" spans="2:6" x14ac:dyDescent="0.2">
      <c r="B122" s="116" t="s">
        <v>300</v>
      </c>
      <c r="C122" s="117" t="s">
        <v>301</v>
      </c>
      <c r="D122" s="118">
        <v>4.1900000000000004</v>
      </c>
      <c r="E122" s="118">
        <v>11.63</v>
      </c>
      <c r="F122" s="118">
        <v>48.75</v>
      </c>
    </row>
    <row r="123" spans="2:6" x14ac:dyDescent="0.2">
      <c r="B123" s="116" t="s">
        <v>302</v>
      </c>
      <c r="C123" s="117" t="s">
        <v>303</v>
      </c>
      <c r="D123" s="118">
        <v>2.5299999999999998</v>
      </c>
      <c r="E123" s="118">
        <v>4.5999999999999996</v>
      </c>
      <c r="F123" s="118">
        <v>24.31</v>
      </c>
    </row>
    <row r="124" spans="2:6" x14ac:dyDescent="0.2">
      <c r="B124" s="116" t="s">
        <v>304</v>
      </c>
      <c r="C124" s="117" t="s">
        <v>305</v>
      </c>
      <c r="D124" s="118">
        <v>1.39</v>
      </c>
      <c r="E124" s="118">
        <v>1.19</v>
      </c>
      <c r="F124" s="118">
        <v>5.12</v>
      </c>
    </row>
    <row r="125" spans="2:6" x14ac:dyDescent="0.2">
      <c r="B125" s="116" t="s">
        <v>307</v>
      </c>
      <c r="C125" s="117" t="s">
        <v>308</v>
      </c>
      <c r="D125" s="118">
        <v>5.46</v>
      </c>
      <c r="E125" s="118">
        <v>4.16</v>
      </c>
      <c r="F125" s="118">
        <v>15.42</v>
      </c>
    </row>
    <row r="126" spans="2:6" x14ac:dyDescent="0.2">
      <c r="B126" s="116" t="s">
        <v>309</v>
      </c>
      <c r="C126" s="117" t="s">
        <v>310</v>
      </c>
      <c r="D126" s="118"/>
      <c r="E126" s="118"/>
      <c r="F126" s="118"/>
    </row>
    <row r="127" spans="2:6" x14ac:dyDescent="0.2">
      <c r="B127" s="116" t="s">
        <v>312</v>
      </c>
      <c r="C127" s="117" t="s">
        <v>313</v>
      </c>
      <c r="D127" s="118">
        <v>3.35</v>
      </c>
      <c r="E127" s="118">
        <v>6.64</v>
      </c>
      <c r="F127" s="118">
        <v>29.08</v>
      </c>
    </row>
    <row r="128" spans="2:6" x14ac:dyDescent="0.2">
      <c r="B128" s="116" t="s">
        <v>3596</v>
      </c>
      <c r="C128" s="117" t="s">
        <v>3597</v>
      </c>
      <c r="D128" s="118">
        <v>2.88</v>
      </c>
      <c r="E128" s="118">
        <v>1.0900000000000001</v>
      </c>
      <c r="F128" s="118">
        <v>5.75</v>
      </c>
    </row>
    <row r="129" spans="2:6" x14ac:dyDescent="0.2">
      <c r="B129" s="116" t="s">
        <v>315</v>
      </c>
      <c r="C129" s="117" t="s">
        <v>316</v>
      </c>
      <c r="D129" s="118">
        <v>4.01</v>
      </c>
      <c r="E129" s="118">
        <v>4.04</v>
      </c>
      <c r="F129" s="118">
        <v>23.77</v>
      </c>
    </row>
    <row r="130" spans="2:6" x14ac:dyDescent="0.2">
      <c r="B130" s="116" t="s">
        <v>317</v>
      </c>
      <c r="C130" s="117" t="s">
        <v>318</v>
      </c>
      <c r="D130" s="118">
        <v>14.9</v>
      </c>
      <c r="E130" s="118">
        <v>27.87</v>
      </c>
      <c r="F130" s="118">
        <v>33.909999999999997</v>
      </c>
    </row>
    <row r="131" spans="2:6" x14ac:dyDescent="0.2">
      <c r="B131" s="116" t="s">
        <v>320</v>
      </c>
      <c r="C131" s="117" t="s">
        <v>321</v>
      </c>
      <c r="D131" s="118">
        <v>13.06</v>
      </c>
      <c r="E131" s="118">
        <v>54.6</v>
      </c>
      <c r="F131" s="118">
        <v>-80.44</v>
      </c>
    </row>
    <row r="132" spans="2:6" x14ac:dyDescent="0.2">
      <c r="B132" s="116" t="s">
        <v>322</v>
      </c>
      <c r="C132" s="117" t="s">
        <v>323</v>
      </c>
      <c r="D132" s="118">
        <v>1.56</v>
      </c>
      <c r="E132" s="118">
        <v>5.98</v>
      </c>
      <c r="F132" s="118">
        <v>34.92</v>
      </c>
    </row>
    <row r="133" spans="2:6" x14ac:dyDescent="0.2">
      <c r="B133" s="116" t="s">
        <v>325</v>
      </c>
      <c r="C133" s="117" t="s">
        <v>326</v>
      </c>
      <c r="D133" s="118">
        <v>4.1900000000000004</v>
      </c>
      <c r="E133" s="118">
        <v>1.79</v>
      </c>
      <c r="F133" s="118">
        <v>7.57</v>
      </c>
    </row>
    <row r="134" spans="2:6" x14ac:dyDescent="0.2">
      <c r="B134" s="116" t="s">
        <v>327</v>
      </c>
      <c r="C134" s="117" t="s">
        <v>328</v>
      </c>
      <c r="D134" s="118">
        <v>5.58</v>
      </c>
      <c r="E134" s="118">
        <v>1.0900000000000001</v>
      </c>
      <c r="F134" s="118">
        <v>10.72</v>
      </c>
    </row>
    <row r="135" spans="2:6" x14ac:dyDescent="0.2">
      <c r="B135" s="116" t="s">
        <v>330</v>
      </c>
      <c r="C135" s="117" t="s">
        <v>331</v>
      </c>
      <c r="D135" s="118">
        <v>12.3</v>
      </c>
      <c r="E135" s="118">
        <v>2.09</v>
      </c>
      <c r="F135" s="118">
        <v>5</v>
      </c>
    </row>
    <row r="136" spans="2:6" x14ac:dyDescent="0.2">
      <c r="B136" s="116" t="s">
        <v>332</v>
      </c>
      <c r="C136" s="117" t="s">
        <v>333</v>
      </c>
      <c r="D136" s="118">
        <v>2.34</v>
      </c>
      <c r="E136" s="118">
        <v>2.42</v>
      </c>
      <c r="F136" s="118">
        <v>22.54</v>
      </c>
    </row>
    <row r="137" spans="2:6" x14ac:dyDescent="0.2">
      <c r="B137" s="116" t="s">
        <v>334</v>
      </c>
      <c r="C137" s="117" t="s">
        <v>335</v>
      </c>
      <c r="D137" s="118"/>
      <c r="E137" s="118">
        <v>6.39</v>
      </c>
      <c r="F137" s="118"/>
    </row>
    <row r="138" spans="2:6" x14ac:dyDescent="0.2">
      <c r="B138" s="116" t="s">
        <v>3598</v>
      </c>
      <c r="C138" s="117" t="s">
        <v>3599</v>
      </c>
      <c r="D138" s="118">
        <v>9.2799999999999994</v>
      </c>
      <c r="E138" s="118">
        <v>1.1200000000000001</v>
      </c>
      <c r="F138" s="118">
        <v>10.220000000000001</v>
      </c>
    </row>
    <row r="139" spans="2:6" x14ac:dyDescent="0.2">
      <c r="B139" s="116" t="s">
        <v>336</v>
      </c>
      <c r="C139" s="117" t="s">
        <v>337</v>
      </c>
      <c r="D139" s="118">
        <v>0.71</v>
      </c>
      <c r="E139" s="118">
        <v>1.25</v>
      </c>
      <c r="F139" s="118">
        <v>12.9</v>
      </c>
    </row>
    <row r="140" spans="2:6" x14ac:dyDescent="0.2">
      <c r="B140" s="116" t="s">
        <v>338</v>
      </c>
      <c r="C140" s="117" t="s">
        <v>339</v>
      </c>
      <c r="D140" s="118">
        <v>0.64</v>
      </c>
      <c r="E140" s="118">
        <v>3.17</v>
      </c>
      <c r="F140" s="118">
        <v>17.39</v>
      </c>
    </row>
    <row r="141" spans="2:6" x14ac:dyDescent="0.2">
      <c r="B141" s="116" t="s">
        <v>341</v>
      </c>
      <c r="C141" s="117" t="s">
        <v>342</v>
      </c>
      <c r="D141" s="118">
        <v>0.83</v>
      </c>
      <c r="E141" s="118">
        <v>2.44</v>
      </c>
      <c r="F141" s="118">
        <v>15.38</v>
      </c>
    </row>
    <row r="142" spans="2:6" x14ac:dyDescent="0.2">
      <c r="B142" s="116" t="s">
        <v>344</v>
      </c>
      <c r="C142" s="117" t="s">
        <v>345</v>
      </c>
      <c r="D142" s="118">
        <v>0.21</v>
      </c>
      <c r="E142" s="118">
        <v>1.27</v>
      </c>
      <c r="F142" s="118">
        <v>13.59</v>
      </c>
    </row>
    <row r="143" spans="2:6" x14ac:dyDescent="0.2">
      <c r="B143" s="116" t="s">
        <v>347</v>
      </c>
      <c r="C143" s="117" t="s">
        <v>348</v>
      </c>
      <c r="D143" s="118">
        <v>2.5499999999999998</v>
      </c>
      <c r="E143" s="118">
        <v>4.38</v>
      </c>
      <c r="F143" s="118">
        <v>18.309999999999999</v>
      </c>
    </row>
    <row r="144" spans="2:6" x14ac:dyDescent="0.2">
      <c r="B144" s="116" t="s">
        <v>349</v>
      </c>
      <c r="C144" s="117" t="s">
        <v>350</v>
      </c>
      <c r="D144" s="118">
        <v>2.09</v>
      </c>
      <c r="E144" s="118">
        <v>0.9</v>
      </c>
      <c r="F144" s="118">
        <v>9.86</v>
      </c>
    </row>
    <row r="145" spans="2:6" x14ac:dyDescent="0.2">
      <c r="B145" s="116" t="s">
        <v>352</v>
      </c>
      <c r="C145" s="117" t="s">
        <v>353</v>
      </c>
      <c r="D145" s="118"/>
      <c r="E145" s="118">
        <v>1.91</v>
      </c>
      <c r="F145" s="118"/>
    </row>
    <row r="146" spans="2:6" x14ac:dyDescent="0.2">
      <c r="B146" s="116" t="s">
        <v>354</v>
      </c>
      <c r="C146" s="117" t="s">
        <v>355</v>
      </c>
      <c r="D146" s="118">
        <v>0.25</v>
      </c>
      <c r="E146" s="118">
        <v>0.53</v>
      </c>
      <c r="F146" s="118">
        <v>5.96</v>
      </c>
    </row>
    <row r="147" spans="2:6" x14ac:dyDescent="0.2">
      <c r="B147" s="116" t="s">
        <v>3600</v>
      </c>
      <c r="C147" s="117" t="s">
        <v>3601</v>
      </c>
      <c r="D147" s="118">
        <v>0.49</v>
      </c>
      <c r="E147" s="118">
        <v>0.57999999999999996</v>
      </c>
      <c r="F147" s="118">
        <v>7.23</v>
      </c>
    </row>
    <row r="148" spans="2:6" x14ac:dyDescent="0.2">
      <c r="B148" s="116" t="s">
        <v>356</v>
      </c>
      <c r="C148" s="117" t="s">
        <v>357</v>
      </c>
      <c r="D148" s="118">
        <v>0.9</v>
      </c>
      <c r="E148" s="118">
        <v>2.61</v>
      </c>
      <c r="F148" s="118">
        <v>19.559999999999999</v>
      </c>
    </row>
    <row r="149" spans="2:6" x14ac:dyDescent="0.2">
      <c r="B149" s="116" t="s">
        <v>358</v>
      </c>
      <c r="C149" s="117" t="s">
        <v>359</v>
      </c>
      <c r="D149" s="118">
        <v>1.65</v>
      </c>
      <c r="E149" s="118">
        <v>1.46</v>
      </c>
      <c r="F149" s="118">
        <v>5.15</v>
      </c>
    </row>
    <row r="150" spans="2:6" x14ac:dyDescent="0.2">
      <c r="B150" s="116" t="s">
        <v>361</v>
      </c>
      <c r="C150" s="117" t="s">
        <v>362</v>
      </c>
      <c r="D150" s="118">
        <v>2.44</v>
      </c>
      <c r="E150" s="118">
        <v>3.87</v>
      </c>
      <c r="F150" s="118">
        <v>29.01</v>
      </c>
    </row>
    <row r="151" spans="2:6" x14ac:dyDescent="0.2">
      <c r="B151" s="116" t="s">
        <v>3602</v>
      </c>
      <c r="C151" s="117" t="s">
        <v>3603</v>
      </c>
      <c r="D151" s="118">
        <v>3.77</v>
      </c>
      <c r="E151" s="118">
        <v>2.2799999999999998</v>
      </c>
      <c r="F151" s="118">
        <v>15.58</v>
      </c>
    </row>
    <row r="152" spans="2:6" x14ac:dyDescent="0.2">
      <c r="B152" s="116" t="s">
        <v>364</v>
      </c>
      <c r="C152" s="117" t="s">
        <v>365</v>
      </c>
      <c r="D152" s="118">
        <v>8.42</v>
      </c>
      <c r="E152" s="118">
        <v>7.98</v>
      </c>
      <c r="F152" s="118">
        <v>21.3</v>
      </c>
    </row>
    <row r="153" spans="2:6" x14ac:dyDescent="0.2">
      <c r="B153" s="116" t="s">
        <v>366</v>
      </c>
      <c r="C153" s="117" t="s">
        <v>367</v>
      </c>
      <c r="D153" s="118">
        <v>211.82</v>
      </c>
      <c r="E153" s="118">
        <v>6.08</v>
      </c>
      <c r="F153" s="118">
        <v>-35.99</v>
      </c>
    </row>
    <row r="154" spans="2:6" x14ac:dyDescent="0.2">
      <c r="B154" s="116" t="s">
        <v>368</v>
      </c>
      <c r="C154" s="117" t="s">
        <v>369</v>
      </c>
      <c r="D154" s="118">
        <v>5.87</v>
      </c>
      <c r="E154" s="118">
        <v>2.4900000000000002</v>
      </c>
      <c r="F154" s="118">
        <v>14.65</v>
      </c>
    </row>
    <row r="155" spans="2:6" x14ac:dyDescent="0.2">
      <c r="B155" s="116" t="s">
        <v>371</v>
      </c>
      <c r="C155" s="117" t="s">
        <v>372</v>
      </c>
      <c r="D155" s="118">
        <v>0.75</v>
      </c>
      <c r="E155" s="118">
        <v>1.39</v>
      </c>
      <c r="F155" s="118">
        <v>7.52</v>
      </c>
    </row>
    <row r="156" spans="2:6" x14ac:dyDescent="0.2">
      <c r="B156" s="116" t="s">
        <v>3604</v>
      </c>
      <c r="C156" s="117" t="s">
        <v>3605</v>
      </c>
      <c r="D156" s="118"/>
      <c r="E156" s="118">
        <v>1.1200000000000001</v>
      </c>
      <c r="F156" s="118"/>
    </row>
    <row r="157" spans="2:6" x14ac:dyDescent="0.2">
      <c r="B157" s="116" t="s">
        <v>3606</v>
      </c>
      <c r="C157" s="117" t="s">
        <v>3607</v>
      </c>
      <c r="D157" s="118"/>
      <c r="E157" s="118">
        <v>78.41</v>
      </c>
      <c r="F157" s="118"/>
    </row>
    <row r="158" spans="2:6" x14ac:dyDescent="0.2">
      <c r="B158" s="116" t="s">
        <v>373</v>
      </c>
      <c r="C158" s="117" t="s">
        <v>374</v>
      </c>
      <c r="D158" s="118">
        <v>3.42</v>
      </c>
      <c r="E158" s="118">
        <v>4.71</v>
      </c>
      <c r="F158" s="118">
        <v>28.78</v>
      </c>
    </row>
    <row r="159" spans="2:6" x14ac:dyDescent="0.2">
      <c r="B159" s="116" t="s">
        <v>376</v>
      </c>
      <c r="C159" s="117" t="s">
        <v>377</v>
      </c>
      <c r="D159" s="118">
        <v>0.66</v>
      </c>
      <c r="E159" s="118">
        <v>0.64</v>
      </c>
      <c r="F159" s="118">
        <v>12.84</v>
      </c>
    </row>
    <row r="160" spans="2:6" x14ac:dyDescent="0.2">
      <c r="B160" s="116" t="s">
        <v>379</v>
      </c>
      <c r="C160" s="117" t="s">
        <v>380</v>
      </c>
      <c r="D160" s="118">
        <v>9.27</v>
      </c>
      <c r="E160" s="118">
        <v>5.86</v>
      </c>
      <c r="F160" s="118">
        <v>29.47</v>
      </c>
    </row>
    <row r="161" spans="2:6" x14ac:dyDescent="0.2">
      <c r="B161" s="116" t="s">
        <v>381</v>
      </c>
      <c r="C161" s="117" t="s">
        <v>382</v>
      </c>
      <c r="D161" s="118">
        <v>3.64</v>
      </c>
      <c r="E161" s="118">
        <v>8.36</v>
      </c>
      <c r="F161" s="118">
        <v>38.979999999999997</v>
      </c>
    </row>
    <row r="162" spans="2:6" x14ac:dyDescent="0.2">
      <c r="B162" s="116" t="s">
        <v>384</v>
      </c>
      <c r="C162" s="117" t="s">
        <v>385</v>
      </c>
      <c r="D162" s="118">
        <v>4.5999999999999996</v>
      </c>
      <c r="E162" s="118">
        <v>2.34</v>
      </c>
      <c r="F162" s="118">
        <v>9.3800000000000008</v>
      </c>
    </row>
    <row r="163" spans="2:6" x14ac:dyDescent="0.2">
      <c r="B163" s="116" t="s">
        <v>387</v>
      </c>
      <c r="C163" s="117" t="s">
        <v>388</v>
      </c>
      <c r="D163" s="118">
        <v>2.66</v>
      </c>
      <c r="E163" s="118">
        <v>4.78</v>
      </c>
      <c r="F163" s="118">
        <v>18.510000000000002</v>
      </c>
    </row>
    <row r="164" spans="2:6" x14ac:dyDescent="0.2">
      <c r="B164" s="116" t="s">
        <v>390</v>
      </c>
      <c r="C164" s="117" t="s">
        <v>391</v>
      </c>
      <c r="D164" s="118">
        <v>1.96</v>
      </c>
      <c r="E164" s="118">
        <v>7.59</v>
      </c>
      <c r="F164" s="118">
        <v>13.57</v>
      </c>
    </row>
    <row r="165" spans="2:6" x14ac:dyDescent="0.2">
      <c r="B165" s="116" t="s">
        <v>392</v>
      </c>
      <c r="C165" s="117" t="s">
        <v>393</v>
      </c>
      <c r="D165" s="118">
        <v>5.9</v>
      </c>
      <c r="E165" s="118">
        <v>3.5</v>
      </c>
      <c r="F165" s="118">
        <v>15.54</v>
      </c>
    </row>
    <row r="166" spans="2:6" x14ac:dyDescent="0.2">
      <c r="B166" s="116" t="s">
        <v>395</v>
      </c>
      <c r="C166" s="117" t="s">
        <v>396</v>
      </c>
      <c r="D166" s="118"/>
      <c r="E166" s="118">
        <v>3.02</v>
      </c>
      <c r="F166" s="118"/>
    </row>
    <row r="167" spans="2:6" x14ac:dyDescent="0.2">
      <c r="B167" s="116" t="s">
        <v>397</v>
      </c>
      <c r="C167" s="117" t="s">
        <v>398</v>
      </c>
      <c r="D167" s="118">
        <v>4.38</v>
      </c>
      <c r="E167" s="118">
        <v>1.25</v>
      </c>
      <c r="F167" s="118">
        <v>8.81</v>
      </c>
    </row>
    <row r="168" spans="2:6" x14ac:dyDescent="0.2">
      <c r="B168" s="116" t="s">
        <v>400</v>
      </c>
      <c r="C168" s="117" t="s">
        <v>401</v>
      </c>
      <c r="D168" s="118"/>
      <c r="E168" s="118">
        <v>4.47</v>
      </c>
      <c r="F168" s="118"/>
    </row>
    <row r="169" spans="2:6" x14ac:dyDescent="0.2">
      <c r="B169" s="116" t="s">
        <v>403</v>
      </c>
      <c r="C169" s="117" t="s">
        <v>404</v>
      </c>
      <c r="D169" s="118">
        <v>1.86</v>
      </c>
      <c r="E169" s="118">
        <v>0.82</v>
      </c>
      <c r="F169" s="118">
        <v>2.3199999999999998</v>
      </c>
    </row>
    <row r="170" spans="2:6" x14ac:dyDescent="0.2">
      <c r="B170" s="116" t="s">
        <v>405</v>
      </c>
      <c r="C170" s="117" t="s">
        <v>406</v>
      </c>
      <c r="D170" s="118">
        <v>2.3199999999999998</v>
      </c>
      <c r="E170" s="118">
        <v>1.67</v>
      </c>
      <c r="F170" s="118">
        <v>6.35</v>
      </c>
    </row>
    <row r="171" spans="2:6" x14ac:dyDescent="0.2">
      <c r="B171" s="116" t="s">
        <v>407</v>
      </c>
      <c r="C171" s="117" t="s">
        <v>408</v>
      </c>
      <c r="D171" s="118">
        <v>1.07</v>
      </c>
      <c r="E171" s="118">
        <v>0.92</v>
      </c>
      <c r="F171" s="118">
        <v>12.99</v>
      </c>
    </row>
    <row r="172" spans="2:6" x14ac:dyDescent="0.2">
      <c r="B172" s="116" t="s">
        <v>409</v>
      </c>
      <c r="C172" s="117" t="s">
        <v>410</v>
      </c>
      <c r="D172" s="118">
        <v>13.32</v>
      </c>
      <c r="E172" s="118">
        <v>2.71</v>
      </c>
      <c r="F172" s="118">
        <v>8.6300000000000008</v>
      </c>
    </row>
    <row r="173" spans="2:6" x14ac:dyDescent="0.2">
      <c r="B173" s="116" t="s">
        <v>411</v>
      </c>
      <c r="C173" s="117" t="s">
        <v>412</v>
      </c>
      <c r="D173" s="118">
        <v>5.0599999999999996</v>
      </c>
      <c r="E173" s="118">
        <v>5.24</v>
      </c>
      <c r="F173" s="118">
        <v>34.1</v>
      </c>
    </row>
    <row r="174" spans="2:6" x14ac:dyDescent="0.2">
      <c r="B174" s="116" t="s">
        <v>3608</v>
      </c>
      <c r="C174" s="117" t="s">
        <v>3609</v>
      </c>
      <c r="D174" s="118">
        <v>4.05</v>
      </c>
      <c r="E174" s="118">
        <v>12.03</v>
      </c>
      <c r="F174" s="118">
        <v>52.58</v>
      </c>
    </row>
    <row r="175" spans="2:6" x14ac:dyDescent="0.2">
      <c r="B175" s="116" t="s">
        <v>413</v>
      </c>
      <c r="C175" s="117" t="s">
        <v>414</v>
      </c>
      <c r="D175" s="118">
        <v>18.5</v>
      </c>
      <c r="E175" s="118">
        <v>13.2</v>
      </c>
      <c r="F175" s="118">
        <v>-23.05</v>
      </c>
    </row>
    <row r="176" spans="2:6" x14ac:dyDescent="0.2">
      <c r="B176" s="116" t="s">
        <v>415</v>
      </c>
      <c r="C176" s="117" t="s">
        <v>416</v>
      </c>
      <c r="D176" s="118">
        <v>0.23</v>
      </c>
      <c r="E176" s="118">
        <v>1.08</v>
      </c>
      <c r="F176" s="118">
        <v>10.39</v>
      </c>
    </row>
    <row r="177" spans="2:6" x14ac:dyDescent="0.2">
      <c r="B177" s="116" t="s">
        <v>3610</v>
      </c>
      <c r="C177" s="117" t="s">
        <v>3611</v>
      </c>
      <c r="D177" s="118"/>
      <c r="E177" s="118"/>
      <c r="F177" s="118"/>
    </row>
    <row r="178" spans="2:6" x14ac:dyDescent="0.2">
      <c r="B178" s="116" t="s">
        <v>417</v>
      </c>
      <c r="C178" s="117" t="s">
        <v>418</v>
      </c>
      <c r="D178" s="118"/>
      <c r="E178" s="118">
        <v>0.8</v>
      </c>
      <c r="F178" s="118"/>
    </row>
    <row r="179" spans="2:6" x14ac:dyDescent="0.2">
      <c r="B179" s="116" t="s">
        <v>419</v>
      </c>
      <c r="C179" s="117" t="s">
        <v>420</v>
      </c>
      <c r="D179" s="118">
        <v>1.34</v>
      </c>
      <c r="E179" s="118">
        <v>8.94</v>
      </c>
      <c r="F179" s="118">
        <v>52.67</v>
      </c>
    </row>
    <row r="180" spans="2:6" x14ac:dyDescent="0.2">
      <c r="B180" s="116" t="s">
        <v>3612</v>
      </c>
      <c r="C180" s="117" t="s">
        <v>3613</v>
      </c>
      <c r="D180" s="118"/>
      <c r="E180" s="118">
        <v>2.23</v>
      </c>
      <c r="F180" s="118"/>
    </row>
    <row r="181" spans="2:6" x14ac:dyDescent="0.2">
      <c r="B181" s="116" t="s">
        <v>422</v>
      </c>
      <c r="C181" s="117" t="s">
        <v>423</v>
      </c>
      <c r="D181" s="118">
        <v>4.68</v>
      </c>
      <c r="E181" s="118">
        <v>19.53</v>
      </c>
      <c r="F181" s="118">
        <v>77.099999999999994</v>
      </c>
    </row>
    <row r="182" spans="2:6" x14ac:dyDescent="0.2">
      <c r="B182" s="116" t="s">
        <v>425</v>
      </c>
      <c r="C182" s="117" t="s">
        <v>426</v>
      </c>
      <c r="D182" s="118">
        <v>6.3</v>
      </c>
      <c r="E182" s="118">
        <v>3.68</v>
      </c>
      <c r="F182" s="118">
        <v>10.51</v>
      </c>
    </row>
    <row r="183" spans="2:6" x14ac:dyDescent="0.2">
      <c r="B183" s="116" t="s">
        <v>428</v>
      </c>
      <c r="C183" s="117" t="s">
        <v>429</v>
      </c>
      <c r="D183" s="118">
        <v>7.19</v>
      </c>
      <c r="E183" s="118">
        <v>5.73</v>
      </c>
      <c r="F183" s="118">
        <v>13.04</v>
      </c>
    </row>
    <row r="184" spans="2:6" x14ac:dyDescent="0.2">
      <c r="B184" s="116" t="s">
        <v>430</v>
      </c>
      <c r="C184" s="117" t="s">
        <v>431</v>
      </c>
      <c r="D184" s="118"/>
      <c r="E184" s="118">
        <v>0.72</v>
      </c>
      <c r="F184" s="118"/>
    </row>
    <row r="185" spans="2:6" x14ac:dyDescent="0.2">
      <c r="B185" s="116" t="s">
        <v>432</v>
      </c>
      <c r="C185" s="117" t="s">
        <v>433</v>
      </c>
      <c r="D185" s="118">
        <v>2.3199999999999998</v>
      </c>
      <c r="E185" s="118">
        <v>4.2</v>
      </c>
      <c r="F185" s="118">
        <v>29.75</v>
      </c>
    </row>
    <row r="186" spans="2:6" x14ac:dyDescent="0.2">
      <c r="B186" s="116" t="s">
        <v>435</v>
      </c>
      <c r="C186" s="117" t="s">
        <v>436</v>
      </c>
      <c r="D186" s="118">
        <v>1.07</v>
      </c>
      <c r="E186" s="118">
        <v>1.1499999999999999</v>
      </c>
      <c r="F186" s="118">
        <v>4.5599999999999996</v>
      </c>
    </row>
    <row r="187" spans="2:6" x14ac:dyDescent="0.2">
      <c r="B187" s="116" t="s">
        <v>437</v>
      </c>
      <c r="C187" s="117" t="s">
        <v>438</v>
      </c>
      <c r="D187" s="118">
        <v>1.55</v>
      </c>
      <c r="E187" s="118">
        <v>5.43</v>
      </c>
      <c r="F187" s="118">
        <v>27.59</v>
      </c>
    </row>
    <row r="188" spans="2:6" x14ac:dyDescent="0.2">
      <c r="B188" s="116" t="s">
        <v>439</v>
      </c>
      <c r="C188" s="117" t="s">
        <v>440</v>
      </c>
      <c r="D188" s="118">
        <v>1.43</v>
      </c>
      <c r="E188" s="118">
        <v>2.87</v>
      </c>
      <c r="F188" s="118">
        <v>19.899999999999999</v>
      </c>
    </row>
    <row r="189" spans="2:6" x14ac:dyDescent="0.2">
      <c r="B189" s="116" t="s">
        <v>442</v>
      </c>
      <c r="C189" s="117" t="s">
        <v>443</v>
      </c>
      <c r="D189" s="118">
        <v>27.16</v>
      </c>
      <c r="E189" s="118">
        <v>22.34</v>
      </c>
      <c r="F189" s="118">
        <v>-1.93</v>
      </c>
    </row>
    <row r="190" spans="2:6" x14ac:dyDescent="0.2">
      <c r="B190" s="116" t="s">
        <v>444</v>
      </c>
      <c r="C190" s="117" t="s">
        <v>445</v>
      </c>
      <c r="D190" s="118">
        <v>5.14</v>
      </c>
      <c r="E190" s="118">
        <v>7.59</v>
      </c>
      <c r="F190" s="118">
        <v>35.83</v>
      </c>
    </row>
    <row r="191" spans="2:6" x14ac:dyDescent="0.2">
      <c r="B191" s="116" t="s">
        <v>446</v>
      </c>
      <c r="C191" s="117" t="s">
        <v>447</v>
      </c>
      <c r="D191" s="118">
        <v>2.4900000000000002</v>
      </c>
      <c r="E191" s="118"/>
      <c r="F191" s="118">
        <v>-97.19</v>
      </c>
    </row>
    <row r="192" spans="2:6" x14ac:dyDescent="0.2">
      <c r="B192" s="116" t="s">
        <v>448</v>
      </c>
      <c r="C192" s="117" t="s">
        <v>449</v>
      </c>
      <c r="D192" s="118">
        <v>14.49</v>
      </c>
      <c r="E192" s="118">
        <v>22.24</v>
      </c>
      <c r="F192" s="118">
        <v>62.06</v>
      </c>
    </row>
    <row r="193" spans="2:6" x14ac:dyDescent="0.2">
      <c r="B193" s="116" t="s">
        <v>450</v>
      </c>
      <c r="C193" s="117" t="s">
        <v>451</v>
      </c>
      <c r="D193" s="118">
        <v>0.63</v>
      </c>
      <c r="E193" s="118">
        <v>1.23</v>
      </c>
      <c r="F193" s="118">
        <v>11.34</v>
      </c>
    </row>
    <row r="194" spans="2:6" x14ac:dyDescent="0.2">
      <c r="B194" s="116" t="s">
        <v>452</v>
      </c>
      <c r="C194" s="117" t="s">
        <v>453</v>
      </c>
      <c r="D194" s="118">
        <v>5.57</v>
      </c>
      <c r="E194" s="118"/>
      <c r="F194" s="118">
        <v>38.51</v>
      </c>
    </row>
    <row r="195" spans="2:6" x14ac:dyDescent="0.2">
      <c r="B195" s="116" t="s">
        <v>454</v>
      </c>
      <c r="C195" s="117" t="s">
        <v>455</v>
      </c>
      <c r="D195" s="118">
        <v>2.3199999999999998</v>
      </c>
      <c r="E195" s="118"/>
      <c r="F195" s="118">
        <v>-632.25</v>
      </c>
    </row>
    <row r="196" spans="2:6" x14ac:dyDescent="0.2">
      <c r="B196" s="116" t="s">
        <v>457</v>
      </c>
      <c r="C196" s="117" t="s">
        <v>458</v>
      </c>
      <c r="D196" s="118">
        <v>7.72</v>
      </c>
      <c r="E196" s="118">
        <v>5</v>
      </c>
      <c r="F196" s="118">
        <v>14.36</v>
      </c>
    </row>
    <row r="197" spans="2:6" x14ac:dyDescent="0.2">
      <c r="B197" s="116" t="s">
        <v>459</v>
      </c>
      <c r="C197" s="117" t="s">
        <v>460</v>
      </c>
      <c r="D197" s="118">
        <v>2.41</v>
      </c>
      <c r="E197" s="118">
        <v>1.1200000000000001</v>
      </c>
      <c r="F197" s="118">
        <v>11.95</v>
      </c>
    </row>
    <row r="198" spans="2:6" x14ac:dyDescent="0.2">
      <c r="B198" s="116" t="s">
        <v>3614</v>
      </c>
      <c r="C198" s="117" t="s">
        <v>3615</v>
      </c>
      <c r="D198" s="118">
        <v>1</v>
      </c>
      <c r="E198" s="118"/>
      <c r="F198" s="118"/>
    </row>
    <row r="199" spans="2:6" x14ac:dyDescent="0.2">
      <c r="B199" s="116" t="s">
        <v>462</v>
      </c>
      <c r="C199" s="117" t="s">
        <v>463</v>
      </c>
      <c r="D199" s="118"/>
      <c r="E199" s="118">
        <v>3.04</v>
      </c>
      <c r="F199" s="118"/>
    </row>
    <row r="200" spans="2:6" x14ac:dyDescent="0.2">
      <c r="B200" s="116" t="s">
        <v>464</v>
      </c>
      <c r="C200" s="117" t="s">
        <v>465</v>
      </c>
      <c r="D200" s="118">
        <v>1.43</v>
      </c>
      <c r="E200" s="118">
        <v>13.14</v>
      </c>
      <c r="F200" s="118">
        <v>59.44</v>
      </c>
    </row>
    <row r="201" spans="2:6" x14ac:dyDescent="0.2">
      <c r="B201" s="116" t="s">
        <v>3616</v>
      </c>
      <c r="C201" s="117" t="s">
        <v>3617</v>
      </c>
      <c r="D201" s="118">
        <v>0.85</v>
      </c>
      <c r="E201" s="118">
        <v>0.54</v>
      </c>
      <c r="F201" s="118">
        <v>3.31</v>
      </c>
    </row>
    <row r="202" spans="2:6" x14ac:dyDescent="0.2">
      <c r="B202" s="116" t="s">
        <v>467</v>
      </c>
      <c r="C202" s="117" t="s">
        <v>468</v>
      </c>
      <c r="D202" s="118">
        <v>0.38</v>
      </c>
      <c r="E202" s="118">
        <v>0.67</v>
      </c>
      <c r="F202" s="118">
        <v>8.16</v>
      </c>
    </row>
    <row r="203" spans="2:6" x14ac:dyDescent="0.2">
      <c r="B203" s="116" t="s">
        <v>470</v>
      </c>
      <c r="C203" s="117" t="s">
        <v>471</v>
      </c>
      <c r="D203" s="118">
        <v>3.38</v>
      </c>
      <c r="E203" s="118">
        <v>2.15</v>
      </c>
      <c r="F203" s="118">
        <v>16.48</v>
      </c>
    </row>
    <row r="204" spans="2:6" x14ac:dyDescent="0.2">
      <c r="B204" s="116" t="s">
        <v>472</v>
      </c>
      <c r="C204" s="117" t="s">
        <v>473</v>
      </c>
      <c r="D204" s="118">
        <v>0.9</v>
      </c>
      <c r="E204" s="118">
        <v>1.39</v>
      </c>
      <c r="F204" s="118">
        <v>9.98</v>
      </c>
    </row>
    <row r="205" spans="2:6" x14ac:dyDescent="0.2">
      <c r="B205" s="116" t="s">
        <v>474</v>
      </c>
      <c r="C205" s="117" t="s">
        <v>475</v>
      </c>
      <c r="D205" s="118">
        <v>4.03</v>
      </c>
      <c r="E205" s="118">
        <v>5.69</v>
      </c>
      <c r="F205" s="118">
        <v>21.21</v>
      </c>
    </row>
    <row r="206" spans="2:6" x14ac:dyDescent="0.2">
      <c r="B206" s="116" t="s">
        <v>476</v>
      </c>
      <c r="C206" s="117" t="s">
        <v>477</v>
      </c>
      <c r="D206" s="118">
        <v>1.33</v>
      </c>
      <c r="E206" s="118">
        <v>1.37</v>
      </c>
      <c r="F206" s="118">
        <v>10.78</v>
      </c>
    </row>
    <row r="207" spans="2:6" x14ac:dyDescent="0.2">
      <c r="B207" s="116" t="s">
        <v>478</v>
      </c>
      <c r="C207" s="117" t="s">
        <v>479</v>
      </c>
      <c r="D207" s="118">
        <v>4.41</v>
      </c>
      <c r="E207" s="118">
        <v>1.59</v>
      </c>
      <c r="F207" s="118">
        <v>1.84</v>
      </c>
    </row>
    <row r="208" spans="2:6" x14ac:dyDescent="0.2">
      <c r="B208" s="116" t="s">
        <v>480</v>
      </c>
      <c r="C208" s="117" t="s">
        <v>481</v>
      </c>
      <c r="D208" s="118"/>
      <c r="E208" s="118">
        <v>2.08</v>
      </c>
      <c r="F208" s="118"/>
    </row>
    <row r="209" spans="2:6" x14ac:dyDescent="0.2">
      <c r="B209" s="116" t="s">
        <v>482</v>
      </c>
      <c r="C209" s="117" t="s">
        <v>483</v>
      </c>
      <c r="D209" s="118">
        <v>1.85</v>
      </c>
      <c r="E209" s="118">
        <v>1.91</v>
      </c>
      <c r="F209" s="118">
        <v>19.010000000000002</v>
      </c>
    </row>
    <row r="210" spans="2:6" x14ac:dyDescent="0.2">
      <c r="B210" s="116" t="s">
        <v>482</v>
      </c>
      <c r="C210" s="117" t="s">
        <v>3618</v>
      </c>
      <c r="D210" s="118">
        <v>1.71</v>
      </c>
      <c r="E210" s="118">
        <v>1.76</v>
      </c>
      <c r="F210" s="118">
        <v>19.010000000000002</v>
      </c>
    </row>
    <row r="211" spans="2:6" x14ac:dyDescent="0.2">
      <c r="B211" s="116" t="s">
        <v>3619</v>
      </c>
      <c r="C211" s="117" t="s">
        <v>3620</v>
      </c>
      <c r="D211" s="118"/>
      <c r="E211" s="118"/>
      <c r="F211" s="118"/>
    </row>
    <row r="212" spans="2:6" x14ac:dyDescent="0.2">
      <c r="B212" s="116" t="s">
        <v>484</v>
      </c>
      <c r="C212" s="117" t="s">
        <v>485</v>
      </c>
      <c r="D212" s="118"/>
      <c r="E212" s="118">
        <v>0.9</v>
      </c>
      <c r="F212" s="118"/>
    </row>
    <row r="213" spans="2:6" x14ac:dyDescent="0.2">
      <c r="B213" s="116" t="s">
        <v>3621</v>
      </c>
      <c r="C213" s="117" t="s">
        <v>3622</v>
      </c>
      <c r="D213" s="118">
        <v>12.82</v>
      </c>
      <c r="E213" s="118">
        <v>9.2200000000000006</v>
      </c>
      <c r="F213" s="118">
        <v>46.22</v>
      </c>
    </row>
    <row r="214" spans="2:6" x14ac:dyDescent="0.2">
      <c r="B214" s="116" t="s">
        <v>486</v>
      </c>
      <c r="C214" s="117" t="s">
        <v>487</v>
      </c>
      <c r="D214" s="118">
        <v>2.94</v>
      </c>
      <c r="E214" s="118">
        <v>1.4</v>
      </c>
      <c r="F214" s="118">
        <v>12.23</v>
      </c>
    </row>
    <row r="215" spans="2:6" x14ac:dyDescent="0.2">
      <c r="B215" s="116" t="s">
        <v>3623</v>
      </c>
      <c r="C215" s="117" t="s">
        <v>3624</v>
      </c>
      <c r="D215" s="118">
        <v>0.08</v>
      </c>
      <c r="E215" s="118">
        <v>0.33</v>
      </c>
      <c r="F215" s="118">
        <v>10.89</v>
      </c>
    </row>
    <row r="216" spans="2:6" x14ac:dyDescent="0.2">
      <c r="B216" s="116" t="s">
        <v>488</v>
      </c>
      <c r="C216" s="117" t="s">
        <v>489</v>
      </c>
      <c r="D216" s="118">
        <v>1.4</v>
      </c>
      <c r="E216" s="118">
        <v>0.57999999999999996</v>
      </c>
      <c r="F216" s="118">
        <v>9.6199999999999992</v>
      </c>
    </row>
    <row r="217" spans="2:6" x14ac:dyDescent="0.2">
      <c r="B217" s="116" t="s">
        <v>490</v>
      </c>
      <c r="C217" s="117" t="s">
        <v>491</v>
      </c>
      <c r="D217" s="118">
        <v>0.41</v>
      </c>
      <c r="E217" s="118">
        <v>5.36</v>
      </c>
      <c r="F217" s="118">
        <v>48.56</v>
      </c>
    </row>
    <row r="218" spans="2:6" x14ac:dyDescent="0.2">
      <c r="B218" s="116" t="s">
        <v>492</v>
      </c>
      <c r="C218" s="117" t="s">
        <v>493</v>
      </c>
      <c r="D218" s="118">
        <v>0.9</v>
      </c>
      <c r="E218" s="118">
        <v>2.96</v>
      </c>
      <c r="F218" s="118">
        <v>26.56</v>
      </c>
    </row>
    <row r="219" spans="2:6" x14ac:dyDescent="0.2">
      <c r="B219" s="116" t="s">
        <v>495</v>
      </c>
      <c r="C219" s="117" t="s">
        <v>496</v>
      </c>
      <c r="D219" s="118"/>
      <c r="E219" s="118">
        <v>1.1000000000000001</v>
      </c>
      <c r="F219" s="118"/>
    </row>
    <row r="220" spans="2:6" x14ac:dyDescent="0.2">
      <c r="B220" s="116" t="s">
        <v>497</v>
      </c>
      <c r="C220" s="117" t="s">
        <v>498</v>
      </c>
      <c r="D220" s="118">
        <v>2.42</v>
      </c>
      <c r="E220" s="118">
        <v>3.54</v>
      </c>
      <c r="F220" s="118">
        <v>19.149999999999999</v>
      </c>
    </row>
    <row r="221" spans="2:6" x14ac:dyDescent="0.2">
      <c r="B221" s="116" t="s">
        <v>500</v>
      </c>
      <c r="C221" s="117" t="s">
        <v>501</v>
      </c>
      <c r="D221" s="118">
        <v>4.03</v>
      </c>
      <c r="E221" s="118">
        <v>2.88</v>
      </c>
      <c r="F221" s="118">
        <v>17.059999999999999</v>
      </c>
    </row>
    <row r="222" spans="2:6" x14ac:dyDescent="0.2">
      <c r="B222" s="116" t="s">
        <v>3625</v>
      </c>
      <c r="C222" s="117" t="s">
        <v>3626</v>
      </c>
      <c r="D222" s="118"/>
      <c r="E222" s="118">
        <v>2.38</v>
      </c>
      <c r="F222" s="118"/>
    </row>
    <row r="223" spans="2:6" x14ac:dyDescent="0.2">
      <c r="B223" s="116" t="s">
        <v>502</v>
      </c>
      <c r="C223" s="117" t="s">
        <v>503</v>
      </c>
      <c r="D223" s="118"/>
      <c r="E223" s="118">
        <v>0.79</v>
      </c>
      <c r="F223" s="118"/>
    </row>
    <row r="224" spans="2:6" x14ac:dyDescent="0.2">
      <c r="B224" s="116" t="s">
        <v>3627</v>
      </c>
      <c r="C224" s="117" t="s">
        <v>3628</v>
      </c>
      <c r="D224" s="118"/>
      <c r="E224" s="118"/>
      <c r="F224" s="118"/>
    </row>
    <row r="225" spans="2:6" x14ac:dyDescent="0.2">
      <c r="B225" s="116" t="s">
        <v>504</v>
      </c>
      <c r="C225" s="117" t="s">
        <v>505</v>
      </c>
      <c r="D225" s="118">
        <v>1.1599999999999999</v>
      </c>
      <c r="E225" s="118">
        <v>19.829999999999998</v>
      </c>
      <c r="F225" s="118">
        <v>92.1</v>
      </c>
    </row>
    <row r="226" spans="2:6" x14ac:dyDescent="0.2">
      <c r="B226" s="116" t="s">
        <v>506</v>
      </c>
      <c r="C226" s="117" t="s">
        <v>507</v>
      </c>
      <c r="D226" s="118">
        <v>4.9800000000000004</v>
      </c>
      <c r="E226" s="118">
        <v>4.33</v>
      </c>
      <c r="F226" s="118">
        <v>13.87</v>
      </c>
    </row>
    <row r="227" spans="2:6" x14ac:dyDescent="0.2">
      <c r="B227" s="116" t="s">
        <v>508</v>
      </c>
      <c r="C227" s="117" t="s">
        <v>509</v>
      </c>
      <c r="D227" s="118">
        <v>1.19</v>
      </c>
      <c r="E227" s="118">
        <v>0.37</v>
      </c>
      <c r="F227" s="118">
        <v>5.03</v>
      </c>
    </row>
    <row r="228" spans="2:6" x14ac:dyDescent="0.2">
      <c r="B228" s="116" t="s">
        <v>3629</v>
      </c>
      <c r="C228" s="117" t="s">
        <v>3630</v>
      </c>
      <c r="D228" s="118">
        <v>0.99</v>
      </c>
      <c r="E228" s="118">
        <v>1.28</v>
      </c>
      <c r="F228" s="118">
        <v>14.83</v>
      </c>
    </row>
    <row r="229" spans="2:6" x14ac:dyDescent="0.2">
      <c r="B229" s="116" t="s">
        <v>510</v>
      </c>
      <c r="C229" s="117" t="s">
        <v>511</v>
      </c>
      <c r="D229" s="118">
        <v>4</v>
      </c>
      <c r="E229" s="118">
        <v>3.18</v>
      </c>
      <c r="F229" s="118">
        <v>14.78</v>
      </c>
    </row>
    <row r="230" spans="2:6" x14ac:dyDescent="0.2">
      <c r="B230" s="116" t="s">
        <v>512</v>
      </c>
      <c r="C230" s="117" t="s">
        <v>513</v>
      </c>
      <c r="D230" s="118">
        <v>2.5299999999999998</v>
      </c>
      <c r="E230" s="118">
        <v>1.4</v>
      </c>
      <c r="F230" s="118">
        <v>13.43</v>
      </c>
    </row>
    <row r="231" spans="2:6" x14ac:dyDescent="0.2">
      <c r="B231" s="116" t="s">
        <v>3631</v>
      </c>
      <c r="C231" s="117" t="s">
        <v>3632</v>
      </c>
      <c r="D231" s="118">
        <v>2.2000000000000002</v>
      </c>
      <c r="E231" s="118">
        <v>0.41</v>
      </c>
      <c r="F231" s="118">
        <v>1.8</v>
      </c>
    </row>
    <row r="232" spans="2:6" x14ac:dyDescent="0.2">
      <c r="B232" s="116" t="s">
        <v>514</v>
      </c>
      <c r="C232" s="117" t="s">
        <v>515</v>
      </c>
      <c r="D232" s="118">
        <v>0.65</v>
      </c>
      <c r="E232" s="118">
        <v>3.31</v>
      </c>
      <c r="F232" s="118">
        <v>30.65</v>
      </c>
    </row>
    <row r="233" spans="2:6" x14ac:dyDescent="0.2">
      <c r="B233" s="116" t="s">
        <v>516</v>
      </c>
      <c r="C233" s="117" t="s">
        <v>517</v>
      </c>
      <c r="D233" s="118">
        <v>8.84</v>
      </c>
      <c r="E233" s="118">
        <v>17.68</v>
      </c>
      <c r="F233" s="118">
        <v>52.13</v>
      </c>
    </row>
    <row r="234" spans="2:6" x14ac:dyDescent="0.2">
      <c r="B234" s="116" t="s">
        <v>518</v>
      </c>
      <c r="C234" s="117" t="s">
        <v>519</v>
      </c>
      <c r="D234" s="118">
        <v>9.14</v>
      </c>
      <c r="E234" s="118">
        <v>18.27</v>
      </c>
      <c r="F234" s="118">
        <v>52.13</v>
      </c>
    </row>
    <row r="235" spans="2:6" x14ac:dyDescent="0.2">
      <c r="B235" s="116" t="s">
        <v>520</v>
      </c>
      <c r="C235" s="117" t="s">
        <v>521</v>
      </c>
      <c r="D235" s="118">
        <v>4.5599999999999996</v>
      </c>
      <c r="E235" s="118">
        <v>10.28</v>
      </c>
      <c r="F235" s="118">
        <v>23.29</v>
      </c>
    </row>
    <row r="236" spans="2:6" x14ac:dyDescent="0.2">
      <c r="B236" s="116" t="s">
        <v>523</v>
      </c>
      <c r="C236" s="117" t="s">
        <v>524</v>
      </c>
      <c r="D236" s="118">
        <v>0.18</v>
      </c>
      <c r="E236" s="118">
        <v>1.36</v>
      </c>
      <c r="F236" s="118">
        <v>11.39</v>
      </c>
    </row>
    <row r="237" spans="2:6" x14ac:dyDescent="0.2">
      <c r="B237" s="116" t="s">
        <v>526</v>
      </c>
      <c r="C237" s="117" t="s">
        <v>527</v>
      </c>
      <c r="D237" s="118">
        <v>14.82</v>
      </c>
      <c r="E237" s="118">
        <v>4.0199999999999996</v>
      </c>
      <c r="F237" s="118">
        <v>-38.409999999999997</v>
      </c>
    </row>
    <row r="238" spans="2:6" x14ac:dyDescent="0.2">
      <c r="B238" s="116" t="s">
        <v>528</v>
      </c>
      <c r="C238" s="117" t="s">
        <v>529</v>
      </c>
      <c r="D238" s="118">
        <v>0.95</v>
      </c>
      <c r="E238" s="118">
        <v>2.99</v>
      </c>
      <c r="F238" s="118">
        <v>52.12</v>
      </c>
    </row>
    <row r="239" spans="2:6" x14ac:dyDescent="0.2">
      <c r="B239" s="116" t="s">
        <v>530</v>
      </c>
      <c r="C239" s="117" t="s">
        <v>531</v>
      </c>
      <c r="D239" s="118">
        <v>0.53</v>
      </c>
      <c r="E239" s="118">
        <v>0.28999999999999998</v>
      </c>
      <c r="F239" s="118">
        <v>6.74</v>
      </c>
    </row>
    <row r="240" spans="2:6" x14ac:dyDescent="0.2">
      <c r="B240" s="116" t="s">
        <v>532</v>
      </c>
      <c r="C240" s="117" t="s">
        <v>533</v>
      </c>
      <c r="D240" s="118">
        <v>1.04</v>
      </c>
      <c r="E240" s="118">
        <v>0.7</v>
      </c>
      <c r="F240" s="118">
        <v>1.07</v>
      </c>
    </row>
    <row r="241" spans="2:6" x14ac:dyDescent="0.2">
      <c r="B241" s="116" t="s">
        <v>3633</v>
      </c>
      <c r="C241" s="117" t="s">
        <v>3634</v>
      </c>
      <c r="D241" s="118"/>
      <c r="E241" s="118">
        <v>0.97</v>
      </c>
      <c r="F241" s="118"/>
    </row>
    <row r="242" spans="2:6" x14ac:dyDescent="0.2">
      <c r="B242" s="116" t="s">
        <v>535</v>
      </c>
      <c r="C242" s="117" t="s">
        <v>536</v>
      </c>
      <c r="D242" s="118"/>
      <c r="E242" s="118"/>
      <c r="F242" s="118"/>
    </row>
    <row r="243" spans="2:6" x14ac:dyDescent="0.2">
      <c r="B243" s="116" t="s">
        <v>537</v>
      </c>
      <c r="C243" s="117" t="s">
        <v>538</v>
      </c>
      <c r="D243" s="118"/>
      <c r="E243" s="118">
        <v>1.58</v>
      </c>
      <c r="F243" s="118"/>
    </row>
    <row r="244" spans="2:6" x14ac:dyDescent="0.2">
      <c r="B244" s="116" t="s">
        <v>539</v>
      </c>
      <c r="C244" s="117" t="s">
        <v>540</v>
      </c>
      <c r="D244" s="118">
        <v>2.37</v>
      </c>
      <c r="E244" s="118">
        <v>1.42</v>
      </c>
      <c r="F244" s="118">
        <v>6.06</v>
      </c>
    </row>
    <row r="245" spans="2:6" x14ac:dyDescent="0.2">
      <c r="B245" s="116" t="s">
        <v>541</v>
      </c>
      <c r="C245" s="117" t="s">
        <v>542</v>
      </c>
      <c r="D245" s="118">
        <v>3.13</v>
      </c>
      <c r="E245" s="118">
        <v>3.4</v>
      </c>
      <c r="F245" s="118">
        <v>44.89</v>
      </c>
    </row>
    <row r="246" spans="2:6" x14ac:dyDescent="0.2">
      <c r="B246" s="116" t="s">
        <v>543</v>
      </c>
      <c r="C246" s="117" t="s">
        <v>544</v>
      </c>
      <c r="D246" s="118">
        <v>5.64</v>
      </c>
      <c r="E246" s="118">
        <v>3.43</v>
      </c>
      <c r="F246" s="118">
        <v>-13.32</v>
      </c>
    </row>
    <row r="247" spans="2:6" x14ac:dyDescent="0.2">
      <c r="B247" s="116" t="s">
        <v>545</v>
      </c>
      <c r="C247" s="117" t="s">
        <v>546</v>
      </c>
      <c r="D247" s="118">
        <v>4.49</v>
      </c>
      <c r="E247" s="118">
        <v>1.88</v>
      </c>
      <c r="F247" s="118">
        <v>3.92</v>
      </c>
    </row>
    <row r="248" spans="2:6" x14ac:dyDescent="0.2">
      <c r="B248" s="116" t="s">
        <v>545</v>
      </c>
      <c r="C248" s="117" t="s">
        <v>3635</v>
      </c>
      <c r="D248" s="118">
        <v>4.46</v>
      </c>
      <c r="E248" s="118">
        <v>1.86</v>
      </c>
      <c r="F248" s="118">
        <v>3.92</v>
      </c>
    </row>
    <row r="249" spans="2:6" x14ac:dyDescent="0.2">
      <c r="B249" s="116" t="s">
        <v>547</v>
      </c>
      <c r="C249" s="117" t="s">
        <v>548</v>
      </c>
      <c r="D249" s="118">
        <v>2.27</v>
      </c>
      <c r="E249" s="118">
        <v>0.87</v>
      </c>
      <c r="F249" s="118">
        <v>1.4</v>
      </c>
    </row>
    <row r="250" spans="2:6" x14ac:dyDescent="0.2">
      <c r="B250" s="116" t="s">
        <v>549</v>
      </c>
      <c r="C250" s="117" t="s">
        <v>550</v>
      </c>
      <c r="D250" s="118">
        <v>0.27</v>
      </c>
      <c r="E250" s="118"/>
      <c r="F250" s="118">
        <v>-107.71</v>
      </c>
    </row>
    <row r="251" spans="2:6" x14ac:dyDescent="0.2">
      <c r="B251" s="116" t="s">
        <v>552</v>
      </c>
      <c r="C251" s="117" t="s">
        <v>553</v>
      </c>
      <c r="D251" s="118">
        <v>2.2000000000000002</v>
      </c>
      <c r="E251" s="118">
        <v>1.1499999999999999</v>
      </c>
      <c r="F251" s="118">
        <v>10.74</v>
      </c>
    </row>
    <row r="252" spans="2:6" x14ac:dyDescent="0.2">
      <c r="B252" s="116" t="s">
        <v>554</v>
      </c>
      <c r="C252" s="117" t="s">
        <v>555</v>
      </c>
      <c r="D252" s="118"/>
      <c r="E252" s="118">
        <v>0.53</v>
      </c>
      <c r="F252" s="118"/>
    </row>
    <row r="253" spans="2:6" x14ac:dyDescent="0.2">
      <c r="B253" s="116" t="s">
        <v>556</v>
      </c>
      <c r="C253" s="117" t="s">
        <v>557</v>
      </c>
      <c r="D253" s="118"/>
      <c r="E253" s="118">
        <v>1.68</v>
      </c>
      <c r="F253" s="118"/>
    </row>
    <row r="254" spans="2:6" x14ac:dyDescent="0.2">
      <c r="B254" s="116" t="s">
        <v>559</v>
      </c>
      <c r="C254" s="117" t="s">
        <v>560</v>
      </c>
      <c r="D254" s="118">
        <v>2.67</v>
      </c>
      <c r="E254" s="118">
        <v>1.92</v>
      </c>
      <c r="F254" s="118">
        <v>8.99</v>
      </c>
    </row>
    <row r="255" spans="2:6" x14ac:dyDescent="0.2">
      <c r="B255" s="116" t="s">
        <v>3636</v>
      </c>
      <c r="C255" s="117" t="s">
        <v>3637</v>
      </c>
      <c r="D255" s="118">
        <v>2.2999999999999998</v>
      </c>
      <c r="E255" s="118">
        <v>0.93</v>
      </c>
      <c r="F255" s="118">
        <v>5.74</v>
      </c>
    </row>
    <row r="256" spans="2:6" x14ac:dyDescent="0.2">
      <c r="B256" s="116" t="s">
        <v>561</v>
      </c>
      <c r="C256" s="117" t="s">
        <v>562</v>
      </c>
      <c r="D256" s="118">
        <v>8.0299999999999994</v>
      </c>
      <c r="E256" s="118">
        <v>5</v>
      </c>
      <c r="F256" s="118">
        <v>13.51</v>
      </c>
    </row>
    <row r="257" spans="2:6" x14ac:dyDescent="0.2">
      <c r="B257" s="116" t="s">
        <v>564</v>
      </c>
      <c r="C257" s="117" t="s">
        <v>565</v>
      </c>
      <c r="D257" s="118">
        <v>5.86</v>
      </c>
      <c r="E257" s="118">
        <v>16.57</v>
      </c>
      <c r="F257" s="118">
        <v>56.7</v>
      </c>
    </row>
    <row r="258" spans="2:6" x14ac:dyDescent="0.2">
      <c r="B258" s="116" t="s">
        <v>566</v>
      </c>
      <c r="C258" s="117" t="s">
        <v>567</v>
      </c>
      <c r="D258" s="118">
        <v>1.87</v>
      </c>
      <c r="E258" s="118">
        <v>1.1100000000000001</v>
      </c>
      <c r="F258" s="118">
        <v>15.77</v>
      </c>
    </row>
    <row r="259" spans="2:6" x14ac:dyDescent="0.2">
      <c r="B259" s="116" t="s">
        <v>568</v>
      </c>
      <c r="C259" s="117" t="s">
        <v>569</v>
      </c>
      <c r="D259" s="118">
        <v>2.04</v>
      </c>
      <c r="E259" s="118">
        <v>1.1499999999999999</v>
      </c>
      <c r="F259" s="118">
        <v>10.210000000000001</v>
      </c>
    </row>
    <row r="260" spans="2:6" x14ac:dyDescent="0.2">
      <c r="B260" s="116" t="s">
        <v>570</v>
      </c>
      <c r="C260" s="117" t="s">
        <v>571</v>
      </c>
      <c r="D260" s="118">
        <v>1.27</v>
      </c>
      <c r="E260" s="118">
        <v>2.86</v>
      </c>
      <c r="F260" s="118">
        <v>15.65</v>
      </c>
    </row>
    <row r="261" spans="2:6" x14ac:dyDescent="0.2">
      <c r="B261" s="116" t="s">
        <v>572</v>
      </c>
      <c r="C261" s="117" t="s">
        <v>573</v>
      </c>
      <c r="D261" s="118">
        <v>4.95</v>
      </c>
      <c r="E261" s="118">
        <v>2.15</v>
      </c>
      <c r="F261" s="118">
        <v>13.24</v>
      </c>
    </row>
    <row r="262" spans="2:6" x14ac:dyDescent="0.2">
      <c r="B262" s="116" t="s">
        <v>574</v>
      </c>
      <c r="C262" s="117" t="s">
        <v>575</v>
      </c>
      <c r="D262" s="118">
        <v>5.14</v>
      </c>
      <c r="E262" s="118">
        <v>12.02</v>
      </c>
      <c r="F262" s="118">
        <v>20.51</v>
      </c>
    </row>
    <row r="263" spans="2:6" x14ac:dyDescent="0.2">
      <c r="B263" s="116" t="s">
        <v>576</v>
      </c>
      <c r="C263" s="117" t="s">
        <v>577</v>
      </c>
      <c r="D263" s="118">
        <v>2.12</v>
      </c>
      <c r="E263" s="118">
        <v>6.94</v>
      </c>
      <c r="F263" s="118">
        <v>21.32</v>
      </c>
    </row>
    <row r="264" spans="2:6" x14ac:dyDescent="0.2">
      <c r="B264" s="116" t="s">
        <v>579</v>
      </c>
      <c r="C264" s="117" t="s">
        <v>580</v>
      </c>
      <c r="D264" s="118">
        <v>104.41</v>
      </c>
      <c r="E264" s="118">
        <v>3.61</v>
      </c>
      <c r="F264" s="118">
        <v>-35.9</v>
      </c>
    </row>
    <row r="265" spans="2:6" x14ac:dyDescent="0.2">
      <c r="B265" s="116" t="s">
        <v>3638</v>
      </c>
      <c r="C265" s="117" t="s">
        <v>3639</v>
      </c>
      <c r="D265" s="118"/>
      <c r="E265" s="118">
        <v>1.36</v>
      </c>
      <c r="F265" s="118"/>
    </row>
    <row r="266" spans="2:6" x14ac:dyDescent="0.2">
      <c r="B266" s="116" t="s">
        <v>3640</v>
      </c>
      <c r="C266" s="117" t="s">
        <v>3641</v>
      </c>
      <c r="D266" s="118">
        <v>0.34</v>
      </c>
      <c r="E266" s="118"/>
      <c r="F266" s="118"/>
    </row>
    <row r="267" spans="2:6" x14ac:dyDescent="0.2">
      <c r="B267" s="116" t="s">
        <v>581</v>
      </c>
      <c r="C267" s="117" t="s">
        <v>582</v>
      </c>
      <c r="D267" s="118">
        <v>1.63</v>
      </c>
      <c r="E267" s="118">
        <v>1.38</v>
      </c>
      <c r="F267" s="118">
        <v>14.14</v>
      </c>
    </row>
    <row r="268" spans="2:6" x14ac:dyDescent="0.2">
      <c r="B268" s="116" t="s">
        <v>583</v>
      </c>
      <c r="C268" s="117" t="s">
        <v>584</v>
      </c>
      <c r="D268" s="118">
        <v>8.77</v>
      </c>
      <c r="E268" s="118">
        <v>4.54</v>
      </c>
      <c r="F268" s="118">
        <v>-3.12</v>
      </c>
    </row>
    <row r="269" spans="2:6" x14ac:dyDescent="0.2">
      <c r="B269" s="116" t="s">
        <v>585</v>
      </c>
      <c r="C269" s="117" t="s">
        <v>586</v>
      </c>
      <c r="D269" s="118"/>
      <c r="E269" s="118">
        <v>3.36</v>
      </c>
      <c r="F269" s="118"/>
    </row>
    <row r="270" spans="2:6" x14ac:dyDescent="0.2">
      <c r="B270" s="116" t="s">
        <v>588</v>
      </c>
      <c r="C270" s="117" t="s">
        <v>589</v>
      </c>
      <c r="D270" s="118">
        <v>3.47</v>
      </c>
      <c r="E270" s="118">
        <v>5.12</v>
      </c>
      <c r="F270" s="118">
        <v>47.63</v>
      </c>
    </row>
    <row r="271" spans="2:6" x14ac:dyDescent="0.2">
      <c r="B271" s="116" t="s">
        <v>590</v>
      </c>
      <c r="C271" s="117" t="s">
        <v>591</v>
      </c>
      <c r="D271" s="118">
        <v>1.27</v>
      </c>
      <c r="E271" s="118">
        <v>0.51</v>
      </c>
      <c r="F271" s="118">
        <v>7.36</v>
      </c>
    </row>
    <row r="272" spans="2:6" x14ac:dyDescent="0.2">
      <c r="B272" s="116" t="s">
        <v>592</v>
      </c>
      <c r="C272" s="117" t="s">
        <v>593</v>
      </c>
      <c r="D272" s="118">
        <v>1.99</v>
      </c>
      <c r="E272" s="118">
        <v>1.38</v>
      </c>
      <c r="F272" s="118">
        <v>13.53</v>
      </c>
    </row>
    <row r="273" spans="2:6" x14ac:dyDescent="0.2">
      <c r="B273" s="116" t="s">
        <v>594</v>
      </c>
      <c r="C273" s="117" t="s">
        <v>595</v>
      </c>
      <c r="D273" s="118">
        <v>0.52</v>
      </c>
      <c r="E273" s="118">
        <v>2.06</v>
      </c>
      <c r="F273" s="118">
        <v>14.08</v>
      </c>
    </row>
    <row r="274" spans="2:6" x14ac:dyDescent="0.2">
      <c r="B274" s="116" t="s">
        <v>596</v>
      </c>
      <c r="C274" s="117" t="s">
        <v>597</v>
      </c>
      <c r="D274" s="118">
        <v>4.66</v>
      </c>
      <c r="E274" s="118">
        <v>2.72</v>
      </c>
      <c r="F274" s="118">
        <v>17.850000000000001</v>
      </c>
    </row>
    <row r="275" spans="2:6" x14ac:dyDescent="0.2">
      <c r="B275" s="116" t="s">
        <v>599</v>
      </c>
      <c r="C275" s="117" t="s">
        <v>600</v>
      </c>
      <c r="D275" s="118">
        <v>2.78</v>
      </c>
      <c r="E275" s="118">
        <v>1.22</v>
      </c>
      <c r="F275" s="118">
        <v>11.41</v>
      </c>
    </row>
    <row r="276" spans="2:6" x14ac:dyDescent="0.2">
      <c r="B276" s="116" t="s">
        <v>3642</v>
      </c>
      <c r="C276" s="117" t="s">
        <v>3643</v>
      </c>
      <c r="D276" s="118">
        <v>1.23</v>
      </c>
      <c r="E276" s="118">
        <v>3.4</v>
      </c>
      <c r="F276" s="118">
        <v>23.31</v>
      </c>
    </row>
    <row r="277" spans="2:6" x14ac:dyDescent="0.2">
      <c r="B277" s="116" t="s">
        <v>602</v>
      </c>
      <c r="C277" s="117" t="s">
        <v>603</v>
      </c>
      <c r="D277" s="118">
        <v>1.69</v>
      </c>
      <c r="E277" s="118">
        <v>5.51</v>
      </c>
      <c r="F277" s="118">
        <v>12.26</v>
      </c>
    </row>
    <row r="278" spans="2:6" x14ac:dyDescent="0.2">
      <c r="B278" s="116" t="s">
        <v>604</v>
      </c>
      <c r="C278" s="117" t="s">
        <v>605</v>
      </c>
      <c r="D278" s="118">
        <v>0.44</v>
      </c>
      <c r="E278" s="118">
        <v>1.28</v>
      </c>
      <c r="F278" s="118">
        <v>12.12</v>
      </c>
    </row>
    <row r="279" spans="2:6" x14ac:dyDescent="0.2">
      <c r="B279" s="116" t="s">
        <v>607</v>
      </c>
      <c r="C279" s="117" t="s">
        <v>608</v>
      </c>
      <c r="D279" s="118">
        <v>1.66</v>
      </c>
      <c r="E279" s="118">
        <v>1.55</v>
      </c>
      <c r="F279" s="118">
        <v>9.82</v>
      </c>
    </row>
    <row r="280" spans="2:6" x14ac:dyDescent="0.2">
      <c r="B280" s="116" t="s">
        <v>610</v>
      </c>
      <c r="C280" s="117" t="s">
        <v>611</v>
      </c>
      <c r="D280" s="118">
        <v>498.68</v>
      </c>
      <c r="E280" s="118">
        <v>6.7</v>
      </c>
      <c r="F280" s="118">
        <v>-73.73</v>
      </c>
    </row>
    <row r="281" spans="2:6" x14ac:dyDescent="0.2">
      <c r="B281" s="116" t="s">
        <v>612</v>
      </c>
      <c r="C281" s="117" t="s">
        <v>613</v>
      </c>
      <c r="D281" s="118">
        <v>1.88</v>
      </c>
      <c r="E281" s="118">
        <v>0.93</v>
      </c>
      <c r="F281" s="118">
        <v>11.29</v>
      </c>
    </row>
    <row r="282" spans="2:6" x14ac:dyDescent="0.2">
      <c r="B282" s="116" t="s">
        <v>3644</v>
      </c>
      <c r="C282" s="117" t="s">
        <v>3645</v>
      </c>
      <c r="D282" s="118">
        <v>1.33</v>
      </c>
      <c r="E282" s="118">
        <v>0.19</v>
      </c>
      <c r="F282" s="118">
        <v>3.04</v>
      </c>
    </row>
    <row r="283" spans="2:6" x14ac:dyDescent="0.2">
      <c r="B283" s="116" t="s">
        <v>615</v>
      </c>
      <c r="C283" s="117" t="s">
        <v>616</v>
      </c>
      <c r="D283" s="118">
        <v>3.32</v>
      </c>
      <c r="E283" s="118">
        <v>13.05</v>
      </c>
      <c r="F283" s="118">
        <v>46.61</v>
      </c>
    </row>
    <row r="284" spans="2:6" x14ac:dyDescent="0.2">
      <c r="B284" s="116" t="s">
        <v>617</v>
      </c>
      <c r="C284" s="117" t="s">
        <v>618</v>
      </c>
      <c r="D284" s="118">
        <v>0.88</v>
      </c>
      <c r="E284" s="118">
        <v>1.36</v>
      </c>
      <c r="F284" s="118">
        <v>9.76</v>
      </c>
    </row>
    <row r="285" spans="2:6" x14ac:dyDescent="0.2">
      <c r="B285" s="116" t="s">
        <v>620</v>
      </c>
      <c r="C285" s="117" t="s">
        <v>621</v>
      </c>
      <c r="D285" s="118">
        <v>0.88</v>
      </c>
      <c r="E285" s="118">
        <v>3.93</v>
      </c>
      <c r="F285" s="118">
        <v>-9.4600000000000009</v>
      </c>
    </row>
    <row r="286" spans="2:6" x14ac:dyDescent="0.2">
      <c r="B286" s="116" t="s">
        <v>622</v>
      </c>
      <c r="C286" s="117" t="s">
        <v>3646</v>
      </c>
      <c r="D286" s="118">
        <v>2.04</v>
      </c>
      <c r="E286" s="118">
        <v>1.33</v>
      </c>
      <c r="F286" s="118">
        <v>6.52</v>
      </c>
    </row>
    <row r="287" spans="2:6" x14ac:dyDescent="0.2">
      <c r="B287" s="116" t="s">
        <v>622</v>
      </c>
      <c r="C287" s="117" t="s">
        <v>623</v>
      </c>
      <c r="D287" s="118">
        <v>2.0299999999999998</v>
      </c>
      <c r="E287" s="118">
        <v>1.32</v>
      </c>
      <c r="F287" s="118">
        <v>6.52</v>
      </c>
    </row>
    <row r="288" spans="2:6" x14ac:dyDescent="0.2">
      <c r="B288" s="116" t="s">
        <v>624</v>
      </c>
      <c r="C288" s="117" t="s">
        <v>625</v>
      </c>
      <c r="D288" s="118">
        <v>0.41</v>
      </c>
      <c r="E288" s="118">
        <v>3.01</v>
      </c>
      <c r="F288" s="118">
        <v>26.7</v>
      </c>
    </row>
    <row r="289" spans="2:6" x14ac:dyDescent="0.2">
      <c r="B289" s="116" t="s">
        <v>626</v>
      </c>
      <c r="C289" s="117" t="s">
        <v>627</v>
      </c>
      <c r="D289" s="118">
        <v>3.42</v>
      </c>
      <c r="E289" s="118">
        <v>7.85</v>
      </c>
      <c r="F289" s="118">
        <v>27.1</v>
      </c>
    </row>
    <row r="290" spans="2:6" x14ac:dyDescent="0.2">
      <c r="B290" s="116" t="s">
        <v>629</v>
      </c>
      <c r="C290" s="117" t="s">
        <v>630</v>
      </c>
      <c r="D290" s="118">
        <v>4.5599999999999996</v>
      </c>
      <c r="E290" s="118">
        <v>3.2</v>
      </c>
      <c r="F290" s="118">
        <v>12.64</v>
      </c>
    </row>
    <row r="291" spans="2:6" x14ac:dyDescent="0.2">
      <c r="B291" s="116" t="s">
        <v>3647</v>
      </c>
      <c r="C291" s="117" t="s">
        <v>3648</v>
      </c>
      <c r="D291" s="118">
        <v>0.8</v>
      </c>
      <c r="E291" s="118">
        <v>1.22</v>
      </c>
      <c r="F291" s="118">
        <v>11.62</v>
      </c>
    </row>
    <row r="292" spans="2:6" x14ac:dyDescent="0.2">
      <c r="B292" s="116" t="s">
        <v>631</v>
      </c>
      <c r="C292" s="117" t="s">
        <v>632</v>
      </c>
      <c r="D292" s="118">
        <v>4.97</v>
      </c>
      <c r="E292" s="118">
        <v>2.13</v>
      </c>
      <c r="F292" s="118">
        <v>12.66</v>
      </c>
    </row>
    <row r="293" spans="2:6" x14ac:dyDescent="0.2">
      <c r="B293" s="116" t="s">
        <v>633</v>
      </c>
      <c r="C293" s="117" t="s">
        <v>634</v>
      </c>
      <c r="D293" s="118">
        <v>3.48</v>
      </c>
      <c r="E293" s="118">
        <v>2.74</v>
      </c>
      <c r="F293" s="118">
        <v>17.28</v>
      </c>
    </row>
    <row r="294" spans="2:6" x14ac:dyDescent="0.2">
      <c r="B294" s="116" t="s">
        <v>635</v>
      </c>
      <c r="C294" s="117" t="s">
        <v>636</v>
      </c>
      <c r="D294" s="118">
        <v>1.69</v>
      </c>
      <c r="E294" s="118">
        <v>1.6</v>
      </c>
      <c r="F294" s="118">
        <v>14.88</v>
      </c>
    </row>
    <row r="295" spans="2:6" x14ac:dyDescent="0.2">
      <c r="B295" s="116" t="s">
        <v>640</v>
      </c>
      <c r="C295" s="117" t="s">
        <v>641</v>
      </c>
      <c r="D295" s="118">
        <v>1.21</v>
      </c>
      <c r="E295" s="118">
        <v>1.25</v>
      </c>
      <c r="F295" s="118">
        <v>15.56</v>
      </c>
    </row>
    <row r="296" spans="2:6" x14ac:dyDescent="0.2">
      <c r="B296" s="116" t="s">
        <v>642</v>
      </c>
      <c r="C296" s="117" t="s">
        <v>643</v>
      </c>
      <c r="D296" s="118">
        <v>5.98</v>
      </c>
      <c r="E296" s="118">
        <v>6.4</v>
      </c>
      <c r="F296" s="118">
        <v>23.29</v>
      </c>
    </row>
    <row r="297" spans="2:6" x14ac:dyDescent="0.2">
      <c r="B297" s="116" t="s">
        <v>644</v>
      </c>
      <c r="C297" s="117" t="s">
        <v>645</v>
      </c>
      <c r="D297" s="118"/>
      <c r="E297" s="118">
        <v>1.25</v>
      </c>
      <c r="F297" s="118"/>
    </row>
    <row r="298" spans="2:6" x14ac:dyDescent="0.2">
      <c r="B298" s="116" t="s">
        <v>646</v>
      </c>
      <c r="C298" s="117" t="s">
        <v>647</v>
      </c>
      <c r="D298" s="118">
        <v>2.99</v>
      </c>
      <c r="E298" s="118">
        <v>1.97</v>
      </c>
      <c r="F298" s="118">
        <v>8.75</v>
      </c>
    </row>
    <row r="299" spans="2:6" x14ac:dyDescent="0.2">
      <c r="B299" s="116" t="s">
        <v>648</v>
      </c>
      <c r="C299" s="117" t="s">
        <v>649</v>
      </c>
      <c r="D299" s="118"/>
      <c r="E299" s="118">
        <v>0.92</v>
      </c>
      <c r="F299" s="118"/>
    </row>
    <row r="300" spans="2:6" x14ac:dyDescent="0.2">
      <c r="B300" s="116" t="s">
        <v>3649</v>
      </c>
      <c r="C300" s="117" t="s">
        <v>3650</v>
      </c>
      <c r="D300" s="118"/>
      <c r="E300" s="118">
        <v>0.61</v>
      </c>
      <c r="F300" s="118"/>
    </row>
    <row r="301" spans="2:6" x14ac:dyDescent="0.2">
      <c r="B301" s="116" t="s">
        <v>651</v>
      </c>
      <c r="C301" s="117" t="s">
        <v>652</v>
      </c>
      <c r="D301" s="118"/>
      <c r="E301" s="118">
        <v>1.64</v>
      </c>
      <c r="F301" s="118"/>
    </row>
    <row r="302" spans="2:6" x14ac:dyDescent="0.2">
      <c r="B302" s="116" t="s">
        <v>3651</v>
      </c>
      <c r="C302" s="117" t="s">
        <v>3652</v>
      </c>
      <c r="D302" s="118"/>
      <c r="E302" s="118"/>
      <c r="F302" s="118"/>
    </row>
    <row r="303" spans="2:6" x14ac:dyDescent="0.2">
      <c r="B303" s="116" t="s">
        <v>653</v>
      </c>
      <c r="C303" s="117" t="s">
        <v>654</v>
      </c>
      <c r="D303" s="118">
        <v>2.91</v>
      </c>
      <c r="E303" s="118">
        <v>2.0099999999999998</v>
      </c>
      <c r="F303" s="118">
        <v>21.79</v>
      </c>
    </row>
    <row r="304" spans="2:6" x14ac:dyDescent="0.2">
      <c r="B304" s="116" t="s">
        <v>655</v>
      </c>
      <c r="C304" s="117" t="s">
        <v>656</v>
      </c>
      <c r="D304" s="118"/>
      <c r="E304" s="118">
        <v>5.96</v>
      </c>
      <c r="F304" s="118"/>
    </row>
    <row r="305" spans="2:6" x14ac:dyDescent="0.2">
      <c r="B305" s="116" t="s">
        <v>658</v>
      </c>
      <c r="C305" s="117" t="s">
        <v>659</v>
      </c>
      <c r="D305" s="118">
        <v>1.91</v>
      </c>
      <c r="E305" s="118">
        <v>42.08</v>
      </c>
      <c r="F305" s="118">
        <v>163.5</v>
      </c>
    </row>
    <row r="306" spans="2:6" x14ac:dyDescent="0.2">
      <c r="B306" s="116" t="s">
        <v>661</v>
      </c>
      <c r="C306" s="117" t="s">
        <v>662</v>
      </c>
      <c r="D306" s="118">
        <v>4.05</v>
      </c>
      <c r="E306" s="118">
        <v>1.24</v>
      </c>
      <c r="F306" s="118">
        <v>1.37</v>
      </c>
    </row>
    <row r="307" spans="2:6" x14ac:dyDescent="0.2">
      <c r="B307" s="116" t="s">
        <v>664</v>
      </c>
      <c r="C307" s="117" t="s">
        <v>665</v>
      </c>
      <c r="D307" s="118"/>
      <c r="E307" s="118"/>
      <c r="F307" s="118"/>
    </row>
    <row r="308" spans="2:6" x14ac:dyDescent="0.2">
      <c r="B308" s="116" t="s">
        <v>666</v>
      </c>
      <c r="C308" s="117" t="s">
        <v>667</v>
      </c>
      <c r="D308" s="118">
        <v>0.75</v>
      </c>
      <c r="E308" s="118">
        <v>1.69</v>
      </c>
      <c r="F308" s="118">
        <v>20.13</v>
      </c>
    </row>
    <row r="309" spans="2:6" x14ac:dyDescent="0.2">
      <c r="B309" s="116" t="s">
        <v>668</v>
      </c>
      <c r="C309" s="117" t="s">
        <v>669</v>
      </c>
      <c r="D309" s="118">
        <v>3.17</v>
      </c>
      <c r="E309" s="118">
        <v>19.29</v>
      </c>
      <c r="F309" s="118">
        <v>83.2</v>
      </c>
    </row>
    <row r="310" spans="2:6" x14ac:dyDescent="0.2">
      <c r="B310" s="116" t="s">
        <v>670</v>
      </c>
      <c r="C310" s="117" t="s">
        <v>671</v>
      </c>
      <c r="D310" s="118">
        <v>5.89</v>
      </c>
      <c r="E310" s="118">
        <v>2.5</v>
      </c>
      <c r="F310" s="118">
        <v>11.3</v>
      </c>
    </row>
    <row r="311" spans="2:6" x14ac:dyDescent="0.2">
      <c r="B311" s="116" t="s">
        <v>3653</v>
      </c>
      <c r="C311" s="117" t="s">
        <v>3654</v>
      </c>
      <c r="D311" s="118"/>
      <c r="E311" s="118">
        <v>4.33</v>
      </c>
      <c r="F311" s="118"/>
    </row>
    <row r="312" spans="2:6" x14ac:dyDescent="0.2">
      <c r="B312" s="116" t="s">
        <v>672</v>
      </c>
      <c r="C312" s="117" t="s">
        <v>673</v>
      </c>
      <c r="D312" s="118">
        <v>7.47</v>
      </c>
      <c r="E312" s="118">
        <v>1.3</v>
      </c>
      <c r="F312" s="118">
        <v>9.06</v>
      </c>
    </row>
    <row r="313" spans="2:6" x14ac:dyDescent="0.2">
      <c r="B313" s="116" t="s">
        <v>674</v>
      </c>
      <c r="C313" s="117" t="s">
        <v>675</v>
      </c>
      <c r="D313" s="118">
        <v>7.05</v>
      </c>
      <c r="E313" s="118">
        <v>2.57</v>
      </c>
      <c r="F313" s="118">
        <v>6.8</v>
      </c>
    </row>
    <row r="314" spans="2:6" x14ac:dyDescent="0.2">
      <c r="B314" s="116" t="s">
        <v>3655</v>
      </c>
      <c r="C314" s="117" t="s">
        <v>3656</v>
      </c>
      <c r="D314" s="118"/>
      <c r="E314" s="118">
        <v>28.16</v>
      </c>
      <c r="F314" s="118"/>
    </row>
    <row r="315" spans="2:6" x14ac:dyDescent="0.2">
      <c r="B315" s="116" t="s">
        <v>676</v>
      </c>
      <c r="C315" s="117" t="s">
        <v>677</v>
      </c>
      <c r="D315" s="118"/>
      <c r="E315" s="118">
        <v>3.89</v>
      </c>
      <c r="F315" s="118"/>
    </row>
    <row r="316" spans="2:6" x14ac:dyDescent="0.2">
      <c r="B316" s="116" t="s">
        <v>3657</v>
      </c>
      <c r="C316" s="117" t="s">
        <v>3658</v>
      </c>
      <c r="D316" s="118"/>
      <c r="E316" s="118"/>
      <c r="F316" s="118"/>
    </row>
    <row r="317" spans="2:6" x14ac:dyDescent="0.2">
      <c r="B317" s="116" t="s">
        <v>680</v>
      </c>
      <c r="C317" s="117" t="s">
        <v>681</v>
      </c>
      <c r="D317" s="118">
        <v>1.55</v>
      </c>
      <c r="E317" s="118">
        <v>0.87</v>
      </c>
      <c r="F317" s="118">
        <v>10.1</v>
      </c>
    </row>
    <row r="318" spans="2:6" x14ac:dyDescent="0.2">
      <c r="B318" s="116" t="s">
        <v>682</v>
      </c>
      <c r="C318" s="117" t="s">
        <v>683</v>
      </c>
      <c r="D318" s="118"/>
      <c r="E318" s="118">
        <v>2.93</v>
      </c>
      <c r="F318" s="118"/>
    </row>
    <row r="319" spans="2:6" x14ac:dyDescent="0.2">
      <c r="B319" s="116" t="s">
        <v>684</v>
      </c>
      <c r="C319" s="117" t="s">
        <v>685</v>
      </c>
      <c r="D319" s="118">
        <v>6.43</v>
      </c>
      <c r="E319" s="118">
        <v>9.2799999999999994</v>
      </c>
      <c r="F319" s="118">
        <v>21.26</v>
      </c>
    </row>
    <row r="320" spans="2:6" x14ac:dyDescent="0.2">
      <c r="B320" s="116" t="s">
        <v>687</v>
      </c>
      <c r="C320" s="117" t="s">
        <v>688</v>
      </c>
      <c r="D320" s="118">
        <v>6.38</v>
      </c>
      <c r="E320" s="118">
        <v>4.03</v>
      </c>
      <c r="F320" s="118">
        <v>30.02</v>
      </c>
    </row>
    <row r="321" spans="2:6" x14ac:dyDescent="0.2">
      <c r="B321" s="116" t="s">
        <v>689</v>
      </c>
      <c r="C321" s="117" t="s">
        <v>690</v>
      </c>
      <c r="D321" s="118">
        <v>1.1399999999999999</v>
      </c>
      <c r="E321" s="118">
        <v>2.39</v>
      </c>
      <c r="F321" s="118">
        <v>11.61</v>
      </c>
    </row>
    <row r="322" spans="2:6" x14ac:dyDescent="0.2">
      <c r="B322" s="116" t="s">
        <v>692</v>
      </c>
      <c r="C322" s="117" t="s">
        <v>693</v>
      </c>
      <c r="D322" s="118">
        <v>2.6</v>
      </c>
      <c r="E322" s="118">
        <v>3.78</v>
      </c>
      <c r="F322" s="118">
        <v>13.94</v>
      </c>
    </row>
    <row r="323" spans="2:6" x14ac:dyDescent="0.2">
      <c r="B323" s="116" t="s">
        <v>694</v>
      </c>
      <c r="C323" s="117" t="s">
        <v>695</v>
      </c>
      <c r="D323" s="118">
        <v>1.52</v>
      </c>
      <c r="E323" s="118">
        <v>1.94</v>
      </c>
      <c r="F323" s="118">
        <v>13.74</v>
      </c>
    </row>
    <row r="324" spans="2:6" x14ac:dyDescent="0.2">
      <c r="B324" s="116" t="s">
        <v>696</v>
      </c>
      <c r="C324" s="117" t="s">
        <v>697</v>
      </c>
      <c r="D324" s="118">
        <v>0.1</v>
      </c>
      <c r="E324" s="118">
        <v>2.2599999999999998</v>
      </c>
      <c r="F324" s="118">
        <v>25.96</v>
      </c>
    </row>
    <row r="325" spans="2:6" x14ac:dyDescent="0.2">
      <c r="B325" s="116" t="s">
        <v>698</v>
      </c>
      <c r="C325" s="117" t="s">
        <v>699</v>
      </c>
      <c r="D325" s="118">
        <v>0.85</v>
      </c>
      <c r="E325" s="118">
        <v>1.08</v>
      </c>
      <c r="F325" s="118">
        <v>6.07</v>
      </c>
    </row>
    <row r="326" spans="2:6" x14ac:dyDescent="0.2">
      <c r="B326" s="116" t="s">
        <v>3659</v>
      </c>
      <c r="C326" s="117" t="s">
        <v>3660</v>
      </c>
      <c r="D326" s="118"/>
      <c r="E326" s="118"/>
      <c r="F326" s="118"/>
    </row>
    <row r="327" spans="2:6" x14ac:dyDescent="0.2">
      <c r="B327" s="116" t="s">
        <v>701</v>
      </c>
      <c r="C327" s="117" t="s">
        <v>702</v>
      </c>
      <c r="D327" s="118">
        <v>8.34</v>
      </c>
      <c r="E327" s="118">
        <v>16.61</v>
      </c>
      <c r="F327" s="118">
        <v>17.12</v>
      </c>
    </row>
    <row r="328" spans="2:6" x14ac:dyDescent="0.2">
      <c r="B328" s="116" t="s">
        <v>704</v>
      </c>
      <c r="C328" s="117" t="s">
        <v>705</v>
      </c>
      <c r="D328" s="118">
        <v>0.64</v>
      </c>
      <c r="E328" s="118">
        <v>4.0599999999999996</v>
      </c>
      <c r="F328" s="118">
        <v>15.55</v>
      </c>
    </row>
    <row r="329" spans="2:6" x14ac:dyDescent="0.2">
      <c r="B329" s="116" t="s">
        <v>707</v>
      </c>
      <c r="C329" s="117" t="s">
        <v>708</v>
      </c>
      <c r="D329" s="118">
        <v>1.29</v>
      </c>
      <c r="E329" s="118">
        <v>4.8499999999999996</v>
      </c>
      <c r="F329" s="118">
        <v>43.35</v>
      </c>
    </row>
    <row r="330" spans="2:6" x14ac:dyDescent="0.2">
      <c r="B330" s="116" t="s">
        <v>710</v>
      </c>
      <c r="C330" s="117" t="s">
        <v>711</v>
      </c>
      <c r="D330" s="118">
        <v>2.09</v>
      </c>
      <c r="E330" s="118">
        <v>1.34</v>
      </c>
      <c r="F330" s="118">
        <v>8.5299999999999994</v>
      </c>
    </row>
    <row r="331" spans="2:6" x14ac:dyDescent="0.2">
      <c r="B331" s="116" t="s">
        <v>712</v>
      </c>
      <c r="C331" s="117" t="s">
        <v>713</v>
      </c>
      <c r="D331" s="118">
        <v>0.4</v>
      </c>
      <c r="E331" s="118">
        <v>1.96</v>
      </c>
      <c r="F331" s="118">
        <v>7.2</v>
      </c>
    </row>
    <row r="332" spans="2:6" x14ac:dyDescent="0.2">
      <c r="B332" s="116" t="s">
        <v>3661</v>
      </c>
      <c r="C332" s="117" t="s">
        <v>3662</v>
      </c>
      <c r="D332" s="118"/>
      <c r="E332" s="118">
        <v>2.93</v>
      </c>
      <c r="F332" s="118"/>
    </row>
    <row r="333" spans="2:6" x14ac:dyDescent="0.2">
      <c r="B333" s="116" t="s">
        <v>715</v>
      </c>
      <c r="C333" s="117" t="s">
        <v>716</v>
      </c>
      <c r="D333" s="118">
        <v>5.07</v>
      </c>
      <c r="E333" s="118">
        <v>3.88</v>
      </c>
      <c r="F333" s="118">
        <v>16.63</v>
      </c>
    </row>
    <row r="334" spans="2:6" x14ac:dyDescent="0.2">
      <c r="B334" s="116" t="s">
        <v>718</v>
      </c>
      <c r="C334" s="117" t="s">
        <v>719</v>
      </c>
      <c r="D334" s="118">
        <v>9</v>
      </c>
      <c r="E334" s="118">
        <v>2.46</v>
      </c>
      <c r="F334" s="118">
        <v>8.56</v>
      </c>
    </row>
    <row r="335" spans="2:6" x14ac:dyDescent="0.2">
      <c r="B335" s="116" t="s">
        <v>720</v>
      </c>
      <c r="C335" s="117" t="s">
        <v>721</v>
      </c>
      <c r="D335" s="118">
        <v>0.8</v>
      </c>
      <c r="E335" s="118">
        <v>3.34</v>
      </c>
      <c r="F335" s="118">
        <v>24.14</v>
      </c>
    </row>
    <row r="336" spans="2:6" x14ac:dyDescent="0.2">
      <c r="B336" s="116" t="s">
        <v>723</v>
      </c>
      <c r="C336" s="117" t="s">
        <v>724</v>
      </c>
      <c r="D336" s="118">
        <v>1.3</v>
      </c>
      <c r="E336" s="118">
        <v>6.6</v>
      </c>
      <c r="F336" s="118">
        <v>36.01</v>
      </c>
    </row>
    <row r="337" spans="2:6" x14ac:dyDescent="0.2">
      <c r="B337" s="116" t="s">
        <v>726</v>
      </c>
      <c r="C337" s="117" t="s">
        <v>727</v>
      </c>
      <c r="D337" s="118">
        <v>1.03</v>
      </c>
      <c r="E337" s="118">
        <v>3.3</v>
      </c>
      <c r="F337" s="118">
        <v>55.03</v>
      </c>
    </row>
    <row r="338" spans="2:6" x14ac:dyDescent="0.2">
      <c r="B338" s="116" t="s">
        <v>726</v>
      </c>
      <c r="C338" s="117" t="s">
        <v>3663</v>
      </c>
      <c r="D338" s="118">
        <v>1.08</v>
      </c>
      <c r="E338" s="118">
        <v>3.47</v>
      </c>
      <c r="F338" s="118">
        <v>55.03</v>
      </c>
    </row>
    <row r="339" spans="2:6" x14ac:dyDescent="0.2">
      <c r="B339" s="116" t="s">
        <v>3664</v>
      </c>
      <c r="C339" s="117" t="s">
        <v>3665</v>
      </c>
      <c r="D339" s="118">
        <v>4.66</v>
      </c>
      <c r="E339" s="118">
        <v>2.21</v>
      </c>
      <c r="F339" s="118">
        <v>15.02</v>
      </c>
    </row>
    <row r="340" spans="2:6" x14ac:dyDescent="0.2">
      <c r="B340" s="116" t="s">
        <v>729</v>
      </c>
      <c r="C340" s="117" t="s">
        <v>730</v>
      </c>
      <c r="D340" s="118">
        <v>5.47</v>
      </c>
      <c r="E340" s="118">
        <v>1.8</v>
      </c>
      <c r="F340" s="118">
        <v>10.1</v>
      </c>
    </row>
    <row r="341" spans="2:6" x14ac:dyDescent="0.2">
      <c r="B341" s="116" t="s">
        <v>3666</v>
      </c>
      <c r="C341" s="117" t="s">
        <v>3667</v>
      </c>
      <c r="D341" s="118"/>
      <c r="E341" s="118">
        <v>3.86</v>
      </c>
      <c r="F341" s="118">
        <v>2.88</v>
      </c>
    </row>
    <row r="342" spans="2:6" x14ac:dyDescent="0.2">
      <c r="B342" s="116" t="s">
        <v>731</v>
      </c>
      <c r="C342" s="117" t="s">
        <v>732</v>
      </c>
      <c r="D342" s="118"/>
      <c r="E342" s="118"/>
      <c r="F342" s="118"/>
    </row>
    <row r="343" spans="2:6" x14ac:dyDescent="0.2">
      <c r="B343" s="116" t="s">
        <v>734</v>
      </c>
      <c r="C343" s="117" t="s">
        <v>735</v>
      </c>
      <c r="D343" s="118">
        <v>2</v>
      </c>
      <c r="E343" s="118">
        <v>3.82</v>
      </c>
      <c r="F343" s="118">
        <v>16.440000000000001</v>
      </c>
    </row>
    <row r="344" spans="2:6" x14ac:dyDescent="0.2">
      <c r="B344" s="116" t="s">
        <v>737</v>
      </c>
      <c r="C344" s="117" t="s">
        <v>738</v>
      </c>
      <c r="D344" s="118"/>
      <c r="E344" s="118">
        <v>4.4800000000000004</v>
      </c>
      <c r="F344" s="118"/>
    </row>
    <row r="345" spans="2:6" x14ac:dyDescent="0.2">
      <c r="B345" s="116" t="s">
        <v>739</v>
      </c>
      <c r="C345" s="117" t="s">
        <v>740</v>
      </c>
      <c r="D345" s="118">
        <v>10.26</v>
      </c>
      <c r="E345" s="118">
        <v>5.07</v>
      </c>
      <c r="F345" s="118">
        <v>7</v>
      </c>
    </row>
    <row r="346" spans="2:6" x14ac:dyDescent="0.2">
      <c r="B346" s="116" t="s">
        <v>741</v>
      </c>
      <c r="C346" s="117" t="s">
        <v>742</v>
      </c>
      <c r="D346" s="118">
        <v>2.44</v>
      </c>
      <c r="E346" s="118">
        <v>1</v>
      </c>
      <c r="F346" s="118">
        <v>3.37</v>
      </c>
    </row>
    <row r="347" spans="2:6" x14ac:dyDescent="0.2">
      <c r="B347" s="116" t="s">
        <v>743</v>
      </c>
      <c r="C347" s="117" t="s">
        <v>744</v>
      </c>
      <c r="D347" s="118">
        <v>0.73</v>
      </c>
      <c r="E347" s="118">
        <v>5.0199999999999996</v>
      </c>
      <c r="F347" s="118">
        <v>48.36</v>
      </c>
    </row>
    <row r="348" spans="2:6" x14ac:dyDescent="0.2">
      <c r="B348" s="116" t="s">
        <v>745</v>
      </c>
      <c r="C348" s="117" t="s">
        <v>746</v>
      </c>
      <c r="D348" s="118">
        <v>1.28</v>
      </c>
      <c r="E348" s="118">
        <v>1.05</v>
      </c>
      <c r="F348" s="118">
        <v>12.15</v>
      </c>
    </row>
    <row r="349" spans="2:6" x14ac:dyDescent="0.2">
      <c r="B349" s="116" t="s">
        <v>748</v>
      </c>
      <c r="C349" s="117" t="s">
        <v>749</v>
      </c>
      <c r="D349" s="118"/>
      <c r="E349" s="118">
        <v>3.98</v>
      </c>
      <c r="F349" s="118"/>
    </row>
    <row r="350" spans="2:6" x14ac:dyDescent="0.2">
      <c r="B350" s="116" t="s">
        <v>750</v>
      </c>
      <c r="C350" s="117" t="s">
        <v>751</v>
      </c>
      <c r="D350" s="118">
        <v>4.5999999999999996</v>
      </c>
      <c r="E350" s="118">
        <v>4.1100000000000003</v>
      </c>
      <c r="F350" s="118">
        <v>21.77</v>
      </c>
    </row>
    <row r="351" spans="2:6" x14ac:dyDescent="0.2">
      <c r="B351" s="116" t="s">
        <v>3668</v>
      </c>
      <c r="C351" s="117" t="s">
        <v>3669</v>
      </c>
      <c r="D351" s="118"/>
      <c r="E351" s="118">
        <v>6.52</v>
      </c>
      <c r="F351" s="118"/>
    </row>
    <row r="352" spans="2:6" x14ac:dyDescent="0.2">
      <c r="B352" s="116" t="s">
        <v>3670</v>
      </c>
      <c r="C352" s="117" t="s">
        <v>3671</v>
      </c>
      <c r="D352" s="118"/>
      <c r="E352" s="118">
        <v>0.91</v>
      </c>
      <c r="F352" s="118"/>
    </row>
    <row r="353" spans="2:6" x14ac:dyDescent="0.2">
      <c r="B353" s="116" t="s">
        <v>752</v>
      </c>
      <c r="C353" s="117" t="s">
        <v>753</v>
      </c>
      <c r="D353" s="118">
        <v>0.34</v>
      </c>
      <c r="E353" s="118">
        <v>0.33</v>
      </c>
      <c r="F353" s="118">
        <v>4.17</v>
      </c>
    </row>
    <row r="354" spans="2:6" x14ac:dyDescent="0.2">
      <c r="B354" s="116" t="s">
        <v>755</v>
      </c>
      <c r="C354" s="117" t="s">
        <v>756</v>
      </c>
      <c r="D354" s="118">
        <v>1.52</v>
      </c>
      <c r="E354" s="118">
        <v>1.98</v>
      </c>
      <c r="F354" s="118">
        <v>11.29</v>
      </c>
    </row>
    <row r="355" spans="2:6" x14ac:dyDescent="0.2">
      <c r="B355" s="116" t="s">
        <v>757</v>
      </c>
      <c r="C355" s="117" t="s">
        <v>758</v>
      </c>
      <c r="D355" s="118">
        <v>9.52</v>
      </c>
      <c r="E355" s="118">
        <v>4.1900000000000004</v>
      </c>
      <c r="F355" s="118">
        <v>2.34</v>
      </c>
    </row>
    <row r="356" spans="2:6" x14ac:dyDescent="0.2">
      <c r="B356" s="116" t="s">
        <v>759</v>
      </c>
      <c r="C356" s="117" t="s">
        <v>760</v>
      </c>
      <c r="D356" s="118">
        <v>2.56</v>
      </c>
      <c r="E356" s="118">
        <v>0.7</v>
      </c>
      <c r="F356" s="118">
        <v>4.84</v>
      </c>
    </row>
    <row r="357" spans="2:6" x14ac:dyDescent="0.2">
      <c r="B357" s="116" t="s">
        <v>761</v>
      </c>
      <c r="C357" s="117" t="s">
        <v>762</v>
      </c>
      <c r="D357" s="118">
        <v>2.59</v>
      </c>
      <c r="E357" s="118"/>
      <c r="F357" s="118">
        <v>-90.04</v>
      </c>
    </row>
    <row r="358" spans="2:6" x14ac:dyDescent="0.2">
      <c r="B358" s="116" t="s">
        <v>763</v>
      </c>
      <c r="C358" s="117" t="s">
        <v>764</v>
      </c>
      <c r="D358" s="118">
        <v>8.18</v>
      </c>
      <c r="E358" s="118">
        <v>12.93</v>
      </c>
      <c r="F358" s="118">
        <v>31.86</v>
      </c>
    </row>
    <row r="359" spans="2:6" x14ac:dyDescent="0.2">
      <c r="B359" s="116" t="s">
        <v>765</v>
      </c>
      <c r="C359" s="117" t="s">
        <v>766</v>
      </c>
      <c r="D359" s="118">
        <v>1.03</v>
      </c>
      <c r="E359" s="118">
        <v>18.72</v>
      </c>
      <c r="F359" s="118">
        <v>82.78</v>
      </c>
    </row>
    <row r="360" spans="2:6" x14ac:dyDescent="0.2">
      <c r="B360" s="116" t="s">
        <v>767</v>
      </c>
      <c r="C360" s="117" t="s">
        <v>768</v>
      </c>
      <c r="D360" s="118">
        <v>2.25</v>
      </c>
      <c r="E360" s="118">
        <v>4.67</v>
      </c>
      <c r="F360" s="118">
        <v>38.56</v>
      </c>
    </row>
    <row r="361" spans="2:6" x14ac:dyDescent="0.2">
      <c r="B361" s="116" t="s">
        <v>769</v>
      </c>
      <c r="C361" s="117" t="s">
        <v>770</v>
      </c>
      <c r="D361" s="118">
        <v>0.41</v>
      </c>
      <c r="E361" s="118">
        <v>0.8</v>
      </c>
      <c r="F361" s="118">
        <v>4.32</v>
      </c>
    </row>
    <row r="362" spans="2:6" x14ac:dyDescent="0.2">
      <c r="B362" s="116" t="s">
        <v>771</v>
      </c>
      <c r="C362" s="117" t="s">
        <v>772</v>
      </c>
      <c r="D362" s="118">
        <v>4.3099999999999996</v>
      </c>
      <c r="E362" s="118">
        <v>7.01</v>
      </c>
      <c r="F362" s="118">
        <v>89.93</v>
      </c>
    </row>
    <row r="363" spans="2:6" x14ac:dyDescent="0.2">
      <c r="B363" s="116" t="s">
        <v>773</v>
      </c>
      <c r="C363" s="117" t="s">
        <v>774</v>
      </c>
      <c r="D363" s="118"/>
      <c r="E363" s="118">
        <v>1.1299999999999999</v>
      </c>
      <c r="F363" s="118"/>
    </row>
    <row r="364" spans="2:6" x14ac:dyDescent="0.2">
      <c r="B364" s="116" t="s">
        <v>776</v>
      </c>
      <c r="C364" s="117" t="s">
        <v>777</v>
      </c>
      <c r="D364" s="118">
        <v>3.94</v>
      </c>
      <c r="E364" s="118">
        <v>4.62</v>
      </c>
      <c r="F364" s="118">
        <v>15.14</v>
      </c>
    </row>
    <row r="365" spans="2:6" x14ac:dyDescent="0.2">
      <c r="B365" s="116" t="s">
        <v>779</v>
      </c>
      <c r="C365" s="117" t="s">
        <v>780</v>
      </c>
      <c r="D365" s="118">
        <v>2.2999999999999998</v>
      </c>
      <c r="E365" s="118">
        <v>1.85</v>
      </c>
      <c r="F365" s="118">
        <v>7.22</v>
      </c>
    </row>
    <row r="366" spans="2:6" x14ac:dyDescent="0.2">
      <c r="B366" s="116" t="s">
        <v>782</v>
      </c>
      <c r="C366" s="117" t="s">
        <v>783</v>
      </c>
      <c r="D366" s="118">
        <v>2.0299999999999998</v>
      </c>
      <c r="E366" s="118">
        <v>0.79</v>
      </c>
      <c r="F366" s="118">
        <v>8.94</v>
      </c>
    </row>
    <row r="367" spans="2:6" x14ac:dyDescent="0.2">
      <c r="B367" s="116" t="s">
        <v>3672</v>
      </c>
      <c r="C367" s="117" t="s">
        <v>3673</v>
      </c>
      <c r="D367" s="118">
        <v>3.76</v>
      </c>
      <c r="E367" s="118">
        <v>1.54</v>
      </c>
      <c r="F367" s="118">
        <v>13.85</v>
      </c>
    </row>
    <row r="368" spans="2:6" x14ac:dyDescent="0.2">
      <c r="B368" s="116" t="s">
        <v>3674</v>
      </c>
      <c r="C368" s="117" t="s">
        <v>3675</v>
      </c>
      <c r="D368" s="118"/>
      <c r="E368" s="118"/>
      <c r="F368" s="118"/>
    </row>
    <row r="369" spans="2:6" x14ac:dyDescent="0.2">
      <c r="B369" s="116" t="s">
        <v>785</v>
      </c>
      <c r="C369" s="117" t="s">
        <v>786</v>
      </c>
      <c r="D369" s="118">
        <v>0.89</v>
      </c>
      <c r="E369" s="118">
        <v>1.03</v>
      </c>
      <c r="F369" s="118">
        <v>8.69</v>
      </c>
    </row>
    <row r="370" spans="2:6" x14ac:dyDescent="0.2">
      <c r="B370" s="116" t="s">
        <v>787</v>
      </c>
      <c r="C370" s="117" t="s">
        <v>788</v>
      </c>
      <c r="D370" s="118">
        <v>40.58</v>
      </c>
      <c r="E370" s="118">
        <v>2.0099999999999998</v>
      </c>
      <c r="F370" s="118">
        <v>-13.01</v>
      </c>
    </row>
    <row r="371" spans="2:6" x14ac:dyDescent="0.2">
      <c r="B371" s="116" t="s">
        <v>3676</v>
      </c>
      <c r="C371" s="117" t="s">
        <v>3677</v>
      </c>
      <c r="D371" s="118"/>
      <c r="E371" s="118">
        <v>2.23</v>
      </c>
      <c r="F371" s="118"/>
    </row>
    <row r="372" spans="2:6" x14ac:dyDescent="0.2">
      <c r="B372" s="116" t="s">
        <v>789</v>
      </c>
      <c r="C372" s="117" t="s">
        <v>790</v>
      </c>
      <c r="D372" s="118">
        <v>10.31</v>
      </c>
      <c r="E372" s="118">
        <v>6.9</v>
      </c>
      <c r="F372" s="118">
        <v>17.809999999999999</v>
      </c>
    </row>
    <row r="373" spans="2:6" x14ac:dyDescent="0.2">
      <c r="B373" s="116" t="s">
        <v>791</v>
      </c>
      <c r="C373" s="117" t="s">
        <v>792</v>
      </c>
      <c r="D373" s="118"/>
      <c r="E373" s="118">
        <v>0.72</v>
      </c>
      <c r="F373" s="118"/>
    </row>
    <row r="374" spans="2:6" x14ac:dyDescent="0.2">
      <c r="B374" s="116" t="s">
        <v>3678</v>
      </c>
      <c r="C374" s="117" t="s">
        <v>3679</v>
      </c>
      <c r="D374" s="118">
        <v>1.93</v>
      </c>
      <c r="E374" s="118">
        <v>0.47</v>
      </c>
      <c r="F374" s="118">
        <v>5.27</v>
      </c>
    </row>
    <row r="375" spans="2:6" x14ac:dyDescent="0.2">
      <c r="B375" s="116" t="s">
        <v>3680</v>
      </c>
      <c r="C375" s="117" t="s">
        <v>3681</v>
      </c>
      <c r="D375" s="118"/>
      <c r="E375" s="118"/>
      <c r="F375" s="118"/>
    </row>
    <row r="376" spans="2:6" x14ac:dyDescent="0.2">
      <c r="B376" s="116" t="s">
        <v>794</v>
      </c>
      <c r="C376" s="117" t="s">
        <v>795</v>
      </c>
      <c r="D376" s="118">
        <v>4.25</v>
      </c>
      <c r="E376" s="118">
        <v>6.91</v>
      </c>
      <c r="F376" s="118">
        <v>24.57</v>
      </c>
    </row>
    <row r="377" spans="2:6" x14ac:dyDescent="0.2">
      <c r="B377" s="116" t="s">
        <v>797</v>
      </c>
      <c r="C377" s="117" t="s">
        <v>798</v>
      </c>
      <c r="D377" s="118">
        <v>4.16</v>
      </c>
      <c r="E377" s="118">
        <v>8.9</v>
      </c>
      <c r="F377" s="118">
        <v>34.229999999999997</v>
      </c>
    </row>
    <row r="378" spans="2:6" x14ac:dyDescent="0.2">
      <c r="B378" s="116" t="s">
        <v>800</v>
      </c>
      <c r="C378" s="117" t="s">
        <v>801</v>
      </c>
      <c r="D378" s="118">
        <v>3.69</v>
      </c>
      <c r="E378" s="118">
        <v>10.97</v>
      </c>
      <c r="F378" s="118">
        <v>35.630000000000003</v>
      </c>
    </row>
    <row r="379" spans="2:6" x14ac:dyDescent="0.2">
      <c r="B379" s="116" t="s">
        <v>3682</v>
      </c>
      <c r="C379" s="117" t="s">
        <v>3683</v>
      </c>
      <c r="D379" s="118"/>
      <c r="E379" s="118"/>
      <c r="F379" s="118"/>
    </row>
    <row r="380" spans="2:6" x14ac:dyDescent="0.2">
      <c r="B380" s="116" t="s">
        <v>802</v>
      </c>
      <c r="C380" s="117" t="s">
        <v>803</v>
      </c>
      <c r="D380" s="118">
        <v>11.02</v>
      </c>
      <c r="E380" s="118">
        <v>8.66</v>
      </c>
      <c r="F380" s="118">
        <v>7.12</v>
      </c>
    </row>
    <row r="381" spans="2:6" x14ac:dyDescent="0.2">
      <c r="B381" s="116" t="s">
        <v>804</v>
      </c>
      <c r="C381" s="117" t="s">
        <v>805</v>
      </c>
      <c r="D381" s="118">
        <v>4.71</v>
      </c>
      <c r="E381" s="118"/>
      <c r="F381" s="118">
        <v>-141.56</v>
      </c>
    </row>
    <row r="382" spans="2:6" x14ac:dyDescent="0.2">
      <c r="B382" s="116" t="s">
        <v>807</v>
      </c>
      <c r="C382" s="117" t="s">
        <v>808</v>
      </c>
      <c r="D382" s="118">
        <v>8.4700000000000006</v>
      </c>
      <c r="E382" s="118">
        <v>4.53</v>
      </c>
      <c r="F382" s="118">
        <v>22.05</v>
      </c>
    </row>
    <row r="383" spans="2:6" x14ac:dyDescent="0.2">
      <c r="B383" s="116" t="s">
        <v>810</v>
      </c>
      <c r="C383" s="117" t="s">
        <v>811</v>
      </c>
      <c r="D383" s="118"/>
      <c r="E383" s="118">
        <v>1.06</v>
      </c>
      <c r="F383" s="118"/>
    </row>
    <row r="384" spans="2:6" x14ac:dyDescent="0.2">
      <c r="B384" s="116" t="s">
        <v>812</v>
      </c>
      <c r="C384" s="117" t="s">
        <v>813</v>
      </c>
      <c r="D384" s="118">
        <v>0.71</v>
      </c>
      <c r="E384" s="118">
        <v>6.95</v>
      </c>
      <c r="F384" s="118">
        <v>42.88</v>
      </c>
    </row>
    <row r="385" spans="2:6" x14ac:dyDescent="0.2">
      <c r="B385" s="116" t="s">
        <v>3684</v>
      </c>
      <c r="C385" s="117" t="s">
        <v>3685</v>
      </c>
      <c r="D385" s="118">
        <v>4.1100000000000003</v>
      </c>
      <c r="E385" s="118">
        <v>2.36</v>
      </c>
      <c r="F385" s="118">
        <v>8.9499999999999993</v>
      </c>
    </row>
    <row r="386" spans="2:6" x14ac:dyDescent="0.2">
      <c r="B386" s="116" t="s">
        <v>814</v>
      </c>
      <c r="C386" s="117" t="s">
        <v>815</v>
      </c>
      <c r="D386" s="118">
        <v>2.08</v>
      </c>
      <c r="E386" s="118">
        <v>2.16</v>
      </c>
      <c r="F386" s="118">
        <v>3.08</v>
      </c>
    </row>
    <row r="387" spans="2:6" x14ac:dyDescent="0.2">
      <c r="B387" s="116" t="s">
        <v>816</v>
      </c>
      <c r="C387" s="117" t="s">
        <v>817</v>
      </c>
      <c r="D387" s="118"/>
      <c r="E387" s="118">
        <v>0.69</v>
      </c>
      <c r="F387" s="118"/>
    </row>
    <row r="388" spans="2:6" x14ac:dyDescent="0.2">
      <c r="B388" s="116" t="s">
        <v>3686</v>
      </c>
      <c r="C388" s="117" t="s">
        <v>3687</v>
      </c>
      <c r="D388" s="118"/>
      <c r="E388" s="118"/>
      <c r="F388" s="118"/>
    </row>
    <row r="389" spans="2:6" x14ac:dyDescent="0.2">
      <c r="B389" s="116" t="s">
        <v>818</v>
      </c>
      <c r="C389" s="117" t="s">
        <v>819</v>
      </c>
      <c r="D389" s="118">
        <v>0.59</v>
      </c>
      <c r="E389" s="118">
        <v>1.39</v>
      </c>
      <c r="F389" s="118">
        <v>13.24</v>
      </c>
    </row>
    <row r="390" spans="2:6" x14ac:dyDescent="0.2">
      <c r="B390" s="116" t="s">
        <v>3688</v>
      </c>
      <c r="C390" s="117" t="s">
        <v>3689</v>
      </c>
      <c r="D390" s="118"/>
      <c r="E390" s="118">
        <v>3.49</v>
      </c>
      <c r="F390" s="118"/>
    </row>
    <row r="391" spans="2:6" x14ac:dyDescent="0.2">
      <c r="B391" s="116" t="s">
        <v>820</v>
      </c>
      <c r="C391" s="117" t="s">
        <v>821</v>
      </c>
      <c r="D391" s="118">
        <v>1.86</v>
      </c>
      <c r="E391" s="118">
        <v>1.48</v>
      </c>
      <c r="F391" s="118">
        <v>13.4</v>
      </c>
    </row>
    <row r="392" spans="2:6" x14ac:dyDescent="0.2">
      <c r="B392" s="116" t="s">
        <v>3690</v>
      </c>
      <c r="C392" s="117" t="s">
        <v>3691</v>
      </c>
      <c r="D392" s="118">
        <v>1.38</v>
      </c>
      <c r="E392" s="118"/>
      <c r="F392" s="118"/>
    </row>
    <row r="393" spans="2:6" x14ac:dyDescent="0.2">
      <c r="B393" s="116" t="s">
        <v>822</v>
      </c>
      <c r="C393" s="117" t="s">
        <v>823</v>
      </c>
      <c r="D393" s="118"/>
      <c r="E393" s="118"/>
      <c r="F393" s="118"/>
    </row>
    <row r="394" spans="2:6" x14ac:dyDescent="0.2">
      <c r="B394" s="116" t="s">
        <v>824</v>
      </c>
      <c r="C394" s="117" t="s">
        <v>825</v>
      </c>
      <c r="D394" s="118">
        <v>1.75</v>
      </c>
      <c r="E394" s="118">
        <v>2.89</v>
      </c>
      <c r="F394" s="118">
        <v>13.64</v>
      </c>
    </row>
    <row r="395" spans="2:6" x14ac:dyDescent="0.2">
      <c r="B395" s="116" t="s">
        <v>3692</v>
      </c>
      <c r="C395" s="117" t="s">
        <v>3693</v>
      </c>
      <c r="D395" s="118">
        <v>0.81</v>
      </c>
      <c r="E395" s="118">
        <v>1.1200000000000001</v>
      </c>
      <c r="F395" s="118">
        <v>10.68</v>
      </c>
    </row>
    <row r="396" spans="2:6" x14ac:dyDescent="0.2">
      <c r="B396" s="116" t="s">
        <v>3694</v>
      </c>
      <c r="C396" s="117" t="s">
        <v>3695</v>
      </c>
      <c r="D396" s="118">
        <v>2.2999999999999998</v>
      </c>
      <c r="E396" s="118"/>
      <c r="F396" s="118"/>
    </row>
    <row r="397" spans="2:6" x14ac:dyDescent="0.2">
      <c r="B397" s="116" t="s">
        <v>827</v>
      </c>
      <c r="C397" s="117" t="s">
        <v>828</v>
      </c>
      <c r="D397" s="118">
        <v>2.75</v>
      </c>
      <c r="E397" s="118">
        <v>0.94</v>
      </c>
      <c r="F397" s="118">
        <v>12.51</v>
      </c>
    </row>
    <row r="398" spans="2:6" x14ac:dyDescent="0.2">
      <c r="B398" s="116" t="s">
        <v>829</v>
      </c>
      <c r="C398" s="117" t="s">
        <v>830</v>
      </c>
      <c r="D398" s="118">
        <v>2.78</v>
      </c>
      <c r="E398" s="118">
        <v>2.04</v>
      </c>
      <c r="F398" s="118">
        <v>7.17</v>
      </c>
    </row>
    <row r="399" spans="2:6" x14ac:dyDescent="0.2">
      <c r="B399" s="116" t="s">
        <v>3696</v>
      </c>
      <c r="C399" s="117" t="s">
        <v>3697</v>
      </c>
      <c r="D399" s="118">
        <v>1.88</v>
      </c>
      <c r="E399" s="118">
        <v>1.63</v>
      </c>
      <c r="F399" s="118">
        <v>19.91</v>
      </c>
    </row>
    <row r="400" spans="2:6" x14ac:dyDescent="0.2">
      <c r="B400" s="116" t="s">
        <v>831</v>
      </c>
      <c r="C400" s="117" t="s">
        <v>832</v>
      </c>
      <c r="D400" s="118">
        <v>1.33</v>
      </c>
      <c r="E400" s="118">
        <v>0.77</v>
      </c>
      <c r="F400" s="118">
        <v>9.02</v>
      </c>
    </row>
    <row r="401" spans="2:6" x14ac:dyDescent="0.2">
      <c r="B401" s="116" t="s">
        <v>3698</v>
      </c>
      <c r="C401" s="117" t="s">
        <v>3699</v>
      </c>
      <c r="D401" s="118"/>
      <c r="E401" s="118">
        <v>2.16</v>
      </c>
      <c r="F401" s="118"/>
    </row>
    <row r="402" spans="2:6" x14ac:dyDescent="0.2">
      <c r="B402" s="116" t="s">
        <v>833</v>
      </c>
      <c r="C402" s="117" t="s">
        <v>834</v>
      </c>
      <c r="D402" s="118">
        <v>2.36</v>
      </c>
      <c r="E402" s="118">
        <v>1.23</v>
      </c>
      <c r="F402" s="118">
        <v>12.97</v>
      </c>
    </row>
    <row r="403" spans="2:6" x14ac:dyDescent="0.2">
      <c r="B403" s="116" t="s">
        <v>3700</v>
      </c>
      <c r="C403" s="117" t="s">
        <v>3701</v>
      </c>
      <c r="D403" s="118"/>
      <c r="E403" s="118">
        <v>0.45</v>
      </c>
      <c r="F403" s="118"/>
    </row>
    <row r="404" spans="2:6" x14ac:dyDescent="0.2">
      <c r="B404" s="116" t="s">
        <v>836</v>
      </c>
      <c r="C404" s="117" t="s">
        <v>837</v>
      </c>
      <c r="D404" s="118">
        <v>3.95</v>
      </c>
      <c r="E404" s="118"/>
      <c r="F404" s="118">
        <v>-10821.98</v>
      </c>
    </row>
    <row r="405" spans="2:6" x14ac:dyDescent="0.2">
      <c r="B405" s="116" t="s">
        <v>838</v>
      </c>
      <c r="C405" s="117" t="s">
        <v>839</v>
      </c>
      <c r="D405" s="118">
        <v>2.12</v>
      </c>
      <c r="E405" s="118">
        <v>3.85</v>
      </c>
      <c r="F405" s="118">
        <v>17.14</v>
      </c>
    </row>
    <row r="406" spans="2:6" x14ac:dyDescent="0.2">
      <c r="B406" s="116" t="s">
        <v>840</v>
      </c>
      <c r="C406" s="117" t="s">
        <v>841</v>
      </c>
      <c r="D406" s="118">
        <v>1.28</v>
      </c>
      <c r="E406" s="118">
        <v>3.54</v>
      </c>
      <c r="F406" s="118">
        <v>7.46</v>
      </c>
    </row>
    <row r="407" spans="2:6" x14ac:dyDescent="0.2">
      <c r="B407" s="116" t="s">
        <v>3702</v>
      </c>
      <c r="C407" s="117" t="s">
        <v>3703</v>
      </c>
      <c r="D407" s="118">
        <v>2.76</v>
      </c>
      <c r="E407" s="118">
        <v>0.43</v>
      </c>
      <c r="F407" s="118">
        <v>5.2</v>
      </c>
    </row>
    <row r="408" spans="2:6" x14ac:dyDescent="0.2">
      <c r="B408" s="116" t="s">
        <v>3704</v>
      </c>
      <c r="C408" s="117" t="s">
        <v>3705</v>
      </c>
      <c r="D408" s="118">
        <v>9.5399999999999991</v>
      </c>
      <c r="E408" s="118">
        <v>27.44</v>
      </c>
      <c r="F408" s="118">
        <v>70.05</v>
      </c>
    </row>
    <row r="409" spans="2:6" x14ac:dyDescent="0.2">
      <c r="B409" s="116" t="s">
        <v>843</v>
      </c>
      <c r="C409" s="117" t="s">
        <v>844</v>
      </c>
      <c r="D409" s="118"/>
      <c r="E409" s="118">
        <v>1.64</v>
      </c>
      <c r="F409" s="118"/>
    </row>
    <row r="410" spans="2:6" x14ac:dyDescent="0.2">
      <c r="B410" s="116" t="s">
        <v>845</v>
      </c>
      <c r="C410" s="117" t="s">
        <v>846</v>
      </c>
      <c r="D410" s="118">
        <v>2.68</v>
      </c>
      <c r="E410" s="118">
        <v>1.88</v>
      </c>
      <c r="F410" s="118">
        <v>15.09</v>
      </c>
    </row>
    <row r="411" spans="2:6" x14ac:dyDescent="0.2">
      <c r="B411" s="116" t="s">
        <v>847</v>
      </c>
      <c r="C411" s="117" t="s">
        <v>848</v>
      </c>
      <c r="D411" s="118">
        <v>3.07</v>
      </c>
      <c r="E411" s="118">
        <v>34.14</v>
      </c>
      <c r="F411" s="118">
        <v>118.88</v>
      </c>
    </row>
    <row r="412" spans="2:6" x14ac:dyDescent="0.2">
      <c r="B412" s="116" t="s">
        <v>849</v>
      </c>
      <c r="C412" s="117" t="s">
        <v>850</v>
      </c>
      <c r="D412" s="118">
        <v>1.75</v>
      </c>
      <c r="E412" s="118">
        <v>1.41</v>
      </c>
      <c r="F412" s="118">
        <v>15.92</v>
      </c>
    </row>
    <row r="413" spans="2:6" x14ac:dyDescent="0.2">
      <c r="B413" s="116" t="s">
        <v>851</v>
      </c>
      <c r="C413" s="117" t="s">
        <v>852</v>
      </c>
      <c r="D413" s="118">
        <v>2.6</v>
      </c>
      <c r="E413" s="118">
        <v>1.35</v>
      </c>
      <c r="F413" s="118">
        <v>16.920000000000002</v>
      </c>
    </row>
    <row r="414" spans="2:6" x14ac:dyDescent="0.2">
      <c r="B414" s="116" t="s">
        <v>3706</v>
      </c>
      <c r="C414" s="117" t="s">
        <v>3707</v>
      </c>
      <c r="D414" s="118"/>
      <c r="E414" s="118"/>
      <c r="F414" s="118"/>
    </row>
    <row r="415" spans="2:6" x14ac:dyDescent="0.2">
      <c r="B415" s="116" t="s">
        <v>853</v>
      </c>
      <c r="C415" s="117" t="s">
        <v>854</v>
      </c>
      <c r="D415" s="118">
        <v>2.0299999999999998</v>
      </c>
      <c r="E415" s="118">
        <v>2.71</v>
      </c>
      <c r="F415" s="118">
        <v>17.5</v>
      </c>
    </row>
    <row r="416" spans="2:6" x14ac:dyDescent="0.2">
      <c r="B416" s="116" t="s">
        <v>855</v>
      </c>
      <c r="C416" s="117" t="s">
        <v>856</v>
      </c>
      <c r="D416" s="118">
        <v>3.91</v>
      </c>
      <c r="E416" s="118">
        <v>5.41</v>
      </c>
      <c r="F416" s="118">
        <v>15.52</v>
      </c>
    </row>
    <row r="417" spans="2:6" x14ac:dyDescent="0.2">
      <c r="B417" s="116" t="s">
        <v>857</v>
      </c>
      <c r="C417" s="117" t="s">
        <v>858</v>
      </c>
      <c r="D417" s="118">
        <v>16.46</v>
      </c>
      <c r="E417" s="118">
        <v>2.85</v>
      </c>
      <c r="F417" s="118">
        <v>9.14</v>
      </c>
    </row>
    <row r="418" spans="2:6" x14ac:dyDescent="0.2">
      <c r="B418" s="116" t="s">
        <v>859</v>
      </c>
      <c r="C418" s="117" t="s">
        <v>860</v>
      </c>
      <c r="D418" s="118">
        <v>4.46</v>
      </c>
      <c r="E418" s="118">
        <v>15.04</v>
      </c>
      <c r="F418" s="118">
        <v>21.5</v>
      </c>
    </row>
    <row r="419" spans="2:6" x14ac:dyDescent="0.2">
      <c r="B419" s="116" t="s">
        <v>3708</v>
      </c>
      <c r="C419" s="117" t="s">
        <v>3709</v>
      </c>
      <c r="D419" s="118"/>
      <c r="E419" s="118">
        <v>0.48</v>
      </c>
      <c r="F419" s="118"/>
    </row>
    <row r="420" spans="2:6" x14ac:dyDescent="0.2">
      <c r="B420" s="116" t="s">
        <v>861</v>
      </c>
      <c r="C420" s="117" t="s">
        <v>862</v>
      </c>
      <c r="D420" s="118">
        <v>1.05</v>
      </c>
      <c r="E420" s="118">
        <v>2.77</v>
      </c>
      <c r="F420" s="118">
        <v>29.75</v>
      </c>
    </row>
    <row r="421" spans="2:6" x14ac:dyDescent="0.2">
      <c r="B421" s="116" t="s">
        <v>864</v>
      </c>
      <c r="C421" s="117" t="s">
        <v>865</v>
      </c>
      <c r="D421" s="118"/>
      <c r="E421" s="118">
        <v>10.71</v>
      </c>
      <c r="F421" s="118"/>
    </row>
    <row r="422" spans="2:6" x14ac:dyDescent="0.2">
      <c r="B422" s="116" t="s">
        <v>866</v>
      </c>
      <c r="C422" s="117" t="s">
        <v>867</v>
      </c>
      <c r="D422" s="118">
        <v>1.43</v>
      </c>
      <c r="E422" s="118">
        <v>30.23</v>
      </c>
      <c r="F422" s="118">
        <v>85.75</v>
      </c>
    </row>
    <row r="423" spans="2:6" x14ac:dyDescent="0.2">
      <c r="B423" s="116" t="s">
        <v>869</v>
      </c>
      <c r="C423" s="117" t="s">
        <v>870</v>
      </c>
      <c r="D423" s="118">
        <v>2.58</v>
      </c>
      <c r="E423" s="118">
        <v>3.66</v>
      </c>
      <c r="F423" s="118">
        <v>12.13</v>
      </c>
    </row>
    <row r="424" spans="2:6" x14ac:dyDescent="0.2">
      <c r="B424" s="116" t="s">
        <v>3710</v>
      </c>
      <c r="C424" s="117" t="s">
        <v>3711</v>
      </c>
      <c r="D424" s="118"/>
      <c r="E424" s="118"/>
      <c r="F424" s="118"/>
    </row>
    <row r="425" spans="2:6" x14ac:dyDescent="0.2">
      <c r="B425" s="116" t="s">
        <v>871</v>
      </c>
      <c r="C425" s="117" t="s">
        <v>872</v>
      </c>
      <c r="D425" s="118">
        <v>1.29</v>
      </c>
      <c r="E425" s="118">
        <v>1.1100000000000001</v>
      </c>
      <c r="F425" s="118">
        <v>7.83</v>
      </c>
    </row>
    <row r="426" spans="2:6" x14ac:dyDescent="0.2">
      <c r="B426" s="116" t="s">
        <v>873</v>
      </c>
      <c r="C426" s="117" t="s">
        <v>874</v>
      </c>
      <c r="D426" s="118">
        <v>0.28000000000000003</v>
      </c>
      <c r="E426" s="118">
        <v>1.57</v>
      </c>
      <c r="F426" s="118">
        <v>15.87</v>
      </c>
    </row>
    <row r="427" spans="2:6" x14ac:dyDescent="0.2">
      <c r="B427" s="116" t="s">
        <v>875</v>
      </c>
      <c r="C427" s="117" t="s">
        <v>876</v>
      </c>
      <c r="D427" s="118">
        <v>0.5</v>
      </c>
      <c r="E427" s="118">
        <v>2.63</v>
      </c>
      <c r="F427" s="118">
        <v>22.56</v>
      </c>
    </row>
    <row r="428" spans="2:6" x14ac:dyDescent="0.2">
      <c r="B428" s="116" t="s">
        <v>877</v>
      </c>
      <c r="C428" s="117" t="s">
        <v>878</v>
      </c>
      <c r="D428" s="118">
        <v>5.69</v>
      </c>
      <c r="E428" s="118">
        <v>4.8</v>
      </c>
      <c r="F428" s="118">
        <v>24.15</v>
      </c>
    </row>
    <row r="429" spans="2:6" x14ac:dyDescent="0.2">
      <c r="B429" s="116" t="s">
        <v>879</v>
      </c>
      <c r="C429" s="117" t="s">
        <v>880</v>
      </c>
      <c r="D429" s="118">
        <v>1.38</v>
      </c>
      <c r="E429" s="118">
        <v>2.91</v>
      </c>
      <c r="F429" s="118">
        <v>13.75</v>
      </c>
    </row>
    <row r="430" spans="2:6" x14ac:dyDescent="0.2">
      <c r="B430" s="116" t="s">
        <v>881</v>
      </c>
      <c r="C430" s="117" t="s">
        <v>882</v>
      </c>
      <c r="D430" s="118">
        <v>1.32</v>
      </c>
      <c r="E430" s="118">
        <v>2.34</v>
      </c>
      <c r="F430" s="118">
        <v>13.59</v>
      </c>
    </row>
    <row r="431" spans="2:6" x14ac:dyDescent="0.2">
      <c r="B431" s="116" t="s">
        <v>883</v>
      </c>
      <c r="C431" s="117" t="s">
        <v>884</v>
      </c>
      <c r="D431" s="118">
        <v>2</v>
      </c>
      <c r="E431" s="118">
        <v>1.28</v>
      </c>
      <c r="F431" s="118">
        <v>8.6199999999999992</v>
      </c>
    </row>
    <row r="432" spans="2:6" x14ac:dyDescent="0.2">
      <c r="B432" s="116" t="s">
        <v>886</v>
      </c>
      <c r="C432" s="117" t="s">
        <v>887</v>
      </c>
      <c r="D432" s="118">
        <v>1.32</v>
      </c>
      <c r="E432" s="118">
        <v>0.78</v>
      </c>
      <c r="F432" s="118">
        <v>10.68</v>
      </c>
    </row>
    <row r="433" spans="2:6" x14ac:dyDescent="0.2">
      <c r="B433" s="116" t="s">
        <v>888</v>
      </c>
      <c r="C433" s="117" t="s">
        <v>889</v>
      </c>
      <c r="D433" s="118">
        <v>3.1</v>
      </c>
      <c r="E433" s="118">
        <v>3.22</v>
      </c>
      <c r="F433" s="118">
        <v>34.79</v>
      </c>
    </row>
    <row r="434" spans="2:6" x14ac:dyDescent="0.2">
      <c r="B434" s="116" t="s">
        <v>890</v>
      </c>
      <c r="C434" s="117" t="s">
        <v>891</v>
      </c>
      <c r="D434" s="118">
        <v>2.33</v>
      </c>
      <c r="E434" s="118">
        <v>2.83</v>
      </c>
      <c r="F434" s="118">
        <v>13.38</v>
      </c>
    </row>
    <row r="435" spans="2:6" x14ac:dyDescent="0.2">
      <c r="B435" s="116" t="s">
        <v>893</v>
      </c>
      <c r="C435" s="117" t="s">
        <v>894</v>
      </c>
      <c r="D435" s="118"/>
      <c r="E435" s="118"/>
      <c r="F435" s="118"/>
    </row>
    <row r="436" spans="2:6" x14ac:dyDescent="0.2">
      <c r="B436" s="116" t="s">
        <v>895</v>
      </c>
      <c r="C436" s="117" t="s">
        <v>896</v>
      </c>
      <c r="D436" s="118">
        <v>4.28</v>
      </c>
      <c r="E436" s="118">
        <v>3.8</v>
      </c>
      <c r="F436" s="118">
        <v>2.77</v>
      </c>
    </row>
    <row r="437" spans="2:6" x14ac:dyDescent="0.2">
      <c r="B437" s="116" t="s">
        <v>897</v>
      </c>
      <c r="C437" s="117" t="s">
        <v>898</v>
      </c>
      <c r="D437" s="118">
        <v>2.23</v>
      </c>
      <c r="E437" s="118">
        <v>3.9</v>
      </c>
      <c r="F437" s="118">
        <v>18.14</v>
      </c>
    </row>
    <row r="438" spans="2:6" x14ac:dyDescent="0.2">
      <c r="B438" s="116" t="s">
        <v>900</v>
      </c>
      <c r="C438" s="117" t="s">
        <v>901</v>
      </c>
      <c r="D438" s="118">
        <v>9.7100000000000009</v>
      </c>
      <c r="E438" s="118">
        <v>3.57</v>
      </c>
      <c r="F438" s="118">
        <v>-2.4500000000000002</v>
      </c>
    </row>
    <row r="439" spans="2:6" x14ac:dyDescent="0.2">
      <c r="B439" s="116" t="s">
        <v>902</v>
      </c>
      <c r="C439" s="117" t="s">
        <v>903</v>
      </c>
      <c r="D439" s="118">
        <v>5.73</v>
      </c>
      <c r="E439" s="118">
        <v>4.1500000000000004</v>
      </c>
      <c r="F439" s="118">
        <v>17.149999999999999</v>
      </c>
    </row>
    <row r="440" spans="2:6" x14ac:dyDescent="0.2">
      <c r="B440" s="116" t="s">
        <v>904</v>
      </c>
      <c r="C440" s="117" t="s">
        <v>905</v>
      </c>
      <c r="D440" s="118">
        <v>1.73</v>
      </c>
      <c r="E440" s="118">
        <v>2.04</v>
      </c>
      <c r="F440" s="118">
        <v>15.96</v>
      </c>
    </row>
    <row r="441" spans="2:6" x14ac:dyDescent="0.2">
      <c r="B441" s="116" t="s">
        <v>906</v>
      </c>
      <c r="C441" s="117" t="s">
        <v>907</v>
      </c>
      <c r="D441" s="118">
        <v>7.89</v>
      </c>
      <c r="E441" s="118">
        <v>16.010000000000002</v>
      </c>
      <c r="F441" s="118">
        <v>24.19</v>
      </c>
    </row>
    <row r="442" spans="2:6" x14ac:dyDescent="0.2">
      <c r="B442" s="116" t="s">
        <v>908</v>
      </c>
      <c r="C442" s="117" t="s">
        <v>909</v>
      </c>
      <c r="D442" s="118">
        <v>0.84</v>
      </c>
      <c r="E442" s="118">
        <v>8.5</v>
      </c>
      <c r="F442" s="118">
        <v>25.03</v>
      </c>
    </row>
    <row r="443" spans="2:6" x14ac:dyDescent="0.2">
      <c r="B443" s="116" t="s">
        <v>910</v>
      </c>
      <c r="C443" s="117" t="s">
        <v>911</v>
      </c>
      <c r="D443" s="118">
        <v>0.89</v>
      </c>
      <c r="E443" s="118">
        <v>1.67</v>
      </c>
      <c r="F443" s="118">
        <v>6.89</v>
      </c>
    </row>
    <row r="444" spans="2:6" x14ac:dyDescent="0.2">
      <c r="B444" s="116" t="s">
        <v>913</v>
      </c>
      <c r="C444" s="117" t="s">
        <v>914</v>
      </c>
      <c r="D444" s="118">
        <v>27.7</v>
      </c>
      <c r="E444" s="118">
        <v>19.45</v>
      </c>
      <c r="F444" s="118">
        <v>-13.73</v>
      </c>
    </row>
    <row r="445" spans="2:6" x14ac:dyDescent="0.2">
      <c r="B445" s="116" t="s">
        <v>915</v>
      </c>
      <c r="C445" s="117" t="s">
        <v>916</v>
      </c>
      <c r="D445" s="118">
        <v>0.55000000000000004</v>
      </c>
      <c r="E445" s="118">
        <v>1.51</v>
      </c>
      <c r="F445" s="118"/>
    </row>
    <row r="446" spans="2:6" x14ac:dyDescent="0.2">
      <c r="B446" s="116" t="s">
        <v>918</v>
      </c>
      <c r="C446" s="117" t="s">
        <v>919</v>
      </c>
      <c r="D446" s="118">
        <v>5.56</v>
      </c>
      <c r="E446" s="118">
        <v>6.03</v>
      </c>
      <c r="F446" s="118">
        <v>32.03</v>
      </c>
    </row>
    <row r="447" spans="2:6" x14ac:dyDescent="0.2">
      <c r="B447" s="116" t="s">
        <v>920</v>
      </c>
      <c r="C447" s="117" t="s">
        <v>921</v>
      </c>
      <c r="D447" s="118">
        <v>1.52</v>
      </c>
      <c r="E447" s="118">
        <v>2.13</v>
      </c>
      <c r="F447" s="118">
        <v>12.35</v>
      </c>
    </row>
    <row r="448" spans="2:6" x14ac:dyDescent="0.2">
      <c r="B448" s="116" t="s">
        <v>922</v>
      </c>
      <c r="C448" s="117" t="s">
        <v>923</v>
      </c>
      <c r="D448" s="118">
        <v>1.5</v>
      </c>
      <c r="E448" s="118">
        <v>12.66</v>
      </c>
      <c r="F448" s="118">
        <v>62.59</v>
      </c>
    </row>
    <row r="449" spans="2:6" x14ac:dyDescent="0.2">
      <c r="B449" s="116" t="s">
        <v>924</v>
      </c>
      <c r="C449" s="117" t="s">
        <v>925</v>
      </c>
      <c r="D449" s="118"/>
      <c r="E449" s="118">
        <v>0.62</v>
      </c>
      <c r="F449" s="118"/>
    </row>
    <row r="450" spans="2:6" x14ac:dyDescent="0.2">
      <c r="B450" s="116" t="s">
        <v>3712</v>
      </c>
      <c r="C450" s="117" t="s">
        <v>3713</v>
      </c>
      <c r="D450" s="118">
        <v>1.2</v>
      </c>
      <c r="E450" s="118">
        <v>2.04</v>
      </c>
      <c r="F450" s="118">
        <v>17.52</v>
      </c>
    </row>
    <row r="451" spans="2:6" x14ac:dyDescent="0.2">
      <c r="B451" s="116" t="s">
        <v>926</v>
      </c>
      <c r="C451" s="117" t="s">
        <v>927</v>
      </c>
      <c r="D451" s="118">
        <v>0.91</v>
      </c>
      <c r="E451" s="118">
        <v>2.09</v>
      </c>
      <c r="F451" s="118">
        <v>30.29</v>
      </c>
    </row>
    <row r="452" spans="2:6" x14ac:dyDescent="0.2">
      <c r="B452" s="116" t="s">
        <v>928</v>
      </c>
      <c r="C452" s="117" t="s">
        <v>929</v>
      </c>
      <c r="D452" s="118">
        <v>9.27</v>
      </c>
      <c r="E452" s="118">
        <v>11.69</v>
      </c>
      <c r="F452" s="118">
        <v>33.840000000000003</v>
      </c>
    </row>
    <row r="453" spans="2:6" x14ac:dyDescent="0.2">
      <c r="B453" s="116" t="s">
        <v>931</v>
      </c>
      <c r="C453" s="117" t="s">
        <v>932</v>
      </c>
      <c r="D453" s="118">
        <v>10.75</v>
      </c>
      <c r="E453" s="118">
        <v>2.89</v>
      </c>
      <c r="F453" s="118">
        <v>4.4800000000000004</v>
      </c>
    </row>
    <row r="454" spans="2:6" x14ac:dyDescent="0.2">
      <c r="B454" s="116" t="s">
        <v>933</v>
      </c>
      <c r="C454" s="117" t="s">
        <v>934</v>
      </c>
      <c r="D454" s="118"/>
      <c r="E454" s="118">
        <v>1.45</v>
      </c>
      <c r="F454" s="118"/>
    </row>
    <row r="455" spans="2:6" x14ac:dyDescent="0.2">
      <c r="B455" s="116" t="s">
        <v>935</v>
      </c>
      <c r="C455" s="117" t="s">
        <v>936</v>
      </c>
      <c r="D455" s="118">
        <v>3.33</v>
      </c>
      <c r="E455" s="118">
        <v>29.19</v>
      </c>
      <c r="F455" s="118">
        <v>157.9</v>
      </c>
    </row>
    <row r="456" spans="2:6" x14ac:dyDescent="0.2">
      <c r="B456" s="116" t="s">
        <v>938</v>
      </c>
      <c r="C456" s="117" t="s">
        <v>939</v>
      </c>
      <c r="D456" s="118">
        <v>1.43</v>
      </c>
      <c r="E456" s="118">
        <v>2.89</v>
      </c>
      <c r="F456" s="118">
        <v>24.24</v>
      </c>
    </row>
    <row r="457" spans="2:6" x14ac:dyDescent="0.2">
      <c r="B457" s="116" t="s">
        <v>940</v>
      </c>
      <c r="C457" s="117" t="s">
        <v>941</v>
      </c>
      <c r="D457" s="118">
        <v>1.51</v>
      </c>
      <c r="E457" s="118">
        <v>0.45</v>
      </c>
      <c r="F457" s="118">
        <v>6.68</v>
      </c>
    </row>
    <row r="458" spans="2:6" x14ac:dyDescent="0.2">
      <c r="B458" s="116" t="s">
        <v>942</v>
      </c>
      <c r="C458" s="117" t="s">
        <v>943</v>
      </c>
      <c r="D458" s="118">
        <v>3.96</v>
      </c>
      <c r="E458" s="118">
        <v>2.57</v>
      </c>
      <c r="F458" s="118">
        <v>1.23</v>
      </c>
    </row>
    <row r="459" spans="2:6" x14ac:dyDescent="0.2">
      <c r="B459" s="116" t="s">
        <v>3714</v>
      </c>
      <c r="C459" s="117" t="s">
        <v>3715</v>
      </c>
      <c r="D459" s="118"/>
      <c r="E459" s="118">
        <v>1.57</v>
      </c>
      <c r="F459" s="118"/>
    </row>
    <row r="460" spans="2:6" x14ac:dyDescent="0.2">
      <c r="B460" s="116" t="s">
        <v>3716</v>
      </c>
      <c r="C460" s="117" t="s">
        <v>3717</v>
      </c>
      <c r="D460" s="118"/>
      <c r="E460" s="118">
        <v>6.27</v>
      </c>
      <c r="F460" s="118"/>
    </row>
    <row r="461" spans="2:6" x14ac:dyDescent="0.2">
      <c r="B461" s="116" t="s">
        <v>945</v>
      </c>
      <c r="C461" s="117" t="s">
        <v>946</v>
      </c>
      <c r="D461" s="118">
        <v>1.1399999999999999</v>
      </c>
      <c r="E461" s="118">
        <v>4.82</v>
      </c>
      <c r="F461" s="118">
        <v>34.450000000000003</v>
      </c>
    </row>
    <row r="462" spans="2:6" x14ac:dyDescent="0.2">
      <c r="B462" s="116" t="s">
        <v>947</v>
      </c>
      <c r="C462" s="117" t="s">
        <v>948</v>
      </c>
      <c r="D462" s="118">
        <v>2.76</v>
      </c>
      <c r="E462" s="118">
        <v>4.6399999999999997</v>
      </c>
      <c r="F462" s="118">
        <v>22.01</v>
      </c>
    </row>
    <row r="463" spans="2:6" x14ac:dyDescent="0.2">
      <c r="B463" s="116" t="s">
        <v>950</v>
      </c>
      <c r="C463" s="117" t="s">
        <v>951</v>
      </c>
      <c r="D463" s="118">
        <v>9.24</v>
      </c>
      <c r="E463" s="118">
        <v>7.93</v>
      </c>
      <c r="F463" s="118">
        <v>7.26</v>
      </c>
    </row>
    <row r="464" spans="2:6" x14ac:dyDescent="0.2">
      <c r="B464" s="116" t="s">
        <v>952</v>
      </c>
      <c r="C464" s="117" t="s">
        <v>953</v>
      </c>
      <c r="D464" s="118">
        <v>178.8</v>
      </c>
      <c r="E464" s="118">
        <v>3.78</v>
      </c>
      <c r="F464" s="118">
        <v>60.2</v>
      </c>
    </row>
    <row r="465" spans="2:6" x14ac:dyDescent="0.2">
      <c r="B465" s="116" t="s">
        <v>954</v>
      </c>
      <c r="C465" s="117" t="s">
        <v>955</v>
      </c>
      <c r="D465" s="118"/>
      <c r="E465" s="118">
        <v>0.63</v>
      </c>
      <c r="F465" s="118"/>
    </row>
    <row r="466" spans="2:6" x14ac:dyDescent="0.2">
      <c r="B466" s="116" t="s">
        <v>956</v>
      </c>
      <c r="C466" s="117" t="s">
        <v>957</v>
      </c>
      <c r="D466" s="118"/>
      <c r="E466" s="118">
        <v>1.03</v>
      </c>
      <c r="F466" s="118"/>
    </row>
    <row r="467" spans="2:6" x14ac:dyDescent="0.2">
      <c r="B467" s="116" t="s">
        <v>958</v>
      </c>
      <c r="C467" s="117" t="s">
        <v>959</v>
      </c>
      <c r="D467" s="118">
        <v>2.71</v>
      </c>
      <c r="E467" s="118">
        <v>2.83</v>
      </c>
      <c r="F467" s="118">
        <v>10.96</v>
      </c>
    </row>
    <row r="468" spans="2:6" x14ac:dyDescent="0.2">
      <c r="B468" s="116" t="s">
        <v>3718</v>
      </c>
      <c r="C468" s="117" t="s">
        <v>3719</v>
      </c>
      <c r="D468" s="118"/>
      <c r="E468" s="118">
        <v>20.78</v>
      </c>
      <c r="F468" s="118"/>
    </row>
    <row r="469" spans="2:6" x14ac:dyDescent="0.2">
      <c r="B469" s="116" t="s">
        <v>3720</v>
      </c>
      <c r="C469" s="117" t="s">
        <v>3721</v>
      </c>
      <c r="D469" s="118"/>
      <c r="E469" s="118">
        <v>0.47</v>
      </c>
      <c r="F469" s="118"/>
    </row>
    <row r="470" spans="2:6" x14ac:dyDescent="0.2">
      <c r="B470" s="116" t="s">
        <v>3722</v>
      </c>
      <c r="C470" s="117" t="s">
        <v>3723</v>
      </c>
      <c r="D470" s="118">
        <v>0.57999999999999996</v>
      </c>
      <c r="E470" s="118">
        <v>0.23</v>
      </c>
      <c r="F470" s="118">
        <v>2.54</v>
      </c>
    </row>
    <row r="471" spans="2:6" x14ac:dyDescent="0.2">
      <c r="B471" s="116" t="s">
        <v>960</v>
      </c>
      <c r="C471" s="117" t="s">
        <v>961</v>
      </c>
      <c r="D471" s="118">
        <v>0.95</v>
      </c>
      <c r="E471" s="118">
        <v>0.73</v>
      </c>
      <c r="F471" s="118">
        <v>5.46</v>
      </c>
    </row>
    <row r="472" spans="2:6" x14ac:dyDescent="0.2">
      <c r="B472" s="116" t="s">
        <v>962</v>
      </c>
      <c r="C472" s="117" t="s">
        <v>963</v>
      </c>
      <c r="D472" s="118">
        <v>4.0599999999999996</v>
      </c>
      <c r="E472" s="118">
        <v>6.27</v>
      </c>
      <c r="F472" s="118">
        <v>32.43</v>
      </c>
    </row>
    <row r="473" spans="2:6" x14ac:dyDescent="0.2">
      <c r="B473" s="116" t="s">
        <v>965</v>
      </c>
      <c r="C473" s="117" t="s">
        <v>966</v>
      </c>
      <c r="D473" s="118">
        <v>4.59</v>
      </c>
      <c r="E473" s="118">
        <v>1.1000000000000001</v>
      </c>
      <c r="F473" s="118">
        <v>9.64</v>
      </c>
    </row>
    <row r="474" spans="2:6" x14ac:dyDescent="0.2">
      <c r="B474" s="116" t="s">
        <v>967</v>
      </c>
      <c r="C474" s="117" t="s">
        <v>968</v>
      </c>
      <c r="D474" s="118">
        <v>16.82</v>
      </c>
      <c r="E474" s="118">
        <v>6.79</v>
      </c>
      <c r="F474" s="118">
        <v>10.42</v>
      </c>
    </row>
    <row r="475" spans="2:6" x14ac:dyDescent="0.2">
      <c r="B475" s="116" t="s">
        <v>3724</v>
      </c>
      <c r="C475" s="117" t="s">
        <v>3725</v>
      </c>
      <c r="D475" s="118">
        <v>1.37</v>
      </c>
      <c r="E475" s="118">
        <v>1.98</v>
      </c>
      <c r="F475" s="118">
        <v>10.97</v>
      </c>
    </row>
    <row r="476" spans="2:6" x14ac:dyDescent="0.2">
      <c r="B476" s="116" t="s">
        <v>969</v>
      </c>
      <c r="C476" s="117" t="s">
        <v>970</v>
      </c>
      <c r="D476" s="118">
        <v>1.77</v>
      </c>
      <c r="E476" s="118">
        <v>3.18</v>
      </c>
      <c r="F476" s="118">
        <v>16.52</v>
      </c>
    </row>
    <row r="477" spans="2:6" x14ac:dyDescent="0.2">
      <c r="B477" s="116" t="s">
        <v>971</v>
      </c>
      <c r="C477" s="117" t="s">
        <v>972</v>
      </c>
      <c r="D477" s="118"/>
      <c r="E477" s="118">
        <v>13.75</v>
      </c>
      <c r="F477" s="118"/>
    </row>
    <row r="478" spans="2:6" x14ac:dyDescent="0.2">
      <c r="B478" s="116" t="s">
        <v>973</v>
      </c>
      <c r="C478" s="117" t="s">
        <v>974</v>
      </c>
      <c r="D478" s="118">
        <v>6.02</v>
      </c>
      <c r="E478" s="118">
        <v>33.700000000000003</v>
      </c>
      <c r="F478" s="118">
        <v>-11.18</v>
      </c>
    </row>
    <row r="479" spans="2:6" x14ac:dyDescent="0.2">
      <c r="B479" s="116" t="s">
        <v>3726</v>
      </c>
      <c r="C479" s="117" t="s">
        <v>3727</v>
      </c>
      <c r="D479" s="118">
        <v>1.05</v>
      </c>
      <c r="E479" s="118">
        <v>0.68</v>
      </c>
      <c r="F479" s="118">
        <v>3.79</v>
      </c>
    </row>
    <row r="480" spans="2:6" x14ac:dyDescent="0.2">
      <c r="B480" s="116" t="s">
        <v>975</v>
      </c>
      <c r="C480" s="117" t="s">
        <v>976</v>
      </c>
      <c r="D480" s="118">
        <v>4.4400000000000004</v>
      </c>
      <c r="E480" s="118">
        <v>4.46</v>
      </c>
      <c r="F480" s="118">
        <v>26.96</v>
      </c>
    </row>
    <row r="481" spans="2:6" x14ac:dyDescent="0.2">
      <c r="B481" s="116" t="s">
        <v>977</v>
      </c>
      <c r="C481" s="117" t="s">
        <v>978</v>
      </c>
      <c r="D481" s="118">
        <v>3.86</v>
      </c>
      <c r="E481" s="118">
        <v>8.84</v>
      </c>
      <c r="F481" s="118">
        <v>26.77</v>
      </c>
    </row>
    <row r="482" spans="2:6" x14ac:dyDescent="0.2">
      <c r="B482" s="116" t="s">
        <v>980</v>
      </c>
      <c r="C482" s="117" t="s">
        <v>981</v>
      </c>
      <c r="D482" s="118">
        <v>0.6</v>
      </c>
      <c r="E482" s="118">
        <v>1</v>
      </c>
      <c r="F482" s="118">
        <v>8.3000000000000007</v>
      </c>
    </row>
    <row r="483" spans="2:6" x14ac:dyDescent="0.2">
      <c r="B483" s="116" t="s">
        <v>983</v>
      </c>
      <c r="C483" s="117" t="s">
        <v>984</v>
      </c>
      <c r="D483" s="118">
        <v>2.99</v>
      </c>
      <c r="E483" s="118">
        <v>4.47</v>
      </c>
      <c r="F483" s="118">
        <v>15.89</v>
      </c>
    </row>
    <row r="484" spans="2:6" x14ac:dyDescent="0.2">
      <c r="B484" s="116" t="s">
        <v>3728</v>
      </c>
      <c r="C484" s="117" t="s">
        <v>3729</v>
      </c>
      <c r="D484" s="118"/>
      <c r="E484" s="118">
        <v>0.36</v>
      </c>
      <c r="F484" s="118"/>
    </row>
    <row r="485" spans="2:6" x14ac:dyDescent="0.2">
      <c r="B485" s="116" t="s">
        <v>986</v>
      </c>
      <c r="C485" s="117" t="s">
        <v>987</v>
      </c>
      <c r="D485" s="118">
        <v>3.69</v>
      </c>
      <c r="E485" s="118">
        <v>1.34</v>
      </c>
      <c r="F485" s="118">
        <v>3.91</v>
      </c>
    </row>
    <row r="486" spans="2:6" x14ac:dyDescent="0.2">
      <c r="B486" s="116" t="s">
        <v>3730</v>
      </c>
      <c r="C486" s="117" t="s">
        <v>3731</v>
      </c>
      <c r="D486" s="118"/>
      <c r="E486" s="118">
        <v>0.94</v>
      </c>
      <c r="F486" s="118"/>
    </row>
    <row r="487" spans="2:6" x14ac:dyDescent="0.2">
      <c r="B487" s="116" t="s">
        <v>988</v>
      </c>
      <c r="C487" s="117" t="s">
        <v>989</v>
      </c>
      <c r="D487" s="118">
        <v>2.0699999999999998</v>
      </c>
      <c r="E487" s="118">
        <v>3.23</v>
      </c>
      <c r="F487" s="118">
        <v>20.52</v>
      </c>
    </row>
    <row r="488" spans="2:6" x14ac:dyDescent="0.2">
      <c r="B488" s="116" t="s">
        <v>991</v>
      </c>
      <c r="C488" s="117" t="s">
        <v>992</v>
      </c>
      <c r="D488" s="118">
        <v>0.52</v>
      </c>
      <c r="E488" s="118">
        <v>1.21</v>
      </c>
      <c r="F488" s="118">
        <v>13.03</v>
      </c>
    </row>
    <row r="489" spans="2:6" x14ac:dyDescent="0.2">
      <c r="B489" s="116" t="s">
        <v>3732</v>
      </c>
      <c r="C489" s="117" t="s">
        <v>3733</v>
      </c>
      <c r="D489" s="118"/>
      <c r="E489" s="118">
        <v>0.83</v>
      </c>
      <c r="F489" s="118"/>
    </row>
    <row r="490" spans="2:6" x14ac:dyDescent="0.2">
      <c r="B490" s="116" t="s">
        <v>993</v>
      </c>
      <c r="C490" s="117" t="s">
        <v>994</v>
      </c>
      <c r="D490" s="118">
        <v>4.2300000000000004</v>
      </c>
      <c r="E490" s="118">
        <v>24.99</v>
      </c>
      <c r="F490" s="118">
        <v>95.52</v>
      </c>
    </row>
    <row r="491" spans="2:6" x14ac:dyDescent="0.2">
      <c r="B491" s="116" t="s">
        <v>995</v>
      </c>
      <c r="C491" s="117" t="s">
        <v>996</v>
      </c>
      <c r="D491" s="118">
        <v>11.43</v>
      </c>
      <c r="E491" s="118">
        <v>3.85</v>
      </c>
      <c r="F491" s="118">
        <v>10.19</v>
      </c>
    </row>
    <row r="492" spans="2:6" x14ac:dyDescent="0.2">
      <c r="B492" s="116" t="s">
        <v>745</v>
      </c>
      <c r="C492" s="117" t="s">
        <v>3734</v>
      </c>
      <c r="D492" s="118">
        <v>1.62</v>
      </c>
      <c r="E492" s="118">
        <v>1.33</v>
      </c>
      <c r="F492" s="118">
        <v>12.15</v>
      </c>
    </row>
    <row r="493" spans="2:6" x14ac:dyDescent="0.2">
      <c r="B493" s="116" t="s">
        <v>997</v>
      </c>
      <c r="C493" s="117" t="s">
        <v>998</v>
      </c>
      <c r="D493" s="118"/>
      <c r="E493" s="118">
        <v>3.15</v>
      </c>
      <c r="F493" s="118"/>
    </row>
    <row r="494" spans="2:6" x14ac:dyDescent="0.2">
      <c r="B494" s="116" t="s">
        <v>999</v>
      </c>
      <c r="C494" s="117" t="s">
        <v>1000</v>
      </c>
      <c r="D494" s="118">
        <v>10.64</v>
      </c>
      <c r="E494" s="118">
        <v>1.26</v>
      </c>
      <c r="F494" s="118">
        <v>1.71</v>
      </c>
    </row>
    <row r="495" spans="2:6" x14ac:dyDescent="0.2">
      <c r="B495" s="116" t="s">
        <v>1001</v>
      </c>
      <c r="C495" s="117" t="s">
        <v>1002</v>
      </c>
      <c r="D495" s="118">
        <v>6.05</v>
      </c>
      <c r="E495" s="118">
        <v>1.57</v>
      </c>
      <c r="F495" s="118">
        <v>10.02</v>
      </c>
    </row>
    <row r="496" spans="2:6" x14ac:dyDescent="0.2">
      <c r="B496" s="116" t="s">
        <v>1003</v>
      </c>
      <c r="C496" s="117" t="s">
        <v>1004</v>
      </c>
      <c r="D496" s="118">
        <v>0.74</v>
      </c>
      <c r="E496" s="118">
        <v>0.86</v>
      </c>
      <c r="F496" s="118">
        <v>-8.6999999999999993</v>
      </c>
    </row>
    <row r="497" spans="2:6" x14ac:dyDescent="0.2">
      <c r="B497" s="116" t="s">
        <v>3735</v>
      </c>
      <c r="C497" s="117" t="s">
        <v>3736</v>
      </c>
      <c r="D497" s="118">
        <v>0.66</v>
      </c>
      <c r="E497" s="118">
        <v>2.66</v>
      </c>
      <c r="F497" s="118">
        <v>21.99</v>
      </c>
    </row>
    <row r="498" spans="2:6" x14ac:dyDescent="0.2">
      <c r="B498" s="116" t="s">
        <v>1006</v>
      </c>
      <c r="C498" s="117" t="s">
        <v>1007</v>
      </c>
      <c r="D498" s="118">
        <v>3.99</v>
      </c>
      <c r="E498" s="118">
        <v>28.97</v>
      </c>
      <c r="F498" s="118">
        <v>-30.55</v>
      </c>
    </row>
    <row r="499" spans="2:6" x14ac:dyDescent="0.2">
      <c r="B499" s="116" t="s">
        <v>1008</v>
      </c>
      <c r="C499" s="117" t="s">
        <v>1009</v>
      </c>
      <c r="D499" s="118">
        <v>0.37</v>
      </c>
      <c r="E499" s="118">
        <v>1.36</v>
      </c>
      <c r="F499" s="118">
        <v>16.149999999999999</v>
      </c>
    </row>
    <row r="500" spans="2:6" x14ac:dyDescent="0.2">
      <c r="B500" s="116" t="s">
        <v>1011</v>
      </c>
      <c r="C500" s="117" t="s">
        <v>1012</v>
      </c>
      <c r="D500" s="118">
        <v>1.47</v>
      </c>
      <c r="E500" s="118">
        <v>1.5</v>
      </c>
      <c r="F500" s="118">
        <v>9.58</v>
      </c>
    </row>
    <row r="501" spans="2:6" x14ac:dyDescent="0.2">
      <c r="B501" s="116" t="s">
        <v>1013</v>
      </c>
      <c r="C501" s="117" t="s">
        <v>1014</v>
      </c>
      <c r="D501" s="118">
        <v>2.23</v>
      </c>
      <c r="E501" s="118">
        <v>3.32</v>
      </c>
      <c r="F501" s="118">
        <v>18.54</v>
      </c>
    </row>
    <row r="502" spans="2:6" x14ac:dyDescent="0.2">
      <c r="B502" s="116" t="s">
        <v>1015</v>
      </c>
      <c r="C502" s="117" t="s">
        <v>1016</v>
      </c>
      <c r="D502" s="118">
        <v>3.42</v>
      </c>
      <c r="E502" s="118">
        <v>1.7</v>
      </c>
      <c r="F502" s="118">
        <v>-4.1399999999999997</v>
      </c>
    </row>
    <row r="503" spans="2:6" x14ac:dyDescent="0.2">
      <c r="B503" s="116" t="s">
        <v>1018</v>
      </c>
      <c r="C503" s="117" t="s">
        <v>1019</v>
      </c>
      <c r="D503" s="118">
        <v>0.48</v>
      </c>
      <c r="E503" s="118">
        <v>3.15</v>
      </c>
      <c r="F503" s="118">
        <v>4.21</v>
      </c>
    </row>
    <row r="504" spans="2:6" x14ac:dyDescent="0.2">
      <c r="B504" s="116" t="s">
        <v>3737</v>
      </c>
      <c r="C504" s="117" t="s">
        <v>3738</v>
      </c>
      <c r="D504" s="118">
        <v>0.16</v>
      </c>
      <c r="E504" s="118">
        <v>0.08</v>
      </c>
      <c r="F504" s="118"/>
    </row>
    <row r="505" spans="2:6" x14ac:dyDescent="0.2">
      <c r="B505" s="116" t="s">
        <v>3739</v>
      </c>
      <c r="C505" s="117" t="s">
        <v>3740</v>
      </c>
      <c r="D505" s="118">
        <v>6.91</v>
      </c>
      <c r="E505" s="118">
        <v>1.06</v>
      </c>
      <c r="F505" s="118">
        <v>6.98</v>
      </c>
    </row>
    <row r="506" spans="2:6" x14ac:dyDescent="0.2">
      <c r="B506" s="116" t="s">
        <v>1020</v>
      </c>
      <c r="C506" s="117" t="s">
        <v>1021</v>
      </c>
      <c r="D506" s="118">
        <v>0.44</v>
      </c>
      <c r="E506" s="118">
        <v>0.56000000000000005</v>
      </c>
      <c r="F506" s="118">
        <v>1.75</v>
      </c>
    </row>
    <row r="507" spans="2:6" x14ac:dyDescent="0.2">
      <c r="B507" s="116" t="s">
        <v>1022</v>
      </c>
      <c r="C507" s="117" t="s">
        <v>1023</v>
      </c>
      <c r="D507" s="118">
        <v>3.28</v>
      </c>
      <c r="E507" s="118">
        <v>0.82</v>
      </c>
      <c r="F507" s="118">
        <v>4.12</v>
      </c>
    </row>
    <row r="508" spans="2:6" x14ac:dyDescent="0.2">
      <c r="B508" s="116" t="s">
        <v>1024</v>
      </c>
      <c r="C508" s="117" t="s">
        <v>1025</v>
      </c>
      <c r="D508" s="118">
        <v>3.65</v>
      </c>
      <c r="E508" s="118">
        <v>4.07</v>
      </c>
      <c r="F508" s="118">
        <v>19.36</v>
      </c>
    </row>
    <row r="509" spans="2:6" x14ac:dyDescent="0.2">
      <c r="B509" s="116" t="s">
        <v>3741</v>
      </c>
      <c r="C509" s="117" t="s">
        <v>3742</v>
      </c>
      <c r="D509" s="118"/>
      <c r="E509" s="118"/>
      <c r="F509" s="118"/>
    </row>
    <row r="510" spans="2:6" x14ac:dyDescent="0.2">
      <c r="B510" s="116" t="s">
        <v>1027</v>
      </c>
      <c r="C510" s="117" t="s">
        <v>1028</v>
      </c>
      <c r="D510" s="118">
        <v>10.199999999999999</v>
      </c>
      <c r="E510" s="118">
        <v>7.44</v>
      </c>
      <c r="F510" s="118">
        <v>13.47</v>
      </c>
    </row>
    <row r="511" spans="2:6" x14ac:dyDescent="0.2">
      <c r="B511" s="116" t="s">
        <v>1029</v>
      </c>
      <c r="C511" s="117" t="s">
        <v>1030</v>
      </c>
      <c r="D511" s="118"/>
      <c r="E511" s="118"/>
      <c r="F511" s="118"/>
    </row>
    <row r="512" spans="2:6" x14ac:dyDescent="0.2">
      <c r="B512" s="116" t="s">
        <v>1031</v>
      </c>
      <c r="C512" s="117" t="s">
        <v>1032</v>
      </c>
      <c r="D512" s="118">
        <v>0.93</v>
      </c>
      <c r="E512" s="118">
        <v>2.85</v>
      </c>
      <c r="F512" s="118">
        <v>-12.38</v>
      </c>
    </row>
    <row r="513" spans="2:6" x14ac:dyDescent="0.2">
      <c r="B513" s="116" t="s">
        <v>1033</v>
      </c>
      <c r="C513" s="117" t="s">
        <v>1034</v>
      </c>
      <c r="D513" s="118">
        <v>0.73</v>
      </c>
      <c r="E513" s="118">
        <v>0.88</v>
      </c>
      <c r="F513" s="118">
        <v>8.32</v>
      </c>
    </row>
    <row r="514" spans="2:6" x14ac:dyDescent="0.2">
      <c r="B514" s="116" t="s">
        <v>1035</v>
      </c>
      <c r="C514" s="117" t="s">
        <v>1036</v>
      </c>
      <c r="D514" s="118">
        <v>4.4400000000000004</v>
      </c>
      <c r="E514" s="118">
        <v>2.42</v>
      </c>
      <c r="F514" s="118">
        <v>11.74</v>
      </c>
    </row>
    <row r="515" spans="2:6" x14ac:dyDescent="0.2">
      <c r="B515" s="116" t="s">
        <v>1037</v>
      </c>
      <c r="C515" s="117" t="s">
        <v>1038</v>
      </c>
      <c r="D515" s="118">
        <v>0.83</v>
      </c>
      <c r="E515" s="118">
        <v>2.73</v>
      </c>
      <c r="F515" s="118">
        <v>31.68</v>
      </c>
    </row>
    <row r="516" spans="2:6" x14ac:dyDescent="0.2">
      <c r="B516" s="116" t="s">
        <v>1039</v>
      </c>
      <c r="C516" s="117" t="s">
        <v>1040</v>
      </c>
      <c r="D516" s="118"/>
      <c r="E516" s="118">
        <v>2.94</v>
      </c>
      <c r="F516" s="118"/>
    </row>
    <row r="517" spans="2:6" x14ac:dyDescent="0.2">
      <c r="B517" s="116" t="s">
        <v>1041</v>
      </c>
      <c r="C517" s="117" t="s">
        <v>1042</v>
      </c>
      <c r="D517" s="118">
        <v>0.98</v>
      </c>
      <c r="E517" s="118">
        <v>1.36</v>
      </c>
      <c r="F517" s="118">
        <v>3.35</v>
      </c>
    </row>
    <row r="518" spans="2:6" x14ac:dyDescent="0.2">
      <c r="B518" s="116" t="s">
        <v>1043</v>
      </c>
      <c r="C518" s="117" t="s">
        <v>1044</v>
      </c>
      <c r="D518" s="118">
        <v>8.66</v>
      </c>
      <c r="E518" s="118">
        <v>6.83</v>
      </c>
      <c r="F518" s="118">
        <v>16.62</v>
      </c>
    </row>
    <row r="519" spans="2:6" x14ac:dyDescent="0.2">
      <c r="B519" s="116" t="s">
        <v>1045</v>
      </c>
      <c r="C519" s="117" t="s">
        <v>1046</v>
      </c>
      <c r="D519" s="118">
        <v>0.4</v>
      </c>
      <c r="E519" s="118">
        <v>0.23</v>
      </c>
      <c r="F519" s="118">
        <v>-4.63</v>
      </c>
    </row>
    <row r="520" spans="2:6" x14ac:dyDescent="0.2">
      <c r="B520" s="116" t="s">
        <v>3743</v>
      </c>
      <c r="C520" s="117" t="s">
        <v>3744</v>
      </c>
      <c r="D520" s="118">
        <v>7.84</v>
      </c>
      <c r="E520" s="118">
        <v>4.7</v>
      </c>
      <c r="F520" s="118">
        <v>20.38</v>
      </c>
    </row>
    <row r="521" spans="2:6" x14ac:dyDescent="0.2">
      <c r="B521" s="116" t="s">
        <v>1047</v>
      </c>
      <c r="C521" s="117" t="s">
        <v>1048</v>
      </c>
      <c r="D521" s="118">
        <v>3.37</v>
      </c>
      <c r="E521" s="118">
        <v>1.22</v>
      </c>
      <c r="F521" s="118">
        <v>11.57</v>
      </c>
    </row>
    <row r="522" spans="2:6" x14ac:dyDescent="0.2">
      <c r="B522" s="116" t="s">
        <v>1049</v>
      </c>
      <c r="C522" s="117" t="s">
        <v>1050</v>
      </c>
      <c r="D522" s="118">
        <v>5.71</v>
      </c>
      <c r="E522" s="118">
        <v>11.91</v>
      </c>
      <c r="F522" s="118">
        <v>-6.57</v>
      </c>
    </row>
    <row r="523" spans="2:6" x14ac:dyDescent="0.2">
      <c r="B523" s="116" t="s">
        <v>1051</v>
      </c>
      <c r="C523" s="117" t="s">
        <v>1052</v>
      </c>
      <c r="D523" s="118"/>
      <c r="E523" s="118"/>
      <c r="F523" s="118"/>
    </row>
    <row r="524" spans="2:6" x14ac:dyDescent="0.2">
      <c r="B524" s="116" t="s">
        <v>1054</v>
      </c>
      <c r="C524" s="117" t="s">
        <v>1055</v>
      </c>
      <c r="D524" s="118">
        <v>2.3199999999999998</v>
      </c>
      <c r="E524" s="118">
        <v>7.41</v>
      </c>
      <c r="F524" s="118">
        <v>32.29</v>
      </c>
    </row>
    <row r="525" spans="2:6" x14ac:dyDescent="0.2">
      <c r="B525" s="116" t="s">
        <v>3745</v>
      </c>
      <c r="C525" s="117" t="s">
        <v>3746</v>
      </c>
      <c r="D525" s="118">
        <v>1.98</v>
      </c>
      <c r="E525" s="118">
        <v>1.98</v>
      </c>
      <c r="F525" s="118">
        <v>11.59</v>
      </c>
    </row>
    <row r="526" spans="2:6" x14ac:dyDescent="0.2">
      <c r="B526" s="116" t="s">
        <v>1057</v>
      </c>
      <c r="C526" s="117" t="s">
        <v>1058</v>
      </c>
      <c r="D526" s="118">
        <v>0.42</v>
      </c>
      <c r="E526" s="118">
        <v>0.61</v>
      </c>
      <c r="F526" s="118">
        <v>7.72</v>
      </c>
    </row>
    <row r="527" spans="2:6" x14ac:dyDescent="0.2">
      <c r="B527" s="116" t="s">
        <v>1059</v>
      </c>
      <c r="C527" s="117" t="s">
        <v>1060</v>
      </c>
      <c r="D527" s="118">
        <v>0.82</v>
      </c>
      <c r="E527" s="118">
        <v>1.26</v>
      </c>
      <c r="F527" s="118">
        <v>7.63</v>
      </c>
    </row>
    <row r="528" spans="2:6" x14ac:dyDescent="0.2">
      <c r="B528" s="116" t="s">
        <v>1061</v>
      </c>
      <c r="C528" s="117" t="s">
        <v>1062</v>
      </c>
      <c r="D528" s="118">
        <v>0.28999999999999998</v>
      </c>
      <c r="E528" s="118">
        <v>0.8</v>
      </c>
      <c r="F528" s="118">
        <v>11.25</v>
      </c>
    </row>
    <row r="529" spans="2:6" x14ac:dyDescent="0.2">
      <c r="B529" s="116" t="s">
        <v>1063</v>
      </c>
      <c r="C529" s="117" t="s">
        <v>1064</v>
      </c>
      <c r="D529" s="118">
        <v>1.33</v>
      </c>
      <c r="E529" s="118">
        <v>4.21</v>
      </c>
      <c r="F529" s="118">
        <v>27.75</v>
      </c>
    </row>
    <row r="530" spans="2:6" x14ac:dyDescent="0.2">
      <c r="B530" s="116" t="s">
        <v>1065</v>
      </c>
      <c r="C530" s="117" t="s">
        <v>1066</v>
      </c>
      <c r="D530" s="118">
        <v>1.92</v>
      </c>
      <c r="E530" s="118">
        <v>3.97</v>
      </c>
      <c r="F530" s="118">
        <v>27.74</v>
      </c>
    </row>
    <row r="531" spans="2:6" x14ac:dyDescent="0.2">
      <c r="B531" s="116" t="s">
        <v>1067</v>
      </c>
      <c r="C531" s="117" t="s">
        <v>1068</v>
      </c>
      <c r="D531" s="118">
        <v>8.44</v>
      </c>
      <c r="E531" s="118">
        <v>1.78</v>
      </c>
      <c r="F531" s="118">
        <v>3.05</v>
      </c>
    </row>
    <row r="532" spans="2:6" x14ac:dyDescent="0.2">
      <c r="B532" s="116" t="s">
        <v>1069</v>
      </c>
      <c r="C532" s="117" t="s">
        <v>1070</v>
      </c>
      <c r="D532" s="118">
        <v>0.41</v>
      </c>
      <c r="E532" s="118">
        <v>12.04</v>
      </c>
      <c r="F532" s="118">
        <v>136.69</v>
      </c>
    </row>
    <row r="533" spans="2:6" x14ac:dyDescent="0.2">
      <c r="B533" s="116" t="s">
        <v>1071</v>
      </c>
      <c r="C533" s="117" t="s">
        <v>1072</v>
      </c>
      <c r="D533" s="118"/>
      <c r="E533" s="118">
        <v>7.99</v>
      </c>
      <c r="F533" s="118"/>
    </row>
    <row r="534" spans="2:6" x14ac:dyDescent="0.2">
      <c r="B534" s="116" t="s">
        <v>3747</v>
      </c>
      <c r="C534" s="117" t="s">
        <v>3748</v>
      </c>
      <c r="D534" s="118"/>
      <c r="E534" s="118">
        <v>5.96</v>
      </c>
      <c r="F534" s="118"/>
    </row>
    <row r="535" spans="2:6" x14ac:dyDescent="0.2">
      <c r="B535" s="116" t="s">
        <v>1073</v>
      </c>
      <c r="C535" s="117" t="s">
        <v>1074</v>
      </c>
      <c r="D535" s="118">
        <v>1.94</v>
      </c>
      <c r="E535" s="118">
        <v>2.41</v>
      </c>
      <c r="F535" s="118">
        <v>26.76</v>
      </c>
    </row>
    <row r="536" spans="2:6" x14ac:dyDescent="0.2">
      <c r="B536" s="116" t="s">
        <v>1075</v>
      </c>
      <c r="C536" s="117" t="s">
        <v>1076</v>
      </c>
      <c r="D536" s="118">
        <v>1.51</v>
      </c>
      <c r="E536" s="118">
        <v>5.95</v>
      </c>
      <c r="F536" s="118">
        <v>25.34</v>
      </c>
    </row>
    <row r="537" spans="2:6" x14ac:dyDescent="0.2">
      <c r="B537" s="116" t="s">
        <v>1077</v>
      </c>
      <c r="C537" s="117" t="s">
        <v>1078</v>
      </c>
      <c r="D537" s="118">
        <v>1.91</v>
      </c>
      <c r="E537" s="118">
        <v>2.63</v>
      </c>
      <c r="F537" s="118">
        <v>15.05</v>
      </c>
    </row>
    <row r="538" spans="2:6" x14ac:dyDescent="0.2">
      <c r="B538" s="116" t="s">
        <v>1079</v>
      </c>
      <c r="C538" s="117" t="s">
        <v>1080</v>
      </c>
      <c r="D538" s="118">
        <v>1.1200000000000001</v>
      </c>
      <c r="E538" s="118">
        <v>1.94</v>
      </c>
      <c r="F538" s="118">
        <v>16.71</v>
      </c>
    </row>
    <row r="539" spans="2:6" x14ac:dyDescent="0.2">
      <c r="B539" s="116" t="s">
        <v>1082</v>
      </c>
      <c r="C539" s="117" t="s">
        <v>1083</v>
      </c>
      <c r="D539" s="118">
        <v>5.19</v>
      </c>
      <c r="E539" s="118">
        <v>3.43</v>
      </c>
      <c r="F539" s="118">
        <v>11.53</v>
      </c>
    </row>
    <row r="540" spans="2:6" x14ac:dyDescent="0.2">
      <c r="B540" s="116" t="s">
        <v>3749</v>
      </c>
      <c r="C540" s="117" t="s">
        <v>3750</v>
      </c>
      <c r="D540" s="118"/>
      <c r="E540" s="118"/>
      <c r="F540" s="118"/>
    </row>
    <row r="541" spans="2:6" x14ac:dyDescent="0.2">
      <c r="B541" s="116" t="s">
        <v>3751</v>
      </c>
      <c r="C541" s="117" t="s">
        <v>3752</v>
      </c>
      <c r="D541" s="118"/>
      <c r="E541" s="118"/>
      <c r="F541" s="118"/>
    </row>
    <row r="542" spans="2:6" x14ac:dyDescent="0.2">
      <c r="B542" s="116" t="s">
        <v>3753</v>
      </c>
      <c r="C542" s="117" t="s">
        <v>3754</v>
      </c>
      <c r="D542" s="118">
        <v>0.27</v>
      </c>
      <c r="E542" s="118">
        <v>0.38</v>
      </c>
      <c r="F542" s="118">
        <v>1.47</v>
      </c>
    </row>
    <row r="543" spans="2:6" x14ac:dyDescent="0.2">
      <c r="B543" s="116" t="s">
        <v>1084</v>
      </c>
      <c r="C543" s="117" t="s">
        <v>1085</v>
      </c>
      <c r="D543" s="118">
        <v>3.68</v>
      </c>
      <c r="E543" s="118">
        <v>2.4700000000000002</v>
      </c>
      <c r="F543" s="118">
        <v>13.08</v>
      </c>
    </row>
    <row r="544" spans="2:6" x14ac:dyDescent="0.2">
      <c r="B544" s="116" t="s">
        <v>1087</v>
      </c>
      <c r="C544" s="117" t="s">
        <v>1088</v>
      </c>
      <c r="D544" s="118">
        <v>1.28</v>
      </c>
      <c r="E544" s="118">
        <v>1.26</v>
      </c>
      <c r="F544" s="118">
        <v>21.53</v>
      </c>
    </row>
    <row r="545" spans="2:6" x14ac:dyDescent="0.2">
      <c r="B545" s="116" t="s">
        <v>3755</v>
      </c>
      <c r="C545" s="117" t="s">
        <v>3756</v>
      </c>
      <c r="D545" s="118">
        <v>1.76</v>
      </c>
      <c r="E545" s="118">
        <v>1.73</v>
      </c>
      <c r="F545" s="118">
        <v>21.53</v>
      </c>
    </row>
    <row r="546" spans="2:6" x14ac:dyDescent="0.2">
      <c r="B546" s="116" t="s">
        <v>3755</v>
      </c>
      <c r="C546" s="117" t="s">
        <v>3757</v>
      </c>
      <c r="D546" s="118">
        <v>1.19</v>
      </c>
      <c r="E546" s="118">
        <v>1.17</v>
      </c>
      <c r="F546" s="118">
        <v>21.53</v>
      </c>
    </row>
    <row r="547" spans="2:6" x14ac:dyDescent="0.2">
      <c r="B547" s="116" t="s">
        <v>1089</v>
      </c>
      <c r="C547" s="117" t="s">
        <v>1090</v>
      </c>
      <c r="D547" s="118">
        <v>1.24</v>
      </c>
      <c r="E547" s="118">
        <v>1.74</v>
      </c>
      <c r="F547" s="118">
        <v>16.239999999999998</v>
      </c>
    </row>
    <row r="548" spans="2:6" x14ac:dyDescent="0.2">
      <c r="B548" s="116" t="s">
        <v>1091</v>
      </c>
      <c r="C548" s="117" t="s">
        <v>1092</v>
      </c>
      <c r="D548" s="118"/>
      <c r="E548" s="118"/>
      <c r="F548" s="118"/>
    </row>
    <row r="549" spans="2:6" x14ac:dyDescent="0.2">
      <c r="B549" s="116" t="s">
        <v>1094</v>
      </c>
      <c r="C549" s="117" t="s">
        <v>1095</v>
      </c>
      <c r="D549" s="118"/>
      <c r="E549" s="118">
        <v>2.98</v>
      </c>
      <c r="F549" s="118"/>
    </row>
    <row r="550" spans="2:6" x14ac:dyDescent="0.2">
      <c r="B550" s="116" t="s">
        <v>1097</v>
      </c>
      <c r="C550" s="117" t="s">
        <v>1098</v>
      </c>
      <c r="D550" s="118">
        <v>0.4</v>
      </c>
      <c r="E550" s="118">
        <v>1.94</v>
      </c>
      <c r="F550" s="118">
        <v>16.96</v>
      </c>
    </row>
    <row r="551" spans="2:6" x14ac:dyDescent="0.2">
      <c r="B551" s="116" t="s">
        <v>3758</v>
      </c>
      <c r="C551" s="117" t="s">
        <v>3759</v>
      </c>
      <c r="D551" s="118">
        <v>0.18</v>
      </c>
      <c r="E551" s="118">
        <v>0.67</v>
      </c>
      <c r="F551" s="118">
        <v>13.93</v>
      </c>
    </row>
    <row r="552" spans="2:6" x14ac:dyDescent="0.2">
      <c r="B552" s="116" t="s">
        <v>1100</v>
      </c>
      <c r="C552" s="117" t="s">
        <v>1101</v>
      </c>
      <c r="D552" s="118">
        <v>5.16</v>
      </c>
      <c r="E552" s="118">
        <v>2.69</v>
      </c>
      <c r="F552" s="118">
        <v>9</v>
      </c>
    </row>
    <row r="553" spans="2:6" x14ac:dyDescent="0.2">
      <c r="B553" s="116" t="s">
        <v>3760</v>
      </c>
      <c r="C553" s="117" t="s">
        <v>3761</v>
      </c>
      <c r="D553" s="118">
        <v>2.65</v>
      </c>
      <c r="E553" s="118">
        <v>2.79</v>
      </c>
      <c r="F553" s="118">
        <v>16.329999999999998</v>
      </c>
    </row>
    <row r="554" spans="2:6" x14ac:dyDescent="0.2">
      <c r="B554" s="116" t="s">
        <v>1103</v>
      </c>
      <c r="C554" s="117" t="s">
        <v>1104</v>
      </c>
      <c r="D554" s="118">
        <v>8.24</v>
      </c>
      <c r="E554" s="118">
        <v>2.78</v>
      </c>
      <c r="F554" s="118">
        <v>3.01</v>
      </c>
    </row>
    <row r="555" spans="2:6" x14ac:dyDescent="0.2">
      <c r="B555" s="116" t="s">
        <v>1105</v>
      </c>
      <c r="C555" s="117" t="s">
        <v>1106</v>
      </c>
      <c r="D555" s="118">
        <v>1.1299999999999999</v>
      </c>
      <c r="E555" s="118">
        <v>4.4800000000000004</v>
      </c>
      <c r="F555" s="118">
        <v>19.760000000000002</v>
      </c>
    </row>
    <row r="556" spans="2:6" x14ac:dyDescent="0.2">
      <c r="B556" s="116" t="s">
        <v>1107</v>
      </c>
      <c r="C556" s="117" t="s">
        <v>1108</v>
      </c>
      <c r="D556" s="118"/>
      <c r="E556" s="118"/>
      <c r="F556" s="118"/>
    </row>
    <row r="557" spans="2:6" x14ac:dyDescent="0.2">
      <c r="B557" s="116" t="s">
        <v>3762</v>
      </c>
      <c r="C557" s="117" t="s">
        <v>3763</v>
      </c>
      <c r="D557" s="118">
        <v>3.3</v>
      </c>
      <c r="E557" s="118">
        <v>1.08</v>
      </c>
      <c r="F557" s="118">
        <v>11.23</v>
      </c>
    </row>
    <row r="558" spans="2:6" x14ac:dyDescent="0.2">
      <c r="B558" s="116" t="s">
        <v>3764</v>
      </c>
      <c r="C558" s="117" t="s">
        <v>3765</v>
      </c>
      <c r="D558" s="118">
        <v>1.82</v>
      </c>
      <c r="E558" s="118">
        <v>0.5</v>
      </c>
      <c r="F558" s="118">
        <v>7.43</v>
      </c>
    </row>
    <row r="559" spans="2:6" x14ac:dyDescent="0.2">
      <c r="B559" s="116" t="s">
        <v>1109</v>
      </c>
      <c r="C559" s="117" t="s">
        <v>1110</v>
      </c>
      <c r="D559" s="118">
        <v>4.96</v>
      </c>
      <c r="E559" s="118"/>
      <c r="F559" s="118">
        <v>-36.53</v>
      </c>
    </row>
    <row r="560" spans="2:6" x14ac:dyDescent="0.2">
      <c r="B560" s="116" t="s">
        <v>3766</v>
      </c>
      <c r="C560" s="117" t="s">
        <v>3767</v>
      </c>
      <c r="D560" s="118"/>
      <c r="E560" s="118"/>
      <c r="F560" s="118"/>
    </row>
    <row r="561" spans="2:6" x14ac:dyDescent="0.2">
      <c r="B561" s="116" t="s">
        <v>3768</v>
      </c>
      <c r="C561" s="117" t="s">
        <v>3769</v>
      </c>
      <c r="D561" s="118">
        <v>0.62</v>
      </c>
      <c r="E561" s="118">
        <v>0.83</v>
      </c>
      <c r="F561" s="118">
        <v>3.69</v>
      </c>
    </row>
    <row r="562" spans="2:6" x14ac:dyDescent="0.2">
      <c r="B562" s="116" t="s">
        <v>1111</v>
      </c>
      <c r="C562" s="117" t="s">
        <v>1112</v>
      </c>
      <c r="D562" s="118">
        <v>0.7</v>
      </c>
      <c r="E562" s="118">
        <v>1.04</v>
      </c>
      <c r="F562" s="118">
        <v>6.94</v>
      </c>
    </row>
    <row r="563" spans="2:6" x14ac:dyDescent="0.2">
      <c r="B563" s="116" t="s">
        <v>1113</v>
      </c>
      <c r="C563" s="117" t="s">
        <v>1114</v>
      </c>
      <c r="D563" s="118">
        <v>7.88</v>
      </c>
      <c r="E563" s="118">
        <v>1.33</v>
      </c>
      <c r="F563" s="118">
        <v>2.11</v>
      </c>
    </row>
    <row r="564" spans="2:6" x14ac:dyDescent="0.2">
      <c r="B564" s="116" t="s">
        <v>1115</v>
      </c>
      <c r="C564" s="117" t="s">
        <v>1116</v>
      </c>
      <c r="D564" s="118">
        <v>13.78</v>
      </c>
      <c r="E564" s="118">
        <v>20.13</v>
      </c>
      <c r="F564" s="118">
        <v>-26.7</v>
      </c>
    </row>
    <row r="565" spans="2:6" x14ac:dyDescent="0.2">
      <c r="B565" s="116" t="s">
        <v>1117</v>
      </c>
      <c r="C565" s="117" t="s">
        <v>1118</v>
      </c>
      <c r="D565" s="118">
        <v>0.82</v>
      </c>
      <c r="E565" s="118"/>
      <c r="F565" s="118">
        <v>-73.27</v>
      </c>
    </row>
    <row r="566" spans="2:6" x14ac:dyDescent="0.2">
      <c r="B566" s="116" t="s">
        <v>1119</v>
      </c>
      <c r="C566" s="117" t="s">
        <v>1120</v>
      </c>
      <c r="D566" s="118">
        <v>2.0299999999999998</v>
      </c>
      <c r="E566" s="118">
        <v>4.87</v>
      </c>
      <c r="F566" s="118">
        <v>29.22</v>
      </c>
    </row>
    <row r="567" spans="2:6" x14ac:dyDescent="0.2">
      <c r="B567" s="116" t="s">
        <v>3770</v>
      </c>
      <c r="C567" s="117" t="s">
        <v>3771</v>
      </c>
      <c r="D567" s="118"/>
      <c r="E567" s="118">
        <v>1.94</v>
      </c>
      <c r="F567" s="118"/>
    </row>
    <row r="568" spans="2:6" x14ac:dyDescent="0.2">
      <c r="B568" s="116" t="s">
        <v>1121</v>
      </c>
      <c r="C568" s="117" t="s">
        <v>1122</v>
      </c>
      <c r="D568" s="118">
        <v>2.2599999999999998</v>
      </c>
      <c r="E568" s="118">
        <v>2.6</v>
      </c>
      <c r="F568" s="118">
        <v>15.7</v>
      </c>
    </row>
    <row r="569" spans="2:6" x14ac:dyDescent="0.2">
      <c r="B569" s="116" t="s">
        <v>3772</v>
      </c>
      <c r="C569" s="117" t="s">
        <v>3773</v>
      </c>
      <c r="D569" s="118"/>
      <c r="E569" s="118"/>
      <c r="F569" s="118"/>
    </row>
    <row r="570" spans="2:6" x14ac:dyDescent="0.2">
      <c r="B570" s="116" t="s">
        <v>1123</v>
      </c>
      <c r="C570" s="117" t="s">
        <v>1124</v>
      </c>
      <c r="D570" s="118">
        <v>0.56999999999999995</v>
      </c>
      <c r="E570" s="118">
        <v>2.91</v>
      </c>
      <c r="F570" s="118">
        <v>15.92</v>
      </c>
    </row>
    <row r="571" spans="2:6" x14ac:dyDescent="0.2">
      <c r="B571" s="116" t="s">
        <v>1125</v>
      </c>
      <c r="C571" s="117" t="s">
        <v>1126</v>
      </c>
      <c r="D571" s="118">
        <v>2.9</v>
      </c>
      <c r="E571" s="118"/>
      <c r="F571" s="118">
        <v>-12.81</v>
      </c>
    </row>
    <row r="572" spans="2:6" x14ac:dyDescent="0.2">
      <c r="B572" s="116" t="s">
        <v>1127</v>
      </c>
      <c r="C572" s="117" t="s">
        <v>1128</v>
      </c>
      <c r="D572" s="118">
        <v>11.93</v>
      </c>
      <c r="E572" s="118">
        <v>2.5499999999999998</v>
      </c>
      <c r="F572" s="118">
        <v>4.82</v>
      </c>
    </row>
    <row r="573" spans="2:6" x14ac:dyDescent="0.2">
      <c r="B573" s="116" t="s">
        <v>1129</v>
      </c>
      <c r="C573" s="117" t="s">
        <v>1130</v>
      </c>
      <c r="D573" s="118">
        <v>1.72</v>
      </c>
      <c r="E573" s="118">
        <v>6.19</v>
      </c>
      <c r="F573" s="118">
        <v>31.37</v>
      </c>
    </row>
    <row r="574" spans="2:6" x14ac:dyDescent="0.2">
      <c r="B574" s="116" t="s">
        <v>1131</v>
      </c>
      <c r="C574" s="117" t="s">
        <v>1132</v>
      </c>
      <c r="D574" s="118">
        <v>5.49</v>
      </c>
      <c r="E574" s="118">
        <v>3.69</v>
      </c>
      <c r="F574" s="118">
        <v>13.9</v>
      </c>
    </row>
    <row r="575" spans="2:6" x14ac:dyDescent="0.2">
      <c r="B575" s="116" t="s">
        <v>1134</v>
      </c>
      <c r="C575" s="117" t="s">
        <v>1135</v>
      </c>
      <c r="D575" s="118">
        <v>1.43</v>
      </c>
      <c r="E575" s="118">
        <v>7.82</v>
      </c>
      <c r="F575" s="118">
        <v>27.93</v>
      </c>
    </row>
    <row r="576" spans="2:6" x14ac:dyDescent="0.2">
      <c r="B576" s="116" t="s">
        <v>3774</v>
      </c>
      <c r="C576" s="117" t="s">
        <v>3775</v>
      </c>
      <c r="D576" s="118">
        <v>1.23</v>
      </c>
      <c r="E576" s="118">
        <v>0.71</v>
      </c>
      <c r="F576" s="118">
        <v>3.85</v>
      </c>
    </row>
    <row r="577" spans="2:6" x14ac:dyDescent="0.2">
      <c r="B577" s="116" t="s">
        <v>1136</v>
      </c>
      <c r="C577" s="117" t="s">
        <v>1137</v>
      </c>
      <c r="D577" s="118">
        <v>11.18</v>
      </c>
      <c r="E577" s="118">
        <v>4.21</v>
      </c>
      <c r="F577" s="118">
        <v>5.28</v>
      </c>
    </row>
    <row r="578" spans="2:6" x14ac:dyDescent="0.2">
      <c r="B578" s="116" t="s">
        <v>3776</v>
      </c>
      <c r="C578" s="117" t="s">
        <v>3777</v>
      </c>
      <c r="D578" s="118"/>
      <c r="E578" s="118"/>
      <c r="F578" s="118"/>
    </row>
    <row r="579" spans="2:6" x14ac:dyDescent="0.2">
      <c r="B579" s="116" t="s">
        <v>3778</v>
      </c>
      <c r="C579" s="117" t="s">
        <v>3779</v>
      </c>
      <c r="D579" s="118"/>
      <c r="E579" s="118"/>
      <c r="F579" s="118"/>
    </row>
    <row r="580" spans="2:6" x14ac:dyDescent="0.2">
      <c r="B580" s="116" t="s">
        <v>1138</v>
      </c>
      <c r="C580" s="117" t="s">
        <v>1139</v>
      </c>
      <c r="D580" s="118">
        <v>1.77</v>
      </c>
      <c r="E580" s="118">
        <v>2.29</v>
      </c>
      <c r="F580" s="118">
        <v>10.33</v>
      </c>
    </row>
    <row r="581" spans="2:6" x14ac:dyDescent="0.2">
      <c r="B581" s="116" t="s">
        <v>1140</v>
      </c>
      <c r="C581" s="117" t="s">
        <v>1141</v>
      </c>
      <c r="D581" s="118">
        <v>0.9</v>
      </c>
      <c r="E581" s="118">
        <v>1.67</v>
      </c>
      <c r="F581" s="118">
        <v>10.65</v>
      </c>
    </row>
    <row r="582" spans="2:6" x14ac:dyDescent="0.2">
      <c r="B582" s="116" t="s">
        <v>3780</v>
      </c>
      <c r="C582" s="117" t="s">
        <v>3781</v>
      </c>
      <c r="D582" s="118">
        <v>0.52</v>
      </c>
      <c r="E582" s="118">
        <v>1.32</v>
      </c>
      <c r="F582" s="118">
        <v>11.81</v>
      </c>
    </row>
    <row r="583" spans="2:6" x14ac:dyDescent="0.2">
      <c r="B583" s="116" t="s">
        <v>1142</v>
      </c>
      <c r="C583" s="117" t="s">
        <v>1143</v>
      </c>
      <c r="D583" s="118">
        <v>2.8</v>
      </c>
      <c r="E583" s="118">
        <v>1.56</v>
      </c>
      <c r="F583" s="118">
        <v>8.02</v>
      </c>
    </row>
    <row r="584" spans="2:6" x14ac:dyDescent="0.2">
      <c r="B584" s="116" t="s">
        <v>1144</v>
      </c>
      <c r="C584" s="117" t="s">
        <v>1145</v>
      </c>
      <c r="D584" s="118">
        <v>0.86</v>
      </c>
      <c r="E584" s="118">
        <v>2.35</v>
      </c>
      <c r="F584" s="118">
        <v>14.67</v>
      </c>
    </row>
    <row r="585" spans="2:6" x14ac:dyDescent="0.2">
      <c r="B585" s="116" t="s">
        <v>1146</v>
      </c>
      <c r="C585" s="117" t="s">
        <v>1147</v>
      </c>
      <c r="D585" s="118"/>
      <c r="E585" s="118">
        <v>4.04</v>
      </c>
      <c r="F585" s="118"/>
    </row>
    <row r="586" spans="2:6" x14ac:dyDescent="0.2">
      <c r="B586" s="116" t="s">
        <v>1148</v>
      </c>
      <c r="C586" s="117" t="s">
        <v>1149</v>
      </c>
      <c r="D586" s="118">
        <v>1.0900000000000001</v>
      </c>
      <c r="E586" s="118">
        <v>1.51</v>
      </c>
      <c r="F586" s="118">
        <v>8.42</v>
      </c>
    </row>
    <row r="587" spans="2:6" x14ac:dyDescent="0.2">
      <c r="B587" s="116" t="s">
        <v>3782</v>
      </c>
      <c r="C587" s="117" t="s">
        <v>3783</v>
      </c>
      <c r="D587" s="118"/>
      <c r="E587" s="118"/>
      <c r="F587" s="118"/>
    </row>
    <row r="588" spans="2:6" x14ac:dyDescent="0.2">
      <c r="B588" s="116" t="s">
        <v>3784</v>
      </c>
      <c r="C588" s="117" t="s">
        <v>3785</v>
      </c>
      <c r="D588" s="118"/>
      <c r="E588" s="118"/>
      <c r="F588" s="118"/>
    </row>
    <row r="589" spans="2:6" x14ac:dyDescent="0.2">
      <c r="B589" s="116" t="s">
        <v>1150</v>
      </c>
      <c r="C589" s="117" t="s">
        <v>1151</v>
      </c>
      <c r="D589" s="118"/>
      <c r="E589" s="118"/>
      <c r="F589" s="118"/>
    </row>
    <row r="590" spans="2:6" x14ac:dyDescent="0.2">
      <c r="B590" s="116" t="s">
        <v>1152</v>
      </c>
      <c r="C590" s="117" t="s">
        <v>1153</v>
      </c>
      <c r="D590" s="118">
        <v>0.41</v>
      </c>
      <c r="E590" s="118">
        <v>0.76</v>
      </c>
      <c r="F590" s="118">
        <v>19.57</v>
      </c>
    </row>
    <row r="591" spans="2:6" x14ac:dyDescent="0.2">
      <c r="B591" s="116" t="s">
        <v>1154</v>
      </c>
      <c r="C591" s="117" t="s">
        <v>1155</v>
      </c>
      <c r="D591" s="118">
        <v>11.53</v>
      </c>
      <c r="E591" s="118">
        <v>20.45</v>
      </c>
      <c r="F591" s="118">
        <v>10.41</v>
      </c>
    </row>
    <row r="592" spans="2:6" x14ac:dyDescent="0.2">
      <c r="B592" s="116" t="s">
        <v>1156</v>
      </c>
      <c r="C592" s="117" t="s">
        <v>1157</v>
      </c>
      <c r="D592" s="118">
        <v>0.65</v>
      </c>
      <c r="E592" s="118">
        <v>1.01</v>
      </c>
      <c r="F592" s="118">
        <v>8.51</v>
      </c>
    </row>
    <row r="593" spans="2:6" x14ac:dyDescent="0.2">
      <c r="B593" s="116" t="s">
        <v>1158</v>
      </c>
      <c r="C593" s="117" t="s">
        <v>1159</v>
      </c>
      <c r="D593" s="118">
        <v>5.79</v>
      </c>
      <c r="E593" s="118">
        <v>4.51</v>
      </c>
      <c r="F593" s="118">
        <v>19.63</v>
      </c>
    </row>
    <row r="594" spans="2:6" x14ac:dyDescent="0.2">
      <c r="B594" s="116" t="s">
        <v>3786</v>
      </c>
      <c r="C594" s="117" t="s">
        <v>3787</v>
      </c>
      <c r="D594" s="118">
        <v>1.29</v>
      </c>
      <c r="E594" s="118">
        <v>12.25</v>
      </c>
      <c r="F594" s="118">
        <v>39.57</v>
      </c>
    </row>
    <row r="595" spans="2:6" x14ac:dyDescent="0.2">
      <c r="B595" s="116" t="s">
        <v>1160</v>
      </c>
      <c r="C595" s="117" t="s">
        <v>1161</v>
      </c>
      <c r="D595" s="118">
        <v>1.99</v>
      </c>
      <c r="E595" s="118"/>
      <c r="F595" s="118">
        <v>-88.91</v>
      </c>
    </row>
    <row r="596" spans="2:6" x14ac:dyDescent="0.2">
      <c r="B596" s="116" t="s">
        <v>1163</v>
      </c>
      <c r="C596" s="117" t="s">
        <v>1164</v>
      </c>
      <c r="D596" s="118">
        <v>3.12</v>
      </c>
      <c r="E596" s="118">
        <v>8.24</v>
      </c>
      <c r="F596" s="118">
        <v>36.67</v>
      </c>
    </row>
    <row r="597" spans="2:6" x14ac:dyDescent="0.2">
      <c r="B597" s="116" t="s">
        <v>1165</v>
      </c>
      <c r="C597" s="117" t="s">
        <v>1166</v>
      </c>
      <c r="D597" s="118">
        <v>1.69</v>
      </c>
      <c r="E597" s="118">
        <v>0.68</v>
      </c>
      <c r="F597" s="118">
        <v>8.5</v>
      </c>
    </row>
    <row r="598" spans="2:6" x14ac:dyDescent="0.2">
      <c r="B598" s="116" t="s">
        <v>3788</v>
      </c>
      <c r="C598" s="117" t="s">
        <v>3789</v>
      </c>
      <c r="D598" s="118">
        <v>1.41</v>
      </c>
      <c r="E598" s="118">
        <v>0.81</v>
      </c>
      <c r="F598" s="118">
        <v>23.85</v>
      </c>
    </row>
    <row r="599" spans="2:6" x14ac:dyDescent="0.2">
      <c r="B599" s="116" t="s">
        <v>3790</v>
      </c>
      <c r="C599" s="117" t="s">
        <v>3791</v>
      </c>
      <c r="D599" s="118">
        <v>1.3</v>
      </c>
      <c r="E599" s="118">
        <v>0.86</v>
      </c>
      <c r="F599" s="118">
        <v>23.87</v>
      </c>
    </row>
    <row r="600" spans="2:6" x14ac:dyDescent="0.2">
      <c r="B600" s="116" t="s">
        <v>1167</v>
      </c>
      <c r="C600" s="117" t="s">
        <v>1168</v>
      </c>
      <c r="D600" s="118">
        <v>1.6</v>
      </c>
      <c r="E600" s="118">
        <v>2.11</v>
      </c>
      <c r="F600" s="118">
        <v>10.57</v>
      </c>
    </row>
    <row r="601" spans="2:6" x14ac:dyDescent="0.2">
      <c r="B601" s="116" t="s">
        <v>1169</v>
      </c>
      <c r="C601" s="117" t="s">
        <v>1170</v>
      </c>
      <c r="D601" s="118">
        <v>0.95</v>
      </c>
      <c r="E601" s="118">
        <v>0.7</v>
      </c>
      <c r="F601" s="118">
        <v>10.76</v>
      </c>
    </row>
    <row r="602" spans="2:6" x14ac:dyDescent="0.2">
      <c r="B602" s="116" t="s">
        <v>1171</v>
      </c>
      <c r="C602" s="117" t="s">
        <v>1172</v>
      </c>
      <c r="D602" s="118"/>
      <c r="E602" s="118">
        <v>0.55000000000000004</v>
      </c>
      <c r="F602" s="118"/>
    </row>
    <row r="603" spans="2:6" x14ac:dyDescent="0.2">
      <c r="B603" s="116" t="s">
        <v>1173</v>
      </c>
      <c r="C603" s="117" t="s">
        <v>1174</v>
      </c>
      <c r="D603" s="118">
        <v>3.82</v>
      </c>
      <c r="E603" s="118">
        <v>6.82</v>
      </c>
      <c r="F603" s="118">
        <v>19.809999999999999</v>
      </c>
    </row>
    <row r="604" spans="2:6" x14ac:dyDescent="0.2">
      <c r="B604" s="116" t="s">
        <v>1175</v>
      </c>
      <c r="C604" s="117" t="s">
        <v>1176</v>
      </c>
      <c r="D604" s="118">
        <v>2.4500000000000002</v>
      </c>
      <c r="E604" s="118">
        <v>1.69</v>
      </c>
      <c r="F604" s="118">
        <v>8.0399999999999991</v>
      </c>
    </row>
    <row r="605" spans="2:6" x14ac:dyDescent="0.2">
      <c r="B605" s="116" t="s">
        <v>3792</v>
      </c>
      <c r="C605" s="117" t="s">
        <v>3793</v>
      </c>
      <c r="D605" s="118"/>
      <c r="E605" s="118"/>
      <c r="F605" s="118"/>
    </row>
    <row r="606" spans="2:6" x14ac:dyDescent="0.2">
      <c r="B606" s="116" t="s">
        <v>3794</v>
      </c>
      <c r="C606" s="117" t="s">
        <v>3795</v>
      </c>
      <c r="D606" s="118">
        <v>0.81</v>
      </c>
      <c r="E606" s="118">
        <v>0.94</v>
      </c>
      <c r="F606" s="118">
        <v>5.45</v>
      </c>
    </row>
    <row r="607" spans="2:6" x14ac:dyDescent="0.2">
      <c r="B607" s="116" t="s">
        <v>1177</v>
      </c>
      <c r="C607" s="117" t="s">
        <v>1178</v>
      </c>
      <c r="D607" s="118">
        <v>5.13</v>
      </c>
      <c r="E607" s="118">
        <v>6.29</v>
      </c>
      <c r="F607" s="118">
        <v>12.97</v>
      </c>
    </row>
    <row r="608" spans="2:6" x14ac:dyDescent="0.2">
      <c r="B608" s="116" t="s">
        <v>1179</v>
      </c>
      <c r="C608" s="117" t="s">
        <v>1180</v>
      </c>
      <c r="D608" s="118">
        <v>3.02</v>
      </c>
      <c r="E608" s="118">
        <v>5.42</v>
      </c>
      <c r="F608" s="118">
        <v>24.94</v>
      </c>
    </row>
    <row r="609" spans="2:6" x14ac:dyDescent="0.2">
      <c r="B609" s="116" t="s">
        <v>3796</v>
      </c>
      <c r="C609" s="117" t="s">
        <v>3797</v>
      </c>
      <c r="D609" s="118"/>
      <c r="E609" s="118"/>
      <c r="F609" s="118"/>
    </row>
    <row r="610" spans="2:6" x14ac:dyDescent="0.2">
      <c r="B610" s="116" t="s">
        <v>3798</v>
      </c>
      <c r="C610" s="117" t="s">
        <v>3799</v>
      </c>
      <c r="D610" s="118"/>
      <c r="E610" s="118"/>
      <c r="F610" s="118"/>
    </row>
    <row r="611" spans="2:6" x14ac:dyDescent="0.2">
      <c r="B611" s="116" t="s">
        <v>1181</v>
      </c>
      <c r="C611" s="117" t="s">
        <v>1182</v>
      </c>
      <c r="D611" s="118">
        <v>5.0199999999999996</v>
      </c>
      <c r="E611" s="118">
        <v>6.59</v>
      </c>
      <c r="F611" s="118">
        <v>22.63</v>
      </c>
    </row>
    <row r="612" spans="2:6" x14ac:dyDescent="0.2">
      <c r="B612" s="116" t="s">
        <v>3800</v>
      </c>
      <c r="C612" s="117" t="s">
        <v>3801</v>
      </c>
      <c r="D612" s="118">
        <v>3.69</v>
      </c>
      <c r="E612" s="118">
        <v>5</v>
      </c>
      <c r="F612" s="118">
        <v>35.26</v>
      </c>
    </row>
    <row r="613" spans="2:6" x14ac:dyDescent="0.2">
      <c r="B613" s="116" t="s">
        <v>1183</v>
      </c>
      <c r="C613" s="117" t="s">
        <v>1184</v>
      </c>
      <c r="D613" s="118">
        <v>15.19</v>
      </c>
      <c r="E613" s="118">
        <v>4.7300000000000004</v>
      </c>
      <c r="F613" s="118">
        <v>9.8000000000000007</v>
      </c>
    </row>
    <row r="614" spans="2:6" x14ac:dyDescent="0.2">
      <c r="B614" s="116" t="s">
        <v>1185</v>
      </c>
      <c r="C614" s="117" t="s">
        <v>1186</v>
      </c>
      <c r="D614" s="118">
        <v>1.43</v>
      </c>
      <c r="E614" s="118">
        <v>4</v>
      </c>
      <c r="F614" s="118">
        <v>24.1</v>
      </c>
    </row>
    <row r="615" spans="2:6" x14ac:dyDescent="0.2">
      <c r="B615" s="116" t="s">
        <v>1187</v>
      </c>
      <c r="C615" s="117" t="s">
        <v>1188</v>
      </c>
      <c r="D615" s="118">
        <v>1.99</v>
      </c>
      <c r="E615" s="118">
        <v>1.84</v>
      </c>
      <c r="F615" s="118">
        <v>12.15</v>
      </c>
    </row>
    <row r="616" spans="2:6" x14ac:dyDescent="0.2">
      <c r="B616" s="116" t="s">
        <v>1189</v>
      </c>
      <c r="C616" s="117" t="s">
        <v>1190</v>
      </c>
      <c r="D616" s="118"/>
      <c r="E616" s="118">
        <v>1.39</v>
      </c>
      <c r="F616" s="118"/>
    </row>
    <row r="617" spans="2:6" x14ac:dyDescent="0.2">
      <c r="B617" s="116" t="s">
        <v>1191</v>
      </c>
      <c r="C617" s="117" t="s">
        <v>1192</v>
      </c>
      <c r="D617" s="118">
        <v>3.4</v>
      </c>
      <c r="E617" s="118">
        <v>5.88</v>
      </c>
      <c r="F617" s="118">
        <v>16.23</v>
      </c>
    </row>
    <row r="618" spans="2:6" x14ac:dyDescent="0.2">
      <c r="B618" s="116" t="s">
        <v>1193</v>
      </c>
      <c r="C618" s="117" t="s">
        <v>1194</v>
      </c>
      <c r="D618" s="118">
        <v>4.66</v>
      </c>
      <c r="E618" s="118">
        <v>15.71</v>
      </c>
      <c r="F618" s="118">
        <v>44.43</v>
      </c>
    </row>
    <row r="619" spans="2:6" x14ac:dyDescent="0.2">
      <c r="B619" s="116" t="s">
        <v>1195</v>
      </c>
      <c r="C619" s="117" t="s">
        <v>1196</v>
      </c>
      <c r="D619" s="118">
        <v>3.28</v>
      </c>
      <c r="E619" s="118">
        <v>1.91</v>
      </c>
      <c r="F619" s="118">
        <v>7.83</v>
      </c>
    </row>
    <row r="620" spans="2:6" x14ac:dyDescent="0.2">
      <c r="B620" s="116" t="s">
        <v>3802</v>
      </c>
      <c r="C620" s="117" t="s">
        <v>3803</v>
      </c>
      <c r="D620" s="118">
        <v>0.84</v>
      </c>
      <c r="E620" s="118">
        <v>0.77</v>
      </c>
      <c r="F620" s="118">
        <v>9.34</v>
      </c>
    </row>
    <row r="621" spans="2:6" x14ac:dyDescent="0.2">
      <c r="B621" s="116" t="s">
        <v>3804</v>
      </c>
      <c r="C621" s="117" t="s">
        <v>3805</v>
      </c>
      <c r="D621" s="118">
        <v>0.83</v>
      </c>
      <c r="E621" s="118">
        <v>0.83</v>
      </c>
      <c r="F621" s="118"/>
    </row>
    <row r="622" spans="2:6" x14ac:dyDescent="0.2">
      <c r="B622" s="116" t="s">
        <v>1197</v>
      </c>
      <c r="C622" s="117" t="s">
        <v>1198</v>
      </c>
      <c r="D622" s="118">
        <v>12.12</v>
      </c>
      <c r="E622" s="118">
        <v>9.34</v>
      </c>
      <c r="F622" s="118">
        <v>22</v>
      </c>
    </row>
    <row r="623" spans="2:6" x14ac:dyDescent="0.2">
      <c r="B623" s="116" t="s">
        <v>1199</v>
      </c>
      <c r="C623" s="117" t="s">
        <v>1200</v>
      </c>
      <c r="D623" s="118">
        <v>0.51</v>
      </c>
      <c r="E623" s="118">
        <v>3.17</v>
      </c>
      <c r="F623" s="118">
        <v>18.13</v>
      </c>
    </row>
    <row r="624" spans="2:6" x14ac:dyDescent="0.2">
      <c r="B624" s="116" t="s">
        <v>3806</v>
      </c>
      <c r="C624" s="117" t="s">
        <v>3807</v>
      </c>
      <c r="D624" s="118"/>
      <c r="E624" s="118"/>
      <c r="F624" s="118"/>
    </row>
    <row r="625" spans="2:6" x14ac:dyDescent="0.2">
      <c r="B625" s="116" t="s">
        <v>1202</v>
      </c>
      <c r="C625" s="117" t="s">
        <v>1203</v>
      </c>
      <c r="D625" s="118">
        <v>0.55000000000000004</v>
      </c>
      <c r="E625" s="118">
        <v>2.54</v>
      </c>
      <c r="F625" s="118">
        <v>17.47</v>
      </c>
    </row>
    <row r="626" spans="2:6" x14ac:dyDescent="0.2">
      <c r="B626" s="116" t="s">
        <v>1204</v>
      </c>
      <c r="C626" s="117" t="s">
        <v>1205</v>
      </c>
      <c r="D626" s="118">
        <v>1.03</v>
      </c>
      <c r="E626" s="118">
        <v>1.67</v>
      </c>
      <c r="F626" s="118">
        <v>17.760000000000002</v>
      </c>
    </row>
    <row r="627" spans="2:6" x14ac:dyDescent="0.2">
      <c r="B627" s="116" t="s">
        <v>1206</v>
      </c>
      <c r="C627" s="117" t="s">
        <v>1207</v>
      </c>
      <c r="D627" s="118">
        <v>2.1800000000000002</v>
      </c>
      <c r="E627" s="118">
        <v>4.53</v>
      </c>
      <c r="F627" s="118">
        <v>24.67</v>
      </c>
    </row>
    <row r="628" spans="2:6" x14ac:dyDescent="0.2">
      <c r="B628" s="116" t="s">
        <v>1208</v>
      </c>
      <c r="C628" s="117" t="s">
        <v>1209</v>
      </c>
      <c r="D628" s="118">
        <v>1.93</v>
      </c>
      <c r="E628" s="118">
        <v>1.47</v>
      </c>
      <c r="F628" s="118">
        <v>8.16</v>
      </c>
    </row>
    <row r="629" spans="2:6" x14ac:dyDescent="0.2">
      <c r="B629" s="116" t="s">
        <v>1210</v>
      </c>
      <c r="C629" s="117" t="s">
        <v>1211</v>
      </c>
      <c r="D629" s="118">
        <v>1.63</v>
      </c>
      <c r="E629" s="118">
        <v>0.77</v>
      </c>
      <c r="F629" s="118">
        <v>7.73</v>
      </c>
    </row>
    <row r="630" spans="2:6" x14ac:dyDescent="0.2">
      <c r="B630" s="116" t="s">
        <v>3808</v>
      </c>
      <c r="C630" s="117" t="s">
        <v>3809</v>
      </c>
      <c r="D630" s="118"/>
      <c r="E630" s="118">
        <v>1.89</v>
      </c>
      <c r="F630" s="118"/>
    </row>
    <row r="631" spans="2:6" x14ac:dyDescent="0.2">
      <c r="B631" s="116" t="s">
        <v>3810</v>
      </c>
      <c r="C631" s="117" t="s">
        <v>3811</v>
      </c>
      <c r="D631" s="118"/>
      <c r="E631" s="118">
        <v>0.8</v>
      </c>
      <c r="F631" s="118"/>
    </row>
    <row r="632" spans="2:6" x14ac:dyDescent="0.2">
      <c r="B632" s="116" t="s">
        <v>1212</v>
      </c>
      <c r="C632" s="117" t="s">
        <v>1213</v>
      </c>
      <c r="D632" s="118">
        <v>0.72</v>
      </c>
      <c r="E632" s="118">
        <v>1.1000000000000001</v>
      </c>
      <c r="F632" s="118">
        <v>14.78</v>
      </c>
    </row>
    <row r="633" spans="2:6" x14ac:dyDescent="0.2">
      <c r="B633" s="116" t="s">
        <v>3812</v>
      </c>
      <c r="C633" s="117" t="s">
        <v>3813</v>
      </c>
      <c r="D633" s="118">
        <v>1.07</v>
      </c>
      <c r="E633" s="118">
        <v>0.75</v>
      </c>
      <c r="F633" s="118">
        <v>12.15</v>
      </c>
    </row>
    <row r="634" spans="2:6" x14ac:dyDescent="0.2">
      <c r="B634" s="116" t="s">
        <v>3814</v>
      </c>
      <c r="C634" s="117" t="s">
        <v>3815</v>
      </c>
      <c r="D634" s="118">
        <v>0.81</v>
      </c>
      <c r="E634" s="118">
        <v>1.3</v>
      </c>
      <c r="F634" s="118">
        <v>10.11</v>
      </c>
    </row>
    <row r="635" spans="2:6" x14ac:dyDescent="0.2">
      <c r="B635" s="116" t="s">
        <v>1214</v>
      </c>
      <c r="C635" s="117" t="s">
        <v>1215</v>
      </c>
      <c r="D635" s="118">
        <v>0.54</v>
      </c>
      <c r="E635" s="118">
        <v>0.83</v>
      </c>
      <c r="F635" s="118">
        <v>-0.16</v>
      </c>
    </row>
    <row r="636" spans="2:6" x14ac:dyDescent="0.2">
      <c r="B636" s="116" t="s">
        <v>1217</v>
      </c>
      <c r="C636" s="117" t="s">
        <v>1218</v>
      </c>
      <c r="D636" s="118">
        <v>8.2799999999999994</v>
      </c>
      <c r="E636" s="118">
        <v>28.57</v>
      </c>
      <c r="F636" s="118">
        <v>31.17</v>
      </c>
    </row>
    <row r="637" spans="2:6" x14ac:dyDescent="0.2">
      <c r="B637" s="116" t="s">
        <v>1220</v>
      </c>
      <c r="C637" s="117" t="s">
        <v>1221</v>
      </c>
      <c r="D637" s="118">
        <v>4.09</v>
      </c>
      <c r="E637" s="118">
        <v>5.83</v>
      </c>
      <c r="F637" s="118">
        <v>24.13</v>
      </c>
    </row>
    <row r="638" spans="2:6" x14ac:dyDescent="0.2">
      <c r="B638" s="116" t="s">
        <v>3816</v>
      </c>
      <c r="C638" s="117" t="s">
        <v>3817</v>
      </c>
      <c r="D638" s="118"/>
      <c r="E638" s="118"/>
      <c r="F638" s="118"/>
    </row>
    <row r="639" spans="2:6" x14ac:dyDescent="0.2">
      <c r="B639" s="116" t="s">
        <v>1223</v>
      </c>
      <c r="C639" s="117" t="s">
        <v>1224</v>
      </c>
      <c r="D639" s="118">
        <v>3.75</v>
      </c>
      <c r="E639" s="118">
        <v>3.43</v>
      </c>
      <c r="F639" s="118">
        <v>9.15</v>
      </c>
    </row>
    <row r="640" spans="2:6" x14ac:dyDescent="0.2">
      <c r="B640" s="116" t="s">
        <v>3818</v>
      </c>
      <c r="C640" s="117" t="s">
        <v>3819</v>
      </c>
      <c r="D640" s="118">
        <v>1.71</v>
      </c>
      <c r="E640" s="118">
        <v>1.39</v>
      </c>
      <c r="F640" s="118">
        <v>38.36</v>
      </c>
    </row>
    <row r="641" spans="2:6" x14ac:dyDescent="0.2">
      <c r="B641" s="116" t="s">
        <v>1225</v>
      </c>
      <c r="C641" s="117" t="s">
        <v>1226</v>
      </c>
      <c r="D641" s="118">
        <v>2.6</v>
      </c>
      <c r="E641" s="118">
        <v>2.2799999999999998</v>
      </c>
      <c r="F641" s="118">
        <v>16.25</v>
      </c>
    </row>
    <row r="642" spans="2:6" x14ac:dyDescent="0.2">
      <c r="B642" s="116" t="s">
        <v>1227</v>
      </c>
      <c r="C642" s="117" t="s">
        <v>1228</v>
      </c>
      <c r="D642" s="118">
        <v>0.66</v>
      </c>
      <c r="E642" s="118">
        <v>2.87</v>
      </c>
      <c r="F642" s="118">
        <v>13.05</v>
      </c>
    </row>
    <row r="643" spans="2:6" x14ac:dyDescent="0.2">
      <c r="B643" s="116" t="s">
        <v>1229</v>
      </c>
      <c r="C643" s="117" t="s">
        <v>1230</v>
      </c>
      <c r="D643" s="118">
        <v>4.9800000000000004</v>
      </c>
      <c r="E643" s="118">
        <v>7.14</v>
      </c>
      <c r="F643" s="118">
        <v>18.899999999999999</v>
      </c>
    </row>
    <row r="644" spans="2:6" x14ac:dyDescent="0.2">
      <c r="B644" s="116" t="s">
        <v>1231</v>
      </c>
      <c r="C644" s="117" t="s">
        <v>1232</v>
      </c>
      <c r="D644" s="118">
        <v>1.79</v>
      </c>
      <c r="E644" s="118">
        <v>2.5499999999999998</v>
      </c>
      <c r="F644" s="118">
        <v>20.02</v>
      </c>
    </row>
    <row r="645" spans="2:6" x14ac:dyDescent="0.2">
      <c r="B645" s="116" t="s">
        <v>1233</v>
      </c>
      <c r="C645" s="117" t="s">
        <v>1234</v>
      </c>
      <c r="D645" s="118">
        <v>8.9</v>
      </c>
      <c r="E645" s="118">
        <v>1.93</v>
      </c>
      <c r="F645" s="118">
        <v>9.81</v>
      </c>
    </row>
    <row r="646" spans="2:6" x14ac:dyDescent="0.2">
      <c r="B646" s="116" t="s">
        <v>1235</v>
      </c>
      <c r="C646" s="117" t="s">
        <v>1236</v>
      </c>
      <c r="D646" s="118">
        <v>24.71</v>
      </c>
      <c r="E646" s="118">
        <v>1.1599999999999999</v>
      </c>
      <c r="F646" s="118">
        <v>15.53</v>
      </c>
    </row>
    <row r="647" spans="2:6" x14ac:dyDescent="0.2">
      <c r="B647" s="116" t="s">
        <v>1237</v>
      </c>
      <c r="C647" s="117" t="s">
        <v>1238</v>
      </c>
      <c r="D647" s="118">
        <v>1</v>
      </c>
      <c r="E647" s="118"/>
      <c r="F647" s="118"/>
    </row>
    <row r="648" spans="2:6" x14ac:dyDescent="0.2">
      <c r="B648" s="116" t="s">
        <v>1239</v>
      </c>
      <c r="C648" s="117" t="s">
        <v>1240</v>
      </c>
      <c r="D648" s="118">
        <v>8.57</v>
      </c>
      <c r="E648" s="118">
        <v>5.24</v>
      </c>
      <c r="F648" s="118">
        <v>6.29</v>
      </c>
    </row>
    <row r="649" spans="2:6" x14ac:dyDescent="0.2">
      <c r="B649" s="116" t="s">
        <v>1241</v>
      </c>
      <c r="C649" s="117" t="s">
        <v>1242</v>
      </c>
      <c r="D649" s="118">
        <v>4.3600000000000003</v>
      </c>
      <c r="E649" s="118">
        <v>1.29</v>
      </c>
      <c r="F649" s="118">
        <v>16.66</v>
      </c>
    </row>
    <row r="650" spans="2:6" x14ac:dyDescent="0.2">
      <c r="B650" s="116" t="s">
        <v>1243</v>
      </c>
      <c r="C650" s="117" t="s">
        <v>1244</v>
      </c>
      <c r="D650" s="118">
        <v>0.88</v>
      </c>
      <c r="E650" s="118">
        <v>1.47</v>
      </c>
      <c r="F650" s="118">
        <v>14.13</v>
      </c>
    </row>
    <row r="651" spans="2:6" x14ac:dyDescent="0.2">
      <c r="B651" s="116" t="s">
        <v>1245</v>
      </c>
      <c r="C651" s="117" t="s">
        <v>1246</v>
      </c>
      <c r="D651" s="118">
        <v>11.98</v>
      </c>
      <c r="E651" s="118">
        <v>3.05</v>
      </c>
      <c r="F651" s="118">
        <v>7.21</v>
      </c>
    </row>
    <row r="652" spans="2:6" x14ac:dyDescent="0.2">
      <c r="B652" s="116" t="s">
        <v>3820</v>
      </c>
      <c r="C652" s="117" t="s">
        <v>3821</v>
      </c>
      <c r="D652" s="118"/>
      <c r="E652" s="118">
        <v>2.68</v>
      </c>
      <c r="F652" s="118"/>
    </row>
    <row r="653" spans="2:6" x14ac:dyDescent="0.2">
      <c r="B653" s="116" t="s">
        <v>1249</v>
      </c>
      <c r="C653" s="117" t="s">
        <v>1250</v>
      </c>
      <c r="D653" s="118">
        <v>1.38</v>
      </c>
      <c r="E653" s="118">
        <v>3.08</v>
      </c>
      <c r="F653" s="118">
        <v>9.4700000000000006</v>
      </c>
    </row>
    <row r="654" spans="2:6" x14ac:dyDescent="0.2">
      <c r="B654" s="116" t="s">
        <v>1251</v>
      </c>
      <c r="C654" s="117" t="s">
        <v>1252</v>
      </c>
      <c r="D654" s="118">
        <v>1.1100000000000001</v>
      </c>
      <c r="E654" s="118">
        <v>3.06</v>
      </c>
      <c r="F654" s="118">
        <v>6.37</v>
      </c>
    </row>
    <row r="655" spans="2:6" x14ac:dyDescent="0.2">
      <c r="B655" s="116" t="s">
        <v>3822</v>
      </c>
      <c r="C655" s="117" t="s">
        <v>3823</v>
      </c>
      <c r="D655" s="118">
        <v>3.62</v>
      </c>
      <c r="E655" s="118">
        <v>8.26</v>
      </c>
      <c r="F655" s="118">
        <v>30.8</v>
      </c>
    </row>
    <row r="656" spans="2:6" x14ac:dyDescent="0.2">
      <c r="B656" s="116" t="s">
        <v>1254</v>
      </c>
      <c r="C656" s="117" t="s">
        <v>1255</v>
      </c>
      <c r="D656" s="118">
        <v>0.68</v>
      </c>
      <c r="E656" s="118">
        <v>0.88</v>
      </c>
      <c r="F656" s="118">
        <v>-2.84</v>
      </c>
    </row>
    <row r="657" spans="2:6" x14ac:dyDescent="0.2">
      <c r="B657" s="116" t="s">
        <v>1256</v>
      </c>
      <c r="C657" s="117" t="s">
        <v>1257</v>
      </c>
      <c r="D657" s="118">
        <v>3.13</v>
      </c>
      <c r="E657" s="118">
        <v>2.21</v>
      </c>
      <c r="F657" s="118">
        <v>9.24</v>
      </c>
    </row>
    <row r="658" spans="2:6" x14ac:dyDescent="0.2">
      <c r="B658" s="116" t="s">
        <v>1258</v>
      </c>
      <c r="C658" s="117" t="s">
        <v>1259</v>
      </c>
      <c r="D658" s="118">
        <v>2.54</v>
      </c>
      <c r="E658" s="118">
        <v>2.5099999999999998</v>
      </c>
      <c r="F658" s="118">
        <v>10.23</v>
      </c>
    </row>
    <row r="659" spans="2:6" x14ac:dyDescent="0.2">
      <c r="B659" s="116" t="s">
        <v>3824</v>
      </c>
      <c r="C659" s="117" t="s">
        <v>3825</v>
      </c>
      <c r="D659" s="118">
        <v>2.0499999999999998</v>
      </c>
      <c r="E659" s="118">
        <v>1.02</v>
      </c>
      <c r="F659" s="118">
        <v>4.49</v>
      </c>
    </row>
    <row r="660" spans="2:6" x14ac:dyDescent="0.2">
      <c r="B660" s="116" t="s">
        <v>3826</v>
      </c>
      <c r="C660" s="117" t="s">
        <v>3827</v>
      </c>
      <c r="D660" s="118"/>
      <c r="E660" s="118">
        <v>0.81</v>
      </c>
      <c r="F660" s="118"/>
    </row>
    <row r="661" spans="2:6" x14ac:dyDescent="0.2">
      <c r="B661" s="116" t="s">
        <v>3828</v>
      </c>
      <c r="C661" s="117" t="s">
        <v>3829</v>
      </c>
      <c r="D661" s="118">
        <v>1.69</v>
      </c>
      <c r="E661" s="118">
        <v>3.23</v>
      </c>
      <c r="F661" s="118">
        <v>14.52</v>
      </c>
    </row>
    <row r="662" spans="2:6" x14ac:dyDescent="0.2">
      <c r="B662" s="116" t="s">
        <v>1260</v>
      </c>
      <c r="C662" s="117" t="s">
        <v>1261</v>
      </c>
      <c r="D662" s="118">
        <v>6.39</v>
      </c>
      <c r="E662" s="118">
        <v>1.87</v>
      </c>
      <c r="F662" s="118">
        <v>21.05</v>
      </c>
    </row>
    <row r="663" spans="2:6" x14ac:dyDescent="0.2">
      <c r="B663" s="116" t="s">
        <v>1263</v>
      </c>
      <c r="C663" s="117" t="s">
        <v>1264</v>
      </c>
      <c r="D663" s="118">
        <v>14.92</v>
      </c>
      <c r="E663" s="118">
        <v>3.34</v>
      </c>
      <c r="F663" s="118">
        <v>6.43</v>
      </c>
    </row>
    <row r="664" spans="2:6" x14ac:dyDescent="0.2">
      <c r="B664" s="116" t="s">
        <v>1265</v>
      </c>
      <c r="C664" s="117" t="s">
        <v>1266</v>
      </c>
      <c r="D664" s="118">
        <v>23.68</v>
      </c>
      <c r="E664" s="118">
        <v>28.3</v>
      </c>
      <c r="F664" s="118">
        <v>-44.92</v>
      </c>
    </row>
    <row r="665" spans="2:6" x14ac:dyDescent="0.2">
      <c r="B665" s="116" t="s">
        <v>1267</v>
      </c>
      <c r="C665" s="117" t="s">
        <v>1268</v>
      </c>
      <c r="D665" s="118">
        <v>0.65</v>
      </c>
      <c r="E665" s="118">
        <v>1.1200000000000001</v>
      </c>
      <c r="F665" s="118">
        <v>9.1</v>
      </c>
    </row>
    <row r="666" spans="2:6" x14ac:dyDescent="0.2">
      <c r="B666" s="116" t="s">
        <v>1269</v>
      </c>
      <c r="C666" s="117" t="s">
        <v>1270</v>
      </c>
      <c r="D666" s="118">
        <v>3.8</v>
      </c>
      <c r="E666" s="118">
        <v>1.78</v>
      </c>
      <c r="F666" s="118">
        <v>18.440000000000001</v>
      </c>
    </row>
    <row r="667" spans="2:6" x14ac:dyDescent="0.2">
      <c r="B667" s="116" t="s">
        <v>1271</v>
      </c>
      <c r="C667" s="117" t="s">
        <v>1272</v>
      </c>
      <c r="D667" s="118">
        <v>1.62</v>
      </c>
      <c r="E667" s="118">
        <v>2.15</v>
      </c>
      <c r="F667" s="118">
        <v>14.88</v>
      </c>
    </row>
    <row r="668" spans="2:6" x14ac:dyDescent="0.2">
      <c r="B668" s="116" t="s">
        <v>1273</v>
      </c>
      <c r="C668" s="117" t="s">
        <v>1274</v>
      </c>
      <c r="D668" s="118">
        <v>2.1</v>
      </c>
      <c r="E668" s="118">
        <v>2.23</v>
      </c>
      <c r="F668" s="118">
        <v>13.75</v>
      </c>
    </row>
    <row r="669" spans="2:6" x14ac:dyDescent="0.2">
      <c r="B669" s="116" t="s">
        <v>1275</v>
      </c>
      <c r="C669" s="117" t="s">
        <v>1276</v>
      </c>
      <c r="D669" s="118">
        <v>2.25</v>
      </c>
      <c r="E669" s="118">
        <v>0.56000000000000005</v>
      </c>
      <c r="F669" s="118">
        <v>10.1</v>
      </c>
    </row>
    <row r="670" spans="2:6" x14ac:dyDescent="0.2">
      <c r="B670" s="116" t="s">
        <v>1277</v>
      </c>
      <c r="C670" s="117" t="s">
        <v>1278</v>
      </c>
      <c r="D670" s="118">
        <v>10.38</v>
      </c>
      <c r="E670" s="118">
        <v>16.45</v>
      </c>
      <c r="F670" s="118">
        <v>26.77</v>
      </c>
    </row>
    <row r="671" spans="2:6" x14ac:dyDescent="0.2">
      <c r="B671" s="116" t="s">
        <v>1279</v>
      </c>
      <c r="C671" s="117" t="s">
        <v>1280</v>
      </c>
      <c r="D671" s="118"/>
      <c r="E671" s="118"/>
      <c r="F671" s="118"/>
    </row>
    <row r="672" spans="2:6" x14ac:dyDescent="0.2">
      <c r="B672" s="116" t="s">
        <v>1282</v>
      </c>
      <c r="C672" s="117" t="s">
        <v>1283</v>
      </c>
      <c r="D672" s="118">
        <v>3.02</v>
      </c>
      <c r="E672" s="118">
        <v>4.5</v>
      </c>
      <c r="F672" s="118">
        <v>35.450000000000003</v>
      </c>
    </row>
    <row r="673" spans="2:6" x14ac:dyDescent="0.2">
      <c r="B673" s="116" t="s">
        <v>1284</v>
      </c>
      <c r="C673" s="117" t="s">
        <v>1285</v>
      </c>
      <c r="D673" s="118">
        <v>1.6</v>
      </c>
      <c r="E673" s="118">
        <v>3.46</v>
      </c>
      <c r="F673" s="118">
        <v>45.23</v>
      </c>
    </row>
    <row r="674" spans="2:6" x14ac:dyDescent="0.2">
      <c r="B674" s="116" t="s">
        <v>1286</v>
      </c>
      <c r="C674" s="117" t="s">
        <v>1287</v>
      </c>
      <c r="D674" s="118">
        <v>2.98</v>
      </c>
      <c r="E674" s="118">
        <v>1.82</v>
      </c>
      <c r="F674" s="118">
        <v>6.44</v>
      </c>
    </row>
    <row r="675" spans="2:6" x14ac:dyDescent="0.2">
      <c r="B675" s="116" t="s">
        <v>3830</v>
      </c>
      <c r="C675" s="117" t="s">
        <v>3831</v>
      </c>
      <c r="D675" s="118"/>
      <c r="E675" s="118"/>
      <c r="F675" s="118"/>
    </row>
    <row r="676" spans="2:6" x14ac:dyDescent="0.2">
      <c r="B676" s="116" t="s">
        <v>1288</v>
      </c>
      <c r="C676" s="117" t="s">
        <v>1289</v>
      </c>
      <c r="D676" s="118">
        <v>7.29</v>
      </c>
      <c r="E676" s="118">
        <v>6.68</v>
      </c>
      <c r="F676" s="118">
        <v>15.24</v>
      </c>
    </row>
    <row r="677" spans="2:6" x14ac:dyDescent="0.2">
      <c r="B677" s="116" t="s">
        <v>1290</v>
      </c>
      <c r="C677" s="117" t="s">
        <v>1291</v>
      </c>
      <c r="D677" s="118">
        <v>11.52</v>
      </c>
      <c r="E677" s="118">
        <v>13.05</v>
      </c>
      <c r="F677" s="118">
        <v>31.25</v>
      </c>
    </row>
    <row r="678" spans="2:6" x14ac:dyDescent="0.2">
      <c r="B678" s="116" t="s">
        <v>1292</v>
      </c>
      <c r="C678" s="117" t="s">
        <v>1293</v>
      </c>
      <c r="D678" s="118">
        <v>3.3</v>
      </c>
      <c r="E678" s="118">
        <v>1.39</v>
      </c>
      <c r="F678" s="118">
        <v>15.42</v>
      </c>
    </row>
    <row r="679" spans="2:6" x14ac:dyDescent="0.2">
      <c r="B679" s="116" t="s">
        <v>3832</v>
      </c>
      <c r="C679" s="117" t="s">
        <v>3833</v>
      </c>
      <c r="D679" s="118"/>
      <c r="E679" s="118"/>
      <c r="F679" s="118"/>
    </row>
    <row r="680" spans="2:6" x14ac:dyDescent="0.2">
      <c r="B680" s="116" t="s">
        <v>3834</v>
      </c>
      <c r="C680" s="117" t="s">
        <v>3835</v>
      </c>
      <c r="D680" s="118"/>
      <c r="E680" s="118"/>
      <c r="F680" s="118"/>
    </row>
    <row r="681" spans="2:6" x14ac:dyDescent="0.2">
      <c r="B681" s="116" t="s">
        <v>3836</v>
      </c>
      <c r="C681" s="117" t="s">
        <v>3837</v>
      </c>
      <c r="D681" s="118"/>
      <c r="E681" s="118"/>
      <c r="F681" s="118"/>
    </row>
    <row r="682" spans="2:6" x14ac:dyDescent="0.2">
      <c r="B682" s="116" t="s">
        <v>1294</v>
      </c>
      <c r="C682" s="117" t="s">
        <v>1295</v>
      </c>
      <c r="D682" s="118">
        <v>21.6</v>
      </c>
      <c r="E682" s="118">
        <v>17.59</v>
      </c>
      <c r="F682" s="118">
        <v>-28.9</v>
      </c>
    </row>
    <row r="683" spans="2:6" x14ac:dyDescent="0.2">
      <c r="B683" s="116" t="s">
        <v>1296</v>
      </c>
      <c r="C683" s="117" t="s">
        <v>1297</v>
      </c>
      <c r="D683" s="118">
        <v>1.33</v>
      </c>
      <c r="E683" s="118">
        <v>1.39</v>
      </c>
      <c r="F683" s="118">
        <v>8.4700000000000006</v>
      </c>
    </row>
    <row r="684" spans="2:6" x14ac:dyDescent="0.2">
      <c r="B684" s="116" t="s">
        <v>1298</v>
      </c>
      <c r="C684" s="117" t="s">
        <v>1299</v>
      </c>
      <c r="D684" s="118">
        <v>6.51</v>
      </c>
      <c r="E684" s="118">
        <v>3.98</v>
      </c>
      <c r="F684" s="118">
        <v>31.31</v>
      </c>
    </row>
    <row r="685" spans="2:6" x14ac:dyDescent="0.2">
      <c r="B685" s="116" t="s">
        <v>1300</v>
      </c>
      <c r="C685" s="117" t="s">
        <v>1301</v>
      </c>
      <c r="D685" s="118">
        <v>2.78</v>
      </c>
      <c r="E685" s="118">
        <v>3.61</v>
      </c>
      <c r="F685" s="118">
        <v>17.21</v>
      </c>
    </row>
    <row r="686" spans="2:6" x14ac:dyDescent="0.2">
      <c r="B686" s="116" t="s">
        <v>1302</v>
      </c>
      <c r="C686" s="117" t="s">
        <v>1303</v>
      </c>
      <c r="D686" s="118">
        <v>1.51</v>
      </c>
      <c r="E686" s="118">
        <v>6.2</v>
      </c>
      <c r="F686" s="118">
        <v>31.26</v>
      </c>
    </row>
    <row r="687" spans="2:6" x14ac:dyDescent="0.2">
      <c r="B687" s="116" t="s">
        <v>1304</v>
      </c>
      <c r="C687" s="117" t="s">
        <v>1305</v>
      </c>
      <c r="D687" s="118">
        <v>1.73</v>
      </c>
      <c r="E687" s="118">
        <v>3.4</v>
      </c>
      <c r="F687" s="118">
        <v>14.2</v>
      </c>
    </row>
    <row r="688" spans="2:6" x14ac:dyDescent="0.2">
      <c r="B688" s="116" t="s">
        <v>1306</v>
      </c>
      <c r="C688" s="117" t="s">
        <v>1307</v>
      </c>
      <c r="D688" s="118"/>
      <c r="E688" s="118">
        <v>11.57</v>
      </c>
      <c r="F688" s="118"/>
    </row>
    <row r="689" spans="2:6" x14ac:dyDescent="0.2">
      <c r="B689" s="116" t="s">
        <v>1308</v>
      </c>
      <c r="C689" s="117" t="s">
        <v>1309</v>
      </c>
      <c r="D689" s="118">
        <v>9.34</v>
      </c>
      <c r="E689" s="118">
        <v>10.68</v>
      </c>
      <c r="F689" s="118">
        <v>23.44</v>
      </c>
    </row>
    <row r="690" spans="2:6" x14ac:dyDescent="0.2">
      <c r="B690" s="116" t="s">
        <v>1310</v>
      </c>
      <c r="C690" s="117" t="s">
        <v>1311</v>
      </c>
      <c r="D690" s="118">
        <v>11.93</v>
      </c>
      <c r="E690" s="118">
        <v>5.23</v>
      </c>
      <c r="F690" s="118">
        <v>16.71</v>
      </c>
    </row>
    <row r="691" spans="2:6" x14ac:dyDescent="0.2">
      <c r="B691" s="116" t="s">
        <v>3838</v>
      </c>
      <c r="C691" s="117" t="s">
        <v>3839</v>
      </c>
      <c r="D691" s="118"/>
      <c r="E691" s="118">
        <v>1.05</v>
      </c>
      <c r="F691" s="118"/>
    </row>
    <row r="692" spans="2:6" x14ac:dyDescent="0.2">
      <c r="B692" s="116" t="s">
        <v>3840</v>
      </c>
      <c r="C692" s="117" t="s">
        <v>3841</v>
      </c>
      <c r="D692" s="118"/>
      <c r="E692" s="118"/>
      <c r="F692" s="118"/>
    </row>
    <row r="693" spans="2:6" x14ac:dyDescent="0.2">
      <c r="B693" s="116" t="s">
        <v>1312</v>
      </c>
      <c r="C693" s="117" t="s">
        <v>1313</v>
      </c>
      <c r="D693" s="118">
        <v>0.23</v>
      </c>
      <c r="E693" s="118">
        <v>1.01</v>
      </c>
      <c r="F693" s="118">
        <v>14.92</v>
      </c>
    </row>
    <row r="694" spans="2:6" x14ac:dyDescent="0.2">
      <c r="B694" s="116" t="s">
        <v>1315</v>
      </c>
      <c r="C694" s="117" t="s">
        <v>1316</v>
      </c>
      <c r="D694" s="118">
        <v>1.1399999999999999</v>
      </c>
      <c r="E694" s="118">
        <v>1.61</v>
      </c>
      <c r="F694" s="118">
        <v>14.77</v>
      </c>
    </row>
    <row r="695" spans="2:6" x14ac:dyDescent="0.2">
      <c r="B695" s="116" t="s">
        <v>1317</v>
      </c>
      <c r="C695" s="117" t="s">
        <v>1318</v>
      </c>
      <c r="D695" s="118">
        <v>5.17</v>
      </c>
      <c r="E695" s="118">
        <v>1.03</v>
      </c>
      <c r="F695" s="118">
        <v>6.5</v>
      </c>
    </row>
    <row r="696" spans="2:6" x14ac:dyDescent="0.2">
      <c r="B696" s="116" t="s">
        <v>1319</v>
      </c>
      <c r="C696" s="117" t="s">
        <v>1320</v>
      </c>
      <c r="D696" s="118">
        <v>6.23</v>
      </c>
      <c r="E696" s="118">
        <v>2.75</v>
      </c>
      <c r="F696" s="118">
        <v>8.9</v>
      </c>
    </row>
    <row r="697" spans="2:6" x14ac:dyDescent="0.2">
      <c r="B697" s="116" t="s">
        <v>1322</v>
      </c>
      <c r="C697" s="117" t="s">
        <v>1323</v>
      </c>
      <c r="D697" s="118">
        <v>3.52</v>
      </c>
      <c r="E697" s="118">
        <v>7.3</v>
      </c>
      <c r="F697" s="118">
        <v>32.270000000000003</v>
      </c>
    </row>
    <row r="698" spans="2:6" x14ac:dyDescent="0.2">
      <c r="B698" s="116" t="s">
        <v>1325</v>
      </c>
      <c r="C698" s="117" t="s">
        <v>1326</v>
      </c>
      <c r="D698" s="118">
        <v>8.66</v>
      </c>
      <c r="E698" s="118">
        <v>6.11</v>
      </c>
      <c r="F698" s="118">
        <v>20.09</v>
      </c>
    </row>
    <row r="699" spans="2:6" x14ac:dyDescent="0.2">
      <c r="B699" s="116" t="s">
        <v>1327</v>
      </c>
      <c r="C699" s="117" t="s">
        <v>1328</v>
      </c>
      <c r="D699" s="118">
        <v>1.31</v>
      </c>
      <c r="E699" s="118">
        <v>3.15</v>
      </c>
      <c r="F699" s="118">
        <v>21.81</v>
      </c>
    </row>
    <row r="700" spans="2:6" x14ac:dyDescent="0.2">
      <c r="B700" s="116" t="s">
        <v>1329</v>
      </c>
      <c r="C700" s="117" t="s">
        <v>1330</v>
      </c>
      <c r="D700" s="118">
        <v>0.21</v>
      </c>
      <c r="E700" s="118">
        <v>0.86</v>
      </c>
      <c r="F700" s="118">
        <v>17.07</v>
      </c>
    </row>
    <row r="701" spans="2:6" x14ac:dyDescent="0.2">
      <c r="B701" s="116" t="s">
        <v>1331</v>
      </c>
      <c r="C701" s="117" t="s">
        <v>1332</v>
      </c>
      <c r="D701" s="118">
        <v>2.2200000000000002</v>
      </c>
      <c r="E701" s="118">
        <v>3.05</v>
      </c>
      <c r="F701" s="118">
        <v>12.31</v>
      </c>
    </row>
    <row r="702" spans="2:6" x14ac:dyDescent="0.2">
      <c r="B702" s="116" t="s">
        <v>1333</v>
      </c>
      <c r="C702" s="117" t="s">
        <v>1334</v>
      </c>
      <c r="D702" s="118">
        <v>1.87</v>
      </c>
      <c r="E702" s="118">
        <v>2.87</v>
      </c>
      <c r="F702" s="118">
        <v>14.42</v>
      </c>
    </row>
    <row r="703" spans="2:6" x14ac:dyDescent="0.2">
      <c r="B703" s="116" t="s">
        <v>3842</v>
      </c>
      <c r="C703" s="117" t="s">
        <v>3843</v>
      </c>
      <c r="D703" s="118">
        <v>3.06</v>
      </c>
      <c r="E703" s="118">
        <v>1.48</v>
      </c>
      <c r="F703" s="118">
        <v>12.42</v>
      </c>
    </row>
    <row r="704" spans="2:6" x14ac:dyDescent="0.2">
      <c r="B704" s="116" t="s">
        <v>1335</v>
      </c>
      <c r="C704" s="117" t="s">
        <v>1336</v>
      </c>
      <c r="D704" s="118">
        <v>0.95</v>
      </c>
      <c r="E704" s="118">
        <v>0.85</v>
      </c>
      <c r="F704" s="118">
        <v>4.08</v>
      </c>
    </row>
    <row r="705" spans="2:6" x14ac:dyDescent="0.2">
      <c r="B705" s="116" t="s">
        <v>3844</v>
      </c>
      <c r="C705" s="117" t="s">
        <v>3845</v>
      </c>
      <c r="D705" s="118"/>
      <c r="E705" s="118"/>
      <c r="F705" s="118"/>
    </row>
    <row r="706" spans="2:6" x14ac:dyDescent="0.2">
      <c r="B706" s="116" t="s">
        <v>1337</v>
      </c>
      <c r="C706" s="117" t="s">
        <v>1338</v>
      </c>
      <c r="D706" s="118">
        <v>7.62</v>
      </c>
      <c r="E706" s="118">
        <v>16.5</v>
      </c>
      <c r="F706" s="118">
        <v>64.19</v>
      </c>
    </row>
    <row r="707" spans="2:6" x14ac:dyDescent="0.2">
      <c r="B707" s="116" t="s">
        <v>1339</v>
      </c>
      <c r="C707" s="117" t="s">
        <v>1340</v>
      </c>
      <c r="D707" s="118">
        <v>0.56000000000000005</v>
      </c>
      <c r="E707" s="118">
        <v>2.14</v>
      </c>
      <c r="F707" s="118">
        <v>21.15</v>
      </c>
    </row>
    <row r="708" spans="2:6" x14ac:dyDescent="0.2">
      <c r="B708" s="116" t="s">
        <v>1342</v>
      </c>
      <c r="C708" s="117" t="s">
        <v>1343</v>
      </c>
      <c r="D708" s="118">
        <v>2.29</v>
      </c>
      <c r="E708" s="118">
        <v>3.48</v>
      </c>
      <c r="F708" s="118">
        <v>20.29</v>
      </c>
    </row>
    <row r="709" spans="2:6" x14ac:dyDescent="0.2">
      <c r="B709" s="116" t="s">
        <v>1344</v>
      </c>
      <c r="C709" s="117" t="s">
        <v>1345</v>
      </c>
      <c r="D709" s="118"/>
      <c r="E709" s="118"/>
      <c r="F709" s="118"/>
    </row>
    <row r="710" spans="2:6" x14ac:dyDescent="0.2">
      <c r="B710" s="116" t="s">
        <v>1346</v>
      </c>
      <c r="C710" s="117" t="s">
        <v>1347</v>
      </c>
      <c r="D710" s="118">
        <v>3.52</v>
      </c>
      <c r="E710" s="118">
        <v>4.1500000000000004</v>
      </c>
      <c r="F710" s="118">
        <v>-19.559999999999999</v>
      </c>
    </row>
    <row r="711" spans="2:6" x14ac:dyDescent="0.2">
      <c r="B711" s="116" t="s">
        <v>1348</v>
      </c>
      <c r="C711" s="117" t="s">
        <v>1349</v>
      </c>
      <c r="D711" s="118">
        <v>10.98</v>
      </c>
      <c r="E711" s="118">
        <v>3.85</v>
      </c>
      <c r="F711" s="118">
        <v>14.82</v>
      </c>
    </row>
    <row r="712" spans="2:6" x14ac:dyDescent="0.2">
      <c r="B712" s="116" t="s">
        <v>1350</v>
      </c>
      <c r="C712" s="117" t="s">
        <v>1351</v>
      </c>
      <c r="D712" s="118">
        <v>3.72</v>
      </c>
      <c r="E712" s="118">
        <v>5.08</v>
      </c>
      <c r="F712" s="118">
        <v>36.33</v>
      </c>
    </row>
    <row r="713" spans="2:6" x14ac:dyDescent="0.2">
      <c r="B713" s="116" t="s">
        <v>1352</v>
      </c>
      <c r="C713" s="117" t="s">
        <v>1353</v>
      </c>
      <c r="D713" s="118">
        <v>9.84</v>
      </c>
      <c r="E713" s="118">
        <v>5.3</v>
      </c>
      <c r="F713" s="118">
        <v>9.01</v>
      </c>
    </row>
    <row r="714" spans="2:6" x14ac:dyDescent="0.2">
      <c r="B714" s="116" t="s">
        <v>1354</v>
      </c>
      <c r="C714" s="117" t="s">
        <v>1355</v>
      </c>
      <c r="D714" s="118">
        <v>4.3099999999999996</v>
      </c>
      <c r="E714" s="118">
        <v>1.38</v>
      </c>
      <c r="F714" s="118">
        <v>11.48</v>
      </c>
    </row>
    <row r="715" spans="2:6" x14ac:dyDescent="0.2">
      <c r="B715" s="116" t="s">
        <v>1356</v>
      </c>
      <c r="C715" s="117" t="s">
        <v>1357</v>
      </c>
      <c r="D715" s="118">
        <v>2.16</v>
      </c>
      <c r="E715" s="118">
        <v>1.06</v>
      </c>
      <c r="F715" s="118">
        <v>10.14</v>
      </c>
    </row>
    <row r="716" spans="2:6" x14ac:dyDescent="0.2">
      <c r="B716" s="116" t="s">
        <v>1358</v>
      </c>
      <c r="C716" s="117" t="s">
        <v>1359</v>
      </c>
      <c r="D716" s="118">
        <v>7.95</v>
      </c>
      <c r="E716" s="118">
        <v>33.630000000000003</v>
      </c>
      <c r="F716" s="118">
        <v>63.47</v>
      </c>
    </row>
    <row r="717" spans="2:6" x14ac:dyDescent="0.2">
      <c r="B717" s="116" t="s">
        <v>1360</v>
      </c>
      <c r="C717" s="117" t="s">
        <v>1361</v>
      </c>
      <c r="D717" s="118">
        <v>2.6</v>
      </c>
      <c r="E717" s="118">
        <v>3.54</v>
      </c>
      <c r="F717" s="118">
        <v>27.29</v>
      </c>
    </row>
    <row r="718" spans="2:6" x14ac:dyDescent="0.2">
      <c r="B718" s="116" t="s">
        <v>3846</v>
      </c>
      <c r="C718" s="117" t="s">
        <v>3847</v>
      </c>
      <c r="D718" s="118"/>
      <c r="E718" s="118">
        <v>1.3</v>
      </c>
      <c r="F718" s="118"/>
    </row>
    <row r="719" spans="2:6" x14ac:dyDescent="0.2">
      <c r="B719" s="116" t="s">
        <v>1362</v>
      </c>
      <c r="C719" s="117" t="s">
        <v>1363</v>
      </c>
      <c r="D719" s="118">
        <v>9.6</v>
      </c>
      <c r="E719" s="118">
        <v>4.2699999999999996</v>
      </c>
      <c r="F719" s="118">
        <v>20.66</v>
      </c>
    </row>
    <row r="720" spans="2:6" x14ac:dyDescent="0.2">
      <c r="B720" s="116" t="s">
        <v>1364</v>
      </c>
      <c r="C720" s="117" t="s">
        <v>1365</v>
      </c>
      <c r="D720" s="118">
        <v>6.84</v>
      </c>
      <c r="E720" s="118">
        <v>16.059999999999999</v>
      </c>
      <c r="F720" s="118">
        <v>53.08</v>
      </c>
    </row>
    <row r="721" spans="2:6" x14ac:dyDescent="0.2">
      <c r="B721" s="116" t="s">
        <v>1366</v>
      </c>
      <c r="C721" s="117" t="s">
        <v>1367</v>
      </c>
      <c r="D721" s="118">
        <v>2.34</v>
      </c>
      <c r="E721" s="118">
        <v>1.06</v>
      </c>
      <c r="F721" s="118">
        <v>11.51</v>
      </c>
    </row>
    <row r="722" spans="2:6" x14ac:dyDescent="0.2">
      <c r="B722" s="116" t="s">
        <v>1368</v>
      </c>
      <c r="C722" s="117" t="s">
        <v>1369</v>
      </c>
      <c r="D722" s="118">
        <v>4.1500000000000004</v>
      </c>
      <c r="E722" s="118">
        <v>10.81</v>
      </c>
      <c r="F722" s="118">
        <v>24.52</v>
      </c>
    </row>
    <row r="723" spans="2:6" x14ac:dyDescent="0.2">
      <c r="B723" s="116" t="s">
        <v>1370</v>
      </c>
      <c r="C723" s="117" t="s">
        <v>1371</v>
      </c>
      <c r="D723" s="118">
        <v>12.24</v>
      </c>
      <c r="E723" s="118">
        <v>21.28</v>
      </c>
      <c r="F723" s="118">
        <v>8.9</v>
      </c>
    </row>
    <row r="724" spans="2:6" x14ac:dyDescent="0.2">
      <c r="B724" s="116" t="s">
        <v>1372</v>
      </c>
      <c r="C724" s="117" t="s">
        <v>1373</v>
      </c>
      <c r="D724" s="118">
        <v>0.47</v>
      </c>
      <c r="E724" s="118">
        <v>1.46</v>
      </c>
      <c r="F724" s="118">
        <v>3.05</v>
      </c>
    </row>
    <row r="725" spans="2:6" x14ac:dyDescent="0.2">
      <c r="B725" s="116" t="s">
        <v>1374</v>
      </c>
      <c r="C725" s="117" t="s">
        <v>1375</v>
      </c>
      <c r="D725" s="118">
        <v>0.53</v>
      </c>
      <c r="E725" s="118">
        <v>1.7</v>
      </c>
      <c r="F725" s="118">
        <v>21.05</v>
      </c>
    </row>
    <row r="726" spans="2:6" x14ac:dyDescent="0.2">
      <c r="B726" s="116" t="s">
        <v>1376</v>
      </c>
      <c r="C726" s="117" t="s">
        <v>1377</v>
      </c>
      <c r="D726" s="118">
        <v>0.21</v>
      </c>
      <c r="E726" s="118">
        <v>1.8</v>
      </c>
      <c r="F726" s="118">
        <v>0.73</v>
      </c>
    </row>
    <row r="727" spans="2:6" x14ac:dyDescent="0.2">
      <c r="B727" s="116" t="s">
        <v>1378</v>
      </c>
      <c r="C727" s="117" t="s">
        <v>1379</v>
      </c>
      <c r="D727" s="118">
        <v>3.98</v>
      </c>
      <c r="E727" s="118">
        <v>3.77</v>
      </c>
      <c r="F727" s="118">
        <v>16.559999999999999</v>
      </c>
    </row>
    <row r="728" spans="2:6" x14ac:dyDescent="0.2">
      <c r="B728" s="116" t="s">
        <v>1381</v>
      </c>
      <c r="C728" s="117" t="s">
        <v>1382</v>
      </c>
      <c r="D728" s="118">
        <v>1.2</v>
      </c>
      <c r="E728" s="118">
        <v>3.73</v>
      </c>
      <c r="F728" s="118">
        <v>15.95</v>
      </c>
    </row>
    <row r="729" spans="2:6" x14ac:dyDescent="0.2">
      <c r="B729" s="116" t="s">
        <v>1383</v>
      </c>
      <c r="C729" s="117" t="s">
        <v>1384</v>
      </c>
      <c r="D729" s="118">
        <v>1.63</v>
      </c>
      <c r="E729" s="118">
        <v>3.55</v>
      </c>
      <c r="F729" s="118">
        <v>15.75</v>
      </c>
    </row>
    <row r="730" spans="2:6" x14ac:dyDescent="0.2">
      <c r="B730" s="116" t="s">
        <v>1385</v>
      </c>
      <c r="C730" s="117" t="s">
        <v>1386</v>
      </c>
      <c r="D730" s="118">
        <v>9.8800000000000008</v>
      </c>
      <c r="E730" s="118">
        <v>6.51</v>
      </c>
      <c r="F730" s="118">
        <v>26.37</v>
      </c>
    </row>
    <row r="731" spans="2:6" x14ac:dyDescent="0.2">
      <c r="B731" s="116" t="s">
        <v>1387</v>
      </c>
      <c r="C731" s="117" t="s">
        <v>1388</v>
      </c>
      <c r="D731" s="118">
        <v>2.52</v>
      </c>
      <c r="E731" s="118">
        <v>4.2</v>
      </c>
      <c r="F731" s="118">
        <v>27.33</v>
      </c>
    </row>
    <row r="732" spans="2:6" x14ac:dyDescent="0.2">
      <c r="B732" s="116" t="s">
        <v>1389</v>
      </c>
      <c r="C732" s="117" t="s">
        <v>1390</v>
      </c>
      <c r="D732" s="118">
        <v>1.0900000000000001</v>
      </c>
      <c r="E732" s="118">
        <v>1.45</v>
      </c>
      <c r="F732" s="118">
        <v>10.18</v>
      </c>
    </row>
    <row r="733" spans="2:6" x14ac:dyDescent="0.2">
      <c r="B733" s="116" t="s">
        <v>1391</v>
      </c>
      <c r="C733" s="117" t="s">
        <v>1392</v>
      </c>
      <c r="D733" s="118">
        <v>1.34</v>
      </c>
      <c r="E733" s="118">
        <v>1.96</v>
      </c>
      <c r="F733" s="118">
        <v>6.88</v>
      </c>
    </row>
    <row r="734" spans="2:6" x14ac:dyDescent="0.2">
      <c r="B734" s="116" t="s">
        <v>1393</v>
      </c>
      <c r="C734" s="117" t="s">
        <v>1394</v>
      </c>
      <c r="D734" s="118">
        <v>2.44</v>
      </c>
      <c r="E734" s="118">
        <v>0.79</v>
      </c>
      <c r="F734" s="118">
        <v>8.5500000000000007</v>
      </c>
    </row>
    <row r="735" spans="2:6" x14ac:dyDescent="0.2">
      <c r="B735" s="116" t="s">
        <v>1395</v>
      </c>
      <c r="C735" s="117" t="s">
        <v>1396</v>
      </c>
      <c r="D735" s="118">
        <v>2.61</v>
      </c>
      <c r="E735" s="118">
        <v>7.24</v>
      </c>
      <c r="F735" s="118">
        <v>18.32</v>
      </c>
    </row>
    <row r="736" spans="2:6" x14ac:dyDescent="0.2">
      <c r="B736" s="116" t="s">
        <v>1398</v>
      </c>
      <c r="C736" s="117" t="s">
        <v>1399</v>
      </c>
      <c r="D736" s="118">
        <v>1.56</v>
      </c>
      <c r="E736" s="118">
        <v>2.4</v>
      </c>
      <c r="F736" s="118">
        <v>16.100000000000001</v>
      </c>
    </row>
    <row r="737" spans="2:6" x14ac:dyDescent="0.2">
      <c r="B737" s="116" t="s">
        <v>1400</v>
      </c>
      <c r="C737" s="117" t="s">
        <v>1401</v>
      </c>
      <c r="D737" s="118"/>
      <c r="E737" s="118"/>
      <c r="F737" s="118"/>
    </row>
    <row r="738" spans="2:6" x14ac:dyDescent="0.2">
      <c r="B738" s="116" t="s">
        <v>3848</v>
      </c>
      <c r="C738" s="117" t="s">
        <v>3849</v>
      </c>
      <c r="D738" s="118">
        <v>0.04</v>
      </c>
      <c r="E738" s="118"/>
      <c r="F738" s="118">
        <v>-9.7799999999999994</v>
      </c>
    </row>
    <row r="739" spans="2:6" x14ac:dyDescent="0.2">
      <c r="B739" s="116" t="s">
        <v>1402</v>
      </c>
      <c r="C739" s="117" t="s">
        <v>1403</v>
      </c>
      <c r="D739" s="118">
        <v>26.53</v>
      </c>
      <c r="E739" s="118">
        <v>3.7</v>
      </c>
      <c r="F739" s="118">
        <v>4.83</v>
      </c>
    </row>
    <row r="740" spans="2:6" x14ac:dyDescent="0.2">
      <c r="B740" s="116" t="s">
        <v>1404</v>
      </c>
      <c r="C740" s="117" t="s">
        <v>3850</v>
      </c>
      <c r="D740" s="118"/>
      <c r="E740" s="118">
        <v>2</v>
      </c>
      <c r="F740" s="118"/>
    </row>
    <row r="741" spans="2:6" x14ac:dyDescent="0.2">
      <c r="B741" s="116" t="s">
        <v>1404</v>
      </c>
      <c r="C741" s="117" t="s">
        <v>1405</v>
      </c>
      <c r="D741" s="118"/>
      <c r="E741" s="118">
        <v>2.0099999999999998</v>
      </c>
      <c r="F741" s="118"/>
    </row>
    <row r="742" spans="2:6" x14ac:dyDescent="0.2">
      <c r="B742" s="116" t="s">
        <v>3851</v>
      </c>
      <c r="C742" s="117" t="s">
        <v>3852</v>
      </c>
      <c r="D742" s="118">
        <v>1.66</v>
      </c>
      <c r="E742" s="118">
        <v>0.59</v>
      </c>
      <c r="F742" s="118">
        <v>4.63</v>
      </c>
    </row>
    <row r="743" spans="2:6" x14ac:dyDescent="0.2">
      <c r="B743" s="116" t="s">
        <v>1406</v>
      </c>
      <c r="C743" s="117" t="s">
        <v>1407</v>
      </c>
      <c r="D743" s="118">
        <v>12.09</v>
      </c>
      <c r="E743" s="118">
        <v>2.99</v>
      </c>
      <c r="F743" s="118">
        <v>8.6999999999999993</v>
      </c>
    </row>
    <row r="744" spans="2:6" x14ac:dyDescent="0.2">
      <c r="B744" s="116" t="s">
        <v>1408</v>
      </c>
      <c r="C744" s="117" t="s">
        <v>1409</v>
      </c>
      <c r="D744" s="118">
        <v>4.1100000000000003</v>
      </c>
      <c r="E744" s="118">
        <v>1.93</v>
      </c>
      <c r="F744" s="118">
        <v>11.3</v>
      </c>
    </row>
    <row r="745" spans="2:6" x14ac:dyDescent="0.2">
      <c r="B745" s="116" t="s">
        <v>3853</v>
      </c>
      <c r="C745" s="117" t="s">
        <v>3854</v>
      </c>
      <c r="D745" s="118">
        <v>0.62</v>
      </c>
      <c r="E745" s="118">
        <v>0.73</v>
      </c>
      <c r="F745" s="118">
        <v>4.58</v>
      </c>
    </row>
    <row r="746" spans="2:6" x14ac:dyDescent="0.2">
      <c r="B746" s="116" t="s">
        <v>3855</v>
      </c>
      <c r="C746" s="117" t="s">
        <v>3856</v>
      </c>
      <c r="D746" s="118"/>
      <c r="E746" s="118">
        <v>2.93</v>
      </c>
      <c r="F746" s="118"/>
    </row>
    <row r="747" spans="2:6" x14ac:dyDescent="0.2">
      <c r="B747" s="116" t="s">
        <v>1410</v>
      </c>
      <c r="C747" s="117" t="s">
        <v>1411</v>
      </c>
      <c r="D747" s="118">
        <v>10.85</v>
      </c>
      <c r="E747" s="118">
        <v>4.28</v>
      </c>
      <c r="F747" s="118">
        <v>11.13</v>
      </c>
    </row>
    <row r="748" spans="2:6" x14ac:dyDescent="0.2">
      <c r="B748" s="116" t="s">
        <v>3857</v>
      </c>
      <c r="C748" s="117" t="s">
        <v>3858</v>
      </c>
      <c r="D748" s="118">
        <v>5.16</v>
      </c>
      <c r="E748" s="118">
        <v>0.75</v>
      </c>
      <c r="F748" s="118">
        <v>8.66</v>
      </c>
    </row>
    <row r="749" spans="2:6" x14ac:dyDescent="0.2">
      <c r="B749" s="116" t="s">
        <v>1412</v>
      </c>
      <c r="C749" s="117" t="s">
        <v>1413</v>
      </c>
      <c r="D749" s="118">
        <v>2.83</v>
      </c>
      <c r="E749" s="118">
        <v>1.37</v>
      </c>
      <c r="F749" s="118">
        <v>0.46</v>
      </c>
    </row>
    <row r="750" spans="2:6" x14ac:dyDescent="0.2">
      <c r="B750" s="116" t="s">
        <v>3859</v>
      </c>
      <c r="C750" s="117" t="s">
        <v>3860</v>
      </c>
      <c r="D750" s="118">
        <v>0.67</v>
      </c>
      <c r="E750" s="118">
        <v>0.92</v>
      </c>
      <c r="F750" s="118">
        <v>11.82</v>
      </c>
    </row>
    <row r="751" spans="2:6" x14ac:dyDescent="0.2">
      <c r="B751" s="116" t="s">
        <v>1414</v>
      </c>
      <c r="C751" s="117" t="s">
        <v>1415</v>
      </c>
      <c r="D751" s="118"/>
      <c r="E751" s="118"/>
      <c r="F751" s="118"/>
    </row>
    <row r="752" spans="2:6" x14ac:dyDescent="0.2">
      <c r="B752" s="116" t="s">
        <v>1417</v>
      </c>
      <c r="C752" s="117" t="s">
        <v>1418</v>
      </c>
      <c r="D752" s="118">
        <v>1.97</v>
      </c>
      <c r="E752" s="118">
        <v>19.07</v>
      </c>
      <c r="F752" s="118">
        <v>28.17</v>
      </c>
    </row>
    <row r="753" spans="2:6" x14ac:dyDescent="0.2">
      <c r="B753" s="116" t="s">
        <v>1419</v>
      </c>
      <c r="C753" s="117" t="s">
        <v>1420</v>
      </c>
      <c r="D753" s="118">
        <v>3.35</v>
      </c>
      <c r="E753" s="118"/>
      <c r="F753" s="118">
        <v>-44.16</v>
      </c>
    </row>
    <row r="754" spans="2:6" x14ac:dyDescent="0.2">
      <c r="B754" s="116" t="s">
        <v>1421</v>
      </c>
      <c r="C754" s="117" t="s">
        <v>1422</v>
      </c>
      <c r="D754" s="118">
        <v>0.85</v>
      </c>
      <c r="E754" s="118">
        <v>1.05</v>
      </c>
      <c r="F754" s="118">
        <v>2.76</v>
      </c>
    </row>
    <row r="755" spans="2:6" x14ac:dyDescent="0.2">
      <c r="B755" s="116" t="s">
        <v>1423</v>
      </c>
      <c r="C755" s="117" t="s">
        <v>1424</v>
      </c>
      <c r="D755" s="118">
        <v>6.84</v>
      </c>
      <c r="E755" s="118">
        <v>11.9</v>
      </c>
      <c r="F755" s="118">
        <v>23.96</v>
      </c>
    </row>
    <row r="756" spans="2:6" x14ac:dyDescent="0.2">
      <c r="B756" s="116" t="s">
        <v>1425</v>
      </c>
      <c r="C756" s="117" t="s">
        <v>1426</v>
      </c>
      <c r="D756" s="118">
        <v>2.68</v>
      </c>
      <c r="E756" s="118">
        <v>1.43</v>
      </c>
      <c r="F756" s="118">
        <v>6.8</v>
      </c>
    </row>
    <row r="757" spans="2:6" x14ac:dyDescent="0.2">
      <c r="B757" s="116" t="s">
        <v>1427</v>
      </c>
      <c r="C757" s="117" t="s">
        <v>1428</v>
      </c>
      <c r="D757" s="118">
        <v>3.24</v>
      </c>
      <c r="E757" s="118">
        <v>3.26</v>
      </c>
      <c r="F757" s="118">
        <v>18.43</v>
      </c>
    </row>
    <row r="758" spans="2:6" x14ac:dyDescent="0.2">
      <c r="B758" s="116" t="s">
        <v>1429</v>
      </c>
      <c r="C758" s="117" t="s">
        <v>1430</v>
      </c>
      <c r="D758" s="118">
        <v>0.73</v>
      </c>
      <c r="E758" s="118">
        <v>1.41</v>
      </c>
      <c r="F758" s="118">
        <v>10.39</v>
      </c>
    </row>
    <row r="759" spans="2:6" x14ac:dyDescent="0.2">
      <c r="B759" s="116" t="s">
        <v>1431</v>
      </c>
      <c r="C759" s="117" t="s">
        <v>1432</v>
      </c>
      <c r="D759" s="118">
        <v>0.85</v>
      </c>
      <c r="E759" s="118">
        <v>0.91</v>
      </c>
      <c r="F759" s="118">
        <v>5.7</v>
      </c>
    </row>
    <row r="760" spans="2:6" x14ac:dyDescent="0.2">
      <c r="B760" s="116" t="s">
        <v>1434</v>
      </c>
      <c r="C760" s="117" t="s">
        <v>1435</v>
      </c>
      <c r="D760" s="118">
        <v>2.2000000000000002</v>
      </c>
      <c r="E760" s="118"/>
      <c r="F760" s="118">
        <v>-939.99</v>
      </c>
    </row>
    <row r="761" spans="2:6" x14ac:dyDescent="0.2">
      <c r="B761" s="116" t="s">
        <v>3861</v>
      </c>
      <c r="C761" s="117" t="s">
        <v>3862</v>
      </c>
      <c r="D761" s="118"/>
      <c r="E761" s="118"/>
      <c r="F761" s="118"/>
    </row>
    <row r="762" spans="2:6" x14ac:dyDescent="0.2">
      <c r="B762" s="116" t="s">
        <v>1436</v>
      </c>
      <c r="C762" s="117" t="s">
        <v>3863</v>
      </c>
      <c r="D762" s="118">
        <v>4.63</v>
      </c>
      <c r="E762" s="118">
        <v>0.41</v>
      </c>
      <c r="F762" s="118">
        <v>-1.64</v>
      </c>
    </row>
    <row r="763" spans="2:6" x14ac:dyDescent="0.2">
      <c r="B763" s="116" t="s">
        <v>3864</v>
      </c>
      <c r="C763" s="117" t="s">
        <v>3865</v>
      </c>
      <c r="D763" s="118">
        <v>4.4000000000000004</v>
      </c>
      <c r="E763" s="118">
        <v>0.39</v>
      </c>
      <c r="F763" s="118">
        <v>-1.63</v>
      </c>
    </row>
    <row r="764" spans="2:6" x14ac:dyDescent="0.2">
      <c r="B764" s="116" t="s">
        <v>1436</v>
      </c>
      <c r="C764" s="117" t="s">
        <v>1437</v>
      </c>
      <c r="D764" s="118">
        <v>4.88</v>
      </c>
      <c r="E764" s="118">
        <v>0.43</v>
      </c>
      <c r="F764" s="118">
        <v>-1.63</v>
      </c>
    </row>
    <row r="765" spans="2:6" x14ac:dyDescent="0.2">
      <c r="B765" s="116" t="s">
        <v>3866</v>
      </c>
      <c r="C765" s="117" t="s">
        <v>3867</v>
      </c>
      <c r="D765" s="118"/>
      <c r="E765" s="118"/>
      <c r="F765" s="118"/>
    </row>
    <row r="766" spans="2:6" x14ac:dyDescent="0.2">
      <c r="B766" s="116" t="s">
        <v>1438</v>
      </c>
      <c r="C766" s="117" t="s">
        <v>1439</v>
      </c>
      <c r="D766" s="118">
        <v>2.27</v>
      </c>
      <c r="E766" s="118">
        <v>4.68</v>
      </c>
      <c r="F766" s="118">
        <v>21.87</v>
      </c>
    </row>
    <row r="767" spans="2:6" x14ac:dyDescent="0.2">
      <c r="B767" s="116" t="s">
        <v>1440</v>
      </c>
      <c r="C767" s="117" t="s">
        <v>1441</v>
      </c>
      <c r="D767" s="118">
        <v>5.63</v>
      </c>
      <c r="E767" s="118">
        <v>2.09</v>
      </c>
      <c r="F767" s="118">
        <v>13.02</v>
      </c>
    </row>
    <row r="768" spans="2:6" x14ac:dyDescent="0.2">
      <c r="B768" s="116" t="s">
        <v>3868</v>
      </c>
      <c r="C768" s="117" t="s">
        <v>3869</v>
      </c>
      <c r="D768" s="118">
        <v>1.66</v>
      </c>
      <c r="E768" s="118">
        <v>1.69</v>
      </c>
      <c r="F768" s="118">
        <v>19.07</v>
      </c>
    </row>
    <row r="769" spans="2:6" x14ac:dyDescent="0.2">
      <c r="B769" s="116" t="s">
        <v>1442</v>
      </c>
      <c r="C769" s="117" t="s">
        <v>1443</v>
      </c>
      <c r="D769" s="118"/>
      <c r="E769" s="118">
        <v>4.38</v>
      </c>
      <c r="F769" s="118">
        <v>-34.44</v>
      </c>
    </row>
    <row r="770" spans="2:6" x14ac:dyDescent="0.2">
      <c r="B770" s="116" t="s">
        <v>3870</v>
      </c>
      <c r="C770" s="117" t="s">
        <v>3871</v>
      </c>
      <c r="D770" s="118"/>
      <c r="E770" s="118"/>
      <c r="F770" s="118"/>
    </row>
    <row r="771" spans="2:6" x14ac:dyDescent="0.2">
      <c r="B771" s="116" t="s">
        <v>1444</v>
      </c>
      <c r="C771" s="117" t="s">
        <v>1445</v>
      </c>
      <c r="D771" s="118">
        <v>1.41</v>
      </c>
      <c r="E771" s="118">
        <v>4.2</v>
      </c>
      <c r="F771" s="118">
        <v>26.81</v>
      </c>
    </row>
    <row r="772" spans="2:6" x14ac:dyDescent="0.2">
      <c r="B772" s="116" t="s">
        <v>1446</v>
      </c>
      <c r="C772" s="117" t="s">
        <v>1447</v>
      </c>
      <c r="D772" s="118">
        <v>4.21</v>
      </c>
      <c r="E772" s="118">
        <v>12.42</v>
      </c>
      <c r="F772" s="118">
        <v>11.44</v>
      </c>
    </row>
    <row r="773" spans="2:6" x14ac:dyDescent="0.2">
      <c r="B773" s="116" t="s">
        <v>1449</v>
      </c>
      <c r="C773" s="117" t="s">
        <v>1450</v>
      </c>
      <c r="D773" s="118">
        <v>2.27</v>
      </c>
      <c r="E773" s="118">
        <v>3.34</v>
      </c>
      <c r="F773" s="118">
        <v>15.17</v>
      </c>
    </row>
    <row r="774" spans="2:6" x14ac:dyDescent="0.2">
      <c r="B774" s="116" t="s">
        <v>1451</v>
      </c>
      <c r="C774" s="117" t="s">
        <v>1452</v>
      </c>
      <c r="D774" s="118">
        <v>10.08</v>
      </c>
      <c r="E774" s="118">
        <v>4.18</v>
      </c>
      <c r="F774" s="118">
        <v>-6.7</v>
      </c>
    </row>
    <row r="775" spans="2:6" x14ac:dyDescent="0.2">
      <c r="B775" s="116" t="s">
        <v>1453</v>
      </c>
      <c r="C775" s="117" t="s">
        <v>1454</v>
      </c>
      <c r="D775" s="118">
        <v>0.69</v>
      </c>
      <c r="E775" s="118">
        <v>1.46</v>
      </c>
      <c r="F775" s="118">
        <v>10.64</v>
      </c>
    </row>
    <row r="776" spans="2:6" x14ac:dyDescent="0.2">
      <c r="B776" s="116" t="s">
        <v>1455</v>
      </c>
      <c r="C776" s="117" t="s">
        <v>1456</v>
      </c>
      <c r="D776" s="118">
        <v>0.93</v>
      </c>
      <c r="E776" s="118">
        <v>1.97</v>
      </c>
      <c r="F776" s="118">
        <v>5.13</v>
      </c>
    </row>
    <row r="777" spans="2:6" x14ac:dyDescent="0.2">
      <c r="B777" s="116" t="s">
        <v>1457</v>
      </c>
      <c r="C777" s="117" t="s">
        <v>1458</v>
      </c>
      <c r="D777" s="118"/>
      <c r="E777" s="118"/>
      <c r="F777" s="118"/>
    </row>
    <row r="778" spans="2:6" x14ac:dyDescent="0.2">
      <c r="B778" s="116" t="s">
        <v>1459</v>
      </c>
      <c r="C778" s="117" t="s">
        <v>1460</v>
      </c>
      <c r="D778" s="118"/>
      <c r="E778" s="118">
        <v>2.15</v>
      </c>
      <c r="F778" s="118"/>
    </row>
    <row r="779" spans="2:6" x14ac:dyDescent="0.2">
      <c r="B779" s="116" t="s">
        <v>3872</v>
      </c>
      <c r="C779" s="117" t="s">
        <v>3873</v>
      </c>
      <c r="D779" s="118">
        <v>3.97</v>
      </c>
      <c r="E779" s="118">
        <v>4.21</v>
      </c>
      <c r="F779" s="118">
        <v>21.76</v>
      </c>
    </row>
    <row r="780" spans="2:6" x14ac:dyDescent="0.2">
      <c r="B780" s="116" t="s">
        <v>1461</v>
      </c>
      <c r="C780" s="117" t="s">
        <v>1462</v>
      </c>
      <c r="D780" s="118"/>
      <c r="E780" s="118">
        <v>1.52</v>
      </c>
      <c r="F780" s="118"/>
    </row>
    <row r="781" spans="2:6" x14ac:dyDescent="0.2">
      <c r="B781" s="116" t="s">
        <v>1463</v>
      </c>
      <c r="C781" s="117" t="s">
        <v>1464</v>
      </c>
      <c r="D781" s="118"/>
      <c r="E781" s="118">
        <v>3.65</v>
      </c>
      <c r="F781" s="118"/>
    </row>
    <row r="782" spans="2:6" x14ac:dyDescent="0.2">
      <c r="B782" s="116" t="s">
        <v>1465</v>
      </c>
      <c r="C782" s="117" t="s">
        <v>1466</v>
      </c>
      <c r="D782" s="118">
        <v>0.46</v>
      </c>
      <c r="E782" s="118">
        <v>0.79</v>
      </c>
      <c r="F782" s="118">
        <v>7.97</v>
      </c>
    </row>
    <row r="783" spans="2:6" x14ac:dyDescent="0.2">
      <c r="B783" s="116" t="s">
        <v>1468</v>
      </c>
      <c r="C783" s="117" t="s">
        <v>1469</v>
      </c>
      <c r="D783" s="118">
        <v>4.6100000000000003</v>
      </c>
      <c r="E783" s="118">
        <v>8.24</v>
      </c>
      <c r="F783" s="118">
        <v>39.22</v>
      </c>
    </row>
    <row r="784" spans="2:6" x14ac:dyDescent="0.2">
      <c r="B784" s="116" t="s">
        <v>1470</v>
      </c>
      <c r="C784" s="117" t="s">
        <v>1471</v>
      </c>
      <c r="D784" s="118">
        <v>47.34</v>
      </c>
      <c r="E784" s="118">
        <v>7.9</v>
      </c>
      <c r="F784" s="118">
        <v>-22.93</v>
      </c>
    </row>
    <row r="785" spans="2:6" x14ac:dyDescent="0.2">
      <c r="B785" s="116" t="s">
        <v>3874</v>
      </c>
      <c r="C785" s="117" t="s">
        <v>3875</v>
      </c>
      <c r="D785" s="118">
        <v>1.29</v>
      </c>
      <c r="E785" s="118">
        <v>1.19</v>
      </c>
      <c r="F785" s="118">
        <v>7.88</v>
      </c>
    </row>
    <row r="786" spans="2:6" x14ac:dyDescent="0.2">
      <c r="B786" s="116" t="s">
        <v>1472</v>
      </c>
      <c r="C786" s="117" t="s">
        <v>1473</v>
      </c>
      <c r="D786" s="118">
        <v>2.3199999999999998</v>
      </c>
      <c r="E786" s="118">
        <v>4.28</v>
      </c>
      <c r="F786" s="118">
        <v>18.78</v>
      </c>
    </row>
    <row r="787" spans="2:6" x14ac:dyDescent="0.2">
      <c r="B787" s="116" t="s">
        <v>1474</v>
      </c>
      <c r="C787" s="117" t="s">
        <v>1475</v>
      </c>
      <c r="D787" s="118">
        <v>2.4700000000000002</v>
      </c>
      <c r="E787" s="118">
        <v>3.84</v>
      </c>
      <c r="F787" s="118">
        <v>18.48</v>
      </c>
    </row>
    <row r="788" spans="2:6" x14ac:dyDescent="0.2">
      <c r="B788" s="116" t="s">
        <v>1476</v>
      </c>
      <c r="C788" s="117" t="s">
        <v>1477</v>
      </c>
      <c r="D788" s="118">
        <v>3.76</v>
      </c>
      <c r="E788" s="118">
        <v>3.7</v>
      </c>
      <c r="F788" s="118">
        <v>37.119999999999997</v>
      </c>
    </row>
    <row r="789" spans="2:6" x14ac:dyDescent="0.2">
      <c r="B789" s="116" t="s">
        <v>1478</v>
      </c>
      <c r="C789" s="117" t="s">
        <v>1479</v>
      </c>
      <c r="D789" s="118">
        <v>1.96</v>
      </c>
      <c r="E789" s="118">
        <v>4.2699999999999996</v>
      </c>
      <c r="F789" s="118">
        <v>27.38</v>
      </c>
    </row>
    <row r="790" spans="2:6" x14ac:dyDescent="0.2">
      <c r="B790" s="116" t="s">
        <v>1480</v>
      </c>
      <c r="C790" s="117" t="s">
        <v>1481</v>
      </c>
      <c r="D790" s="118"/>
      <c r="E790" s="118">
        <v>1.1399999999999999</v>
      </c>
      <c r="F790" s="118"/>
    </row>
    <row r="791" spans="2:6" x14ac:dyDescent="0.2">
      <c r="B791" s="116" t="s">
        <v>1482</v>
      </c>
      <c r="C791" s="117" t="s">
        <v>1483</v>
      </c>
      <c r="D791" s="118">
        <v>2.35</v>
      </c>
      <c r="E791" s="118">
        <v>1.55</v>
      </c>
      <c r="F791" s="118">
        <v>12.34</v>
      </c>
    </row>
    <row r="792" spans="2:6" x14ac:dyDescent="0.2">
      <c r="B792" s="116" t="s">
        <v>1484</v>
      </c>
      <c r="C792" s="117" t="s">
        <v>1485</v>
      </c>
      <c r="D792" s="118"/>
      <c r="E792" s="118">
        <v>1.92</v>
      </c>
      <c r="F792" s="118"/>
    </row>
    <row r="793" spans="2:6" x14ac:dyDescent="0.2">
      <c r="B793" s="116" t="s">
        <v>3876</v>
      </c>
      <c r="C793" s="117" t="s">
        <v>3877</v>
      </c>
      <c r="D793" s="118"/>
      <c r="E793" s="118"/>
      <c r="F793" s="118"/>
    </row>
    <row r="794" spans="2:6" x14ac:dyDescent="0.2">
      <c r="B794" s="116" t="s">
        <v>1487</v>
      </c>
      <c r="C794" s="117" t="s">
        <v>1488</v>
      </c>
      <c r="D794" s="118">
        <v>7.6</v>
      </c>
      <c r="E794" s="118">
        <v>1.24</v>
      </c>
      <c r="F794" s="118">
        <v>-5.83</v>
      </c>
    </row>
    <row r="795" spans="2:6" x14ac:dyDescent="0.2">
      <c r="B795" s="116" t="s">
        <v>1489</v>
      </c>
      <c r="C795" s="117" t="s">
        <v>1490</v>
      </c>
      <c r="D795" s="118"/>
      <c r="E795" s="118">
        <v>1</v>
      </c>
      <c r="F795" s="118"/>
    </row>
    <row r="796" spans="2:6" x14ac:dyDescent="0.2">
      <c r="B796" s="116" t="s">
        <v>1491</v>
      </c>
      <c r="C796" s="117" t="s">
        <v>1492</v>
      </c>
      <c r="D796" s="118">
        <v>5.98</v>
      </c>
      <c r="E796" s="118">
        <v>8.9</v>
      </c>
      <c r="F796" s="118">
        <v>16.39</v>
      </c>
    </row>
    <row r="797" spans="2:6" x14ac:dyDescent="0.2">
      <c r="B797" s="116" t="s">
        <v>1494</v>
      </c>
      <c r="C797" s="117" t="s">
        <v>1495</v>
      </c>
      <c r="D797" s="118">
        <v>0.65</v>
      </c>
      <c r="E797" s="118">
        <v>1.92</v>
      </c>
      <c r="F797" s="118">
        <v>9.19</v>
      </c>
    </row>
    <row r="798" spans="2:6" x14ac:dyDescent="0.2">
      <c r="B798" s="116" t="s">
        <v>1496</v>
      </c>
      <c r="C798" s="117" t="s">
        <v>1497</v>
      </c>
      <c r="D798" s="118">
        <v>23.8</v>
      </c>
      <c r="E798" s="118">
        <v>6.87</v>
      </c>
      <c r="F798" s="118">
        <v>-5.45</v>
      </c>
    </row>
    <row r="799" spans="2:6" x14ac:dyDescent="0.2">
      <c r="B799" s="116" t="s">
        <v>1498</v>
      </c>
      <c r="C799" s="117" t="s">
        <v>1499</v>
      </c>
      <c r="D799" s="118">
        <v>7.34</v>
      </c>
      <c r="E799" s="118">
        <v>3.86</v>
      </c>
      <c r="F799" s="118">
        <v>14.98</v>
      </c>
    </row>
    <row r="800" spans="2:6" x14ac:dyDescent="0.2">
      <c r="B800" s="116" t="s">
        <v>1500</v>
      </c>
      <c r="C800" s="117" t="s">
        <v>1501</v>
      </c>
      <c r="D800" s="118">
        <v>1.84</v>
      </c>
      <c r="E800" s="118">
        <v>1.93</v>
      </c>
      <c r="F800" s="118">
        <v>15.6</v>
      </c>
    </row>
    <row r="801" spans="2:6" x14ac:dyDescent="0.2">
      <c r="B801" s="116" t="s">
        <v>1502</v>
      </c>
      <c r="C801" s="117" t="s">
        <v>1503</v>
      </c>
      <c r="D801" s="118">
        <v>0.37</v>
      </c>
      <c r="E801" s="118">
        <v>1.1299999999999999</v>
      </c>
      <c r="F801" s="118">
        <v>21.08</v>
      </c>
    </row>
    <row r="802" spans="2:6" x14ac:dyDescent="0.2">
      <c r="B802" s="116" t="s">
        <v>1504</v>
      </c>
      <c r="C802" s="117" t="s">
        <v>1505</v>
      </c>
      <c r="D802" s="118">
        <v>6.92</v>
      </c>
      <c r="E802" s="118">
        <v>3.99</v>
      </c>
      <c r="F802" s="118">
        <v>13.29</v>
      </c>
    </row>
    <row r="803" spans="2:6" x14ac:dyDescent="0.2">
      <c r="B803" s="116" t="s">
        <v>3878</v>
      </c>
      <c r="C803" s="117" t="s">
        <v>3879</v>
      </c>
      <c r="D803" s="118">
        <v>1.41</v>
      </c>
      <c r="E803" s="118">
        <v>1.87</v>
      </c>
      <c r="F803" s="118">
        <v>8.5</v>
      </c>
    </row>
    <row r="804" spans="2:6" x14ac:dyDescent="0.2">
      <c r="B804" s="116" t="s">
        <v>3880</v>
      </c>
      <c r="C804" s="117" t="s">
        <v>3881</v>
      </c>
      <c r="D804" s="118">
        <v>25.75</v>
      </c>
      <c r="E804" s="118">
        <v>10.08</v>
      </c>
      <c r="F804" s="118">
        <v>14.32</v>
      </c>
    </row>
    <row r="805" spans="2:6" x14ac:dyDescent="0.2">
      <c r="B805" s="116" t="s">
        <v>1506</v>
      </c>
      <c r="C805" s="117" t="s">
        <v>1507</v>
      </c>
      <c r="D805" s="118">
        <v>3.22</v>
      </c>
      <c r="E805" s="118">
        <v>7.52</v>
      </c>
      <c r="F805" s="118">
        <v>26.22</v>
      </c>
    </row>
    <row r="806" spans="2:6" x14ac:dyDescent="0.2">
      <c r="B806" s="116" t="s">
        <v>1508</v>
      </c>
      <c r="C806" s="117" t="s">
        <v>1509</v>
      </c>
      <c r="D806" s="118">
        <v>2.34</v>
      </c>
      <c r="E806" s="118">
        <v>5.72</v>
      </c>
      <c r="F806" s="118">
        <v>38.99</v>
      </c>
    </row>
    <row r="807" spans="2:6" x14ac:dyDescent="0.2">
      <c r="B807" s="116" t="s">
        <v>1511</v>
      </c>
      <c r="C807" s="117" t="s">
        <v>1512</v>
      </c>
      <c r="D807" s="118">
        <v>3.82</v>
      </c>
      <c r="E807" s="118">
        <v>3.71</v>
      </c>
      <c r="F807" s="118">
        <v>23.08</v>
      </c>
    </row>
    <row r="808" spans="2:6" x14ac:dyDescent="0.2">
      <c r="B808" s="116" t="s">
        <v>3882</v>
      </c>
      <c r="C808" s="117" t="s">
        <v>3883</v>
      </c>
      <c r="D808" s="118"/>
      <c r="E808" s="118">
        <v>4.55</v>
      </c>
      <c r="F808" s="118"/>
    </row>
    <row r="809" spans="2:6" x14ac:dyDescent="0.2">
      <c r="B809" s="116" t="s">
        <v>1513</v>
      </c>
      <c r="C809" s="117" t="s">
        <v>1514</v>
      </c>
      <c r="D809" s="118">
        <v>4.1500000000000004</v>
      </c>
      <c r="E809" s="118">
        <v>1.75</v>
      </c>
      <c r="F809" s="118">
        <v>3.49</v>
      </c>
    </row>
    <row r="810" spans="2:6" x14ac:dyDescent="0.2">
      <c r="B810" s="116" t="s">
        <v>1515</v>
      </c>
      <c r="C810" s="117" t="s">
        <v>3884</v>
      </c>
      <c r="D810" s="118">
        <v>5.75</v>
      </c>
      <c r="E810" s="118">
        <v>4.4400000000000004</v>
      </c>
      <c r="F810" s="118">
        <v>20.149999999999999</v>
      </c>
    </row>
    <row r="811" spans="2:6" x14ac:dyDescent="0.2">
      <c r="B811" s="116" t="s">
        <v>1515</v>
      </c>
      <c r="C811" s="117" t="s">
        <v>1516</v>
      </c>
      <c r="D811" s="118">
        <v>5.75</v>
      </c>
      <c r="E811" s="118">
        <v>4.4400000000000004</v>
      </c>
      <c r="F811" s="118">
        <v>20.149999999999999</v>
      </c>
    </row>
    <row r="812" spans="2:6" x14ac:dyDescent="0.2">
      <c r="B812" s="116" t="s">
        <v>1517</v>
      </c>
      <c r="C812" s="117" t="s">
        <v>1518</v>
      </c>
      <c r="D812" s="118">
        <v>7.11</v>
      </c>
      <c r="E812" s="118">
        <v>18.559999999999999</v>
      </c>
      <c r="F812" s="118">
        <v>41.47</v>
      </c>
    </row>
    <row r="813" spans="2:6" x14ac:dyDescent="0.2">
      <c r="B813" s="116" t="s">
        <v>1519</v>
      </c>
      <c r="C813" s="117" t="s">
        <v>1520</v>
      </c>
      <c r="D813" s="118">
        <v>0.75</v>
      </c>
      <c r="E813" s="118">
        <v>3.86</v>
      </c>
      <c r="F813" s="118">
        <v>23.16</v>
      </c>
    </row>
    <row r="814" spans="2:6" x14ac:dyDescent="0.2">
      <c r="B814" s="116" t="s">
        <v>3885</v>
      </c>
      <c r="C814" s="117" t="s">
        <v>3886</v>
      </c>
      <c r="D814" s="118"/>
      <c r="E814" s="118"/>
      <c r="F814" s="118"/>
    </row>
    <row r="815" spans="2:6" x14ac:dyDescent="0.2">
      <c r="B815" s="116" t="s">
        <v>1521</v>
      </c>
      <c r="C815" s="117" t="s">
        <v>1522</v>
      </c>
      <c r="D815" s="118">
        <v>0.69</v>
      </c>
      <c r="E815" s="118">
        <v>2.04</v>
      </c>
      <c r="F815" s="118">
        <v>12.94</v>
      </c>
    </row>
    <row r="816" spans="2:6" x14ac:dyDescent="0.2">
      <c r="B816" s="116" t="s">
        <v>1523</v>
      </c>
      <c r="C816" s="117" t="s">
        <v>1524</v>
      </c>
      <c r="D816" s="118">
        <v>7.12</v>
      </c>
      <c r="E816" s="118">
        <v>6.06</v>
      </c>
      <c r="F816" s="118">
        <v>20.36</v>
      </c>
    </row>
    <row r="817" spans="2:6" x14ac:dyDescent="0.2">
      <c r="B817" s="116" t="s">
        <v>3887</v>
      </c>
      <c r="C817" s="117" t="s">
        <v>3888</v>
      </c>
      <c r="D817" s="118">
        <v>1.25</v>
      </c>
      <c r="E817" s="118">
        <v>1.31</v>
      </c>
      <c r="F817" s="118">
        <v>11.04</v>
      </c>
    </row>
    <row r="818" spans="2:6" x14ac:dyDescent="0.2">
      <c r="B818" s="116" t="s">
        <v>1525</v>
      </c>
      <c r="C818" s="117" t="s">
        <v>1526</v>
      </c>
      <c r="D818" s="118">
        <v>0.39</v>
      </c>
      <c r="E818" s="118">
        <v>1.78</v>
      </c>
      <c r="F818" s="118">
        <v>24.53</v>
      </c>
    </row>
    <row r="819" spans="2:6" x14ac:dyDescent="0.2">
      <c r="B819" s="116" t="s">
        <v>1527</v>
      </c>
      <c r="C819" s="117" t="s">
        <v>1528</v>
      </c>
      <c r="D819" s="118">
        <v>2.2599999999999998</v>
      </c>
      <c r="E819" s="118">
        <v>11.69</v>
      </c>
      <c r="F819" s="118">
        <v>85.42</v>
      </c>
    </row>
    <row r="820" spans="2:6" x14ac:dyDescent="0.2">
      <c r="B820" s="116" t="s">
        <v>1529</v>
      </c>
      <c r="C820" s="117" t="s">
        <v>1530</v>
      </c>
      <c r="D820" s="118">
        <v>2.5099999999999998</v>
      </c>
      <c r="E820" s="118">
        <v>2.57</v>
      </c>
      <c r="F820" s="118">
        <v>14.88</v>
      </c>
    </row>
    <row r="821" spans="2:6" x14ac:dyDescent="0.2">
      <c r="B821" s="116" t="s">
        <v>1531</v>
      </c>
      <c r="C821" s="117" t="s">
        <v>1532</v>
      </c>
      <c r="D821" s="118">
        <v>4.8600000000000003</v>
      </c>
      <c r="E821" s="118">
        <v>4.0599999999999996</v>
      </c>
      <c r="F821" s="118">
        <v>17.97</v>
      </c>
    </row>
    <row r="822" spans="2:6" x14ac:dyDescent="0.2">
      <c r="B822" s="116" t="s">
        <v>1533</v>
      </c>
      <c r="C822" s="117" t="s">
        <v>1534</v>
      </c>
      <c r="D822" s="118">
        <v>4.6100000000000003</v>
      </c>
      <c r="E822" s="118">
        <v>3.68</v>
      </c>
      <c r="F822" s="118">
        <v>4.25</v>
      </c>
    </row>
    <row r="823" spans="2:6" x14ac:dyDescent="0.2">
      <c r="B823" s="116" t="s">
        <v>1535</v>
      </c>
      <c r="C823" s="117" t="s">
        <v>1536</v>
      </c>
      <c r="D823" s="118">
        <v>1.74</v>
      </c>
      <c r="E823" s="118">
        <v>0.96</v>
      </c>
      <c r="F823" s="118">
        <v>12.43</v>
      </c>
    </row>
    <row r="824" spans="2:6" x14ac:dyDescent="0.2">
      <c r="B824" s="116" t="s">
        <v>1537</v>
      </c>
      <c r="C824" s="117" t="s">
        <v>1538</v>
      </c>
      <c r="D824" s="118">
        <v>2.6</v>
      </c>
      <c r="E824" s="118">
        <v>27.07</v>
      </c>
      <c r="F824" s="118">
        <v>175.45</v>
      </c>
    </row>
    <row r="825" spans="2:6" x14ac:dyDescent="0.2">
      <c r="B825" s="116" t="s">
        <v>3889</v>
      </c>
      <c r="C825" s="117" t="s">
        <v>3890</v>
      </c>
      <c r="D825" s="118"/>
      <c r="E825" s="118"/>
      <c r="F825" s="118"/>
    </row>
    <row r="826" spans="2:6" x14ac:dyDescent="0.2">
      <c r="B826" s="116" t="s">
        <v>1539</v>
      </c>
      <c r="C826" s="117" t="s">
        <v>1540</v>
      </c>
      <c r="D826" s="118">
        <v>0.21</v>
      </c>
      <c r="E826" s="118">
        <v>0.64</v>
      </c>
      <c r="F826" s="118">
        <v>7.66</v>
      </c>
    </row>
    <row r="827" spans="2:6" x14ac:dyDescent="0.2">
      <c r="B827" s="116" t="s">
        <v>3891</v>
      </c>
      <c r="C827" s="117" t="s">
        <v>3892</v>
      </c>
      <c r="D827" s="118"/>
      <c r="E827" s="118">
        <v>1.83</v>
      </c>
      <c r="F827" s="118"/>
    </row>
    <row r="828" spans="2:6" x14ac:dyDescent="0.2">
      <c r="B828" s="116" t="s">
        <v>1541</v>
      </c>
      <c r="C828" s="117" t="s">
        <v>1542</v>
      </c>
      <c r="D828" s="118">
        <v>33.090000000000003</v>
      </c>
      <c r="E828" s="118">
        <v>5.46</v>
      </c>
      <c r="F828" s="118">
        <v>-38.090000000000003</v>
      </c>
    </row>
    <row r="829" spans="2:6" x14ac:dyDescent="0.2">
      <c r="B829" s="116" t="s">
        <v>1543</v>
      </c>
      <c r="C829" s="117" t="s">
        <v>1544</v>
      </c>
      <c r="D829" s="118">
        <v>2.72</v>
      </c>
      <c r="E829" s="118">
        <v>1.7</v>
      </c>
      <c r="F829" s="118">
        <v>6.41</v>
      </c>
    </row>
    <row r="830" spans="2:6" x14ac:dyDescent="0.2">
      <c r="B830" s="116" t="s">
        <v>1545</v>
      </c>
      <c r="C830" s="117" t="s">
        <v>1546</v>
      </c>
      <c r="D830" s="118">
        <v>12.42</v>
      </c>
      <c r="E830" s="118">
        <v>5.83</v>
      </c>
      <c r="F830" s="118">
        <v>3.4</v>
      </c>
    </row>
    <row r="831" spans="2:6" x14ac:dyDescent="0.2">
      <c r="B831" s="116" t="s">
        <v>1547</v>
      </c>
      <c r="C831" s="117" t="s">
        <v>1548</v>
      </c>
      <c r="D831" s="118">
        <v>1.41</v>
      </c>
      <c r="E831" s="118">
        <v>7.54</v>
      </c>
      <c r="F831" s="118">
        <v>46.27</v>
      </c>
    </row>
    <row r="832" spans="2:6" x14ac:dyDescent="0.2">
      <c r="B832" s="116" t="s">
        <v>3893</v>
      </c>
      <c r="C832" s="117" t="s">
        <v>3894</v>
      </c>
      <c r="D832" s="118">
        <v>0.78</v>
      </c>
      <c r="E832" s="118">
        <v>0.99</v>
      </c>
      <c r="F832" s="118">
        <v>21.01</v>
      </c>
    </row>
    <row r="833" spans="2:6" x14ac:dyDescent="0.2">
      <c r="B833" s="116" t="s">
        <v>1549</v>
      </c>
      <c r="C833" s="117" t="s">
        <v>1550</v>
      </c>
      <c r="D833" s="118">
        <v>1.67</v>
      </c>
      <c r="E833" s="118">
        <v>2.1800000000000002</v>
      </c>
      <c r="F833" s="118">
        <v>6.34</v>
      </c>
    </row>
    <row r="834" spans="2:6" x14ac:dyDescent="0.2">
      <c r="B834" s="116" t="s">
        <v>1551</v>
      </c>
      <c r="C834" s="117" t="s">
        <v>1552</v>
      </c>
      <c r="D834" s="118">
        <v>6.73</v>
      </c>
      <c r="E834" s="118">
        <v>11.23</v>
      </c>
      <c r="F834" s="118">
        <v>21.07</v>
      </c>
    </row>
    <row r="835" spans="2:6" x14ac:dyDescent="0.2">
      <c r="B835" s="116" t="s">
        <v>1553</v>
      </c>
      <c r="C835" s="117" t="s">
        <v>1554</v>
      </c>
      <c r="D835" s="118">
        <v>0.75</v>
      </c>
      <c r="E835" s="118">
        <v>1.88</v>
      </c>
      <c r="F835" s="118">
        <v>13.76</v>
      </c>
    </row>
    <row r="836" spans="2:6" x14ac:dyDescent="0.2">
      <c r="B836" s="116" t="s">
        <v>1555</v>
      </c>
      <c r="C836" s="117" t="s">
        <v>1556</v>
      </c>
      <c r="D836" s="118">
        <v>3.17</v>
      </c>
      <c r="E836" s="118">
        <v>8.65</v>
      </c>
      <c r="F836" s="118">
        <v>30.92</v>
      </c>
    </row>
    <row r="837" spans="2:6" x14ac:dyDescent="0.2">
      <c r="B837" s="116" t="s">
        <v>3895</v>
      </c>
      <c r="C837" s="117" t="s">
        <v>3896</v>
      </c>
      <c r="D837" s="118"/>
      <c r="E837" s="118"/>
      <c r="F837" s="118"/>
    </row>
    <row r="838" spans="2:6" x14ac:dyDescent="0.2">
      <c r="B838" s="116" t="s">
        <v>1557</v>
      </c>
      <c r="C838" s="117" t="s">
        <v>1558</v>
      </c>
      <c r="D838" s="118">
        <v>2.69</v>
      </c>
      <c r="E838" s="118">
        <v>1.43</v>
      </c>
      <c r="F838" s="118">
        <v>14.23</v>
      </c>
    </row>
    <row r="839" spans="2:6" x14ac:dyDescent="0.2">
      <c r="B839" s="116" t="s">
        <v>1559</v>
      </c>
      <c r="C839" s="117" t="s">
        <v>1560</v>
      </c>
      <c r="D839" s="118">
        <v>0.74</v>
      </c>
      <c r="E839" s="118">
        <v>4.57</v>
      </c>
      <c r="F839" s="118">
        <v>63.57</v>
      </c>
    </row>
    <row r="840" spans="2:6" x14ac:dyDescent="0.2">
      <c r="B840" s="116" t="s">
        <v>1561</v>
      </c>
      <c r="C840" s="117" t="s">
        <v>1562</v>
      </c>
      <c r="D840" s="118">
        <v>0.87</v>
      </c>
      <c r="E840" s="118"/>
      <c r="F840" s="118">
        <v>-135.9</v>
      </c>
    </row>
    <row r="841" spans="2:6" x14ac:dyDescent="0.2">
      <c r="B841" s="116" t="s">
        <v>1564</v>
      </c>
      <c r="C841" s="117" t="s">
        <v>1565</v>
      </c>
      <c r="D841" s="118">
        <v>1.08</v>
      </c>
      <c r="E841" s="118">
        <v>1.7</v>
      </c>
      <c r="F841" s="118">
        <v>6.06</v>
      </c>
    </row>
    <row r="842" spans="2:6" x14ac:dyDescent="0.2">
      <c r="B842" s="116" t="s">
        <v>3897</v>
      </c>
      <c r="C842" s="117" t="s">
        <v>3898</v>
      </c>
      <c r="D842" s="118"/>
      <c r="E842" s="118">
        <v>0.97</v>
      </c>
      <c r="F842" s="118"/>
    </row>
    <row r="843" spans="2:6" x14ac:dyDescent="0.2">
      <c r="B843" s="116" t="s">
        <v>1566</v>
      </c>
      <c r="C843" s="117" t="s">
        <v>1567</v>
      </c>
      <c r="D843" s="118">
        <v>9.42</v>
      </c>
      <c r="E843" s="118">
        <v>2.6</v>
      </c>
      <c r="F843" s="118">
        <v>15.54</v>
      </c>
    </row>
    <row r="844" spans="2:6" x14ac:dyDescent="0.2">
      <c r="B844" s="116" t="s">
        <v>1568</v>
      </c>
      <c r="C844" s="117" t="s">
        <v>1569</v>
      </c>
      <c r="D844" s="118">
        <v>2.2400000000000002</v>
      </c>
      <c r="E844" s="118"/>
      <c r="F844" s="118">
        <v>-1179.69</v>
      </c>
    </row>
    <row r="845" spans="2:6" x14ac:dyDescent="0.2">
      <c r="B845" s="116" t="s">
        <v>1570</v>
      </c>
      <c r="C845" s="117" t="s">
        <v>1571</v>
      </c>
      <c r="D845" s="118">
        <v>5.85</v>
      </c>
      <c r="E845" s="118">
        <v>4.09</v>
      </c>
      <c r="F845" s="118">
        <v>13.23</v>
      </c>
    </row>
    <row r="846" spans="2:6" x14ac:dyDescent="0.2">
      <c r="B846" s="116" t="s">
        <v>3899</v>
      </c>
      <c r="C846" s="117" t="s">
        <v>3900</v>
      </c>
      <c r="D846" s="118">
        <v>0.68</v>
      </c>
      <c r="E846" s="118">
        <v>0.73</v>
      </c>
      <c r="F846" s="118">
        <v>7.24</v>
      </c>
    </row>
    <row r="847" spans="2:6" x14ac:dyDescent="0.2">
      <c r="B847" s="116" t="s">
        <v>1572</v>
      </c>
      <c r="C847" s="117" t="s">
        <v>1573</v>
      </c>
      <c r="D847" s="118">
        <v>1.05</v>
      </c>
      <c r="E847" s="118">
        <v>4.53</v>
      </c>
      <c r="F847" s="118">
        <v>44.51</v>
      </c>
    </row>
    <row r="848" spans="2:6" x14ac:dyDescent="0.2">
      <c r="B848" s="116" t="s">
        <v>1574</v>
      </c>
      <c r="C848" s="117" t="s">
        <v>1575</v>
      </c>
      <c r="D848" s="118">
        <v>1.68</v>
      </c>
      <c r="E848" s="118">
        <v>2.2000000000000002</v>
      </c>
      <c r="F848" s="118">
        <v>9.4700000000000006</v>
      </c>
    </row>
    <row r="849" spans="2:6" x14ac:dyDescent="0.2">
      <c r="B849" s="116" t="s">
        <v>1576</v>
      </c>
      <c r="C849" s="117" t="s">
        <v>1577</v>
      </c>
      <c r="D849" s="118"/>
      <c r="E849" s="118">
        <v>3.07</v>
      </c>
      <c r="F849" s="118"/>
    </row>
    <row r="850" spans="2:6" x14ac:dyDescent="0.2">
      <c r="B850" s="116" t="s">
        <v>1578</v>
      </c>
      <c r="C850" s="117" t="s">
        <v>1579</v>
      </c>
      <c r="D850" s="118">
        <v>8.6</v>
      </c>
      <c r="E850" s="118">
        <v>10.42</v>
      </c>
      <c r="F850" s="118">
        <v>18.579999999999998</v>
      </c>
    </row>
    <row r="851" spans="2:6" x14ac:dyDescent="0.2">
      <c r="B851" s="116" t="s">
        <v>1578</v>
      </c>
      <c r="C851" s="117" t="s">
        <v>3901</v>
      </c>
      <c r="D851" s="118">
        <v>6.73</v>
      </c>
      <c r="E851" s="118">
        <v>8.16</v>
      </c>
      <c r="F851" s="118">
        <v>18.2</v>
      </c>
    </row>
    <row r="852" spans="2:6" x14ac:dyDescent="0.2">
      <c r="B852" s="116" t="s">
        <v>1580</v>
      </c>
      <c r="C852" s="117" t="s">
        <v>1581</v>
      </c>
      <c r="D852" s="118"/>
      <c r="E852" s="118">
        <v>3.36</v>
      </c>
      <c r="F852" s="118"/>
    </row>
    <row r="853" spans="2:6" x14ac:dyDescent="0.2">
      <c r="B853" s="116" t="s">
        <v>1582</v>
      </c>
      <c r="C853" s="117" t="s">
        <v>1583</v>
      </c>
      <c r="D853" s="118">
        <v>2.46</v>
      </c>
      <c r="E853" s="118">
        <v>3.77</v>
      </c>
      <c r="F853" s="118">
        <v>18.61</v>
      </c>
    </row>
    <row r="854" spans="2:6" x14ac:dyDescent="0.2">
      <c r="B854" s="116" t="s">
        <v>1584</v>
      </c>
      <c r="C854" s="117" t="s">
        <v>1585</v>
      </c>
      <c r="D854" s="118">
        <v>1.79</v>
      </c>
      <c r="E854" s="118">
        <v>2.0099999999999998</v>
      </c>
      <c r="F854" s="118">
        <v>13.93</v>
      </c>
    </row>
    <row r="855" spans="2:6" x14ac:dyDescent="0.2">
      <c r="B855" s="116" t="s">
        <v>1586</v>
      </c>
      <c r="C855" s="117" t="s">
        <v>1587</v>
      </c>
      <c r="D855" s="118">
        <v>2.94</v>
      </c>
      <c r="E855" s="118">
        <v>1.9</v>
      </c>
      <c r="F855" s="118">
        <v>0.46</v>
      </c>
    </row>
    <row r="856" spans="2:6" x14ac:dyDescent="0.2">
      <c r="B856" s="116" t="s">
        <v>1588</v>
      </c>
      <c r="C856" s="117" t="s">
        <v>1589</v>
      </c>
      <c r="D856" s="118">
        <v>0.49</v>
      </c>
      <c r="E856" s="118">
        <v>1.33</v>
      </c>
      <c r="F856" s="118">
        <v>18.510000000000002</v>
      </c>
    </row>
    <row r="857" spans="2:6" x14ac:dyDescent="0.2">
      <c r="B857" s="116" t="s">
        <v>3902</v>
      </c>
      <c r="C857" s="117" t="s">
        <v>3903</v>
      </c>
      <c r="D857" s="118"/>
      <c r="E857" s="118">
        <v>1.35</v>
      </c>
      <c r="F857" s="118"/>
    </row>
    <row r="858" spans="2:6" x14ac:dyDescent="0.2">
      <c r="B858" s="116" t="s">
        <v>1590</v>
      </c>
      <c r="C858" s="117" t="s">
        <v>1591</v>
      </c>
      <c r="D858" s="118">
        <v>3.73</v>
      </c>
      <c r="E858" s="118">
        <v>1.67</v>
      </c>
      <c r="F858" s="118">
        <v>3.24</v>
      </c>
    </row>
    <row r="859" spans="2:6" x14ac:dyDescent="0.2">
      <c r="B859" s="116" t="s">
        <v>1592</v>
      </c>
      <c r="C859" s="117" t="s">
        <v>1593</v>
      </c>
      <c r="D859" s="118">
        <v>1.1200000000000001</v>
      </c>
      <c r="E859" s="118">
        <v>1.46</v>
      </c>
      <c r="F859" s="118">
        <v>12.44</v>
      </c>
    </row>
    <row r="860" spans="2:6" x14ac:dyDescent="0.2">
      <c r="B860" s="116" t="s">
        <v>1594</v>
      </c>
      <c r="C860" s="117" t="s">
        <v>1595</v>
      </c>
      <c r="D860" s="118">
        <v>1.04</v>
      </c>
      <c r="E860" s="118">
        <v>5.48</v>
      </c>
      <c r="F860" s="118">
        <v>42.07</v>
      </c>
    </row>
    <row r="861" spans="2:6" x14ac:dyDescent="0.2">
      <c r="B861" s="116" t="s">
        <v>1596</v>
      </c>
      <c r="C861" s="117" t="s">
        <v>1597</v>
      </c>
      <c r="D861" s="118">
        <v>0.28000000000000003</v>
      </c>
      <c r="E861" s="118">
        <v>0.92</v>
      </c>
      <c r="F861" s="118">
        <v>8.69</v>
      </c>
    </row>
    <row r="862" spans="2:6" x14ac:dyDescent="0.2">
      <c r="B862" s="116" t="s">
        <v>1598</v>
      </c>
      <c r="C862" s="117" t="s">
        <v>1599</v>
      </c>
      <c r="D862" s="118">
        <v>6.52</v>
      </c>
      <c r="E862" s="118">
        <v>2.14</v>
      </c>
      <c r="F862" s="118">
        <v>6.13</v>
      </c>
    </row>
    <row r="863" spans="2:6" x14ac:dyDescent="0.2">
      <c r="B863" s="116" t="s">
        <v>1600</v>
      </c>
      <c r="C863" s="117" t="s">
        <v>1601</v>
      </c>
      <c r="D863" s="118"/>
      <c r="E863" s="118">
        <v>3.57</v>
      </c>
      <c r="F863" s="118"/>
    </row>
    <row r="864" spans="2:6" x14ac:dyDescent="0.2">
      <c r="B864" s="116" t="s">
        <v>1602</v>
      </c>
      <c r="C864" s="117" t="s">
        <v>1603</v>
      </c>
      <c r="D864" s="118"/>
      <c r="E864" s="118">
        <v>0.56999999999999995</v>
      </c>
      <c r="F864" s="118"/>
    </row>
    <row r="865" spans="2:6" x14ac:dyDescent="0.2">
      <c r="B865" s="116" t="s">
        <v>1604</v>
      </c>
      <c r="C865" s="117" t="s">
        <v>1605</v>
      </c>
      <c r="D865" s="118">
        <v>1.26</v>
      </c>
      <c r="E865" s="118"/>
      <c r="F865" s="118">
        <v>-58.68</v>
      </c>
    </row>
    <row r="866" spans="2:6" x14ac:dyDescent="0.2">
      <c r="B866" s="116" t="s">
        <v>1606</v>
      </c>
      <c r="C866" s="117" t="s">
        <v>1607</v>
      </c>
      <c r="D866" s="118">
        <v>2.72</v>
      </c>
      <c r="E866" s="118">
        <v>3.39</v>
      </c>
      <c r="F866" s="118">
        <v>22.75</v>
      </c>
    </row>
    <row r="867" spans="2:6" x14ac:dyDescent="0.2">
      <c r="B867" s="116" t="s">
        <v>1608</v>
      </c>
      <c r="C867" s="117" t="s">
        <v>1609</v>
      </c>
      <c r="D867" s="118"/>
      <c r="E867" s="118">
        <v>7.48</v>
      </c>
      <c r="F867" s="118"/>
    </row>
    <row r="868" spans="2:6" x14ac:dyDescent="0.2">
      <c r="B868" s="116" t="s">
        <v>1610</v>
      </c>
      <c r="C868" s="117" t="s">
        <v>1611</v>
      </c>
      <c r="D868" s="118">
        <v>12.27</v>
      </c>
      <c r="E868" s="118">
        <v>17.489999999999998</v>
      </c>
      <c r="F868" s="118">
        <v>61.94</v>
      </c>
    </row>
    <row r="869" spans="2:6" x14ac:dyDescent="0.2">
      <c r="B869" s="116" t="s">
        <v>3904</v>
      </c>
      <c r="C869" s="117" t="s">
        <v>3905</v>
      </c>
      <c r="D869" s="118"/>
      <c r="E869" s="118">
        <v>0.55000000000000004</v>
      </c>
      <c r="F869" s="118"/>
    </row>
    <row r="870" spans="2:6" x14ac:dyDescent="0.2">
      <c r="B870" s="116" t="s">
        <v>1612</v>
      </c>
      <c r="C870" s="117" t="s">
        <v>1613</v>
      </c>
      <c r="D870" s="118">
        <v>2.96</v>
      </c>
      <c r="E870" s="118"/>
      <c r="F870" s="118">
        <v>330.66</v>
      </c>
    </row>
    <row r="871" spans="2:6" x14ac:dyDescent="0.2">
      <c r="B871" s="116" t="s">
        <v>3906</v>
      </c>
      <c r="C871" s="117" t="s">
        <v>3907</v>
      </c>
      <c r="D871" s="118">
        <v>1.53</v>
      </c>
      <c r="E871" s="118">
        <v>2.31</v>
      </c>
      <c r="F871" s="118">
        <v>10.32</v>
      </c>
    </row>
    <row r="872" spans="2:6" x14ac:dyDescent="0.2">
      <c r="B872" s="116" t="s">
        <v>1614</v>
      </c>
      <c r="C872" s="117" t="s">
        <v>1615</v>
      </c>
      <c r="D872" s="118">
        <v>2.58</v>
      </c>
      <c r="E872" s="118">
        <v>3.68</v>
      </c>
      <c r="F872" s="118">
        <v>33.35</v>
      </c>
    </row>
    <row r="873" spans="2:6" x14ac:dyDescent="0.2">
      <c r="B873" s="116" t="s">
        <v>1616</v>
      </c>
      <c r="C873" s="117" t="s">
        <v>1617</v>
      </c>
      <c r="D873" s="118">
        <v>0.33</v>
      </c>
      <c r="E873" s="118">
        <v>0.61</v>
      </c>
      <c r="F873" s="118">
        <v>6.26</v>
      </c>
    </row>
    <row r="874" spans="2:6" x14ac:dyDescent="0.2">
      <c r="B874" s="116" t="s">
        <v>1618</v>
      </c>
      <c r="C874" s="117" t="s">
        <v>1619</v>
      </c>
      <c r="D874" s="118">
        <v>5.16</v>
      </c>
      <c r="E874" s="118">
        <v>4.05</v>
      </c>
      <c r="F874" s="118">
        <v>15.22</v>
      </c>
    </row>
    <row r="875" spans="2:6" x14ac:dyDescent="0.2">
      <c r="B875" s="116" t="s">
        <v>3908</v>
      </c>
      <c r="C875" s="117" t="s">
        <v>3909</v>
      </c>
      <c r="D875" s="118"/>
      <c r="E875" s="118">
        <v>0.35</v>
      </c>
      <c r="F875" s="118"/>
    </row>
    <row r="876" spans="2:6" x14ac:dyDescent="0.2">
      <c r="B876" s="116" t="s">
        <v>3910</v>
      </c>
      <c r="C876" s="117" t="s">
        <v>3911</v>
      </c>
      <c r="D876" s="118"/>
      <c r="E876" s="118">
        <v>0.18</v>
      </c>
      <c r="F876" s="118"/>
    </row>
    <row r="877" spans="2:6" x14ac:dyDescent="0.2">
      <c r="B877" s="116" t="s">
        <v>3912</v>
      </c>
      <c r="C877" s="117" t="s">
        <v>3913</v>
      </c>
      <c r="D877" s="118">
        <v>1.3</v>
      </c>
      <c r="E877" s="118">
        <v>6.05</v>
      </c>
      <c r="F877" s="118">
        <v>21.2</v>
      </c>
    </row>
    <row r="878" spans="2:6" x14ac:dyDescent="0.2">
      <c r="B878" s="116" t="s">
        <v>1620</v>
      </c>
      <c r="C878" s="117" t="s">
        <v>1621</v>
      </c>
      <c r="D878" s="118">
        <v>0.45</v>
      </c>
      <c r="E878" s="118">
        <v>0.47</v>
      </c>
      <c r="F878" s="118">
        <v>1.98</v>
      </c>
    </row>
    <row r="879" spans="2:6" x14ac:dyDescent="0.2">
      <c r="B879" s="116" t="s">
        <v>1622</v>
      </c>
      <c r="C879" s="117" t="s">
        <v>1623</v>
      </c>
      <c r="D879" s="118">
        <v>6</v>
      </c>
      <c r="E879" s="118">
        <v>5.52</v>
      </c>
      <c r="F879" s="118">
        <v>20.75</v>
      </c>
    </row>
    <row r="880" spans="2:6" x14ac:dyDescent="0.2">
      <c r="B880" s="116" t="s">
        <v>1624</v>
      </c>
      <c r="C880" s="117" t="s">
        <v>1625</v>
      </c>
      <c r="D880" s="118">
        <v>1.01</v>
      </c>
      <c r="E880" s="118">
        <v>2.94</v>
      </c>
      <c r="F880" s="118">
        <v>28.67</v>
      </c>
    </row>
    <row r="881" spans="2:6" x14ac:dyDescent="0.2">
      <c r="B881" s="116" t="s">
        <v>3914</v>
      </c>
      <c r="C881" s="117" t="s">
        <v>3915</v>
      </c>
      <c r="D881" s="118"/>
      <c r="E881" s="118">
        <v>3.7</v>
      </c>
      <c r="F881" s="118"/>
    </row>
    <row r="882" spans="2:6" x14ac:dyDescent="0.2">
      <c r="B882" s="116" t="s">
        <v>1626</v>
      </c>
      <c r="C882" s="117" t="s">
        <v>1627</v>
      </c>
      <c r="D882" s="118">
        <v>4.03</v>
      </c>
      <c r="E882" s="118">
        <v>6.02</v>
      </c>
      <c r="F882" s="118">
        <v>27.95</v>
      </c>
    </row>
    <row r="883" spans="2:6" x14ac:dyDescent="0.2">
      <c r="B883" s="116" t="s">
        <v>1628</v>
      </c>
      <c r="C883" s="117" t="s">
        <v>1629</v>
      </c>
      <c r="D883" s="118">
        <v>3.91</v>
      </c>
      <c r="E883" s="118">
        <v>1.32</v>
      </c>
      <c r="F883" s="118">
        <v>12.64</v>
      </c>
    </row>
    <row r="884" spans="2:6" x14ac:dyDescent="0.2">
      <c r="B884" s="116" t="s">
        <v>1630</v>
      </c>
      <c r="C884" s="117" t="s">
        <v>1631</v>
      </c>
      <c r="D884" s="118">
        <v>3.14</v>
      </c>
      <c r="E884" s="118">
        <v>6.71</v>
      </c>
      <c r="F884" s="118">
        <v>32.020000000000003</v>
      </c>
    </row>
    <row r="885" spans="2:6" x14ac:dyDescent="0.2">
      <c r="B885" s="116" t="s">
        <v>1632</v>
      </c>
      <c r="C885" s="117" t="s">
        <v>1633</v>
      </c>
      <c r="D885" s="118">
        <v>1.66</v>
      </c>
      <c r="E885" s="118">
        <v>1.1599999999999999</v>
      </c>
      <c r="F885" s="118">
        <v>4.0599999999999996</v>
      </c>
    </row>
    <row r="886" spans="2:6" x14ac:dyDescent="0.2">
      <c r="B886" s="116" t="s">
        <v>1635</v>
      </c>
      <c r="C886" s="117" t="s">
        <v>1636</v>
      </c>
      <c r="D886" s="118">
        <v>0.63</v>
      </c>
      <c r="E886" s="118">
        <v>1.07</v>
      </c>
      <c r="F886" s="118">
        <v>12.92</v>
      </c>
    </row>
    <row r="887" spans="2:6" x14ac:dyDescent="0.2">
      <c r="B887" s="116" t="s">
        <v>1638</v>
      </c>
      <c r="C887" s="117" t="s">
        <v>1639</v>
      </c>
      <c r="D887" s="118">
        <v>6.79</v>
      </c>
      <c r="E887" s="118">
        <v>1.41</v>
      </c>
      <c r="F887" s="118">
        <v>0.16</v>
      </c>
    </row>
    <row r="888" spans="2:6" x14ac:dyDescent="0.2">
      <c r="B888" s="116" t="s">
        <v>1640</v>
      </c>
      <c r="C888" s="117" t="s">
        <v>1641</v>
      </c>
      <c r="D888" s="118">
        <v>0.47</v>
      </c>
      <c r="E888" s="118"/>
      <c r="F888" s="118">
        <v>-265.02</v>
      </c>
    </row>
    <row r="889" spans="2:6" x14ac:dyDescent="0.2">
      <c r="B889" s="116" t="s">
        <v>1642</v>
      </c>
      <c r="C889" s="117" t="s">
        <v>1643</v>
      </c>
      <c r="D889" s="118">
        <v>1.8</v>
      </c>
      <c r="E889" s="118">
        <v>1.55</v>
      </c>
      <c r="F889" s="118">
        <v>-7.74</v>
      </c>
    </row>
    <row r="890" spans="2:6" x14ac:dyDescent="0.2">
      <c r="B890" s="116" t="s">
        <v>1644</v>
      </c>
      <c r="C890" s="117" t="s">
        <v>1645</v>
      </c>
      <c r="D890" s="118">
        <v>13.44</v>
      </c>
      <c r="E890" s="118">
        <v>4.2300000000000004</v>
      </c>
      <c r="F890" s="118">
        <v>11.77</v>
      </c>
    </row>
    <row r="891" spans="2:6" x14ac:dyDescent="0.2">
      <c r="B891" s="116" t="s">
        <v>3916</v>
      </c>
      <c r="C891" s="117" t="s">
        <v>3917</v>
      </c>
      <c r="D891" s="118">
        <v>9.41</v>
      </c>
      <c r="E891" s="118">
        <v>2.42</v>
      </c>
      <c r="F891" s="118">
        <v>1.83</v>
      </c>
    </row>
    <row r="892" spans="2:6" x14ac:dyDescent="0.2">
      <c r="B892" s="116" t="s">
        <v>1646</v>
      </c>
      <c r="C892" s="117" t="s">
        <v>1647</v>
      </c>
      <c r="D892" s="118">
        <v>1.52</v>
      </c>
      <c r="E892" s="118">
        <v>16.170000000000002</v>
      </c>
      <c r="F892" s="118">
        <v>305.29000000000002</v>
      </c>
    </row>
    <row r="893" spans="2:6" x14ac:dyDescent="0.2">
      <c r="B893" s="116" t="s">
        <v>1648</v>
      </c>
      <c r="C893" s="117" t="s">
        <v>1649</v>
      </c>
      <c r="D893" s="118">
        <v>2.44</v>
      </c>
      <c r="E893" s="118">
        <v>4.33</v>
      </c>
      <c r="F893" s="118">
        <v>21.26</v>
      </c>
    </row>
    <row r="894" spans="2:6" x14ac:dyDescent="0.2">
      <c r="B894" s="116" t="s">
        <v>3918</v>
      </c>
      <c r="C894" s="117" t="s">
        <v>3919</v>
      </c>
      <c r="D894" s="118"/>
      <c r="E894" s="118">
        <v>1.86</v>
      </c>
      <c r="F894" s="118"/>
    </row>
    <row r="895" spans="2:6" x14ac:dyDescent="0.2">
      <c r="B895" s="116" t="s">
        <v>1650</v>
      </c>
      <c r="C895" s="117" t="s">
        <v>1651</v>
      </c>
      <c r="D895" s="118"/>
      <c r="E895" s="118">
        <v>20.21</v>
      </c>
      <c r="F895" s="118"/>
    </row>
    <row r="896" spans="2:6" x14ac:dyDescent="0.2">
      <c r="B896" s="116" t="s">
        <v>1652</v>
      </c>
      <c r="C896" s="117" t="s">
        <v>1653</v>
      </c>
      <c r="D896" s="118">
        <v>2.41</v>
      </c>
      <c r="E896" s="118">
        <v>3.89</v>
      </c>
      <c r="F896" s="118">
        <v>16.75</v>
      </c>
    </row>
    <row r="897" spans="2:6" x14ac:dyDescent="0.2">
      <c r="B897" s="116" t="s">
        <v>1655</v>
      </c>
      <c r="C897" s="117" t="s">
        <v>1656</v>
      </c>
      <c r="D897" s="118">
        <v>2.77</v>
      </c>
      <c r="E897" s="118">
        <v>0.76</v>
      </c>
      <c r="F897" s="118">
        <v>7.16</v>
      </c>
    </row>
    <row r="898" spans="2:6" x14ac:dyDescent="0.2">
      <c r="B898" s="116" t="s">
        <v>1657</v>
      </c>
      <c r="C898" s="117" t="s">
        <v>1658</v>
      </c>
      <c r="D898" s="118">
        <v>0.81</v>
      </c>
      <c r="E898" s="118">
        <v>2.7</v>
      </c>
      <c r="F898" s="118">
        <v>16.670000000000002</v>
      </c>
    </row>
    <row r="899" spans="2:6" x14ac:dyDescent="0.2">
      <c r="B899" s="116" t="s">
        <v>1659</v>
      </c>
      <c r="C899" s="117" t="s">
        <v>1660</v>
      </c>
      <c r="D899" s="118"/>
      <c r="E899" s="118">
        <v>1.91</v>
      </c>
      <c r="F899" s="118"/>
    </row>
    <row r="900" spans="2:6" x14ac:dyDescent="0.2">
      <c r="B900" s="116" t="s">
        <v>1661</v>
      </c>
      <c r="C900" s="117" t="s">
        <v>1662</v>
      </c>
      <c r="D900" s="118">
        <v>2.27</v>
      </c>
      <c r="E900" s="118">
        <v>1.71</v>
      </c>
      <c r="F900" s="118">
        <v>14.65</v>
      </c>
    </row>
    <row r="901" spans="2:6" x14ac:dyDescent="0.2">
      <c r="B901" s="116" t="s">
        <v>1663</v>
      </c>
      <c r="C901" s="117" t="s">
        <v>1664</v>
      </c>
      <c r="D901" s="118">
        <v>4.1100000000000003</v>
      </c>
      <c r="E901" s="118">
        <v>19.16</v>
      </c>
      <c r="F901" s="118">
        <v>83.29</v>
      </c>
    </row>
    <row r="902" spans="2:6" x14ac:dyDescent="0.2">
      <c r="B902" s="116" t="s">
        <v>1666</v>
      </c>
      <c r="C902" s="117" t="s">
        <v>1667</v>
      </c>
      <c r="D902" s="118">
        <v>8.52</v>
      </c>
      <c r="E902" s="118">
        <v>1.81</v>
      </c>
      <c r="F902" s="118">
        <v>6.73</v>
      </c>
    </row>
    <row r="903" spans="2:6" x14ac:dyDescent="0.2">
      <c r="B903" s="116" t="s">
        <v>3920</v>
      </c>
      <c r="C903" s="117" t="s">
        <v>3921</v>
      </c>
      <c r="D903" s="118">
        <v>0.5</v>
      </c>
      <c r="E903" s="118">
        <v>0.95</v>
      </c>
      <c r="F903" s="118">
        <v>13.34</v>
      </c>
    </row>
    <row r="904" spans="2:6" x14ac:dyDescent="0.2">
      <c r="B904" s="116" t="s">
        <v>1668</v>
      </c>
      <c r="C904" s="117" t="s">
        <v>1669</v>
      </c>
      <c r="D904" s="118">
        <v>0.42</v>
      </c>
      <c r="E904" s="118">
        <v>0.89</v>
      </c>
      <c r="F904" s="118">
        <v>7.26</v>
      </c>
    </row>
    <row r="905" spans="2:6" x14ac:dyDescent="0.2">
      <c r="B905" s="116" t="s">
        <v>1670</v>
      </c>
      <c r="C905" s="117" t="s">
        <v>1671</v>
      </c>
      <c r="D905" s="118">
        <v>6.5</v>
      </c>
      <c r="E905" s="118">
        <v>9.8000000000000007</v>
      </c>
      <c r="F905" s="118">
        <v>14.1</v>
      </c>
    </row>
    <row r="906" spans="2:6" x14ac:dyDescent="0.2">
      <c r="B906" s="116" t="s">
        <v>1672</v>
      </c>
      <c r="C906" s="117" t="s">
        <v>1673</v>
      </c>
      <c r="D906" s="118">
        <v>1.55</v>
      </c>
      <c r="E906" s="118">
        <v>3.86</v>
      </c>
      <c r="F906" s="118">
        <v>23.63</v>
      </c>
    </row>
    <row r="907" spans="2:6" x14ac:dyDescent="0.2">
      <c r="B907" s="116" t="s">
        <v>1675</v>
      </c>
      <c r="C907" s="117" t="s">
        <v>1676</v>
      </c>
      <c r="D907" s="118">
        <v>11.53</v>
      </c>
      <c r="E907" s="118">
        <v>10.92</v>
      </c>
      <c r="F907" s="118">
        <v>-7.93</v>
      </c>
    </row>
    <row r="908" spans="2:6" x14ac:dyDescent="0.2">
      <c r="B908" s="116" t="s">
        <v>1677</v>
      </c>
      <c r="C908" s="117" t="s">
        <v>1678</v>
      </c>
      <c r="D908" s="118">
        <v>0.62</v>
      </c>
      <c r="E908" s="118">
        <v>3.16</v>
      </c>
      <c r="F908" s="118">
        <v>22.47</v>
      </c>
    </row>
    <row r="909" spans="2:6" x14ac:dyDescent="0.2">
      <c r="B909" s="116" t="s">
        <v>1679</v>
      </c>
      <c r="C909" s="117" t="s">
        <v>1680</v>
      </c>
      <c r="D909" s="118">
        <v>0.57999999999999996</v>
      </c>
      <c r="E909" s="118">
        <v>1.83</v>
      </c>
      <c r="F909" s="118">
        <v>18.68</v>
      </c>
    </row>
    <row r="910" spans="2:6" x14ac:dyDescent="0.2">
      <c r="B910" s="116" t="s">
        <v>3922</v>
      </c>
      <c r="C910" s="117" t="s">
        <v>3923</v>
      </c>
      <c r="D910" s="118">
        <v>6.47</v>
      </c>
      <c r="E910" s="118">
        <v>4.76</v>
      </c>
      <c r="F910" s="118">
        <v>5.53</v>
      </c>
    </row>
    <row r="911" spans="2:6" x14ac:dyDescent="0.2">
      <c r="B911" s="116" t="s">
        <v>1681</v>
      </c>
      <c r="C911" s="117" t="s">
        <v>1682</v>
      </c>
      <c r="D911" s="118">
        <v>0.88</v>
      </c>
      <c r="E911" s="118">
        <v>1.7</v>
      </c>
      <c r="F911" s="118">
        <v>11.84</v>
      </c>
    </row>
    <row r="912" spans="2:6" x14ac:dyDescent="0.2">
      <c r="B912" s="116" t="s">
        <v>3924</v>
      </c>
      <c r="C912" s="117" t="s">
        <v>3925</v>
      </c>
      <c r="D912" s="118">
        <v>2.37</v>
      </c>
      <c r="E912" s="118">
        <v>0.99</v>
      </c>
      <c r="F912" s="118">
        <v>11.48</v>
      </c>
    </row>
    <row r="913" spans="2:6" x14ac:dyDescent="0.2">
      <c r="B913" s="116" t="s">
        <v>1683</v>
      </c>
      <c r="C913" s="117" t="s">
        <v>1684</v>
      </c>
      <c r="D913" s="118"/>
      <c r="E913" s="118"/>
      <c r="F913" s="118"/>
    </row>
    <row r="914" spans="2:6" x14ac:dyDescent="0.2">
      <c r="B914" s="116" t="s">
        <v>1685</v>
      </c>
      <c r="C914" s="117" t="s">
        <v>1686</v>
      </c>
      <c r="D914" s="118">
        <v>3.04</v>
      </c>
      <c r="E914" s="118">
        <v>4.9000000000000004</v>
      </c>
      <c r="F914" s="118">
        <v>21.45</v>
      </c>
    </row>
    <row r="915" spans="2:6" x14ac:dyDescent="0.2">
      <c r="B915" s="116" t="s">
        <v>3926</v>
      </c>
      <c r="C915" s="117" t="s">
        <v>3927</v>
      </c>
      <c r="D915" s="118"/>
      <c r="E915" s="118"/>
      <c r="F915" s="118"/>
    </row>
    <row r="916" spans="2:6" x14ac:dyDescent="0.2">
      <c r="B916" s="116" t="s">
        <v>3928</v>
      </c>
      <c r="C916" s="117" t="s">
        <v>3929</v>
      </c>
      <c r="D916" s="118">
        <v>0.23</v>
      </c>
      <c r="E916" s="118"/>
      <c r="F916" s="118"/>
    </row>
    <row r="917" spans="2:6" x14ac:dyDescent="0.2">
      <c r="B917" s="116" t="s">
        <v>3930</v>
      </c>
      <c r="C917" s="117" t="s">
        <v>3931</v>
      </c>
      <c r="D917" s="118">
        <v>6.97</v>
      </c>
      <c r="E917" s="118">
        <v>2.2999999999999998</v>
      </c>
      <c r="F917" s="118">
        <v>12.48</v>
      </c>
    </row>
    <row r="918" spans="2:6" x14ac:dyDescent="0.2">
      <c r="B918" s="116" t="s">
        <v>1687</v>
      </c>
      <c r="C918" s="117" t="s">
        <v>1688</v>
      </c>
      <c r="D918" s="118">
        <v>3.97</v>
      </c>
      <c r="E918" s="118">
        <v>3.32</v>
      </c>
      <c r="F918" s="118">
        <v>30.33</v>
      </c>
    </row>
    <row r="919" spans="2:6" x14ac:dyDescent="0.2">
      <c r="B919" s="116" t="s">
        <v>1689</v>
      </c>
      <c r="C919" s="117" t="s">
        <v>1690</v>
      </c>
      <c r="D919" s="118">
        <v>1.51</v>
      </c>
      <c r="E919" s="118"/>
      <c r="F919" s="118"/>
    </row>
    <row r="920" spans="2:6" x14ac:dyDescent="0.2">
      <c r="B920" s="116" t="s">
        <v>3932</v>
      </c>
      <c r="C920" s="117" t="s">
        <v>3933</v>
      </c>
      <c r="D920" s="118"/>
      <c r="E920" s="118"/>
      <c r="F920" s="118"/>
    </row>
    <row r="921" spans="2:6" x14ac:dyDescent="0.2">
      <c r="B921" s="116" t="s">
        <v>1691</v>
      </c>
      <c r="C921" s="117" t="s">
        <v>1692</v>
      </c>
      <c r="D921" s="118">
        <v>4.33</v>
      </c>
      <c r="E921" s="118">
        <v>5.0599999999999996</v>
      </c>
      <c r="F921" s="118">
        <v>12.44</v>
      </c>
    </row>
    <row r="922" spans="2:6" x14ac:dyDescent="0.2">
      <c r="B922" s="116" t="s">
        <v>1693</v>
      </c>
      <c r="C922" s="117" t="s">
        <v>1694</v>
      </c>
      <c r="D922" s="118">
        <v>3.5</v>
      </c>
      <c r="E922" s="118">
        <v>3.68</v>
      </c>
      <c r="F922" s="118">
        <v>16.3</v>
      </c>
    </row>
    <row r="923" spans="2:6" x14ac:dyDescent="0.2">
      <c r="B923" s="116" t="s">
        <v>3934</v>
      </c>
      <c r="C923" s="117" t="s">
        <v>3935</v>
      </c>
      <c r="D923" s="118"/>
      <c r="E923" s="118">
        <v>1.1499999999999999</v>
      </c>
      <c r="F923" s="118">
        <v>-2.54</v>
      </c>
    </row>
    <row r="924" spans="2:6" x14ac:dyDescent="0.2">
      <c r="B924" s="116" t="s">
        <v>3936</v>
      </c>
      <c r="C924" s="117" t="s">
        <v>3937</v>
      </c>
      <c r="D924" s="118"/>
      <c r="E924" s="118"/>
      <c r="F924" s="118"/>
    </row>
    <row r="925" spans="2:6" x14ac:dyDescent="0.2">
      <c r="B925" s="116" t="s">
        <v>3938</v>
      </c>
      <c r="C925" s="117" t="s">
        <v>3939</v>
      </c>
      <c r="D925" s="118">
        <v>1.62</v>
      </c>
      <c r="E925" s="118">
        <v>1.25</v>
      </c>
      <c r="F925" s="118">
        <v>7.76</v>
      </c>
    </row>
    <row r="926" spans="2:6" x14ac:dyDescent="0.2">
      <c r="B926" s="116" t="s">
        <v>1695</v>
      </c>
      <c r="C926" s="117" t="s">
        <v>1696</v>
      </c>
      <c r="D926" s="118">
        <v>2.72</v>
      </c>
      <c r="E926" s="118">
        <v>1</v>
      </c>
      <c r="F926" s="118">
        <v>10.33</v>
      </c>
    </row>
    <row r="927" spans="2:6" x14ac:dyDescent="0.2">
      <c r="B927" s="116" t="s">
        <v>1697</v>
      </c>
      <c r="C927" s="117" t="s">
        <v>1698</v>
      </c>
      <c r="D927" s="118">
        <v>8.67</v>
      </c>
      <c r="E927" s="118">
        <v>2.84</v>
      </c>
      <c r="F927" s="118">
        <v>2.2400000000000002</v>
      </c>
    </row>
    <row r="928" spans="2:6" x14ac:dyDescent="0.2">
      <c r="B928" s="116" t="s">
        <v>1699</v>
      </c>
      <c r="C928" s="117" t="s">
        <v>1700</v>
      </c>
      <c r="D928" s="118">
        <v>1.61</v>
      </c>
      <c r="E928" s="118">
        <v>7.07</v>
      </c>
      <c r="F928" s="118">
        <v>69.56</v>
      </c>
    </row>
    <row r="929" spans="2:6" x14ac:dyDescent="0.2">
      <c r="B929" s="116" t="s">
        <v>1701</v>
      </c>
      <c r="C929" s="117" t="s">
        <v>1702</v>
      </c>
      <c r="D929" s="118">
        <v>3.3</v>
      </c>
      <c r="E929" s="118">
        <v>2.14</v>
      </c>
      <c r="F929" s="118">
        <v>4.4000000000000004</v>
      </c>
    </row>
    <row r="930" spans="2:6" x14ac:dyDescent="0.2">
      <c r="B930" s="116" t="s">
        <v>3940</v>
      </c>
      <c r="C930" s="117" t="s">
        <v>3941</v>
      </c>
      <c r="D930" s="118">
        <v>0.16</v>
      </c>
      <c r="E930" s="118">
        <v>0.65</v>
      </c>
      <c r="F930" s="118">
        <v>72.94</v>
      </c>
    </row>
    <row r="931" spans="2:6" x14ac:dyDescent="0.2">
      <c r="B931" s="116" t="s">
        <v>1703</v>
      </c>
      <c r="C931" s="117" t="s">
        <v>1704</v>
      </c>
      <c r="D931" s="118">
        <v>8.14</v>
      </c>
      <c r="E931" s="118">
        <v>3.02</v>
      </c>
      <c r="F931" s="118">
        <v>12.22</v>
      </c>
    </row>
    <row r="932" spans="2:6" x14ac:dyDescent="0.2">
      <c r="B932" s="116" t="s">
        <v>1705</v>
      </c>
      <c r="C932" s="117" t="s">
        <v>1706</v>
      </c>
      <c r="D932" s="118">
        <v>1.1399999999999999</v>
      </c>
      <c r="E932" s="118">
        <v>1.57</v>
      </c>
      <c r="F932" s="118">
        <v>14.03</v>
      </c>
    </row>
    <row r="933" spans="2:6" x14ac:dyDescent="0.2">
      <c r="B933" s="116" t="s">
        <v>1707</v>
      </c>
      <c r="C933" s="117" t="s">
        <v>1708</v>
      </c>
      <c r="D933" s="118">
        <v>3.09</v>
      </c>
      <c r="E933" s="118">
        <v>5.46</v>
      </c>
      <c r="F933" s="118">
        <v>25.02</v>
      </c>
    </row>
    <row r="934" spans="2:6" x14ac:dyDescent="0.2">
      <c r="B934" s="116" t="s">
        <v>1709</v>
      </c>
      <c r="C934" s="117" t="s">
        <v>1710</v>
      </c>
      <c r="D934" s="118">
        <v>2.52</v>
      </c>
      <c r="E934" s="118">
        <v>2.5</v>
      </c>
      <c r="F934" s="118">
        <v>12.41</v>
      </c>
    </row>
    <row r="935" spans="2:6" x14ac:dyDescent="0.2">
      <c r="B935" s="116" t="s">
        <v>1711</v>
      </c>
      <c r="C935" s="117" t="s">
        <v>1712</v>
      </c>
      <c r="D935" s="118">
        <v>3.14</v>
      </c>
      <c r="E935" s="118">
        <v>1.81</v>
      </c>
      <c r="F935" s="118">
        <v>9.4</v>
      </c>
    </row>
    <row r="936" spans="2:6" x14ac:dyDescent="0.2">
      <c r="B936" s="116" t="s">
        <v>3942</v>
      </c>
      <c r="C936" s="117" t="s">
        <v>3943</v>
      </c>
      <c r="D936" s="118">
        <v>1.4</v>
      </c>
      <c r="E936" s="118">
        <v>0.16</v>
      </c>
      <c r="F936" s="118">
        <v>12.93</v>
      </c>
    </row>
    <row r="937" spans="2:6" x14ac:dyDescent="0.2">
      <c r="B937" s="116" t="s">
        <v>1713</v>
      </c>
      <c r="C937" s="117" t="s">
        <v>1714</v>
      </c>
      <c r="D937" s="118">
        <v>3.04</v>
      </c>
      <c r="E937" s="118">
        <v>6.16</v>
      </c>
      <c r="F937" s="118">
        <v>25.42</v>
      </c>
    </row>
    <row r="938" spans="2:6" x14ac:dyDescent="0.2">
      <c r="B938" s="116" t="s">
        <v>3944</v>
      </c>
      <c r="C938" s="117" t="s">
        <v>3945</v>
      </c>
      <c r="D938" s="118"/>
      <c r="E938" s="118"/>
      <c r="F938" s="118"/>
    </row>
    <row r="939" spans="2:6" x14ac:dyDescent="0.2">
      <c r="B939" s="116" t="s">
        <v>1715</v>
      </c>
      <c r="C939" s="117" t="s">
        <v>1716</v>
      </c>
      <c r="D939" s="118">
        <v>10.3</v>
      </c>
      <c r="E939" s="118">
        <v>137.59</v>
      </c>
      <c r="F939" s="118">
        <v>765.45</v>
      </c>
    </row>
    <row r="940" spans="2:6" x14ac:dyDescent="0.2">
      <c r="B940" s="116" t="s">
        <v>3946</v>
      </c>
      <c r="C940" s="117" t="s">
        <v>3947</v>
      </c>
      <c r="D940" s="118"/>
      <c r="E940" s="118"/>
      <c r="F940" s="118"/>
    </row>
    <row r="941" spans="2:6" x14ac:dyDescent="0.2">
      <c r="B941" s="116" t="s">
        <v>3948</v>
      </c>
      <c r="C941" s="117" t="s">
        <v>3949</v>
      </c>
      <c r="D941" s="118">
        <v>1.41</v>
      </c>
      <c r="E941" s="118">
        <v>1.1499999999999999</v>
      </c>
      <c r="F941" s="118">
        <v>-10.95</v>
      </c>
    </row>
    <row r="942" spans="2:6" x14ac:dyDescent="0.2">
      <c r="B942" s="116" t="s">
        <v>1717</v>
      </c>
      <c r="C942" s="117" t="s">
        <v>1718</v>
      </c>
      <c r="D942" s="118">
        <v>4.9800000000000004</v>
      </c>
      <c r="E942" s="118">
        <v>5.9</v>
      </c>
      <c r="F942" s="118">
        <v>21.2</v>
      </c>
    </row>
    <row r="943" spans="2:6" x14ac:dyDescent="0.2">
      <c r="B943" s="116" t="s">
        <v>1719</v>
      </c>
      <c r="C943" s="117" t="s">
        <v>1720</v>
      </c>
      <c r="D943" s="118">
        <v>2.72</v>
      </c>
      <c r="E943" s="118">
        <v>2.0699999999999998</v>
      </c>
      <c r="F943" s="118">
        <v>10.48</v>
      </c>
    </row>
    <row r="944" spans="2:6" x14ac:dyDescent="0.2">
      <c r="B944" s="116" t="s">
        <v>1721</v>
      </c>
      <c r="C944" s="117" t="s">
        <v>1722</v>
      </c>
      <c r="D944" s="118">
        <v>2.34</v>
      </c>
      <c r="E944" s="118">
        <v>2.85</v>
      </c>
      <c r="F944" s="118">
        <v>17.27</v>
      </c>
    </row>
    <row r="945" spans="2:6" x14ac:dyDescent="0.2">
      <c r="B945" s="116" t="s">
        <v>3950</v>
      </c>
      <c r="C945" s="117" t="s">
        <v>3951</v>
      </c>
      <c r="D945" s="118"/>
      <c r="E945" s="118"/>
      <c r="F945" s="118"/>
    </row>
    <row r="946" spans="2:6" x14ac:dyDescent="0.2">
      <c r="B946" s="116" t="s">
        <v>3952</v>
      </c>
      <c r="C946" s="117" t="s">
        <v>3953</v>
      </c>
      <c r="D946" s="118"/>
      <c r="E946" s="118"/>
      <c r="F946" s="118"/>
    </row>
    <row r="947" spans="2:6" x14ac:dyDescent="0.2">
      <c r="B947" s="116" t="s">
        <v>1723</v>
      </c>
      <c r="C947" s="117" t="s">
        <v>1724</v>
      </c>
      <c r="D947" s="118"/>
      <c r="E947" s="118"/>
      <c r="F947" s="118"/>
    </row>
    <row r="948" spans="2:6" x14ac:dyDescent="0.2">
      <c r="B948" s="116" t="s">
        <v>1725</v>
      </c>
      <c r="C948" s="117" t="s">
        <v>1726</v>
      </c>
      <c r="D948" s="118">
        <v>0.24</v>
      </c>
      <c r="E948" s="118">
        <v>0.95</v>
      </c>
      <c r="F948" s="118">
        <v>9.77</v>
      </c>
    </row>
    <row r="949" spans="2:6" x14ac:dyDescent="0.2">
      <c r="B949" s="116" t="s">
        <v>3954</v>
      </c>
      <c r="C949" s="117" t="s">
        <v>3955</v>
      </c>
      <c r="D949" s="118"/>
      <c r="E949" s="118"/>
      <c r="F949" s="118"/>
    </row>
    <row r="950" spans="2:6" x14ac:dyDescent="0.2">
      <c r="B950" s="116" t="s">
        <v>3956</v>
      </c>
      <c r="C950" s="117" t="s">
        <v>3957</v>
      </c>
      <c r="D950" s="118"/>
      <c r="E950" s="118"/>
      <c r="F950" s="118"/>
    </row>
    <row r="951" spans="2:6" x14ac:dyDescent="0.2">
      <c r="B951" s="116" t="s">
        <v>3958</v>
      </c>
      <c r="C951" s="117" t="s">
        <v>3959</v>
      </c>
      <c r="D951" s="118"/>
      <c r="E951" s="118"/>
      <c r="F951" s="118"/>
    </row>
    <row r="952" spans="2:6" x14ac:dyDescent="0.2">
      <c r="B952" s="116" t="s">
        <v>3960</v>
      </c>
      <c r="C952" s="117" t="s">
        <v>3961</v>
      </c>
      <c r="D952" s="118"/>
      <c r="E952" s="118"/>
      <c r="F952" s="118"/>
    </row>
    <row r="953" spans="2:6" x14ac:dyDescent="0.2">
      <c r="B953" s="116" t="s">
        <v>3962</v>
      </c>
      <c r="C953" s="117" t="s">
        <v>3963</v>
      </c>
      <c r="D953" s="118"/>
      <c r="E953" s="118"/>
      <c r="F953" s="118"/>
    </row>
    <row r="954" spans="2:6" x14ac:dyDescent="0.2">
      <c r="B954" s="116" t="s">
        <v>3964</v>
      </c>
      <c r="C954" s="117" t="s">
        <v>3965</v>
      </c>
      <c r="D954" s="118"/>
      <c r="E954" s="118"/>
      <c r="F954" s="118"/>
    </row>
    <row r="955" spans="2:6" x14ac:dyDescent="0.2">
      <c r="B955" s="116" t="s">
        <v>1727</v>
      </c>
      <c r="C955" s="117" t="s">
        <v>1728</v>
      </c>
      <c r="D955" s="118"/>
      <c r="E955" s="118">
        <v>9.09</v>
      </c>
      <c r="F955" s="118"/>
    </row>
    <row r="956" spans="2:6" x14ac:dyDescent="0.2">
      <c r="B956" s="116" t="s">
        <v>1729</v>
      </c>
      <c r="C956" s="117" t="s">
        <v>1730</v>
      </c>
      <c r="D956" s="118">
        <v>13.37</v>
      </c>
      <c r="E956" s="118">
        <v>10.5</v>
      </c>
      <c r="F956" s="118">
        <v>21.73</v>
      </c>
    </row>
    <row r="957" spans="2:6" x14ac:dyDescent="0.2">
      <c r="B957" s="116" t="s">
        <v>3966</v>
      </c>
      <c r="C957" s="117" t="s">
        <v>3967</v>
      </c>
      <c r="D957" s="118">
        <v>2.23</v>
      </c>
      <c r="E957" s="118">
        <v>3.09</v>
      </c>
      <c r="F957" s="118">
        <v>7.6</v>
      </c>
    </row>
    <row r="958" spans="2:6" x14ac:dyDescent="0.2">
      <c r="B958" s="116" t="s">
        <v>1731</v>
      </c>
      <c r="C958" s="117" t="s">
        <v>1732</v>
      </c>
      <c r="D958" s="118"/>
      <c r="E958" s="118"/>
      <c r="F958" s="118"/>
    </row>
    <row r="959" spans="2:6" x14ac:dyDescent="0.2">
      <c r="B959" s="116" t="s">
        <v>1733</v>
      </c>
      <c r="C959" s="117" t="s">
        <v>1734</v>
      </c>
      <c r="D959" s="118"/>
      <c r="E959" s="118"/>
      <c r="F959" s="118"/>
    </row>
    <row r="960" spans="2:6" x14ac:dyDescent="0.2">
      <c r="B960" s="116" t="s">
        <v>1735</v>
      </c>
      <c r="C960" s="117" t="s">
        <v>1736</v>
      </c>
      <c r="D960" s="118">
        <v>1477.23</v>
      </c>
      <c r="E960" s="118">
        <v>27.74</v>
      </c>
      <c r="F960" s="118">
        <v>-152.13999999999999</v>
      </c>
    </row>
    <row r="961" spans="2:6" x14ac:dyDescent="0.2">
      <c r="B961" s="116" t="s">
        <v>1737</v>
      </c>
      <c r="C961" s="117" t="s">
        <v>1738</v>
      </c>
      <c r="D961" s="118">
        <v>0.79</v>
      </c>
      <c r="E961" s="118">
        <v>1.1100000000000001</v>
      </c>
      <c r="F961" s="118">
        <v>10.66</v>
      </c>
    </row>
    <row r="962" spans="2:6" x14ac:dyDescent="0.2">
      <c r="B962" s="116" t="s">
        <v>1739</v>
      </c>
      <c r="C962" s="117" t="s">
        <v>1740</v>
      </c>
      <c r="D962" s="118"/>
      <c r="E962" s="118"/>
      <c r="F962" s="118"/>
    </row>
    <row r="963" spans="2:6" x14ac:dyDescent="0.2">
      <c r="B963" s="116" t="s">
        <v>1741</v>
      </c>
      <c r="C963" s="117" t="s">
        <v>1742</v>
      </c>
      <c r="D963" s="118">
        <v>8.7100000000000009</v>
      </c>
      <c r="E963" s="118">
        <v>7.77</v>
      </c>
      <c r="F963" s="118">
        <v>17.100000000000001</v>
      </c>
    </row>
    <row r="964" spans="2:6" x14ac:dyDescent="0.2">
      <c r="B964" s="116" t="s">
        <v>1743</v>
      </c>
      <c r="C964" s="117" t="s">
        <v>1744</v>
      </c>
      <c r="D964" s="118">
        <v>6.36</v>
      </c>
      <c r="E964" s="118">
        <v>3.22</v>
      </c>
      <c r="F964" s="118">
        <v>10.130000000000001</v>
      </c>
    </row>
    <row r="965" spans="2:6" x14ac:dyDescent="0.2">
      <c r="B965" s="116" t="s">
        <v>1745</v>
      </c>
      <c r="C965" s="117" t="s">
        <v>1746</v>
      </c>
      <c r="D965" s="118">
        <v>4.01</v>
      </c>
      <c r="E965" s="118">
        <v>5.89</v>
      </c>
      <c r="F965" s="118">
        <v>25.55</v>
      </c>
    </row>
    <row r="966" spans="2:6" x14ac:dyDescent="0.2">
      <c r="B966" s="116" t="s">
        <v>1747</v>
      </c>
      <c r="C966" s="117" t="s">
        <v>1748</v>
      </c>
      <c r="D966" s="118">
        <v>1.99</v>
      </c>
      <c r="E966" s="118">
        <v>0.73</v>
      </c>
      <c r="F966" s="118">
        <v>8.83</v>
      </c>
    </row>
    <row r="967" spans="2:6" x14ac:dyDescent="0.2">
      <c r="B967" s="116" t="s">
        <v>3968</v>
      </c>
      <c r="C967" s="117" t="s">
        <v>3969</v>
      </c>
      <c r="D967" s="118"/>
      <c r="E967" s="118">
        <v>2.79</v>
      </c>
      <c r="F967" s="118"/>
    </row>
    <row r="968" spans="2:6" x14ac:dyDescent="0.2">
      <c r="B968" s="116" t="s">
        <v>1749</v>
      </c>
      <c r="C968" s="117" t="s">
        <v>1750</v>
      </c>
      <c r="D968" s="118">
        <v>0.92</v>
      </c>
      <c r="E968" s="118">
        <v>2.1</v>
      </c>
      <c r="F968" s="118">
        <v>17.23</v>
      </c>
    </row>
    <row r="969" spans="2:6" x14ac:dyDescent="0.2">
      <c r="B969" s="116" t="s">
        <v>1751</v>
      </c>
      <c r="C969" s="117" t="s">
        <v>1752</v>
      </c>
      <c r="D969" s="118">
        <v>3.19</v>
      </c>
      <c r="E969" s="118">
        <v>3</v>
      </c>
      <c r="F969" s="118">
        <v>28.84</v>
      </c>
    </row>
    <row r="970" spans="2:6" x14ac:dyDescent="0.2">
      <c r="B970" s="116" t="s">
        <v>1754</v>
      </c>
      <c r="C970" s="117" t="s">
        <v>1755</v>
      </c>
      <c r="D970" s="118">
        <v>10.32</v>
      </c>
      <c r="E970" s="118">
        <v>18.670000000000002</v>
      </c>
      <c r="F970" s="118">
        <v>43.86</v>
      </c>
    </row>
    <row r="971" spans="2:6" x14ac:dyDescent="0.2">
      <c r="B971" s="116" t="s">
        <v>1756</v>
      </c>
      <c r="C971" s="117" t="s">
        <v>1757</v>
      </c>
      <c r="D971" s="118">
        <v>9.02</v>
      </c>
      <c r="E971" s="118">
        <v>1.96</v>
      </c>
      <c r="F971" s="118">
        <v>1.42</v>
      </c>
    </row>
    <row r="972" spans="2:6" x14ac:dyDescent="0.2">
      <c r="B972" s="116" t="s">
        <v>3970</v>
      </c>
      <c r="C972" s="117" t="s">
        <v>3971</v>
      </c>
      <c r="D972" s="118">
        <v>9.0399999999999991</v>
      </c>
      <c r="E972" s="118">
        <v>8.32</v>
      </c>
      <c r="F972" s="118">
        <v>5.29</v>
      </c>
    </row>
    <row r="973" spans="2:6" x14ac:dyDescent="0.2">
      <c r="B973" s="116" t="s">
        <v>1758</v>
      </c>
      <c r="C973" s="117" t="s">
        <v>1759</v>
      </c>
      <c r="D973" s="118">
        <v>11.03</v>
      </c>
      <c r="E973" s="118">
        <v>6.04</v>
      </c>
      <c r="F973" s="118">
        <v>38.700000000000003</v>
      </c>
    </row>
    <row r="974" spans="2:6" x14ac:dyDescent="0.2">
      <c r="B974" s="116" t="s">
        <v>1760</v>
      </c>
      <c r="C974" s="117" t="s">
        <v>1761</v>
      </c>
      <c r="D974" s="118">
        <v>0.69</v>
      </c>
      <c r="E974" s="118">
        <v>2.13</v>
      </c>
      <c r="F974" s="118">
        <v>30.14</v>
      </c>
    </row>
    <row r="975" spans="2:6" x14ac:dyDescent="0.2">
      <c r="B975" s="116" t="s">
        <v>1762</v>
      </c>
      <c r="C975" s="117" t="s">
        <v>1763</v>
      </c>
      <c r="D975" s="118">
        <v>0.82</v>
      </c>
      <c r="E975" s="118">
        <v>3.33</v>
      </c>
      <c r="F975" s="118">
        <v>32.03</v>
      </c>
    </row>
    <row r="976" spans="2:6" x14ac:dyDescent="0.2">
      <c r="B976" s="116" t="s">
        <v>1765</v>
      </c>
      <c r="C976" s="117" t="s">
        <v>1766</v>
      </c>
      <c r="D976" s="118">
        <v>5.19</v>
      </c>
      <c r="E976" s="118">
        <v>2.99</v>
      </c>
      <c r="F976" s="118">
        <v>13.68</v>
      </c>
    </row>
    <row r="977" spans="2:6" x14ac:dyDescent="0.2">
      <c r="B977" s="116" t="s">
        <v>1768</v>
      </c>
      <c r="C977" s="117" t="s">
        <v>1769</v>
      </c>
      <c r="D977" s="118"/>
      <c r="E977" s="118">
        <v>3.82</v>
      </c>
      <c r="F977" s="118"/>
    </row>
    <row r="978" spans="2:6" x14ac:dyDescent="0.2">
      <c r="B978" s="116" t="s">
        <v>3972</v>
      </c>
      <c r="C978" s="117" t="s">
        <v>3973</v>
      </c>
      <c r="D978" s="118">
        <v>1.65</v>
      </c>
      <c r="E978" s="118">
        <v>0.49</v>
      </c>
      <c r="F978" s="118">
        <v>3.77</v>
      </c>
    </row>
    <row r="979" spans="2:6" x14ac:dyDescent="0.2">
      <c r="B979" s="116" t="s">
        <v>1770</v>
      </c>
      <c r="C979" s="117" t="s">
        <v>1771</v>
      </c>
      <c r="D979" s="118">
        <v>3.26</v>
      </c>
      <c r="E979" s="118">
        <v>6.1</v>
      </c>
      <c r="F979" s="118">
        <v>-60.21</v>
      </c>
    </row>
    <row r="980" spans="2:6" x14ac:dyDescent="0.2">
      <c r="B980" s="116" t="s">
        <v>1773</v>
      </c>
      <c r="C980" s="117" t="s">
        <v>1774</v>
      </c>
      <c r="D980" s="118">
        <v>2.85</v>
      </c>
      <c r="E980" s="118">
        <v>4.5</v>
      </c>
      <c r="F980" s="118">
        <v>15.95</v>
      </c>
    </row>
    <row r="981" spans="2:6" x14ac:dyDescent="0.2">
      <c r="B981" s="116" t="s">
        <v>1775</v>
      </c>
      <c r="C981" s="117" t="s">
        <v>1776</v>
      </c>
      <c r="D981" s="118">
        <v>1.86</v>
      </c>
      <c r="E981" s="118">
        <v>4.1500000000000004</v>
      </c>
      <c r="F981" s="118">
        <v>20.97</v>
      </c>
    </row>
    <row r="982" spans="2:6" x14ac:dyDescent="0.2">
      <c r="B982" s="116" t="s">
        <v>1779</v>
      </c>
      <c r="C982" s="117" t="s">
        <v>1780</v>
      </c>
      <c r="D982" s="118">
        <v>2.17</v>
      </c>
      <c r="E982" s="118">
        <v>5.54</v>
      </c>
      <c r="F982" s="118">
        <v>19.649999999999999</v>
      </c>
    </row>
    <row r="983" spans="2:6" x14ac:dyDescent="0.2">
      <c r="B983" s="116" t="s">
        <v>1781</v>
      </c>
      <c r="C983" s="117" t="s">
        <v>1782</v>
      </c>
      <c r="D983" s="118">
        <v>3.1</v>
      </c>
      <c r="E983" s="118">
        <v>1.0900000000000001</v>
      </c>
      <c r="F983" s="118">
        <v>7.05</v>
      </c>
    </row>
    <row r="984" spans="2:6" x14ac:dyDescent="0.2">
      <c r="B984" s="116" t="s">
        <v>1783</v>
      </c>
      <c r="C984" s="117" t="s">
        <v>1784</v>
      </c>
      <c r="D984" s="118">
        <v>2.0299999999999998</v>
      </c>
      <c r="E984" s="118"/>
      <c r="F984" s="118"/>
    </row>
    <row r="985" spans="2:6" x14ac:dyDescent="0.2">
      <c r="B985" s="116" t="s">
        <v>1785</v>
      </c>
      <c r="C985" s="117" t="s">
        <v>1786</v>
      </c>
      <c r="D985" s="118">
        <v>15.15</v>
      </c>
      <c r="E985" s="118">
        <v>8.41</v>
      </c>
      <c r="F985" s="118">
        <v>17.350000000000001</v>
      </c>
    </row>
    <row r="986" spans="2:6" x14ac:dyDescent="0.2">
      <c r="B986" s="116" t="s">
        <v>3974</v>
      </c>
      <c r="C986" s="117" t="s">
        <v>3975</v>
      </c>
      <c r="D986" s="118">
        <v>0.42</v>
      </c>
      <c r="E986" s="118">
        <v>0.82</v>
      </c>
      <c r="F986" s="118">
        <v>9.57</v>
      </c>
    </row>
    <row r="987" spans="2:6" x14ac:dyDescent="0.2">
      <c r="B987" s="116" t="s">
        <v>1787</v>
      </c>
      <c r="C987" s="117" t="s">
        <v>1788</v>
      </c>
      <c r="D987" s="118">
        <v>3.2</v>
      </c>
      <c r="E987" s="118">
        <v>13.43</v>
      </c>
      <c r="F987" s="118">
        <v>41.29</v>
      </c>
    </row>
    <row r="988" spans="2:6" x14ac:dyDescent="0.2">
      <c r="B988" s="116" t="s">
        <v>3976</v>
      </c>
      <c r="C988" s="117" t="s">
        <v>3977</v>
      </c>
      <c r="D988" s="118">
        <v>1.24</v>
      </c>
      <c r="E988" s="118">
        <v>0.76</v>
      </c>
      <c r="F988" s="118">
        <v>5.04</v>
      </c>
    </row>
    <row r="989" spans="2:6" x14ac:dyDescent="0.2">
      <c r="B989" s="116" t="s">
        <v>3978</v>
      </c>
      <c r="C989" s="117" t="s">
        <v>3979</v>
      </c>
      <c r="D989" s="118">
        <v>0.31</v>
      </c>
      <c r="E989" s="118">
        <v>0.99</v>
      </c>
      <c r="F989" s="118">
        <v>12.67</v>
      </c>
    </row>
    <row r="990" spans="2:6" x14ac:dyDescent="0.2">
      <c r="B990" s="116" t="s">
        <v>1789</v>
      </c>
      <c r="C990" s="117" t="s">
        <v>1790</v>
      </c>
      <c r="D990" s="118">
        <v>1.25</v>
      </c>
      <c r="E990" s="118">
        <v>4.05</v>
      </c>
      <c r="F990" s="118">
        <v>19.510000000000002</v>
      </c>
    </row>
    <row r="991" spans="2:6" x14ac:dyDescent="0.2">
      <c r="B991" s="116" t="s">
        <v>1791</v>
      </c>
      <c r="C991" s="117" t="s">
        <v>1792</v>
      </c>
      <c r="D991" s="118">
        <v>1.89</v>
      </c>
      <c r="E991" s="118">
        <v>2.7</v>
      </c>
      <c r="F991" s="118">
        <v>16.68</v>
      </c>
    </row>
    <row r="992" spans="2:6" x14ac:dyDescent="0.2">
      <c r="B992" s="116" t="s">
        <v>1793</v>
      </c>
      <c r="C992" s="117" t="s">
        <v>1794</v>
      </c>
      <c r="D992" s="118">
        <v>1.89</v>
      </c>
      <c r="E992" s="118">
        <v>2.21</v>
      </c>
      <c r="F992" s="118">
        <v>18.399999999999999</v>
      </c>
    </row>
    <row r="993" spans="2:6" x14ac:dyDescent="0.2">
      <c r="B993" s="116" t="s">
        <v>3980</v>
      </c>
      <c r="C993" s="117" t="s">
        <v>3981</v>
      </c>
      <c r="D993" s="118"/>
      <c r="E993" s="118">
        <v>5.69</v>
      </c>
      <c r="F993" s="118"/>
    </row>
    <row r="994" spans="2:6" x14ac:dyDescent="0.2">
      <c r="B994" s="116" t="s">
        <v>1795</v>
      </c>
      <c r="C994" s="117" t="s">
        <v>1796</v>
      </c>
      <c r="D994" s="118">
        <v>3.49</v>
      </c>
      <c r="E994" s="118">
        <v>16.21</v>
      </c>
      <c r="F994" s="118">
        <v>76.17</v>
      </c>
    </row>
    <row r="995" spans="2:6" x14ac:dyDescent="0.2">
      <c r="B995" s="116" t="s">
        <v>3982</v>
      </c>
      <c r="C995" s="117" t="s">
        <v>3983</v>
      </c>
      <c r="D995" s="118"/>
      <c r="E995" s="118"/>
      <c r="F995" s="118"/>
    </row>
    <row r="996" spans="2:6" x14ac:dyDescent="0.2">
      <c r="B996" s="116" t="s">
        <v>1797</v>
      </c>
      <c r="C996" s="117" t="s">
        <v>1798</v>
      </c>
      <c r="D996" s="118">
        <v>1.51</v>
      </c>
      <c r="E996" s="118">
        <v>0.77</v>
      </c>
      <c r="F996" s="118">
        <v>10.23</v>
      </c>
    </row>
    <row r="997" spans="2:6" x14ac:dyDescent="0.2">
      <c r="B997" s="116" t="s">
        <v>3984</v>
      </c>
      <c r="C997" s="117" t="s">
        <v>3985</v>
      </c>
      <c r="D997" s="118"/>
      <c r="E997" s="118"/>
      <c r="F997" s="118"/>
    </row>
    <row r="998" spans="2:6" x14ac:dyDescent="0.2">
      <c r="B998" s="116" t="s">
        <v>3986</v>
      </c>
      <c r="C998" s="117" t="s">
        <v>3987</v>
      </c>
      <c r="D998" s="118"/>
      <c r="E998" s="118"/>
      <c r="F998" s="118"/>
    </row>
    <row r="999" spans="2:6" x14ac:dyDescent="0.2">
      <c r="B999" s="116" t="s">
        <v>3988</v>
      </c>
      <c r="C999" s="117" t="s">
        <v>3989</v>
      </c>
      <c r="D999" s="118"/>
      <c r="E999" s="118"/>
      <c r="F999" s="118"/>
    </row>
    <row r="1000" spans="2:6" x14ac:dyDescent="0.2">
      <c r="B1000" s="116" t="s">
        <v>3990</v>
      </c>
      <c r="C1000" s="117" t="s">
        <v>3991</v>
      </c>
      <c r="D1000" s="118"/>
      <c r="E1000" s="118"/>
      <c r="F1000" s="118"/>
    </row>
    <row r="1001" spans="2:6" x14ac:dyDescent="0.2">
      <c r="B1001" s="116" t="s">
        <v>3992</v>
      </c>
      <c r="C1001" s="117" t="s">
        <v>3993</v>
      </c>
      <c r="D1001" s="118"/>
      <c r="E1001" s="118"/>
      <c r="F1001" s="118"/>
    </row>
    <row r="1002" spans="2:6" x14ac:dyDescent="0.2">
      <c r="B1002" s="116" t="s">
        <v>3994</v>
      </c>
      <c r="C1002" s="117" t="s">
        <v>3995</v>
      </c>
      <c r="D1002" s="118"/>
      <c r="E1002" s="118"/>
      <c r="F1002" s="118"/>
    </row>
    <row r="1003" spans="2:6" x14ac:dyDescent="0.2">
      <c r="B1003" s="116" t="s">
        <v>3996</v>
      </c>
      <c r="C1003" s="117" t="s">
        <v>3997</v>
      </c>
      <c r="D1003" s="118"/>
      <c r="E1003" s="118"/>
      <c r="F1003" s="118"/>
    </row>
    <row r="1004" spans="2:6" x14ac:dyDescent="0.2">
      <c r="B1004" s="116" t="s">
        <v>3998</v>
      </c>
      <c r="C1004" s="117" t="s">
        <v>3999</v>
      </c>
      <c r="D1004" s="118"/>
      <c r="E1004" s="118"/>
      <c r="F1004" s="118"/>
    </row>
    <row r="1005" spans="2:6" x14ac:dyDescent="0.2">
      <c r="B1005" s="116" t="s">
        <v>1799</v>
      </c>
      <c r="C1005" s="117" t="s">
        <v>1800</v>
      </c>
      <c r="D1005" s="118">
        <v>0.97</v>
      </c>
      <c r="E1005" s="118">
        <v>0.78</v>
      </c>
      <c r="F1005" s="118">
        <v>10.69</v>
      </c>
    </row>
    <row r="1006" spans="2:6" x14ac:dyDescent="0.2">
      <c r="B1006" s="116" t="s">
        <v>4000</v>
      </c>
      <c r="C1006" s="117" t="s">
        <v>4001</v>
      </c>
      <c r="D1006" s="118"/>
      <c r="E1006" s="118"/>
      <c r="F1006" s="118"/>
    </row>
    <row r="1007" spans="2:6" x14ac:dyDescent="0.2">
      <c r="B1007" s="116" t="s">
        <v>4002</v>
      </c>
      <c r="C1007" s="117" t="s">
        <v>4003</v>
      </c>
      <c r="D1007" s="118"/>
      <c r="E1007" s="118"/>
      <c r="F1007" s="118"/>
    </row>
    <row r="1008" spans="2:6" x14ac:dyDescent="0.2">
      <c r="B1008" s="116" t="s">
        <v>1801</v>
      </c>
      <c r="C1008" s="117" t="s">
        <v>1802</v>
      </c>
      <c r="D1008" s="118">
        <v>1.91</v>
      </c>
      <c r="E1008" s="118">
        <v>1.58</v>
      </c>
      <c r="F1008" s="118">
        <v>14.73</v>
      </c>
    </row>
    <row r="1009" spans="2:6" x14ac:dyDescent="0.2">
      <c r="B1009" s="116" t="s">
        <v>4004</v>
      </c>
      <c r="C1009" s="117" t="s">
        <v>4005</v>
      </c>
      <c r="D1009" s="118">
        <v>0.82</v>
      </c>
      <c r="E1009" s="118">
        <v>1.01</v>
      </c>
      <c r="F1009" s="118">
        <v>25.55</v>
      </c>
    </row>
    <row r="1010" spans="2:6" x14ac:dyDescent="0.2">
      <c r="B1010" s="116" t="s">
        <v>1803</v>
      </c>
      <c r="C1010" s="117" t="s">
        <v>1804</v>
      </c>
      <c r="D1010" s="118">
        <v>3.68</v>
      </c>
      <c r="E1010" s="118">
        <v>2.4500000000000002</v>
      </c>
      <c r="F1010" s="118">
        <v>27.72</v>
      </c>
    </row>
    <row r="1011" spans="2:6" x14ac:dyDescent="0.2">
      <c r="B1011" s="116" t="s">
        <v>1805</v>
      </c>
      <c r="C1011" s="117" t="s">
        <v>1806</v>
      </c>
      <c r="D1011" s="118">
        <v>8.31</v>
      </c>
      <c r="E1011" s="118">
        <v>1.54</v>
      </c>
      <c r="F1011" s="118">
        <v>1.45</v>
      </c>
    </row>
    <row r="1012" spans="2:6" x14ac:dyDescent="0.2">
      <c r="B1012" s="116" t="s">
        <v>1807</v>
      </c>
      <c r="C1012" s="117" t="s">
        <v>1808</v>
      </c>
      <c r="D1012" s="118">
        <v>1.37</v>
      </c>
      <c r="E1012" s="118">
        <v>5.71</v>
      </c>
      <c r="F1012" s="118">
        <v>29.35</v>
      </c>
    </row>
    <row r="1013" spans="2:6" x14ac:dyDescent="0.2">
      <c r="B1013" s="116" t="s">
        <v>1810</v>
      </c>
      <c r="C1013" s="117" t="s">
        <v>1811</v>
      </c>
      <c r="D1013" s="118">
        <v>0.19</v>
      </c>
      <c r="E1013" s="118">
        <v>2.5099999999999998</v>
      </c>
      <c r="F1013" s="118">
        <v>18.57</v>
      </c>
    </row>
    <row r="1014" spans="2:6" x14ac:dyDescent="0.2">
      <c r="B1014" s="116" t="s">
        <v>1813</v>
      </c>
      <c r="C1014" s="117" t="s">
        <v>1814</v>
      </c>
      <c r="D1014" s="118">
        <v>0.63</v>
      </c>
      <c r="E1014" s="118">
        <v>1.07</v>
      </c>
      <c r="F1014" s="118">
        <v>11.35</v>
      </c>
    </row>
    <row r="1015" spans="2:6" x14ac:dyDescent="0.2">
      <c r="B1015" s="116" t="s">
        <v>4006</v>
      </c>
      <c r="C1015" s="117" t="s">
        <v>4007</v>
      </c>
      <c r="D1015" s="118">
        <v>0.42</v>
      </c>
      <c r="E1015" s="118">
        <v>2.6</v>
      </c>
      <c r="F1015" s="118">
        <v>1.81</v>
      </c>
    </row>
    <row r="1016" spans="2:6" x14ac:dyDescent="0.2">
      <c r="B1016" s="116" t="s">
        <v>1815</v>
      </c>
      <c r="C1016" s="117" t="s">
        <v>1816</v>
      </c>
      <c r="D1016" s="118">
        <v>1.69</v>
      </c>
      <c r="E1016" s="118">
        <v>6.52</v>
      </c>
      <c r="F1016" s="118">
        <v>33.68</v>
      </c>
    </row>
    <row r="1017" spans="2:6" x14ac:dyDescent="0.2">
      <c r="B1017" s="116" t="s">
        <v>4008</v>
      </c>
      <c r="C1017" s="117" t="s">
        <v>4009</v>
      </c>
      <c r="D1017" s="118"/>
      <c r="E1017" s="118">
        <v>1.96</v>
      </c>
      <c r="F1017" s="118"/>
    </row>
    <row r="1018" spans="2:6" x14ac:dyDescent="0.2">
      <c r="B1018" s="116" t="s">
        <v>1818</v>
      </c>
      <c r="C1018" s="117" t="s">
        <v>1819</v>
      </c>
      <c r="D1018" s="118">
        <v>1.34</v>
      </c>
      <c r="E1018" s="118">
        <v>1.63</v>
      </c>
      <c r="F1018" s="118">
        <v>9.02</v>
      </c>
    </row>
    <row r="1019" spans="2:6" x14ac:dyDescent="0.2">
      <c r="B1019" s="116" t="s">
        <v>1820</v>
      </c>
      <c r="C1019" s="117" t="s">
        <v>1821</v>
      </c>
      <c r="D1019" s="118">
        <v>3.52</v>
      </c>
      <c r="E1019" s="118">
        <v>4.1399999999999997</v>
      </c>
      <c r="F1019" s="118">
        <v>28.85</v>
      </c>
    </row>
    <row r="1020" spans="2:6" x14ac:dyDescent="0.2">
      <c r="B1020" s="116" t="s">
        <v>1822</v>
      </c>
      <c r="C1020" s="117" t="s">
        <v>1823</v>
      </c>
      <c r="D1020" s="118">
        <v>0.6</v>
      </c>
      <c r="E1020" s="118">
        <v>3.55</v>
      </c>
      <c r="F1020" s="118">
        <v>7.72</v>
      </c>
    </row>
    <row r="1021" spans="2:6" x14ac:dyDescent="0.2">
      <c r="B1021" s="116" t="s">
        <v>1824</v>
      </c>
      <c r="C1021" s="117" t="s">
        <v>1825</v>
      </c>
      <c r="D1021" s="118">
        <v>0.92</v>
      </c>
      <c r="E1021" s="118">
        <v>2.04</v>
      </c>
      <c r="F1021" s="118">
        <v>11.11</v>
      </c>
    </row>
    <row r="1022" spans="2:6" x14ac:dyDescent="0.2">
      <c r="B1022" s="116" t="s">
        <v>4010</v>
      </c>
      <c r="C1022" s="117" t="s">
        <v>4011</v>
      </c>
      <c r="D1022" s="118">
        <v>0.76</v>
      </c>
      <c r="E1022" s="118">
        <v>0.59</v>
      </c>
      <c r="F1022" s="118"/>
    </row>
    <row r="1023" spans="2:6" x14ac:dyDescent="0.2">
      <c r="B1023" s="116" t="s">
        <v>4012</v>
      </c>
      <c r="C1023" s="117" t="s">
        <v>4013</v>
      </c>
      <c r="D1023" s="118"/>
      <c r="E1023" s="118"/>
      <c r="F1023" s="118"/>
    </row>
    <row r="1024" spans="2:6" x14ac:dyDescent="0.2">
      <c r="B1024" s="116" t="s">
        <v>1826</v>
      </c>
      <c r="C1024" s="117" t="s">
        <v>1827</v>
      </c>
      <c r="D1024" s="118">
        <v>0.2</v>
      </c>
      <c r="E1024" s="118">
        <v>0.38</v>
      </c>
      <c r="F1024" s="118">
        <v>8.19</v>
      </c>
    </row>
    <row r="1025" spans="2:6" x14ac:dyDescent="0.2">
      <c r="B1025" s="116" t="s">
        <v>1828</v>
      </c>
      <c r="C1025" s="117" t="s">
        <v>1829</v>
      </c>
      <c r="D1025" s="118">
        <v>1.9</v>
      </c>
      <c r="E1025" s="118">
        <v>0.86</v>
      </c>
      <c r="F1025" s="118">
        <v>9.9700000000000006</v>
      </c>
    </row>
    <row r="1026" spans="2:6" x14ac:dyDescent="0.2">
      <c r="B1026" s="116" t="s">
        <v>4014</v>
      </c>
      <c r="C1026" s="117" t="s">
        <v>4015</v>
      </c>
      <c r="D1026" s="118">
        <v>2.95</v>
      </c>
      <c r="E1026" s="118">
        <v>7.81</v>
      </c>
      <c r="F1026" s="118">
        <v>24.5</v>
      </c>
    </row>
    <row r="1027" spans="2:6" x14ac:dyDescent="0.2">
      <c r="B1027" s="116" t="s">
        <v>1830</v>
      </c>
      <c r="C1027" s="117" t="s">
        <v>1831</v>
      </c>
      <c r="D1027" s="118">
        <v>3.07</v>
      </c>
      <c r="E1027" s="118">
        <v>4.46</v>
      </c>
      <c r="F1027" s="118">
        <v>11.65</v>
      </c>
    </row>
    <row r="1028" spans="2:6" x14ac:dyDescent="0.2">
      <c r="B1028" s="116" t="s">
        <v>1832</v>
      </c>
      <c r="C1028" s="117" t="s">
        <v>1833</v>
      </c>
      <c r="D1028" s="118">
        <v>7.32</v>
      </c>
      <c r="E1028" s="118">
        <v>7.98</v>
      </c>
      <c r="F1028" s="118">
        <v>19.37</v>
      </c>
    </row>
    <row r="1029" spans="2:6" x14ac:dyDescent="0.2">
      <c r="B1029" s="116" t="s">
        <v>1835</v>
      </c>
      <c r="C1029" s="117" t="s">
        <v>1836</v>
      </c>
      <c r="D1029" s="118">
        <v>0.42</v>
      </c>
      <c r="E1029" s="118">
        <v>1.62</v>
      </c>
      <c r="F1029" s="118">
        <v>15.79</v>
      </c>
    </row>
    <row r="1030" spans="2:6" x14ac:dyDescent="0.2">
      <c r="B1030" s="116" t="s">
        <v>4016</v>
      </c>
      <c r="C1030" s="117" t="s">
        <v>4017</v>
      </c>
      <c r="D1030" s="118"/>
      <c r="E1030" s="118">
        <v>0.68</v>
      </c>
      <c r="F1030" s="118"/>
    </row>
    <row r="1031" spans="2:6" x14ac:dyDescent="0.2">
      <c r="B1031" s="116" t="s">
        <v>1837</v>
      </c>
      <c r="C1031" s="117" t="s">
        <v>1838</v>
      </c>
      <c r="D1031" s="118"/>
      <c r="E1031" s="118">
        <v>2.2200000000000002</v>
      </c>
      <c r="F1031" s="118"/>
    </row>
    <row r="1032" spans="2:6" x14ac:dyDescent="0.2">
      <c r="B1032" s="116" t="s">
        <v>1839</v>
      </c>
      <c r="C1032" s="117" t="s">
        <v>1840</v>
      </c>
      <c r="D1032" s="118">
        <v>4.2699999999999996</v>
      </c>
      <c r="E1032" s="118">
        <v>5.72</v>
      </c>
      <c r="F1032" s="118">
        <v>38.630000000000003</v>
      </c>
    </row>
    <row r="1033" spans="2:6" x14ac:dyDescent="0.2">
      <c r="B1033" s="116" t="s">
        <v>4018</v>
      </c>
      <c r="C1033" s="117" t="s">
        <v>4019</v>
      </c>
      <c r="D1033" s="118"/>
      <c r="E1033" s="118"/>
      <c r="F1033" s="118"/>
    </row>
    <row r="1034" spans="2:6" x14ac:dyDescent="0.2">
      <c r="B1034" s="116" t="s">
        <v>1841</v>
      </c>
      <c r="C1034" s="117" t="s">
        <v>1842</v>
      </c>
      <c r="D1034" s="118">
        <v>1.85</v>
      </c>
      <c r="E1034" s="118">
        <v>1.81</v>
      </c>
      <c r="F1034" s="118">
        <v>10</v>
      </c>
    </row>
    <row r="1035" spans="2:6" x14ac:dyDescent="0.2">
      <c r="B1035" s="116" t="s">
        <v>4020</v>
      </c>
      <c r="C1035" s="117" t="s">
        <v>4021</v>
      </c>
      <c r="D1035" s="118">
        <v>8.39</v>
      </c>
      <c r="E1035" s="118">
        <v>3.03</v>
      </c>
      <c r="F1035" s="118">
        <v>17.75</v>
      </c>
    </row>
    <row r="1036" spans="2:6" x14ac:dyDescent="0.2">
      <c r="B1036" s="116" t="s">
        <v>1843</v>
      </c>
      <c r="C1036" s="117" t="s">
        <v>1844</v>
      </c>
      <c r="D1036" s="118">
        <v>2.74</v>
      </c>
      <c r="E1036" s="118">
        <v>1.61</v>
      </c>
      <c r="F1036" s="118">
        <v>14.4</v>
      </c>
    </row>
    <row r="1037" spans="2:6" x14ac:dyDescent="0.2">
      <c r="B1037" s="116" t="s">
        <v>1845</v>
      </c>
      <c r="C1037" s="117" t="s">
        <v>1846</v>
      </c>
      <c r="D1037" s="118">
        <v>0.53</v>
      </c>
      <c r="E1037" s="118">
        <v>4.62</v>
      </c>
      <c r="F1037" s="118">
        <v>19.45</v>
      </c>
    </row>
    <row r="1038" spans="2:6" x14ac:dyDescent="0.2">
      <c r="B1038" s="116" t="s">
        <v>1847</v>
      </c>
      <c r="C1038" s="117" t="s">
        <v>1848</v>
      </c>
      <c r="D1038" s="118"/>
      <c r="E1038" s="118">
        <v>0.54</v>
      </c>
      <c r="F1038" s="118"/>
    </row>
    <row r="1039" spans="2:6" x14ac:dyDescent="0.2">
      <c r="B1039" s="116" t="s">
        <v>1849</v>
      </c>
      <c r="C1039" s="117" t="s">
        <v>1850</v>
      </c>
      <c r="D1039" s="118">
        <v>0.77</v>
      </c>
      <c r="E1039" s="118">
        <v>0.9</v>
      </c>
      <c r="F1039" s="118">
        <v>6.72</v>
      </c>
    </row>
    <row r="1040" spans="2:6" x14ac:dyDescent="0.2">
      <c r="B1040" s="116" t="s">
        <v>4022</v>
      </c>
      <c r="C1040" s="117" t="s">
        <v>4023</v>
      </c>
      <c r="D1040" s="118"/>
      <c r="E1040" s="118">
        <v>0.59</v>
      </c>
      <c r="F1040" s="118"/>
    </row>
    <row r="1041" spans="2:6" x14ac:dyDescent="0.2">
      <c r="B1041" s="116" t="s">
        <v>1851</v>
      </c>
      <c r="C1041" s="117" t="s">
        <v>1852</v>
      </c>
      <c r="D1041" s="118">
        <v>0.32</v>
      </c>
      <c r="E1041" s="118">
        <v>6.56</v>
      </c>
      <c r="F1041" s="118">
        <v>62.11</v>
      </c>
    </row>
    <row r="1042" spans="2:6" x14ac:dyDescent="0.2">
      <c r="B1042" s="116" t="s">
        <v>1853</v>
      </c>
      <c r="C1042" s="117" t="s">
        <v>1854</v>
      </c>
      <c r="D1042" s="118">
        <v>1.58</v>
      </c>
      <c r="E1042" s="118">
        <v>6.76</v>
      </c>
      <c r="F1042" s="118">
        <v>41.91</v>
      </c>
    </row>
    <row r="1043" spans="2:6" x14ac:dyDescent="0.2">
      <c r="B1043" s="116" t="s">
        <v>1855</v>
      </c>
      <c r="C1043" s="117" t="s">
        <v>1856</v>
      </c>
      <c r="D1043" s="118">
        <v>0.93</v>
      </c>
      <c r="E1043" s="118">
        <v>1.93</v>
      </c>
      <c r="F1043" s="118">
        <v>19.93</v>
      </c>
    </row>
    <row r="1044" spans="2:6" x14ac:dyDescent="0.2">
      <c r="B1044" s="116" t="s">
        <v>1857</v>
      </c>
      <c r="C1044" s="117" t="s">
        <v>1858</v>
      </c>
      <c r="D1044" s="118">
        <v>0.96</v>
      </c>
      <c r="E1044" s="118">
        <v>481.91</v>
      </c>
      <c r="F1044" s="118">
        <v>10.94</v>
      </c>
    </row>
    <row r="1045" spans="2:6" x14ac:dyDescent="0.2">
      <c r="B1045" s="116" t="s">
        <v>1859</v>
      </c>
      <c r="C1045" s="117" t="s">
        <v>1860</v>
      </c>
      <c r="D1045" s="118">
        <v>2.5099999999999998</v>
      </c>
      <c r="E1045" s="118">
        <v>1.27</v>
      </c>
      <c r="F1045" s="118">
        <v>12.56</v>
      </c>
    </row>
    <row r="1046" spans="2:6" x14ac:dyDescent="0.2">
      <c r="B1046" s="116" t="s">
        <v>1861</v>
      </c>
      <c r="C1046" s="117" t="s">
        <v>1862</v>
      </c>
      <c r="D1046" s="118">
        <v>0.67</v>
      </c>
      <c r="E1046" s="118">
        <v>2</v>
      </c>
      <c r="F1046" s="118">
        <v>13.09</v>
      </c>
    </row>
    <row r="1047" spans="2:6" x14ac:dyDescent="0.2">
      <c r="B1047" s="116" t="s">
        <v>4024</v>
      </c>
      <c r="C1047" s="117" t="s">
        <v>4025</v>
      </c>
      <c r="D1047" s="118">
        <v>2.87</v>
      </c>
      <c r="E1047" s="118">
        <v>77.72</v>
      </c>
      <c r="F1047" s="118">
        <v>116.64</v>
      </c>
    </row>
    <row r="1048" spans="2:6" x14ac:dyDescent="0.2">
      <c r="B1048" s="116" t="s">
        <v>4026</v>
      </c>
      <c r="C1048" s="117" t="s">
        <v>4027</v>
      </c>
      <c r="D1048" s="118">
        <v>1.36</v>
      </c>
      <c r="E1048" s="118"/>
      <c r="F1048" s="118"/>
    </row>
    <row r="1049" spans="2:6" x14ac:dyDescent="0.2">
      <c r="B1049" s="116" t="s">
        <v>1863</v>
      </c>
      <c r="C1049" s="117" t="s">
        <v>1864</v>
      </c>
      <c r="D1049" s="118">
        <v>3.54</v>
      </c>
      <c r="E1049" s="118">
        <v>1.68</v>
      </c>
      <c r="F1049" s="118">
        <v>7.15</v>
      </c>
    </row>
    <row r="1050" spans="2:6" x14ac:dyDescent="0.2">
      <c r="B1050" s="116" t="s">
        <v>1865</v>
      </c>
      <c r="C1050" s="117" t="s">
        <v>1866</v>
      </c>
      <c r="D1050" s="118">
        <v>0.25</v>
      </c>
      <c r="E1050" s="118">
        <v>0.22</v>
      </c>
      <c r="F1050" s="118">
        <v>-1.75</v>
      </c>
    </row>
    <row r="1051" spans="2:6" x14ac:dyDescent="0.2">
      <c r="B1051" s="116" t="s">
        <v>1867</v>
      </c>
      <c r="C1051" s="117" t="s">
        <v>1868</v>
      </c>
      <c r="D1051" s="118">
        <v>1.64</v>
      </c>
      <c r="E1051" s="118">
        <v>1.45</v>
      </c>
      <c r="F1051" s="118">
        <v>5.47</v>
      </c>
    </row>
    <row r="1052" spans="2:6" x14ac:dyDescent="0.2">
      <c r="B1052" s="116" t="s">
        <v>1869</v>
      </c>
      <c r="C1052" s="117" t="s">
        <v>1870</v>
      </c>
      <c r="D1052" s="118">
        <v>2.35</v>
      </c>
      <c r="E1052" s="118">
        <v>1.18</v>
      </c>
      <c r="F1052" s="118">
        <v>12.82</v>
      </c>
    </row>
    <row r="1053" spans="2:6" x14ac:dyDescent="0.2">
      <c r="B1053" s="116" t="s">
        <v>1871</v>
      </c>
      <c r="C1053" s="117" t="s">
        <v>1872</v>
      </c>
      <c r="D1053" s="118">
        <v>4.38</v>
      </c>
      <c r="E1053" s="118">
        <v>6.31</v>
      </c>
      <c r="F1053" s="118">
        <v>28.65</v>
      </c>
    </row>
    <row r="1054" spans="2:6" x14ac:dyDescent="0.2">
      <c r="B1054" s="116" t="s">
        <v>1873</v>
      </c>
      <c r="C1054" s="117" t="s">
        <v>1874</v>
      </c>
      <c r="D1054" s="118">
        <v>2.0499999999999998</v>
      </c>
      <c r="E1054" s="118">
        <v>1.37</v>
      </c>
      <c r="F1054" s="118">
        <v>2.78</v>
      </c>
    </row>
    <row r="1055" spans="2:6" x14ac:dyDescent="0.2">
      <c r="B1055" s="116" t="s">
        <v>1875</v>
      </c>
      <c r="C1055" s="117" t="s">
        <v>1876</v>
      </c>
      <c r="D1055" s="118"/>
      <c r="E1055" s="118">
        <v>4.5999999999999996</v>
      </c>
      <c r="F1055" s="118"/>
    </row>
    <row r="1056" spans="2:6" x14ac:dyDescent="0.2">
      <c r="B1056" s="116" t="s">
        <v>1877</v>
      </c>
      <c r="C1056" s="117" t="s">
        <v>1878</v>
      </c>
      <c r="D1056" s="118"/>
      <c r="E1056" s="118">
        <v>0.61</v>
      </c>
      <c r="F1056" s="118"/>
    </row>
    <row r="1057" spans="2:6" x14ac:dyDescent="0.2">
      <c r="B1057" s="116" t="s">
        <v>1879</v>
      </c>
      <c r="C1057" s="117" t="s">
        <v>1880</v>
      </c>
      <c r="D1057" s="118">
        <v>1.34</v>
      </c>
      <c r="E1057" s="118">
        <v>0.66</v>
      </c>
      <c r="F1057" s="118">
        <v>6.06</v>
      </c>
    </row>
    <row r="1058" spans="2:6" x14ac:dyDescent="0.2">
      <c r="B1058" s="116" t="s">
        <v>1881</v>
      </c>
      <c r="C1058" s="117" t="s">
        <v>1882</v>
      </c>
      <c r="D1058" s="118">
        <v>0.84</v>
      </c>
      <c r="E1058" s="118">
        <v>7.14</v>
      </c>
      <c r="F1058" s="118">
        <v>32.69</v>
      </c>
    </row>
    <row r="1059" spans="2:6" x14ac:dyDescent="0.2">
      <c r="B1059" s="116" t="s">
        <v>1883</v>
      </c>
      <c r="C1059" s="117" t="s">
        <v>1884</v>
      </c>
      <c r="D1059" s="118">
        <v>0.62</v>
      </c>
      <c r="E1059" s="118">
        <v>1.52</v>
      </c>
      <c r="F1059" s="118">
        <v>12.98</v>
      </c>
    </row>
    <row r="1060" spans="2:6" x14ac:dyDescent="0.2">
      <c r="B1060" s="116" t="s">
        <v>4028</v>
      </c>
      <c r="C1060" s="117" t="s">
        <v>4029</v>
      </c>
      <c r="D1060" s="118">
        <v>7.46</v>
      </c>
      <c r="E1060" s="118">
        <v>1.59</v>
      </c>
      <c r="F1060" s="118">
        <v>7.23</v>
      </c>
    </row>
    <row r="1061" spans="2:6" x14ac:dyDescent="0.2">
      <c r="B1061" s="116" t="s">
        <v>4030</v>
      </c>
      <c r="C1061" s="117" t="s">
        <v>4031</v>
      </c>
      <c r="D1061" s="118"/>
      <c r="E1061" s="118">
        <v>2.5</v>
      </c>
      <c r="F1061" s="118"/>
    </row>
    <row r="1062" spans="2:6" x14ac:dyDescent="0.2">
      <c r="B1062" s="116" t="s">
        <v>1885</v>
      </c>
      <c r="C1062" s="117" t="s">
        <v>1886</v>
      </c>
      <c r="D1062" s="118"/>
      <c r="E1062" s="118"/>
      <c r="F1062" s="118"/>
    </row>
    <row r="1063" spans="2:6" x14ac:dyDescent="0.2">
      <c r="B1063" s="116" t="s">
        <v>1885</v>
      </c>
      <c r="C1063" s="117" t="s">
        <v>4032</v>
      </c>
      <c r="D1063" s="118"/>
      <c r="E1063" s="118">
        <v>5.76</v>
      </c>
      <c r="F1063" s="118"/>
    </row>
    <row r="1064" spans="2:6" x14ac:dyDescent="0.2">
      <c r="B1064" s="116" t="s">
        <v>1887</v>
      </c>
      <c r="C1064" s="117" t="s">
        <v>1888</v>
      </c>
      <c r="D1064" s="118">
        <v>4.5199999999999996</v>
      </c>
      <c r="E1064" s="118">
        <v>0.56999999999999995</v>
      </c>
      <c r="F1064" s="118">
        <v>5.27</v>
      </c>
    </row>
    <row r="1065" spans="2:6" x14ac:dyDescent="0.2">
      <c r="B1065" s="116" t="s">
        <v>1889</v>
      </c>
      <c r="C1065" s="117" t="s">
        <v>1890</v>
      </c>
      <c r="D1065" s="118">
        <v>9.11</v>
      </c>
      <c r="E1065" s="118">
        <v>6.74</v>
      </c>
      <c r="F1065" s="118">
        <v>29.11</v>
      </c>
    </row>
    <row r="1066" spans="2:6" x14ac:dyDescent="0.2">
      <c r="B1066" s="116" t="s">
        <v>1891</v>
      </c>
      <c r="C1066" s="117" t="s">
        <v>1892</v>
      </c>
      <c r="D1066" s="118">
        <v>5.42</v>
      </c>
      <c r="E1066" s="118">
        <v>9.25</v>
      </c>
      <c r="F1066" s="118">
        <v>60.86</v>
      </c>
    </row>
    <row r="1067" spans="2:6" x14ac:dyDescent="0.2">
      <c r="B1067" s="116" t="s">
        <v>4033</v>
      </c>
      <c r="C1067" s="117" t="s">
        <v>4034</v>
      </c>
      <c r="D1067" s="118">
        <v>7.1</v>
      </c>
      <c r="E1067" s="118">
        <v>10.08</v>
      </c>
      <c r="F1067" s="118">
        <v>-3.93</v>
      </c>
    </row>
    <row r="1068" spans="2:6" x14ac:dyDescent="0.2">
      <c r="B1068" s="116" t="s">
        <v>1893</v>
      </c>
      <c r="C1068" s="117" t="s">
        <v>1894</v>
      </c>
      <c r="D1068" s="118"/>
      <c r="E1068" s="118">
        <v>0.69</v>
      </c>
      <c r="F1068" s="118"/>
    </row>
    <row r="1069" spans="2:6" x14ac:dyDescent="0.2">
      <c r="B1069" s="116" t="s">
        <v>1895</v>
      </c>
      <c r="C1069" s="117" t="s">
        <v>1896</v>
      </c>
      <c r="D1069" s="118"/>
      <c r="E1069" s="118">
        <v>0.69</v>
      </c>
      <c r="F1069" s="118"/>
    </row>
    <row r="1070" spans="2:6" x14ac:dyDescent="0.2">
      <c r="B1070" s="116" t="s">
        <v>1898</v>
      </c>
      <c r="C1070" s="117" t="s">
        <v>1899</v>
      </c>
      <c r="D1070" s="118">
        <v>2.5299999999999998</v>
      </c>
      <c r="E1070" s="118">
        <v>929.45</v>
      </c>
      <c r="F1070" s="118">
        <v>27094.12</v>
      </c>
    </row>
    <row r="1071" spans="2:6" x14ac:dyDescent="0.2">
      <c r="B1071" s="116" t="s">
        <v>1900</v>
      </c>
      <c r="C1071" s="117" t="s">
        <v>1901</v>
      </c>
      <c r="D1071" s="118">
        <v>3.4</v>
      </c>
      <c r="E1071" s="118">
        <v>1.37</v>
      </c>
      <c r="F1071" s="118">
        <v>6.23</v>
      </c>
    </row>
    <row r="1072" spans="2:6" x14ac:dyDescent="0.2">
      <c r="B1072" s="116" t="s">
        <v>1902</v>
      </c>
      <c r="C1072" s="117" t="s">
        <v>1903</v>
      </c>
      <c r="D1072" s="118">
        <v>1.08</v>
      </c>
      <c r="E1072" s="118">
        <v>1.41</v>
      </c>
      <c r="F1072" s="118">
        <v>10.84</v>
      </c>
    </row>
    <row r="1073" spans="2:6" x14ac:dyDescent="0.2">
      <c r="B1073" s="116" t="s">
        <v>1904</v>
      </c>
      <c r="C1073" s="117" t="s">
        <v>1905</v>
      </c>
      <c r="D1073" s="118">
        <v>0.89</v>
      </c>
      <c r="E1073" s="118">
        <v>1.37</v>
      </c>
      <c r="F1073" s="118">
        <v>14.15</v>
      </c>
    </row>
    <row r="1074" spans="2:6" x14ac:dyDescent="0.2">
      <c r="B1074" s="116" t="s">
        <v>1906</v>
      </c>
      <c r="C1074" s="117" t="s">
        <v>1907</v>
      </c>
      <c r="D1074" s="118">
        <v>0.75</v>
      </c>
      <c r="E1074" s="118">
        <v>4.07</v>
      </c>
      <c r="F1074" s="118">
        <v>25.37</v>
      </c>
    </row>
    <row r="1075" spans="2:6" x14ac:dyDescent="0.2">
      <c r="B1075" s="116" t="s">
        <v>4035</v>
      </c>
      <c r="C1075" s="117" t="s">
        <v>4036</v>
      </c>
      <c r="D1075" s="118"/>
      <c r="E1075" s="118">
        <v>1.88</v>
      </c>
      <c r="F1075" s="118"/>
    </row>
    <row r="1076" spans="2:6" x14ac:dyDescent="0.2">
      <c r="B1076" s="116" t="s">
        <v>1908</v>
      </c>
      <c r="C1076" s="117" t="s">
        <v>1909</v>
      </c>
      <c r="D1076" s="118">
        <v>0.38</v>
      </c>
      <c r="E1076" s="118">
        <v>6.44</v>
      </c>
      <c r="F1076" s="118">
        <v>10.31</v>
      </c>
    </row>
    <row r="1077" spans="2:6" x14ac:dyDescent="0.2">
      <c r="B1077" s="116" t="s">
        <v>1910</v>
      </c>
      <c r="C1077" s="117" t="s">
        <v>1911</v>
      </c>
      <c r="D1077" s="118">
        <v>2.72</v>
      </c>
      <c r="E1077" s="118">
        <v>2.58</v>
      </c>
      <c r="F1077" s="118">
        <v>12.72</v>
      </c>
    </row>
    <row r="1078" spans="2:6" x14ac:dyDescent="0.2">
      <c r="B1078" s="116" t="s">
        <v>4037</v>
      </c>
      <c r="C1078" s="117" t="s">
        <v>4038</v>
      </c>
      <c r="D1078" s="118"/>
      <c r="E1078" s="118">
        <v>0.83</v>
      </c>
      <c r="F1078" s="118">
        <v>13.38</v>
      </c>
    </row>
    <row r="1079" spans="2:6" x14ac:dyDescent="0.2">
      <c r="B1079" s="116" t="s">
        <v>1912</v>
      </c>
      <c r="C1079" s="117" t="s">
        <v>1913</v>
      </c>
      <c r="D1079" s="118">
        <v>1.1499999999999999</v>
      </c>
      <c r="E1079" s="118">
        <v>1.08</v>
      </c>
      <c r="F1079" s="118">
        <v>8.66</v>
      </c>
    </row>
    <row r="1080" spans="2:6" x14ac:dyDescent="0.2">
      <c r="B1080" s="116" t="s">
        <v>1914</v>
      </c>
      <c r="C1080" s="117" t="s">
        <v>1915</v>
      </c>
      <c r="D1080" s="118">
        <v>6.92</v>
      </c>
      <c r="E1080" s="118">
        <v>11.36</v>
      </c>
      <c r="F1080" s="118">
        <v>45.67</v>
      </c>
    </row>
    <row r="1081" spans="2:6" x14ac:dyDescent="0.2">
      <c r="B1081" s="116" t="s">
        <v>1916</v>
      </c>
      <c r="C1081" s="117" t="s">
        <v>1917</v>
      </c>
      <c r="D1081" s="118">
        <v>1.35</v>
      </c>
      <c r="E1081" s="118">
        <v>1.95</v>
      </c>
      <c r="F1081" s="118">
        <v>9.02</v>
      </c>
    </row>
    <row r="1082" spans="2:6" x14ac:dyDescent="0.2">
      <c r="B1082" s="116" t="s">
        <v>4039</v>
      </c>
      <c r="C1082" s="117" t="s">
        <v>4040</v>
      </c>
      <c r="D1082" s="118">
        <v>1.72</v>
      </c>
      <c r="E1082" s="118">
        <v>0.93</v>
      </c>
      <c r="F1082" s="118">
        <v>6.06</v>
      </c>
    </row>
    <row r="1083" spans="2:6" x14ac:dyDescent="0.2">
      <c r="B1083" s="116" t="s">
        <v>1918</v>
      </c>
      <c r="C1083" s="117" t="s">
        <v>1919</v>
      </c>
      <c r="D1083" s="118">
        <v>0.17</v>
      </c>
      <c r="E1083" s="118">
        <v>2.37</v>
      </c>
      <c r="F1083" s="118">
        <v>21.17</v>
      </c>
    </row>
    <row r="1084" spans="2:6" x14ac:dyDescent="0.2">
      <c r="B1084" s="116" t="s">
        <v>1920</v>
      </c>
      <c r="C1084" s="117" t="s">
        <v>1921</v>
      </c>
      <c r="D1084" s="118">
        <v>10.19</v>
      </c>
      <c r="E1084" s="118">
        <v>1.9</v>
      </c>
      <c r="F1084" s="118">
        <v>6.58</v>
      </c>
    </row>
    <row r="1085" spans="2:6" x14ac:dyDescent="0.2">
      <c r="B1085" s="116" t="s">
        <v>4041</v>
      </c>
      <c r="C1085" s="117" t="s">
        <v>4042</v>
      </c>
      <c r="D1085" s="118"/>
      <c r="E1085" s="118"/>
      <c r="F1085" s="118"/>
    </row>
    <row r="1086" spans="2:6" x14ac:dyDescent="0.2">
      <c r="B1086" s="116" t="s">
        <v>4043</v>
      </c>
      <c r="C1086" s="117" t="s">
        <v>4044</v>
      </c>
      <c r="D1086" s="118"/>
      <c r="E1086" s="118">
        <v>4.25</v>
      </c>
      <c r="F1086" s="118"/>
    </row>
    <row r="1087" spans="2:6" x14ac:dyDescent="0.2">
      <c r="B1087" s="116" t="s">
        <v>1922</v>
      </c>
      <c r="C1087" s="117" t="s">
        <v>1923</v>
      </c>
      <c r="D1087" s="118">
        <v>0.39</v>
      </c>
      <c r="E1087" s="118">
        <v>1.43</v>
      </c>
      <c r="F1087" s="118">
        <v>15.94</v>
      </c>
    </row>
    <row r="1088" spans="2:6" x14ac:dyDescent="0.2">
      <c r="B1088" s="116" t="s">
        <v>1925</v>
      </c>
      <c r="C1088" s="117" t="s">
        <v>1926</v>
      </c>
      <c r="D1088" s="118">
        <v>4.74</v>
      </c>
      <c r="E1088" s="118">
        <v>2.56</v>
      </c>
      <c r="F1088" s="118">
        <v>12.45</v>
      </c>
    </row>
    <row r="1089" spans="2:6" x14ac:dyDescent="0.2">
      <c r="B1089" s="116" t="s">
        <v>1927</v>
      </c>
      <c r="C1089" s="117" t="s">
        <v>1928</v>
      </c>
      <c r="D1089" s="118"/>
      <c r="E1089" s="118">
        <v>0.42</v>
      </c>
      <c r="F1089" s="118"/>
    </row>
    <row r="1090" spans="2:6" x14ac:dyDescent="0.2">
      <c r="B1090" s="116" t="s">
        <v>1929</v>
      </c>
      <c r="C1090" s="117" t="s">
        <v>1930</v>
      </c>
      <c r="D1090" s="118"/>
      <c r="E1090" s="118"/>
      <c r="F1090" s="118"/>
    </row>
    <row r="1091" spans="2:6" x14ac:dyDescent="0.2">
      <c r="B1091" s="116" t="s">
        <v>1931</v>
      </c>
      <c r="C1091" s="117" t="s">
        <v>1932</v>
      </c>
      <c r="D1091" s="118">
        <v>0.81</v>
      </c>
      <c r="E1091" s="118">
        <v>0.85</v>
      </c>
      <c r="F1091" s="118">
        <v>6.05</v>
      </c>
    </row>
    <row r="1092" spans="2:6" x14ac:dyDescent="0.2">
      <c r="B1092" s="116" t="s">
        <v>4045</v>
      </c>
      <c r="C1092" s="117" t="s">
        <v>4046</v>
      </c>
      <c r="D1092" s="118">
        <v>4.87</v>
      </c>
      <c r="E1092" s="118">
        <v>2.4500000000000002</v>
      </c>
      <c r="F1092" s="118">
        <v>13.49</v>
      </c>
    </row>
    <row r="1093" spans="2:6" x14ac:dyDescent="0.2">
      <c r="B1093" s="116" t="s">
        <v>1933</v>
      </c>
      <c r="C1093" s="117" t="s">
        <v>1934</v>
      </c>
      <c r="D1093" s="118">
        <v>0.25</v>
      </c>
      <c r="E1093" s="118">
        <v>0.84</v>
      </c>
      <c r="F1093" s="118">
        <v>3.42</v>
      </c>
    </row>
    <row r="1094" spans="2:6" x14ac:dyDescent="0.2">
      <c r="B1094" s="116" t="s">
        <v>1935</v>
      </c>
      <c r="C1094" s="117" t="s">
        <v>1936</v>
      </c>
      <c r="D1094" s="118">
        <v>1.57</v>
      </c>
      <c r="E1094" s="118">
        <v>1.03</v>
      </c>
      <c r="F1094" s="118">
        <v>3.83</v>
      </c>
    </row>
    <row r="1095" spans="2:6" x14ac:dyDescent="0.2">
      <c r="B1095" s="116" t="s">
        <v>1937</v>
      </c>
      <c r="C1095" s="117" t="s">
        <v>1938</v>
      </c>
      <c r="D1095" s="118">
        <v>1.08</v>
      </c>
      <c r="E1095" s="118">
        <v>0.69</v>
      </c>
      <c r="F1095" s="118">
        <v>4.72</v>
      </c>
    </row>
    <row r="1096" spans="2:6" x14ac:dyDescent="0.2">
      <c r="B1096" s="116" t="s">
        <v>1939</v>
      </c>
      <c r="C1096" s="117" t="s">
        <v>1940</v>
      </c>
      <c r="D1096" s="118">
        <v>0.25</v>
      </c>
      <c r="E1096" s="118">
        <v>2.37</v>
      </c>
      <c r="F1096" s="118">
        <v>20.74</v>
      </c>
    </row>
    <row r="1097" spans="2:6" x14ac:dyDescent="0.2">
      <c r="B1097" s="116" t="s">
        <v>1941</v>
      </c>
      <c r="C1097" s="117" t="s">
        <v>1942</v>
      </c>
      <c r="D1097" s="118">
        <v>4.78</v>
      </c>
      <c r="E1097" s="118">
        <v>7.03</v>
      </c>
      <c r="F1097" s="118">
        <v>32.1</v>
      </c>
    </row>
    <row r="1098" spans="2:6" x14ac:dyDescent="0.2">
      <c r="B1098" s="116" t="s">
        <v>4047</v>
      </c>
      <c r="C1098" s="117" t="s">
        <v>4048</v>
      </c>
      <c r="D1098" s="118">
        <v>3.01</v>
      </c>
      <c r="E1098" s="118">
        <v>5.42</v>
      </c>
      <c r="F1098" s="118">
        <v>19.88</v>
      </c>
    </row>
    <row r="1099" spans="2:6" x14ac:dyDescent="0.2">
      <c r="B1099" s="116" t="s">
        <v>1943</v>
      </c>
      <c r="C1099" s="117" t="s">
        <v>1944</v>
      </c>
      <c r="D1099" s="118">
        <v>1.18</v>
      </c>
      <c r="E1099" s="118">
        <v>1.26</v>
      </c>
      <c r="F1099" s="118">
        <v>-0.85</v>
      </c>
    </row>
    <row r="1100" spans="2:6" x14ac:dyDescent="0.2">
      <c r="B1100" s="116" t="s">
        <v>1945</v>
      </c>
      <c r="C1100" s="117" t="s">
        <v>1946</v>
      </c>
      <c r="D1100" s="118">
        <v>1.72</v>
      </c>
      <c r="E1100" s="118">
        <v>6.38</v>
      </c>
      <c r="F1100" s="118">
        <v>47.09</v>
      </c>
    </row>
    <row r="1101" spans="2:6" x14ac:dyDescent="0.2">
      <c r="B1101" s="116" t="s">
        <v>1947</v>
      </c>
      <c r="C1101" s="117" t="s">
        <v>1948</v>
      </c>
      <c r="D1101" s="118">
        <v>0.4</v>
      </c>
      <c r="E1101" s="118"/>
      <c r="F1101" s="118">
        <v>-74.73</v>
      </c>
    </row>
    <row r="1102" spans="2:6" x14ac:dyDescent="0.2">
      <c r="B1102" s="116" t="s">
        <v>1949</v>
      </c>
      <c r="C1102" s="117" t="s">
        <v>4049</v>
      </c>
      <c r="D1102" s="118">
        <v>1357.32</v>
      </c>
      <c r="E1102" s="118">
        <v>1.83</v>
      </c>
      <c r="F1102" s="118">
        <v>0.68</v>
      </c>
    </row>
    <row r="1103" spans="2:6" x14ac:dyDescent="0.2">
      <c r="B1103" s="116" t="s">
        <v>1949</v>
      </c>
      <c r="C1103" s="117" t="s">
        <v>1950</v>
      </c>
      <c r="D1103" s="118">
        <v>1359.61</v>
      </c>
      <c r="E1103" s="118">
        <v>1.84</v>
      </c>
      <c r="F1103" s="118">
        <v>0.68</v>
      </c>
    </row>
    <row r="1104" spans="2:6" x14ac:dyDescent="0.2">
      <c r="B1104" s="116" t="s">
        <v>1951</v>
      </c>
      <c r="C1104" s="117" t="s">
        <v>1952</v>
      </c>
      <c r="D1104" s="118">
        <v>1.64</v>
      </c>
      <c r="E1104" s="118">
        <v>5.19</v>
      </c>
      <c r="F1104" s="118">
        <v>-26.88</v>
      </c>
    </row>
    <row r="1105" spans="2:6" x14ac:dyDescent="0.2">
      <c r="B1105" s="116" t="s">
        <v>1951</v>
      </c>
      <c r="C1105" s="117" t="s">
        <v>4050</v>
      </c>
      <c r="D1105" s="118">
        <v>1.61</v>
      </c>
      <c r="E1105" s="118">
        <v>5.0999999999999996</v>
      </c>
      <c r="F1105" s="118">
        <v>-26.88</v>
      </c>
    </row>
    <row r="1106" spans="2:6" x14ac:dyDescent="0.2">
      <c r="B1106" s="116" t="s">
        <v>1951</v>
      </c>
      <c r="C1106" s="117" t="s">
        <v>4051</v>
      </c>
      <c r="D1106" s="118">
        <v>1.58</v>
      </c>
      <c r="E1106" s="118">
        <v>4.99</v>
      </c>
      <c r="F1106" s="118">
        <v>-26.88</v>
      </c>
    </row>
    <row r="1107" spans="2:6" x14ac:dyDescent="0.2">
      <c r="B1107" s="116" t="s">
        <v>1953</v>
      </c>
      <c r="C1107" s="117" t="s">
        <v>1954</v>
      </c>
      <c r="D1107" s="118">
        <v>1.18</v>
      </c>
      <c r="E1107" s="118">
        <v>3.69</v>
      </c>
      <c r="F1107" s="118">
        <v>20.11</v>
      </c>
    </row>
    <row r="1108" spans="2:6" x14ac:dyDescent="0.2">
      <c r="B1108" s="116" t="s">
        <v>1955</v>
      </c>
      <c r="C1108" s="117" t="s">
        <v>1956</v>
      </c>
      <c r="D1108" s="118">
        <v>0.36</v>
      </c>
      <c r="E1108" s="118">
        <v>1.65</v>
      </c>
      <c r="F1108" s="118">
        <v>23.18</v>
      </c>
    </row>
    <row r="1109" spans="2:6" x14ac:dyDescent="0.2">
      <c r="B1109" s="116" t="s">
        <v>1957</v>
      </c>
      <c r="C1109" s="117" t="s">
        <v>1958</v>
      </c>
      <c r="D1109" s="118">
        <v>1.77</v>
      </c>
      <c r="E1109" s="118">
        <v>6.31</v>
      </c>
      <c r="F1109" s="118">
        <v>36.159999999999997</v>
      </c>
    </row>
    <row r="1110" spans="2:6" x14ac:dyDescent="0.2">
      <c r="B1110" s="116" t="s">
        <v>1960</v>
      </c>
      <c r="C1110" s="117" t="s">
        <v>1961</v>
      </c>
      <c r="D1110" s="118">
        <v>1.19</v>
      </c>
      <c r="E1110" s="118">
        <v>4.32</v>
      </c>
      <c r="F1110" s="118">
        <v>27.47</v>
      </c>
    </row>
    <row r="1111" spans="2:6" x14ac:dyDescent="0.2">
      <c r="B1111" s="116" t="s">
        <v>4052</v>
      </c>
      <c r="C1111" s="117" t="s">
        <v>4053</v>
      </c>
      <c r="D1111" s="118"/>
      <c r="E1111" s="118"/>
      <c r="F1111" s="118"/>
    </row>
    <row r="1112" spans="2:6" x14ac:dyDescent="0.2">
      <c r="B1112" s="116" t="s">
        <v>1963</v>
      </c>
      <c r="C1112" s="117" t="s">
        <v>1964</v>
      </c>
      <c r="D1112" s="118">
        <v>0.81</v>
      </c>
      <c r="E1112" s="118">
        <v>1.1399999999999999</v>
      </c>
      <c r="F1112" s="118">
        <v>12.03</v>
      </c>
    </row>
    <row r="1113" spans="2:6" x14ac:dyDescent="0.2">
      <c r="B1113" s="116" t="s">
        <v>1963</v>
      </c>
      <c r="C1113" s="117" t="s">
        <v>4054</v>
      </c>
      <c r="D1113" s="118">
        <v>0.64</v>
      </c>
      <c r="E1113" s="118">
        <v>0.91</v>
      </c>
      <c r="F1113" s="118">
        <v>12.03</v>
      </c>
    </row>
    <row r="1114" spans="2:6" x14ac:dyDescent="0.2">
      <c r="B1114" s="116" t="s">
        <v>4055</v>
      </c>
      <c r="C1114" s="117" t="s">
        <v>4056</v>
      </c>
      <c r="D1114" s="118">
        <v>1.25</v>
      </c>
      <c r="E1114" s="118">
        <v>5.42</v>
      </c>
      <c r="F1114" s="118">
        <v>42.83</v>
      </c>
    </row>
    <row r="1115" spans="2:6" x14ac:dyDescent="0.2">
      <c r="B1115" s="116" t="s">
        <v>1965</v>
      </c>
      <c r="C1115" s="117" t="s">
        <v>1966</v>
      </c>
      <c r="D1115" s="118">
        <v>0.69</v>
      </c>
      <c r="E1115" s="118">
        <v>1.23</v>
      </c>
      <c r="F1115" s="118">
        <v>9.31</v>
      </c>
    </row>
    <row r="1116" spans="2:6" x14ac:dyDescent="0.2">
      <c r="B1116" s="116" t="s">
        <v>1967</v>
      </c>
      <c r="C1116" s="117" t="s">
        <v>1968</v>
      </c>
      <c r="D1116" s="118">
        <v>2.59</v>
      </c>
      <c r="E1116" s="118">
        <v>2.82</v>
      </c>
      <c r="F1116" s="118">
        <v>13.82</v>
      </c>
    </row>
    <row r="1117" spans="2:6" x14ac:dyDescent="0.2">
      <c r="B1117" s="116" t="s">
        <v>4057</v>
      </c>
      <c r="C1117" s="117" t="s">
        <v>4058</v>
      </c>
      <c r="D1117" s="118"/>
      <c r="E1117" s="118">
        <v>1.62</v>
      </c>
      <c r="F1117" s="118"/>
    </row>
    <row r="1118" spans="2:6" x14ac:dyDescent="0.2">
      <c r="B1118" s="116" t="s">
        <v>4059</v>
      </c>
      <c r="C1118" s="117" t="s">
        <v>4060</v>
      </c>
      <c r="D1118" s="118">
        <v>2.63</v>
      </c>
      <c r="E1118" s="118">
        <v>3.34</v>
      </c>
      <c r="F1118" s="118">
        <v>17.04</v>
      </c>
    </row>
    <row r="1119" spans="2:6" x14ac:dyDescent="0.2">
      <c r="B1119" s="116" t="s">
        <v>1969</v>
      </c>
      <c r="C1119" s="117" t="s">
        <v>1970</v>
      </c>
      <c r="D1119" s="118">
        <v>1.49</v>
      </c>
      <c r="E1119" s="118">
        <v>2.38</v>
      </c>
      <c r="F1119" s="118">
        <v>16.28</v>
      </c>
    </row>
    <row r="1120" spans="2:6" x14ac:dyDescent="0.2">
      <c r="B1120" s="116" t="s">
        <v>1971</v>
      </c>
      <c r="C1120" s="117" t="s">
        <v>1972</v>
      </c>
      <c r="D1120" s="118">
        <v>1.82</v>
      </c>
      <c r="E1120" s="118">
        <v>2.56</v>
      </c>
      <c r="F1120" s="118">
        <v>8.83</v>
      </c>
    </row>
    <row r="1121" spans="2:6" x14ac:dyDescent="0.2">
      <c r="B1121" s="116" t="s">
        <v>1973</v>
      </c>
      <c r="C1121" s="117" t="s">
        <v>1974</v>
      </c>
      <c r="D1121" s="118">
        <v>6.94</v>
      </c>
      <c r="E1121" s="118">
        <v>7.45</v>
      </c>
      <c r="F1121" s="118">
        <v>29.39</v>
      </c>
    </row>
    <row r="1122" spans="2:6" x14ac:dyDescent="0.2">
      <c r="B1122" s="116" t="s">
        <v>1975</v>
      </c>
      <c r="C1122" s="117" t="s">
        <v>1976</v>
      </c>
      <c r="D1122" s="118">
        <v>2.46</v>
      </c>
      <c r="E1122" s="118"/>
      <c r="F1122" s="118">
        <v>-244.79</v>
      </c>
    </row>
    <row r="1123" spans="2:6" x14ac:dyDescent="0.2">
      <c r="B1123" s="116" t="s">
        <v>1951</v>
      </c>
      <c r="C1123" s="117" t="s">
        <v>1978</v>
      </c>
      <c r="D1123" s="118">
        <v>0.86</v>
      </c>
      <c r="E1123" s="118"/>
      <c r="F1123" s="118"/>
    </row>
    <row r="1124" spans="2:6" x14ac:dyDescent="0.2">
      <c r="B1124" s="116" t="s">
        <v>1951</v>
      </c>
      <c r="C1124" s="117" t="s">
        <v>4061</v>
      </c>
      <c r="D1124" s="118">
        <v>0.86</v>
      </c>
      <c r="E1124" s="118"/>
      <c r="F1124" s="118"/>
    </row>
    <row r="1125" spans="2:6" x14ac:dyDescent="0.2">
      <c r="B1125" s="116" t="s">
        <v>1979</v>
      </c>
      <c r="C1125" s="117" t="s">
        <v>1980</v>
      </c>
      <c r="D1125" s="118">
        <v>4.59</v>
      </c>
      <c r="E1125" s="118">
        <v>2</v>
      </c>
      <c r="F1125" s="118">
        <v>12.1</v>
      </c>
    </row>
    <row r="1126" spans="2:6" x14ac:dyDescent="0.2">
      <c r="B1126" s="116" t="s">
        <v>1981</v>
      </c>
      <c r="C1126" s="117" t="s">
        <v>1982</v>
      </c>
      <c r="D1126" s="118">
        <v>1.78</v>
      </c>
      <c r="E1126" s="118"/>
      <c r="F1126" s="118">
        <v>12.85</v>
      </c>
    </row>
    <row r="1127" spans="2:6" x14ac:dyDescent="0.2">
      <c r="B1127" s="116" t="s">
        <v>1983</v>
      </c>
      <c r="C1127" s="117" t="s">
        <v>1984</v>
      </c>
      <c r="D1127" s="118">
        <v>2.89</v>
      </c>
      <c r="E1127" s="118">
        <v>3</v>
      </c>
      <c r="F1127" s="118">
        <v>18.190000000000001</v>
      </c>
    </row>
    <row r="1128" spans="2:6" x14ac:dyDescent="0.2">
      <c r="B1128" s="116" t="s">
        <v>1985</v>
      </c>
      <c r="C1128" s="117" t="s">
        <v>1986</v>
      </c>
      <c r="D1128" s="118">
        <v>3.46</v>
      </c>
      <c r="E1128" s="118">
        <v>2.56</v>
      </c>
      <c r="F1128" s="118">
        <v>8.56</v>
      </c>
    </row>
    <row r="1129" spans="2:6" x14ac:dyDescent="0.2">
      <c r="B1129" s="116" t="s">
        <v>4062</v>
      </c>
      <c r="C1129" s="117" t="s">
        <v>4063</v>
      </c>
      <c r="D1129" s="118"/>
      <c r="E1129" s="118">
        <v>5.08</v>
      </c>
      <c r="F1129" s="118"/>
    </row>
    <row r="1130" spans="2:6" x14ac:dyDescent="0.2">
      <c r="B1130" s="116" t="s">
        <v>1987</v>
      </c>
      <c r="C1130" s="117" t="s">
        <v>1988</v>
      </c>
      <c r="D1130" s="118">
        <v>0.79</v>
      </c>
      <c r="E1130" s="118">
        <v>2</v>
      </c>
      <c r="F1130" s="118">
        <v>14.54</v>
      </c>
    </row>
    <row r="1131" spans="2:6" x14ac:dyDescent="0.2">
      <c r="B1131" s="116" t="s">
        <v>1989</v>
      </c>
      <c r="C1131" s="117" t="s">
        <v>1990</v>
      </c>
      <c r="D1131" s="118">
        <v>4.83</v>
      </c>
      <c r="E1131" s="118">
        <v>39.25</v>
      </c>
      <c r="F1131" s="118">
        <v>70.86</v>
      </c>
    </row>
    <row r="1132" spans="2:6" x14ac:dyDescent="0.2">
      <c r="B1132" s="116" t="s">
        <v>1991</v>
      </c>
      <c r="C1132" s="117" t="s">
        <v>1992</v>
      </c>
      <c r="D1132" s="118">
        <v>1.1599999999999999</v>
      </c>
      <c r="E1132" s="118">
        <v>0.89</v>
      </c>
      <c r="F1132" s="118">
        <v>7.24</v>
      </c>
    </row>
    <row r="1133" spans="2:6" x14ac:dyDescent="0.2">
      <c r="B1133" s="116" t="s">
        <v>1993</v>
      </c>
      <c r="C1133" s="117" t="s">
        <v>1994</v>
      </c>
      <c r="D1133" s="118">
        <v>1.91</v>
      </c>
      <c r="E1133" s="118">
        <v>37.86</v>
      </c>
      <c r="F1133" s="118">
        <v>297.37</v>
      </c>
    </row>
    <row r="1134" spans="2:6" x14ac:dyDescent="0.2">
      <c r="B1134" s="116" t="s">
        <v>1995</v>
      </c>
      <c r="C1134" s="117" t="s">
        <v>1996</v>
      </c>
      <c r="D1134" s="118">
        <v>4.33</v>
      </c>
      <c r="E1134" s="118">
        <v>5.1100000000000003</v>
      </c>
      <c r="F1134" s="118">
        <v>-12.61</v>
      </c>
    </row>
    <row r="1135" spans="2:6" x14ac:dyDescent="0.2">
      <c r="B1135" s="116" t="s">
        <v>1997</v>
      </c>
      <c r="C1135" s="117" t="s">
        <v>1998</v>
      </c>
      <c r="D1135" s="118">
        <v>0.71</v>
      </c>
      <c r="E1135" s="118">
        <v>0.66</v>
      </c>
      <c r="F1135" s="118">
        <v>11.85</v>
      </c>
    </row>
    <row r="1136" spans="2:6" x14ac:dyDescent="0.2">
      <c r="B1136" s="116" t="s">
        <v>1999</v>
      </c>
      <c r="C1136" s="117" t="s">
        <v>2000</v>
      </c>
      <c r="D1136" s="118">
        <v>1.96</v>
      </c>
      <c r="E1136" s="118">
        <v>8.5</v>
      </c>
      <c r="F1136" s="118">
        <v>8.0299999999999994</v>
      </c>
    </row>
    <row r="1137" spans="2:6" x14ac:dyDescent="0.2">
      <c r="B1137" s="116" t="s">
        <v>4064</v>
      </c>
      <c r="C1137" s="117" t="s">
        <v>4065</v>
      </c>
      <c r="D1137" s="118"/>
      <c r="E1137" s="118">
        <v>6.94</v>
      </c>
      <c r="F1137" s="118"/>
    </row>
    <row r="1138" spans="2:6" x14ac:dyDescent="0.2">
      <c r="B1138" s="116" t="s">
        <v>2001</v>
      </c>
      <c r="C1138" s="117" t="s">
        <v>2002</v>
      </c>
      <c r="D1138" s="118">
        <v>3.53</v>
      </c>
      <c r="E1138" s="118">
        <v>2.69</v>
      </c>
      <c r="F1138" s="118">
        <v>11.11</v>
      </c>
    </row>
    <row r="1139" spans="2:6" x14ac:dyDescent="0.2">
      <c r="B1139" s="116" t="s">
        <v>2003</v>
      </c>
      <c r="C1139" s="117" t="s">
        <v>2004</v>
      </c>
      <c r="D1139" s="118">
        <v>0.16</v>
      </c>
      <c r="E1139" s="118">
        <v>1.85</v>
      </c>
      <c r="F1139" s="118">
        <v>17.14</v>
      </c>
    </row>
    <row r="1140" spans="2:6" x14ac:dyDescent="0.2">
      <c r="B1140" s="116" t="s">
        <v>2005</v>
      </c>
      <c r="C1140" s="117" t="s">
        <v>2006</v>
      </c>
      <c r="D1140" s="118">
        <v>2.36</v>
      </c>
      <c r="E1140" s="118">
        <v>5.56</v>
      </c>
      <c r="F1140" s="118">
        <v>26.38</v>
      </c>
    </row>
    <row r="1141" spans="2:6" x14ac:dyDescent="0.2">
      <c r="B1141" s="116" t="s">
        <v>2007</v>
      </c>
      <c r="C1141" s="117" t="s">
        <v>2008</v>
      </c>
      <c r="D1141" s="118">
        <v>2.91</v>
      </c>
      <c r="E1141" s="118">
        <v>1.28</v>
      </c>
      <c r="F1141" s="118">
        <v>7.44</v>
      </c>
    </row>
    <row r="1142" spans="2:6" x14ac:dyDescent="0.2">
      <c r="B1142" s="116" t="s">
        <v>2009</v>
      </c>
      <c r="C1142" s="117" t="s">
        <v>2010</v>
      </c>
      <c r="D1142" s="118">
        <v>7.63</v>
      </c>
      <c r="E1142" s="118">
        <v>4.04</v>
      </c>
      <c r="F1142" s="118">
        <v>21.06</v>
      </c>
    </row>
    <row r="1143" spans="2:6" x14ac:dyDescent="0.2">
      <c r="B1143" s="116" t="s">
        <v>2011</v>
      </c>
      <c r="C1143" s="117" t="s">
        <v>2012</v>
      </c>
      <c r="D1143" s="118">
        <v>1.19</v>
      </c>
      <c r="E1143" s="118">
        <v>32.44</v>
      </c>
      <c r="F1143" s="118">
        <v>111.09</v>
      </c>
    </row>
    <row r="1144" spans="2:6" x14ac:dyDescent="0.2">
      <c r="B1144" s="116" t="s">
        <v>2013</v>
      </c>
      <c r="C1144" s="117" t="s">
        <v>2014</v>
      </c>
      <c r="D1144" s="118">
        <v>0.2</v>
      </c>
      <c r="E1144" s="118">
        <v>0.33</v>
      </c>
      <c r="F1144" s="118">
        <v>-2.89</v>
      </c>
    </row>
    <row r="1145" spans="2:6" x14ac:dyDescent="0.2">
      <c r="B1145" s="116" t="s">
        <v>2015</v>
      </c>
      <c r="C1145" s="117" t="s">
        <v>2016</v>
      </c>
      <c r="D1145" s="118">
        <v>1.28</v>
      </c>
      <c r="E1145" s="118">
        <v>6.75</v>
      </c>
      <c r="F1145" s="118">
        <v>57.63</v>
      </c>
    </row>
    <row r="1146" spans="2:6" x14ac:dyDescent="0.2">
      <c r="B1146" s="116" t="s">
        <v>2017</v>
      </c>
      <c r="C1146" s="117" t="s">
        <v>2018</v>
      </c>
      <c r="D1146" s="118">
        <v>11.22</v>
      </c>
      <c r="E1146" s="118">
        <v>2.2000000000000002</v>
      </c>
      <c r="F1146" s="118">
        <v>5.71</v>
      </c>
    </row>
    <row r="1147" spans="2:6" x14ac:dyDescent="0.2">
      <c r="B1147" s="116" t="s">
        <v>2019</v>
      </c>
      <c r="C1147" s="117" t="s">
        <v>2020</v>
      </c>
      <c r="D1147" s="118">
        <v>1.24</v>
      </c>
      <c r="E1147" s="118">
        <v>2.42</v>
      </c>
      <c r="F1147" s="118">
        <v>11.7</v>
      </c>
    </row>
    <row r="1148" spans="2:6" x14ac:dyDescent="0.2">
      <c r="B1148" s="116" t="s">
        <v>4066</v>
      </c>
      <c r="C1148" s="117" t="s">
        <v>4067</v>
      </c>
      <c r="D1148" s="118"/>
      <c r="E1148" s="118"/>
      <c r="F1148" s="118"/>
    </row>
    <row r="1149" spans="2:6" x14ac:dyDescent="0.2">
      <c r="B1149" s="116" t="s">
        <v>2021</v>
      </c>
      <c r="C1149" s="117" t="s">
        <v>2022</v>
      </c>
      <c r="D1149" s="118">
        <v>3.52</v>
      </c>
      <c r="E1149" s="118">
        <v>7.47</v>
      </c>
      <c r="F1149" s="118">
        <v>43.72</v>
      </c>
    </row>
    <row r="1150" spans="2:6" x14ac:dyDescent="0.2">
      <c r="B1150" s="116" t="s">
        <v>2023</v>
      </c>
      <c r="C1150" s="117" t="s">
        <v>2024</v>
      </c>
      <c r="D1150" s="118"/>
      <c r="E1150" s="118">
        <v>4.8</v>
      </c>
      <c r="F1150" s="118"/>
    </row>
    <row r="1151" spans="2:6" x14ac:dyDescent="0.2">
      <c r="B1151" s="116" t="s">
        <v>2025</v>
      </c>
      <c r="C1151" s="117" t="s">
        <v>2026</v>
      </c>
      <c r="D1151" s="118">
        <v>8.6999999999999993</v>
      </c>
      <c r="E1151" s="118">
        <v>2.39</v>
      </c>
      <c r="F1151" s="118">
        <v>10.210000000000001</v>
      </c>
    </row>
    <row r="1152" spans="2:6" x14ac:dyDescent="0.2">
      <c r="B1152" s="116" t="s">
        <v>2027</v>
      </c>
      <c r="C1152" s="117" t="s">
        <v>2028</v>
      </c>
      <c r="D1152" s="118">
        <v>1.01</v>
      </c>
      <c r="E1152" s="118">
        <v>6.17</v>
      </c>
      <c r="F1152" s="118">
        <v>36.17</v>
      </c>
    </row>
    <row r="1153" spans="2:6" x14ac:dyDescent="0.2">
      <c r="B1153" s="116" t="s">
        <v>1436</v>
      </c>
      <c r="C1153" s="117" t="s">
        <v>4068</v>
      </c>
      <c r="D1153" s="118">
        <v>1.96</v>
      </c>
      <c r="E1153" s="118">
        <v>0.57999999999999996</v>
      </c>
      <c r="F1153" s="118">
        <v>2.4</v>
      </c>
    </row>
    <row r="1154" spans="2:6" x14ac:dyDescent="0.2">
      <c r="B1154" s="116" t="s">
        <v>1436</v>
      </c>
      <c r="C1154" s="117" t="s">
        <v>4069</v>
      </c>
      <c r="D1154" s="118">
        <v>1.99</v>
      </c>
      <c r="E1154" s="118"/>
      <c r="F1154" s="118"/>
    </row>
    <row r="1155" spans="2:6" x14ac:dyDescent="0.2">
      <c r="B1155" s="116" t="s">
        <v>1436</v>
      </c>
      <c r="C1155" s="117" t="s">
        <v>2029</v>
      </c>
      <c r="D1155" s="118">
        <v>1.28</v>
      </c>
      <c r="E1155" s="118"/>
      <c r="F1155" s="118"/>
    </row>
    <row r="1156" spans="2:6" x14ac:dyDescent="0.2">
      <c r="B1156" s="116" t="s">
        <v>2030</v>
      </c>
      <c r="C1156" s="117" t="s">
        <v>2031</v>
      </c>
      <c r="D1156" s="118">
        <v>0.56000000000000005</v>
      </c>
      <c r="E1156" s="118">
        <v>1.77</v>
      </c>
      <c r="F1156" s="118">
        <v>2.29</v>
      </c>
    </row>
    <row r="1157" spans="2:6" x14ac:dyDescent="0.2">
      <c r="B1157" s="116" t="s">
        <v>4070</v>
      </c>
      <c r="C1157" s="117" t="s">
        <v>4071</v>
      </c>
      <c r="D1157" s="118">
        <v>0.44</v>
      </c>
      <c r="E1157" s="118">
        <v>1.17</v>
      </c>
      <c r="F1157" s="118">
        <v>16.649999999999999</v>
      </c>
    </row>
    <row r="1158" spans="2:6" x14ac:dyDescent="0.2">
      <c r="B1158" s="116" t="s">
        <v>2032</v>
      </c>
      <c r="C1158" s="117" t="s">
        <v>2033</v>
      </c>
      <c r="D1158" s="118">
        <v>6.89</v>
      </c>
      <c r="E1158" s="118">
        <v>16.36</v>
      </c>
      <c r="F1158" s="118">
        <v>39.54</v>
      </c>
    </row>
    <row r="1159" spans="2:6" x14ac:dyDescent="0.2">
      <c r="B1159" s="116" t="s">
        <v>4072</v>
      </c>
      <c r="C1159" s="117" t="s">
        <v>4073</v>
      </c>
      <c r="D1159" s="118">
        <v>2.34</v>
      </c>
      <c r="E1159" s="118">
        <v>0.87</v>
      </c>
      <c r="F1159" s="118">
        <v>1.9</v>
      </c>
    </row>
    <row r="1160" spans="2:6" x14ac:dyDescent="0.2">
      <c r="B1160" s="116" t="s">
        <v>2034</v>
      </c>
      <c r="C1160" s="117" t="s">
        <v>2035</v>
      </c>
      <c r="D1160" s="118">
        <v>1.31</v>
      </c>
      <c r="E1160" s="118">
        <v>2.95</v>
      </c>
      <c r="F1160" s="118">
        <v>24.12</v>
      </c>
    </row>
    <row r="1161" spans="2:6" x14ac:dyDescent="0.2">
      <c r="B1161" s="116" t="s">
        <v>2036</v>
      </c>
      <c r="C1161" s="117" t="s">
        <v>2037</v>
      </c>
      <c r="D1161" s="118"/>
      <c r="E1161" s="118">
        <v>5.14</v>
      </c>
      <c r="F1161" s="118"/>
    </row>
    <row r="1162" spans="2:6" x14ac:dyDescent="0.2">
      <c r="B1162" s="116" t="s">
        <v>2038</v>
      </c>
      <c r="C1162" s="117" t="s">
        <v>2039</v>
      </c>
      <c r="D1162" s="118">
        <v>3.14</v>
      </c>
      <c r="E1162" s="118">
        <v>6.59</v>
      </c>
      <c r="F1162" s="118">
        <v>35.770000000000003</v>
      </c>
    </row>
    <row r="1163" spans="2:6" x14ac:dyDescent="0.2">
      <c r="B1163" s="116" t="s">
        <v>2040</v>
      </c>
      <c r="C1163" s="117" t="s">
        <v>2041</v>
      </c>
      <c r="D1163" s="118">
        <v>2.85</v>
      </c>
      <c r="E1163" s="118"/>
      <c r="F1163" s="118">
        <v>-402.03</v>
      </c>
    </row>
    <row r="1164" spans="2:6" x14ac:dyDescent="0.2">
      <c r="B1164" s="116" t="s">
        <v>2042</v>
      </c>
      <c r="C1164" s="117" t="s">
        <v>2043</v>
      </c>
      <c r="D1164" s="118">
        <v>0.8</v>
      </c>
      <c r="E1164" s="118">
        <v>2.76</v>
      </c>
      <c r="F1164" s="118">
        <v>35.200000000000003</v>
      </c>
    </row>
    <row r="1165" spans="2:6" x14ac:dyDescent="0.2">
      <c r="B1165" s="116" t="s">
        <v>4074</v>
      </c>
      <c r="C1165" s="117" t="s">
        <v>4075</v>
      </c>
      <c r="D1165" s="118"/>
      <c r="E1165" s="118">
        <v>4.1500000000000004</v>
      </c>
      <c r="F1165" s="118"/>
    </row>
    <row r="1166" spans="2:6" x14ac:dyDescent="0.2">
      <c r="B1166" s="116" t="s">
        <v>2044</v>
      </c>
      <c r="C1166" s="117" t="s">
        <v>2045</v>
      </c>
      <c r="D1166" s="118">
        <v>1.99</v>
      </c>
      <c r="E1166" s="118">
        <v>0.76</v>
      </c>
      <c r="F1166" s="118">
        <v>15.86</v>
      </c>
    </row>
    <row r="1167" spans="2:6" x14ac:dyDescent="0.2">
      <c r="B1167" s="116" t="s">
        <v>4076</v>
      </c>
      <c r="C1167" s="117" t="s">
        <v>4077</v>
      </c>
      <c r="D1167" s="118">
        <v>1.27</v>
      </c>
      <c r="E1167" s="118">
        <v>10.199999999999999</v>
      </c>
      <c r="F1167" s="118">
        <v>4.49</v>
      </c>
    </row>
    <row r="1168" spans="2:6" x14ac:dyDescent="0.2">
      <c r="B1168" s="116" t="s">
        <v>2046</v>
      </c>
      <c r="C1168" s="117" t="s">
        <v>2047</v>
      </c>
      <c r="D1168" s="118"/>
      <c r="E1168" s="118">
        <v>4.0199999999999996</v>
      </c>
      <c r="F1168" s="118"/>
    </row>
    <row r="1169" spans="2:6" x14ac:dyDescent="0.2">
      <c r="B1169" s="116" t="s">
        <v>2048</v>
      </c>
      <c r="C1169" s="117" t="s">
        <v>2049</v>
      </c>
      <c r="D1169" s="118">
        <v>0.19</v>
      </c>
      <c r="E1169" s="118">
        <v>0.75</v>
      </c>
      <c r="F1169" s="118">
        <v>18.739999999999998</v>
      </c>
    </row>
    <row r="1170" spans="2:6" x14ac:dyDescent="0.2">
      <c r="B1170" s="116" t="s">
        <v>2050</v>
      </c>
      <c r="C1170" s="117" t="s">
        <v>2051</v>
      </c>
      <c r="D1170" s="118">
        <v>17.52</v>
      </c>
      <c r="E1170" s="118">
        <v>54.72</v>
      </c>
      <c r="F1170" s="118">
        <v>135.02000000000001</v>
      </c>
    </row>
    <row r="1171" spans="2:6" x14ac:dyDescent="0.2">
      <c r="B1171" s="116" t="s">
        <v>2052</v>
      </c>
      <c r="C1171" s="117" t="s">
        <v>2053</v>
      </c>
      <c r="D1171" s="118">
        <v>9.18</v>
      </c>
      <c r="E1171" s="118">
        <v>2.35</v>
      </c>
      <c r="F1171" s="118">
        <v>3.76</v>
      </c>
    </row>
    <row r="1172" spans="2:6" x14ac:dyDescent="0.2">
      <c r="B1172" s="116" t="s">
        <v>2054</v>
      </c>
      <c r="C1172" s="117" t="s">
        <v>2055</v>
      </c>
      <c r="D1172" s="118">
        <v>4.8499999999999996</v>
      </c>
      <c r="E1172" s="118">
        <v>1.54</v>
      </c>
      <c r="F1172" s="118">
        <v>3.49</v>
      </c>
    </row>
    <row r="1173" spans="2:6" x14ac:dyDescent="0.2">
      <c r="B1173" s="116" t="s">
        <v>4078</v>
      </c>
      <c r="C1173" s="117" t="s">
        <v>4079</v>
      </c>
      <c r="D1173" s="118"/>
      <c r="E1173" s="118">
        <v>1.1200000000000001</v>
      </c>
      <c r="F1173" s="118"/>
    </row>
    <row r="1174" spans="2:6" x14ac:dyDescent="0.2">
      <c r="B1174" s="116" t="s">
        <v>2056</v>
      </c>
      <c r="C1174" s="117" t="s">
        <v>2057</v>
      </c>
      <c r="D1174" s="118">
        <v>0.24</v>
      </c>
      <c r="E1174" s="118">
        <v>1.91</v>
      </c>
      <c r="F1174" s="118">
        <v>19.190000000000001</v>
      </c>
    </row>
    <row r="1175" spans="2:6" x14ac:dyDescent="0.2">
      <c r="B1175" s="116" t="s">
        <v>2059</v>
      </c>
      <c r="C1175" s="117" t="s">
        <v>2060</v>
      </c>
      <c r="D1175" s="118">
        <v>9.11</v>
      </c>
      <c r="E1175" s="118">
        <v>34.729999999999997</v>
      </c>
      <c r="F1175" s="118">
        <v>66</v>
      </c>
    </row>
    <row r="1176" spans="2:6" x14ac:dyDescent="0.2">
      <c r="B1176" s="116" t="s">
        <v>2061</v>
      </c>
      <c r="C1176" s="117" t="s">
        <v>2062</v>
      </c>
      <c r="D1176" s="118">
        <v>2.02</v>
      </c>
      <c r="E1176" s="118">
        <v>33.72</v>
      </c>
      <c r="F1176" s="118">
        <v>113.75</v>
      </c>
    </row>
    <row r="1177" spans="2:6" x14ac:dyDescent="0.2">
      <c r="B1177" s="116" t="s">
        <v>4080</v>
      </c>
      <c r="C1177" s="117" t="s">
        <v>4081</v>
      </c>
      <c r="D1177" s="118">
        <v>0.18</v>
      </c>
      <c r="E1177" s="118">
        <v>0.67</v>
      </c>
      <c r="F1177" s="118">
        <v>13.7</v>
      </c>
    </row>
    <row r="1178" spans="2:6" x14ac:dyDescent="0.2">
      <c r="B1178" s="116" t="s">
        <v>2063</v>
      </c>
      <c r="C1178" s="117" t="s">
        <v>2064</v>
      </c>
      <c r="D1178" s="118">
        <v>1.41</v>
      </c>
      <c r="E1178" s="118">
        <v>165.64</v>
      </c>
      <c r="F1178" s="118">
        <v>792.8</v>
      </c>
    </row>
    <row r="1179" spans="2:6" x14ac:dyDescent="0.2">
      <c r="B1179" s="116" t="s">
        <v>2065</v>
      </c>
      <c r="C1179" s="117" t="s">
        <v>2066</v>
      </c>
      <c r="D1179" s="118">
        <v>9.06</v>
      </c>
      <c r="E1179" s="118">
        <v>7.8</v>
      </c>
      <c r="F1179" s="118">
        <v>17.82</v>
      </c>
    </row>
    <row r="1180" spans="2:6" x14ac:dyDescent="0.2">
      <c r="B1180" s="116" t="s">
        <v>2067</v>
      </c>
      <c r="C1180" s="117" t="s">
        <v>2068</v>
      </c>
      <c r="D1180" s="118">
        <v>0.87</v>
      </c>
      <c r="E1180" s="118">
        <v>9.31</v>
      </c>
      <c r="F1180" s="118">
        <v>-28.7</v>
      </c>
    </row>
    <row r="1181" spans="2:6" x14ac:dyDescent="0.2">
      <c r="B1181" s="116" t="s">
        <v>4082</v>
      </c>
      <c r="C1181" s="117" t="s">
        <v>4083</v>
      </c>
      <c r="D1181" s="118"/>
      <c r="E1181" s="118"/>
      <c r="F1181" s="118"/>
    </row>
    <row r="1182" spans="2:6" x14ac:dyDescent="0.2">
      <c r="B1182" s="116" t="s">
        <v>4084</v>
      </c>
      <c r="C1182" s="117" t="s">
        <v>4085</v>
      </c>
      <c r="D1182" s="118"/>
      <c r="E1182" s="118"/>
      <c r="F1182" s="118"/>
    </row>
    <row r="1183" spans="2:6" x14ac:dyDescent="0.2">
      <c r="B1183" s="116" t="s">
        <v>2069</v>
      </c>
      <c r="C1183" s="117" t="s">
        <v>2070</v>
      </c>
      <c r="D1183" s="118">
        <v>1</v>
      </c>
      <c r="E1183" s="118">
        <v>12.45</v>
      </c>
      <c r="F1183" s="118">
        <v>95.04</v>
      </c>
    </row>
    <row r="1184" spans="2:6" x14ac:dyDescent="0.2">
      <c r="B1184" s="116" t="s">
        <v>2071</v>
      </c>
      <c r="C1184" s="117" t="s">
        <v>2072</v>
      </c>
      <c r="D1184" s="118">
        <v>7.63</v>
      </c>
      <c r="E1184" s="118"/>
      <c r="F1184" s="118">
        <v>-92.02</v>
      </c>
    </row>
    <row r="1185" spans="2:6" x14ac:dyDescent="0.2">
      <c r="B1185" s="116" t="s">
        <v>2073</v>
      </c>
      <c r="C1185" s="117" t="s">
        <v>2074</v>
      </c>
      <c r="D1185" s="118">
        <v>3.94</v>
      </c>
      <c r="E1185" s="118">
        <v>4.07</v>
      </c>
      <c r="F1185" s="118">
        <v>27.79</v>
      </c>
    </row>
    <row r="1186" spans="2:6" x14ac:dyDescent="0.2">
      <c r="B1186" s="116" t="s">
        <v>2075</v>
      </c>
      <c r="C1186" s="117" t="s">
        <v>2076</v>
      </c>
      <c r="D1186" s="118">
        <v>0.12</v>
      </c>
      <c r="E1186" s="118">
        <v>3.36</v>
      </c>
      <c r="F1186" s="118">
        <v>30.73</v>
      </c>
    </row>
    <row r="1187" spans="2:6" x14ac:dyDescent="0.2">
      <c r="B1187" s="116" t="s">
        <v>2077</v>
      </c>
      <c r="C1187" s="117" t="s">
        <v>2078</v>
      </c>
      <c r="D1187" s="118">
        <v>9.01</v>
      </c>
      <c r="E1187" s="118">
        <v>70.48</v>
      </c>
      <c r="F1187" s="118">
        <v>266.42</v>
      </c>
    </row>
    <row r="1188" spans="2:6" x14ac:dyDescent="0.2">
      <c r="B1188" s="116" t="s">
        <v>2079</v>
      </c>
      <c r="C1188" s="117" t="s">
        <v>2080</v>
      </c>
      <c r="D1188" s="118">
        <v>0.83</v>
      </c>
      <c r="E1188" s="118">
        <v>1.74</v>
      </c>
      <c r="F1188" s="118">
        <v>7.97</v>
      </c>
    </row>
    <row r="1189" spans="2:6" x14ac:dyDescent="0.2">
      <c r="B1189" s="116" t="s">
        <v>2081</v>
      </c>
      <c r="C1189" s="117" t="s">
        <v>2082</v>
      </c>
      <c r="D1189" s="118">
        <v>21.88</v>
      </c>
      <c r="E1189" s="118">
        <v>31.02</v>
      </c>
      <c r="F1189" s="118">
        <v>-43.95</v>
      </c>
    </row>
    <row r="1190" spans="2:6" x14ac:dyDescent="0.2">
      <c r="B1190" s="116" t="s">
        <v>2083</v>
      </c>
      <c r="C1190" s="117" t="s">
        <v>2084</v>
      </c>
      <c r="D1190" s="118">
        <v>111.65</v>
      </c>
      <c r="E1190" s="118">
        <v>102.2</v>
      </c>
      <c r="F1190" s="118">
        <v>-2118.2399999999998</v>
      </c>
    </row>
    <row r="1191" spans="2:6" x14ac:dyDescent="0.2">
      <c r="B1191" s="116" t="s">
        <v>4086</v>
      </c>
      <c r="C1191" s="117" t="s">
        <v>4087</v>
      </c>
      <c r="D1191" s="118"/>
      <c r="E1191" s="118"/>
      <c r="F1191" s="118"/>
    </row>
    <row r="1192" spans="2:6" x14ac:dyDescent="0.2">
      <c r="B1192" s="116" t="s">
        <v>4088</v>
      </c>
      <c r="C1192" s="117" t="s">
        <v>4089</v>
      </c>
      <c r="D1192" s="118"/>
      <c r="E1192" s="118">
        <v>1.01</v>
      </c>
      <c r="F1192" s="118"/>
    </row>
    <row r="1193" spans="2:6" x14ac:dyDescent="0.2">
      <c r="B1193" s="116" t="s">
        <v>4090</v>
      </c>
      <c r="C1193" s="117" t="s">
        <v>4091</v>
      </c>
      <c r="D1193" s="118"/>
      <c r="E1193" s="118">
        <v>9.67</v>
      </c>
      <c r="F1193" s="118"/>
    </row>
    <row r="1194" spans="2:6" x14ac:dyDescent="0.2">
      <c r="B1194" s="116" t="s">
        <v>2085</v>
      </c>
      <c r="C1194" s="117" t="s">
        <v>2086</v>
      </c>
      <c r="D1194" s="118">
        <v>3.07</v>
      </c>
      <c r="E1194" s="118">
        <v>3.01</v>
      </c>
      <c r="F1194" s="118">
        <v>14.07</v>
      </c>
    </row>
    <row r="1195" spans="2:6" x14ac:dyDescent="0.2">
      <c r="B1195" s="116" t="s">
        <v>2087</v>
      </c>
      <c r="C1195" s="117" t="s">
        <v>2088</v>
      </c>
      <c r="D1195" s="118">
        <v>8.3699999999999992</v>
      </c>
      <c r="E1195" s="118">
        <v>8.68</v>
      </c>
      <c r="F1195" s="118">
        <v>8.64</v>
      </c>
    </row>
    <row r="1196" spans="2:6" x14ac:dyDescent="0.2">
      <c r="B1196" s="116" t="s">
        <v>2089</v>
      </c>
      <c r="C1196" s="117" t="s">
        <v>2090</v>
      </c>
      <c r="D1196" s="118">
        <v>4.8600000000000003</v>
      </c>
      <c r="E1196" s="118">
        <v>2.95</v>
      </c>
      <c r="F1196" s="118">
        <v>14.36</v>
      </c>
    </row>
    <row r="1197" spans="2:6" x14ac:dyDescent="0.2">
      <c r="B1197" s="116" t="s">
        <v>2091</v>
      </c>
      <c r="C1197" s="117" t="s">
        <v>2092</v>
      </c>
      <c r="D1197" s="118">
        <v>1.1399999999999999</v>
      </c>
      <c r="E1197" s="118">
        <v>2.1</v>
      </c>
      <c r="F1197" s="118">
        <v>11.11</v>
      </c>
    </row>
    <row r="1198" spans="2:6" x14ac:dyDescent="0.2">
      <c r="B1198" s="116" t="s">
        <v>2093</v>
      </c>
      <c r="C1198" s="117" t="s">
        <v>2094</v>
      </c>
      <c r="D1198" s="118">
        <v>3.88</v>
      </c>
      <c r="E1198" s="118">
        <v>4.6399999999999997</v>
      </c>
      <c r="F1198" s="118">
        <v>17.649999999999999</v>
      </c>
    </row>
    <row r="1199" spans="2:6" x14ac:dyDescent="0.2">
      <c r="B1199" s="116" t="s">
        <v>4092</v>
      </c>
      <c r="C1199" s="117" t="s">
        <v>4093</v>
      </c>
      <c r="D1199" s="118"/>
      <c r="E1199" s="118"/>
      <c r="F1199" s="118"/>
    </row>
    <row r="1200" spans="2:6" x14ac:dyDescent="0.2">
      <c r="B1200" s="116" t="s">
        <v>2095</v>
      </c>
      <c r="C1200" s="117" t="s">
        <v>2096</v>
      </c>
      <c r="D1200" s="118">
        <v>15.11</v>
      </c>
      <c r="E1200" s="118">
        <v>12.59</v>
      </c>
      <c r="F1200" s="118">
        <v>1.24</v>
      </c>
    </row>
    <row r="1201" spans="2:6" x14ac:dyDescent="0.2">
      <c r="B1201" s="116" t="s">
        <v>4094</v>
      </c>
      <c r="C1201" s="117" t="s">
        <v>4095</v>
      </c>
      <c r="D1201" s="118"/>
      <c r="E1201" s="118">
        <v>2.4700000000000002</v>
      </c>
      <c r="F1201" s="118"/>
    </row>
    <row r="1202" spans="2:6" x14ac:dyDescent="0.2">
      <c r="B1202" s="116" t="s">
        <v>2097</v>
      </c>
      <c r="C1202" s="117" t="s">
        <v>2098</v>
      </c>
      <c r="D1202" s="118">
        <v>0.68</v>
      </c>
      <c r="E1202" s="118">
        <v>0.7</v>
      </c>
      <c r="F1202" s="118">
        <v>9.75</v>
      </c>
    </row>
    <row r="1203" spans="2:6" x14ac:dyDescent="0.2">
      <c r="B1203" s="116" t="s">
        <v>2099</v>
      </c>
      <c r="C1203" s="117" t="s">
        <v>2100</v>
      </c>
      <c r="D1203" s="118">
        <v>6.27</v>
      </c>
      <c r="E1203" s="118">
        <v>0.99</v>
      </c>
      <c r="F1203" s="118">
        <v>9.39</v>
      </c>
    </row>
    <row r="1204" spans="2:6" x14ac:dyDescent="0.2">
      <c r="B1204" s="116" t="s">
        <v>2101</v>
      </c>
      <c r="C1204" s="117" t="s">
        <v>2102</v>
      </c>
      <c r="D1204" s="118">
        <v>0.77</v>
      </c>
      <c r="E1204" s="118">
        <v>1.05</v>
      </c>
      <c r="F1204" s="118">
        <v>13.27</v>
      </c>
    </row>
    <row r="1205" spans="2:6" x14ac:dyDescent="0.2">
      <c r="B1205" s="116" t="s">
        <v>2103</v>
      </c>
      <c r="C1205" s="117" t="s">
        <v>2104</v>
      </c>
      <c r="D1205" s="118">
        <v>1.1299999999999999</v>
      </c>
      <c r="E1205" s="118">
        <v>0.5</v>
      </c>
      <c r="F1205" s="118">
        <v>6.2</v>
      </c>
    </row>
    <row r="1206" spans="2:6" x14ac:dyDescent="0.2">
      <c r="B1206" s="116" t="s">
        <v>4096</v>
      </c>
      <c r="C1206" s="117" t="s">
        <v>4097</v>
      </c>
      <c r="D1206" s="118"/>
      <c r="E1206" s="118">
        <v>0.76</v>
      </c>
      <c r="F1206" s="118"/>
    </row>
    <row r="1207" spans="2:6" x14ac:dyDescent="0.2">
      <c r="B1207" s="116" t="s">
        <v>2105</v>
      </c>
      <c r="C1207" s="117" t="s">
        <v>2106</v>
      </c>
      <c r="D1207" s="118">
        <v>0.41</v>
      </c>
      <c r="E1207" s="118">
        <v>1.39</v>
      </c>
      <c r="F1207" s="118">
        <v>18.190000000000001</v>
      </c>
    </row>
    <row r="1208" spans="2:6" x14ac:dyDescent="0.2">
      <c r="B1208" s="116" t="s">
        <v>2107</v>
      </c>
      <c r="C1208" s="117" t="s">
        <v>2108</v>
      </c>
      <c r="D1208" s="118"/>
      <c r="E1208" s="118">
        <v>1.4</v>
      </c>
      <c r="F1208" s="118"/>
    </row>
    <row r="1209" spans="2:6" x14ac:dyDescent="0.2">
      <c r="B1209" s="116" t="s">
        <v>2109</v>
      </c>
      <c r="C1209" s="117" t="s">
        <v>2110</v>
      </c>
      <c r="D1209" s="118">
        <v>1.21</v>
      </c>
      <c r="E1209" s="118">
        <v>1.41</v>
      </c>
      <c r="F1209" s="118">
        <v>3.77</v>
      </c>
    </row>
    <row r="1210" spans="2:6" x14ac:dyDescent="0.2">
      <c r="B1210" s="116" t="s">
        <v>2111</v>
      </c>
      <c r="C1210" s="117" t="s">
        <v>2112</v>
      </c>
      <c r="D1210" s="118">
        <v>3.12</v>
      </c>
      <c r="E1210" s="118">
        <v>1.05</v>
      </c>
      <c r="F1210" s="118">
        <v>5.12</v>
      </c>
    </row>
    <row r="1211" spans="2:6" x14ac:dyDescent="0.2">
      <c r="B1211" s="116" t="s">
        <v>4098</v>
      </c>
      <c r="C1211" s="117" t="s">
        <v>4099</v>
      </c>
      <c r="D1211" s="118">
        <v>2.61</v>
      </c>
      <c r="E1211" s="118">
        <v>3.57</v>
      </c>
      <c r="F1211" s="118">
        <v>21.12</v>
      </c>
    </row>
    <row r="1212" spans="2:6" x14ac:dyDescent="0.2">
      <c r="B1212" s="116" t="s">
        <v>2113</v>
      </c>
      <c r="C1212" s="117" t="s">
        <v>2114</v>
      </c>
      <c r="D1212" s="118">
        <v>0.89</v>
      </c>
      <c r="E1212" s="118">
        <v>1.1399999999999999</v>
      </c>
      <c r="F1212" s="118">
        <v>10.5</v>
      </c>
    </row>
    <row r="1213" spans="2:6" x14ac:dyDescent="0.2">
      <c r="B1213" s="116" t="s">
        <v>2116</v>
      </c>
      <c r="C1213" s="117" t="s">
        <v>2117</v>
      </c>
      <c r="D1213" s="118">
        <v>0.37</v>
      </c>
      <c r="E1213" s="118">
        <v>0.87</v>
      </c>
      <c r="F1213" s="118">
        <v>6</v>
      </c>
    </row>
    <row r="1214" spans="2:6" x14ac:dyDescent="0.2">
      <c r="B1214" s="116" t="s">
        <v>2118</v>
      </c>
      <c r="C1214" s="117" t="s">
        <v>2119</v>
      </c>
      <c r="D1214" s="118">
        <v>1.88</v>
      </c>
      <c r="E1214" s="118">
        <v>1.1200000000000001</v>
      </c>
      <c r="F1214" s="118">
        <v>10.42</v>
      </c>
    </row>
    <row r="1215" spans="2:6" x14ac:dyDescent="0.2">
      <c r="B1215" s="116" t="s">
        <v>2120</v>
      </c>
      <c r="C1215" s="117" t="s">
        <v>2121</v>
      </c>
      <c r="D1215" s="118">
        <v>2.2000000000000002</v>
      </c>
      <c r="E1215" s="118">
        <v>3.57</v>
      </c>
      <c r="F1215" s="118">
        <v>21.17</v>
      </c>
    </row>
    <row r="1216" spans="2:6" x14ac:dyDescent="0.2">
      <c r="B1216" s="116" t="s">
        <v>4100</v>
      </c>
      <c r="C1216" s="117" t="s">
        <v>4101</v>
      </c>
      <c r="D1216" s="118">
        <v>0.71</v>
      </c>
      <c r="E1216" s="118">
        <v>1.28</v>
      </c>
      <c r="F1216" s="118">
        <v>9.0500000000000007</v>
      </c>
    </row>
    <row r="1217" spans="2:6" x14ac:dyDescent="0.2">
      <c r="B1217" s="116" t="s">
        <v>4102</v>
      </c>
      <c r="C1217" s="117" t="s">
        <v>4103</v>
      </c>
      <c r="D1217" s="118">
        <v>2.4</v>
      </c>
      <c r="E1217" s="118">
        <v>1.54</v>
      </c>
      <c r="F1217" s="118">
        <v>6.99</v>
      </c>
    </row>
    <row r="1218" spans="2:6" x14ac:dyDescent="0.2">
      <c r="B1218" s="116" t="s">
        <v>4104</v>
      </c>
      <c r="C1218" s="117" t="s">
        <v>4105</v>
      </c>
      <c r="D1218" s="118">
        <v>0.53</v>
      </c>
      <c r="E1218" s="118">
        <v>0.75</v>
      </c>
      <c r="F1218" s="118">
        <v>8.9700000000000006</v>
      </c>
    </row>
    <row r="1219" spans="2:6" x14ac:dyDescent="0.2">
      <c r="B1219" s="116" t="s">
        <v>2122</v>
      </c>
      <c r="C1219" s="117" t="s">
        <v>2123</v>
      </c>
      <c r="D1219" s="118">
        <v>3.95</v>
      </c>
      <c r="E1219" s="118">
        <v>6.27</v>
      </c>
      <c r="F1219" s="118">
        <v>21.42</v>
      </c>
    </row>
    <row r="1220" spans="2:6" x14ac:dyDescent="0.2">
      <c r="B1220" s="116" t="s">
        <v>4106</v>
      </c>
      <c r="C1220" s="117" t="s">
        <v>4107</v>
      </c>
      <c r="D1220" s="118">
        <v>0.83</v>
      </c>
      <c r="E1220" s="118">
        <v>0.73</v>
      </c>
      <c r="F1220" s="118">
        <v>12.88</v>
      </c>
    </row>
    <row r="1221" spans="2:6" x14ac:dyDescent="0.2">
      <c r="B1221" s="116" t="s">
        <v>2124</v>
      </c>
      <c r="C1221" s="117" t="s">
        <v>2125</v>
      </c>
      <c r="D1221" s="118">
        <v>2</v>
      </c>
      <c r="E1221" s="118">
        <v>1.57</v>
      </c>
      <c r="F1221" s="118">
        <v>7.38</v>
      </c>
    </row>
    <row r="1222" spans="2:6" x14ac:dyDescent="0.2">
      <c r="B1222" s="116" t="s">
        <v>2126</v>
      </c>
      <c r="C1222" s="117" t="s">
        <v>2127</v>
      </c>
      <c r="D1222" s="118">
        <v>2.69</v>
      </c>
      <c r="E1222" s="118">
        <v>2.6</v>
      </c>
      <c r="F1222" s="118">
        <v>16.34</v>
      </c>
    </row>
    <row r="1223" spans="2:6" x14ac:dyDescent="0.2">
      <c r="B1223" s="116" t="s">
        <v>4108</v>
      </c>
      <c r="C1223" s="117" t="s">
        <v>4109</v>
      </c>
      <c r="D1223" s="118">
        <v>1.84</v>
      </c>
      <c r="E1223" s="118">
        <v>1.68</v>
      </c>
      <c r="F1223" s="118">
        <v>10.06</v>
      </c>
    </row>
    <row r="1224" spans="2:6" x14ac:dyDescent="0.2">
      <c r="B1224" s="116" t="s">
        <v>2128</v>
      </c>
      <c r="C1224" s="117" t="s">
        <v>2129</v>
      </c>
      <c r="D1224" s="118">
        <v>27.53</v>
      </c>
      <c r="E1224" s="118">
        <v>19.29</v>
      </c>
      <c r="F1224" s="118">
        <v>29.85</v>
      </c>
    </row>
    <row r="1225" spans="2:6" x14ac:dyDescent="0.2">
      <c r="B1225" s="116" t="s">
        <v>2130</v>
      </c>
      <c r="C1225" s="117" t="s">
        <v>2131</v>
      </c>
      <c r="D1225" s="118">
        <v>1.9</v>
      </c>
      <c r="E1225" s="118">
        <v>3.6</v>
      </c>
      <c r="F1225" s="118">
        <v>14.53</v>
      </c>
    </row>
    <row r="1226" spans="2:6" x14ac:dyDescent="0.2">
      <c r="B1226" s="116" t="s">
        <v>4110</v>
      </c>
      <c r="C1226" s="117" t="s">
        <v>4111</v>
      </c>
      <c r="D1226" s="118">
        <v>0.11</v>
      </c>
      <c r="E1226" s="118">
        <v>0.04</v>
      </c>
      <c r="F1226" s="118">
        <v>6.31</v>
      </c>
    </row>
    <row r="1227" spans="2:6" x14ac:dyDescent="0.2">
      <c r="B1227" s="116" t="s">
        <v>2132</v>
      </c>
      <c r="C1227" s="117" t="s">
        <v>2133</v>
      </c>
      <c r="D1227" s="118">
        <v>3.73</v>
      </c>
      <c r="E1227" s="118">
        <v>3.26</v>
      </c>
      <c r="F1227" s="118">
        <v>10.35</v>
      </c>
    </row>
    <row r="1228" spans="2:6" x14ac:dyDescent="0.2">
      <c r="B1228" s="116" t="s">
        <v>2134</v>
      </c>
      <c r="C1228" s="117" t="s">
        <v>2135</v>
      </c>
      <c r="D1228" s="118">
        <v>5.18</v>
      </c>
      <c r="E1228" s="118">
        <v>4.1900000000000004</v>
      </c>
      <c r="F1228" s="118">
        <v>16.86</v>
      </c>
    </row>
    <row r="1229" spans="2:6" x14ac:dyDescent="0.2">
      <c r="B1229" s="116" t="s">
        <v>4112</v>
      </c>
      <c r="C1229" s="117" t="s">
        <v>4113</v>
      </c>
      <c r="D1229" s="118">
        <v>4.76</v>
      </c>
      <c r="E1229" s="118"/>
      <c r="F1229" s="118"/>
    </row>
    <row r="1230" spans="2:6" x14ac:dyDescent="0.2">
      <c r="B1230" s="116" t="s">
        <v>2136</v>
      </c>
      <c r="C1230" s="117" t="s">
        <v>2137</v>
      </c>
      <c r="D1230" s="118">
        <v>3.27</v>
      </c>
      <c r="E1230" s="118">
        <v>6.19</v>
      </c>
      <c r="F1230" s="118">
        <v>29.72</v>
      </c>
    </row>
    <row r="1231" spans="2:6" x14ac:dyDescent="0.2">
      <c r="B1231" s="116" t="s">
        <v>2138</v>
      </c>
      <c r="C1231" s="117" t="s">
        <v>2139</v>
      </c>
      <c r="D1231" s="118">
        <v>2.99</v>
      </c>
      <c r="E1231" s="118">
        <v>9.4600000000000009</v>
      </c>
      <c r="F1231" s="118">
        <v>55.05</v>
      </c>
    </row>
    <row r="1232" spans="2:6" x14ac:dyDescent="0.2">
      <c r="B1232" s="116" t="s">
        <v>2140</v>
      </c>
      <c r="C1232" s="117" t="s">
        <v>2141</v>
      </c>
      <c r="D1232" s="118">
        <v>5.43</v>
      </c>
      <c r="E1232" s="118">
        <v>5.83</v>
      </c>
      <c r="F1232" s="118">
        <v>38.479999999999997</v>
      </c>
    </row>
    <row r="1233" spans="2:6" x14ac:dyDescent="0.2">
      <c r="B1233" s="116" t="s">
        <v>2142</v>
      </c>
      <c r="C1233" s="117" t="s">
        <v>2143</v>
      </c>
      <c r="D1233" s="118">
        <v>1.85</v>
      </c>
      <c r="E1233" s="118">
        <v>4.0999999999999996</v>
      </c>
      <c r="F1233" s="118">
        <v>20.72</v>
      </c>
    </row>
    <row r="1234" spans="2:6" x14ac:dyDescent="0.2">
      <c r="B1234" s="116" t="s">
        <v>4114</v>
      </c>
      <c r="C1234" s="117" t="s">
        <v>4115</v>
      </c>
      <c r="D1234" s="118">
        <v>0.86</v>
      </c>
      <c r="E1234" s="118">
        <v>2.0699999999999998</v>
      </c>
      <c r="F1234" s="118">
        <v>17.09</v>
      </c>
    </row>
    <row r="1235" spans="2:6" x14ac:dyDescent="0.2">
      <c r="B1235" s="116" t="s">
        <v>2144</v>
      </c>
      <c r="C1235" s="117" t="s">
        <v>2145</v>
      </c>
      <c r="D1235" s="118">
        <v>7.97</v>
      </c>
      <c r="E1235" s="118">
        <v>7.84</v>
      </c>
      <c r="F1235" s="118">
        <v>28.1</v>
      </c>
    </row>
    <row r="1236" spans="2:6" x14ac:dyDescent="0.2">
      <c r="B1236" s="116" t="s">
        <v>2146</v>
      </c>
      <c r="C1236" s="117" t="s">
        <v>2147</v>
      </c>
      <c r="D1236" s="118">
        <v>3.03</v>
      </c>
      <c r="E1236" s="118">
        <v>5.27</v>
      </c>
      <c r="F1236" s="118">
        <v>51.53</v>
      </c>
    </row>
    <row r="1237" spans="2:6" x14ac:dyDescent="0.2">
      <c r="B1237" s="116" t="s">
        <v>2148</v>
      </c>
      <c r="C1237" s="117" t="s">
        <v>4116</v>
      </c>
      <c r="D1237" s="118">
        <v>1.07</v>
      </c>
      <c r="E1237" s="118">
        <v>2.23</v>
      </c>
      <c r="F1237" s="118">
        <v>13.89</v>
      </c>
    </row>
    <row r="1238" spans="2:6" x14ac:dyDescent="0.2">
      <c r="B1238" s="116" t="s">
        <v>2150</v>
      </c>
      <c r="C1238" s="117" t="s">
        <v>2151</v>
      </c>
      <c r="D1238" s="118">
        <v>0.41</v>
      </c>
      <c r="E1238" s="118">
        <v>4.13</v>
      </c>
      <c r="F1238" s="118">
        <v>51.49</v>
      </c>
    </row>
    <row r="1239" spans="2:6" x14ac:dyDescent="0.2">
      <c r="B1239" s="116" t="s">
        <v>2152</v>
      </c>
      <c r="C1239" s="117" t="s">
        <v>2153</v>
      </c>
      <c r="D1239" s="118">
        <v>3.25</v>
      </c>
      <c r="E1239" s="118">
        <v>4.22</v>
      </c>
      <c r="F1239" s="118">
        <v>21.74</v>
      </c>
    </row>
    <row r="1240" spans="2:6" x14ac:dyDescent="0.2">
      <c r="B1240" s="116" t="s">
        <v>2154</v>
      </c>
      <c r="C1240" s="117" t="s">
        <v>2155</v>
      </c>
      <c r="D1240" s="118"/>
      <c r="E1240" s="118">
        <v>1.62</v>
      </c>
      <c r="F1240" s="118"/>
    </row>
    <row r="1241" spans="2:6" x14ac:dyDescent="0.2">
      <c r="B1241" s="116" t="s">
        <v>2156</v>
      </c>
      <c r="C1241" s="117" t="s">
        <v>2157</v>
      </c>
      <c r="D1241" s="118">
        <v>7.43</v>
      </c>
      <c r="E1241" s="118">
        <v>24.64</v>
      </c>
      <c r="F1241" s="118">
        <v>27.23</v>
      </c>
    </row>
    <row r="1242" spans="2:6" x14ac:dyDescent="0.2">
      <c r="B1242" s="116" t="s">
        <v>4117</v>
      </c>
      <c r="C1242" s="117" t="s">
        <v>4118</v>
      </c>
      <c r="D1242" s="118">
        <v>28.36</v>
      </c>
      <c r="E1242" s="118">
        <v>7.09</v>
      </c>
      <c r="F1242" s="118">
        <v>-8.33</v>
      </c>
    </row>
    <row r="1243" spans="2:6" x14ac:dyDescent="0.2">
      <c r="B1243" s="116" t="s">
        <v>4119</v>
      </c>
      <c r="C1243" s="117" t="s">
        <v>4120</v>
      </c>
      <c r="D1243" s="118">
        <v>6.41</v>
      </c>
      <c r="E1243" s="118">
        <v>6.75</v>
      </c>
      <c r="F1243" s="118">
        <v>17.36</v>
      </c>
    </row>
    <row r="1244" spans="2:6" x14ac:dyDescent="0.2">
      <c r="B1244" s="116" t="s">
        <v>2158</v>
      </c>
      <c r="C1244" s="117" t="s">
        <v>2159</v>
      </c>
      <c r="D1244" s="118">
        <v>0.84</v>
      </c>
      <c r="E1244" s="118">
        <v>0.75</v>
      </c>
      <c r="F1244" s="118">
        <v>6.87</v>
      </c>
    </row>
    <row r="1245" spans="2:6" x14ac:dyDescent="0.2">
      <c r="B1245" s="116" t="s">
        <v>2160</v>
      </c>
      <c r="C1245" s="117" t="s">
        <v>2161</v>
      </c>
      <c r="D1245" s="118">
        <v>0.31</v>
      </c>
      <c r="E1245" s="118">
        <v>0.85</v>
      </c>
      <c r="F1245" s="118">
        <v>9.5500000000000007</v>
      </c>
    </row>
    <row r="1246" spans="2:6" x14ac:dyDescent="0.2">
      <c r="B1246" s="116" t="s">
        <v>2162</v>
      </c>
      <c r="C1246" s="117" t="s">
        <v>2163</v>
      </c>
      <c r="D1246" s="118">
        <v>4.74</v>
      </c>
      <c r="E1246" s="118">
        <v>3.48</v>
      </c>
      <c r="F1246" s="118">
        <v>27.94</v>
      </c>
    </row>
    <row r="1247" spans="2:6" x14ac:dyDescent="0.2">
      <c r="B1247" s="116" t="s">
        <v>2164</v>
      </c>
      <c r="C1247" s="117" t="s">
        <v>2165</v>
      </c>
      <c r="D1247" s="118">
        <v>11.32</v>
      </c>
      <c r="E1247" s="118">
        <v>1.53</v>
      </c>
      <c r="F1247" s="118">
        <v>6.84</v>
      </c>
    </row>
    <row r="1248" spans="2:6" x14ac:dyDescent="0.2">
      <c r="B1248" s="116" t="s">
        <v>2166</v>
      </c>
      <c r="C1248" s="117" t="s">
        <v>2167</v>
      </c>
      <c r="D1248" s="118">
        <v>11.01</v>
      </c>
      <c r="E1248" s="118">
        <v>9.4700000000000006</v>
      </c>
      <c r="F1248" s="118">
        <v>16.600000000000001</v>
      </c>
    </row>
    <row r="1249" spans="2:6" x14ac:dyDescent="0.2">
      <c r="B1249" s="116" t="s">
        <v>4121</v>
      </c>
      <c r="C1249" s="117" t="s">
        <v>4122</v>
      </c>
      <c r="D1249" s="118">
        <v>2.12</v>
      </c>
      <c r="E1249" s="118">
        <v>2.15</v>
      </c>
      <c r="F1249" s="118">
        <v>12.71</v>
      </c>
    </row>
    <row r="1250" spans="2:6" x14ac:dyDescent="0.2">
      <c r="B1250" s="116" t="s">
        <v>2168</v>
      </c>
      <c r="C1250" s="117" t="s">
        <v>2169</v>
      </c>
      <c r="D1250" s="118">
        <v>7.05</v>
      </c>
      <c r="E1250" s="118">
        <v>3.58</v>
      </c>
      <c r="F1250" s="118">
        <v>8.11</v>
      </c>
    </row>
    <row r="1251" spans="2:6" x14ac:dyDescent="0.2">
      <c r="B1251" s="116" t="s">
        <v>2170</v>
      </c>
      <c r="C1251" s="117" t="s">
        <v>2171</v>
      </c>
      <c r="D1251" s="118">
        <v>4.91</v>
      </c>
      <c r="E1251" s="118">
        <v>7.9</v>
      </c>
      <c r="F1251" s="118">
        <v>43.34</v>
      </c>
    </row>
    <row r="1252" spans="2:6" x14ac:dyDescent="0.2">
      <c r="B1252" s="116" t="s">
        <v>2172</v>
      </c>
      <c r="C1252" s="117" t="s">
        <v>2173</v>
      </c>
      <c r="D1252" s="118"/>
      <c r="E1252" s="118">
        <v>4.4400000000000004</v>
      </c>
      <c r="F1252" s="118"/>
    </row>
    <row r="1253" spans="2:6" x14ac:dyDescent="0.2">
      <c r="B1253" s="116" t="s">
        <v>2174</v>
      </c>
      <c r="C1253" s="117" t="s">
        <v>2175</v>
      </c>
      <c r="D1253" s="118">
        <v>1.75</v>
      </c>
      <c r="E1253" s="118">
        <v>0.89</v>
      </c>
      <c r="F1253" s="118">
        <v>6.32</v>
      </c>
    </row>
    <row r="1254" spans="2:6" x14ac:dyDescent="0.2">
      <c r="B1254" s="116" t="s">
        <v>2176</v>
      </c>
      <c r="C1254" s="117" t="s">
        <v>2177</v>
      </c>
      <c r="D1254" s="118"/>
      <c r="E1254" s="118">
        <v>7.77</v>
      </c>
      <c r="F1254" s="118">
        <v>-48.18</v>
      </c>
    </row>
    <row r="1255" spans="2:6" x14ac:dyDescent="0.2">
      <c r="B1255" s="116" t="s">
        <v>2178</v>
      </c>
      <c r="C1255" s="117" t="s">
        <v>2179</v>
      </c>
      <c r="D1255" s="118">
        <v>5.68</v>
      </c>
      <c r="E1255" s="118">
        <v>2.2999999999999998</v>
      </c>
      <c r="F1255" s="118">
        <v>5.25</v>
      </c>
    </row>
    <row r="1256" spans="2:6" x14ac:dyDescent="0.2">
      <c r="B1256" s="116" t="s">
        <v>2180</v>
      </c>
      <c r="C1256" s="117" t="s">
        <v>2181</v>
      </c>
      <c r="D1256" s="118"/>
      <c r="E1256" s="118">
        <v>0.99</v>
      </c>
      <c r="F1256" s="118"/>
    </row>
    <row r="1257" spans="2:6" x14ac:dyDescent="0.2">
      <c r="B1257" s="116" t="s">
        <v>2183</v>
      </c>
      <c r="C1257" s="117" t="s">
        <v>2184</v>
      </c>
      <c r="D1257" s="118">
        <v>1.4</v>
      </c>
      <c r="E1257" s="118">
        <v>0.99</v>
      </c>
      <c r="F1257" s="118">
        <v>11.04</v>
      </c>
    </row>
    <row r="1258" spans="2:6" x14ac:dyDescent="0.2">
      <c r="B1258" s="116" t="s">
        <v>2185</v>
      </c>
      <c r="C1258" s="117" t="s">
        <v>2186</v>
      </c>
      <c r="D1258" s="118">
        <v>3.05</v>
      </c>
      <c r="E1258" s="118">
        <v>6.08</v>
      </c>
      <c r="F1258" s="118">
        <v>28.35</v>
      </c>
    </row>
    <row r="1259" spans="2:6" x14ac:dyDescent="0.2">
      <c r="B1259" s="116" t="s">
        <v>2187</v>
      </c>
      <c r="C1259" s="117" t="s">
        <v>2188</v>
      </c>
      <c r="D1259" s="118">
        <v>0.41</v>
      </c>
      <c r="E1259" s="118">
        <v>0.81</v>
      </c>
      <c r="F1259" s="118">
        <v>6.52</v>
      </c>
    </row>
    <row r="1260" spans="2:6" x14ac:dyDescent="0.2">
      <c r="B1260" s="116" t="s">
        <v>4123</v>
      </c>
      <c r="C1260" s="117" t="s">
        <v>4124</v>
      </c>
      <c r="D1260" s="118">
        <v>0.27</v>
      </c>
      <c r="E1260" s="118">
        <v>0.67</v>
      </c>
      <c r="F1260" s="118">
        <v>8.41</v>
      </c>
    </row>
    <row r="1261" spans="2:6" x14ac:dyDescent="0.2">
      <c r="B1261" s="116" t="s">
        <v>2189</v>
      </c>
      <c r="C1261" s="117" t="s">
        <v>2190</v>
      </c>
      <c r="D1261" s="118">
        <v>12.95</v>
      </c>
      <c r="E1261" s="118"/>
      <c r="F1261" s="118">
        <v>-599.91999999999996</v>
      </c>
    </row>
    <row r="1262" spans="2:6" x14ac:dyDescent="0.2">
      <c r="B1262" s="116" t="s">
        <v>2191</v>
      </c>
      <c r="C1262" s="117" t="s">
        <v>2192</v>
      </c>
      <c r="D1262" s="118">
        <v>8.4600000000000009</v>
      </c>
      <c r="E1262" s="118">
        <v>10.4</v>
      </c>
      <c r="F1262" s="118">
        <v>39.26</v>
      </c>
    </row>
    <row r="1263" spans="2:6" x14ac:dyDescent="0.2">
      <c r="B1263" s="116" t="s">
        <v>2193</v>
      </c>
      <c r="C1263" s="117" t="s">
        <v>2194</v>
      </c>
      <c r="D1263" s="118">
        <v>3.91</v>
      </c>
      <c r="E1263" s="118">
        <v>2.42</v>
      </c>
      <c r="F1263" s="118">
        <v>0.43</v>
      </c>
    </row>
    <row r="1264" spans="2:6" x14ac:dyDescent="0.2">
      <c r="B1264" s="116" t="s">
        <v>2195</v>
      </c>
      <c r="C1264" s="117" t="s">
        <v>2196</v>
      </c>
      <c r="D1264" s="118">
        <v>3.61</v>
      </c>
      <c r="E1264" s="118"/>
      <c r="F1264" s="118">
        <v>-105.22</v>
      </c>
    </row>
    <row r="1265" spans="2:6" x14ac:dyDescent="0.2">
      <c r="B1265" s="116" t="s">
        <v>2197</v>
      </c>
      <c r="C1265" s="117" t="s">
        <v>2198</v>
      </c>
      <c r="D1265" s="118">
        <v>1.1399999999999999</v>
      </c>
      <c r="E1265" s="118">
        <v>2.63</v>
      </c>
      <c r="F1265" s="118">
        <v>21.08</v>
      </c>
    </row>
    <row r="1266" spans="2:6" x14ac:dyDescent="0.2">
      <c r="B1266" s="116" t="s">
        <v>2199</v>
      </c>
      <c r="C1266" s="117" t="s">
        <v>2200</v>
      </c>
      <c r="D1266" s="118">
        <v>0.2</v>
      </c>
      <c r="E1266" s="118">
        <v>0.35</v>
      </c>
      <c r="F1266" s="118">
        <v>8.39</v>
      </c>
    </row>
    <row r="1267" spans="2:6" x14ac:dyDescent="0.2">
      <c r="B1267" s="116" t="s">
        <v>2201</v>
      </c>
      <c r="C1267" s="117" t="s">
        <v>2202</v>
      </c>
      <c r="D1267" s="118">
        <v>3.07</v>
      </c>
      <c r="E1267" s="118">
        <v>1.48</v>
      </c>
      <c r="F1267" s="118">
        <v>14.26</v>
      </c>
    </row>
    <row r="1268" spans="2:6" x14ac:dyDescent="0.2">
      <c r="B1268" s="116" t="s">
        <v>2203</v>
      </c>
      <c r="C1268" s="117" t="s">
        <v>2204</v>
      </c>
      <c r="D1268" s="118">
        <v>11.87</v>
      </c>
      <c r="E1268" s="118">
        <v>105.37</v>
      </c>
      <c r="F1268" s="118">
        <v>166.69</v>
      </c>
    </row>
    <row r="1269" spans="2:6" x14ac:dyDescent="0.2">
      <c r="B1269" s="116" t="s">
        <v>2205</v>
      </c>
      <c r="C1269" s="117" t="s">
        <v>2206</v>
      </c>
      <c r="D1269" s="118">
        <v>5.89</v>
      </c>
      <c r="E1269" s="118">
        <v>34.619999999999997</v>
      </c>
      <c r="F1269" s="118">
        <v>98.65</v>
      </c>
    </row>
    <row r="1270" spans="2:6" x14ac:dyDescent="0.2">
      <c r="B1270" s="116" t="s">
        <v>2207</v>
      </c>
      <c r="C1270" s="117" t="s">
        <v>2208</v>
      </c>
      <c r="D1270" s="118">
        <v>3.98</v>
      </c>
      <c r="E1270" s="118">
        <v>1.1499999999999999</v>
      </c>
      <c r="F1270" s="118">
        <v>17.55</v>
      </c>
    </row>
    <row r="1271" spans="2:6" x14ac:dyDescent="0.2">
      <c r="B1271" s="116" t="s">
        <v>2209</v>
      </c>
      <c r="C1271" s="117" t="s">
        <v>2210</v>
      </c>
      <c r="D1271" s="118">
        <v>0.3</v>
      </c>
      <c r="E1271" s="118">
        <v>0.63</v>
      </c>
      <c r="F1271" s="118">
        <v>10.71</v>
      </c>
    </row>
    <row r="1272" spans="2:6" x14ac:dyDescent="0.2">
      <c r="B1272" s="116" t="s">
        <v>2211</v>
      </c>
      <c r="C1272" s="117" t="s">
        <v>2212</v>
      </c>
      <c r="D1272" s="118">
        <v>4.2300000000000004</v>
      </c>
      <c r="E1272" s="118">
        <v>5.01</v>
      </c>
      <c r="F1272" s="118">
        <v>18.25</v>
      </c>
    </row>
    <row r="1273" spans="2:6" x14ac:dyDescent="0.2">
      <c r="B1273" s="116" t="s">
        <v>4125</v>
      </c>
      <c r="C1273" s="117" t="s">
        <v>4126</v>
      </c>
      <c r="D1273" s="118"/>
      <c r="E1273" s="118">
        <v>1.9</v>
      </c>
      <c r="F1273" s="118"/>
    </row>
    <row r="1274" spans="2:6" x14ac:dyDescent="0.2">
      <c r="B1274" s="116" t="s">
        <v>4127</v>
      </c>
      <c r="C1274" s="117" t="s">
        <v>4128</v>
      </c>
      <c r="D1274" s="118">
        <v>2.5499999999999998</v>
      </c>
      <c r="E1274" s="118">
        <v>5.42</v>
      </c>
      <c r="F1274" s="118">
        <v>23.67</v>
      </c>
    </row>
    <row r="1275" spans="2:6" x14ac:dyDescent="0.2">
      <c r="B1275" s="116" t="s">
        <v>2213</v>
      </c>
      <c r="C1275" s="117" t="s">
        <v>2214</v>
      </c>
      <c r="D1275" s="118">
        <v>0.66</v>
      </c>
      <c r="E1275" s="118">
        <v>3.11</v>
      </c>
      <c r="F1275" s="118">
        <v>23.43</v>
      </c>
    </row>
    <row r="1276" spans="2:6" x14ac:dyDescent="0.2">
      <c r="B1276" s="116" t="s">
        <v>2215</v>
      </c>
      <c r="C1276" s="117" t="s">
        <v>2216</v>
      </c>
      <c r="D1276" s="118">
        <v>2.0099999999999998</v>
      </c>
      <c r="E1276" s="118">
        <v>1.5</v>
      </c>
      <c r="F1276" s="118">
        <v>30.94</v>
      </c>
    </row>
    <row r="1277" spans="2:6" x14ac:dyDescent="0.2">
      <c r="B1277" s="116" t="s">
        <v>4129</v>
      </c>
      <c r="C1277" s="117" t="s">
        <v>4130</v>
      </c>
      <c r="D1277" s="118"/>
      <c r="E1277" s="118"/>
      <c r="F1277" s="118"/>
    </row>
    <row r="1278" spans="2:6" x14ac:dyDescent="0.2">
      <c r="B1278" s="116" t="s">
        <v>2218</v>
      </c>
      <c r="C1278" s="117" t="s">
        <v>2219</v>
      </c>
      <c r="D1278" s="118">
        <v>1.1000000000000001</v>
      </c>
      <c r="E1278" s="118">
        <v>0.42</v>
      </c>
      <c r="F1278" s="118">
        <v>6.46</v>
      </c>
    </row>
    <row r="1279" spans="2:6" x14ac:dyDescent="0.2">
      <c r="B1279" s="116" t="s">
        <v>2220</v>
      </c>
      <c r="C1279" s="117" t="s">
        <v>2221</v>
      </c>
      <c r="D1279" s="118">
        <v>1.4</v>
      </c>
      <c r="E1279" s="118">
        <v>0.79</v>
      </c>
      <c r="F1279" s="118">
        <v>3.48</v>
      </c>
    </row>
    <row r="1280" spans="2:6" x14ac:dyDescent="0.2">
      <c r="B1280" s="116" t="s">
        <v>4131</v>
      </c>
      <c r="C1280" s="117" t="s">
        <v>4132</v>
      </c>
      <c r="D1280" s="118">
        <v>0.69</v>
      </c>
      <c r="E1280" s="118">
        <v>1.31</v>
      </c>
      <c r="F1280" s="118">
        <v>8.6</v>
      </c>
    </row>
    <row r="1281" spans="2:6" x14ac:dyDescent="0.2">
      <c r="B1281" s="116" t="s">
        <v>4133</v>
      </c>
      <c r="C1281" s="117" t="s">
        <v>4134</v>
      </c>
      <c r="D1281" s="118">
        <v>0.62</v>
      </c>
      <c r="E1281" s="118">
        <v>1.38</v>
      </c>
      <c r="F1281" s="118">
        <v>10.69</v>
      </c>
    </row>
    <row r="1282" spans="2:6" x14ac:dyDescent="0.2">
      <c r="B1282" s="116" t="s">
        <v>2222</v>
      </c>
      <c r="C1282" s="117" t="s">
        <v>2223</v>
      </c>
      <c r="D1282" s="118">
        <v>1.47</v>
      </c>
      <c r="E1282" s="118">
        <v>4.01</v>
      </c>
      <c r="F1282" s="118">
        <v>21.12</v>
      </c>
    </row>
    <row r="1283" spans="2:6" x14ac:dyDescent="0.2">
      <c r="B1283" s="116" t="s">
        <v>2224</v>
      </c>
      <c r="C1283" s="117" t="s">
        <v>2225</v>
      </c>
      <c r="D1283" s="118">
        <v>6.68</v>
      </c>
      <c r="E1283" s="118">
        <v>8.44</v>
      </c>
      <c r="F1283" s="118">
        <v>37.75</v>
      </c>
    </row>
    <row r="1284" spans="2:6" x14ac:dyDescent="0.2">
      <c r="B1284" s="116" t="s">
        <v>2226</v>
      </c>
      <c r="C1284" s="117" t="s">
        <v>2227</v>
      </c>
      <c r="D1284" s="118">
        <v>0.96</v>
      </c>
      <c r="E1284" s="118">
        <v>0.91</v>
      </c>
      <c r="F1284" s="118">
        <v>18.93</v>
      </c>
    </row>
    <row r="1285" spans="2:6" x14ac:dyDescent="0.2">
      <c r="B1285" s="116" t="s">
        <v>2228</v>
      </c>
      <c r="C1285" s="117" t="s">
        <v>2229</v>
      </c>
      <c r="D1285" s="118">
        <v>0.18</v>
      </c>
      <c r="E1285" s="118">
        <v>0.5</v>
      </c>
      <c r="F1285" s="118">
        <v>5.85</v>
      </c>
    </row>
    <row r="1286" spans="2:6" x14ac:dyDescent="0.2">
      <c r="B1286" s="116" t="s">
        <v>2230</v>
      </c>
      <c r="C1286" s="117" t="s">
        <v>2231</v>
      </c>
      <c r="D1286" s="118"/>
      <c r="E1286" s="118">
        <v>1.46</v>
      </c>
      <c r="F1286" s="118"/>
    </row>
    <row r="1287" spans="2:6" x14ac:dyDescent="0.2">
      <c r="B1287" s="116" t="s">
        <v>4135</v>
      </c>
      <c r="C1287" s="117" t="s">
        <v>4136</v>
      </c>
      <c r="D1287" s="118">
        <v>4.17</v>
      </c>
      <c r="E1287" s="118">
        <v>4.8</v>
      </c>
      <c r="F1287" s="118">
        <v>15.03</v>
      </c>
    </row>
    <row r="1288" spans="2:6" x14ac:dyDescent="0.2">
      <c r="B1288" s="116" t="s">
        <v>2232</v>
      </c>
      <c r="C1288" s="117" t="s">
        <v>2233</v>
      </c>
      <c r="D1288" s="118">
        <v>0.53</v>
      </c>
      <c r="E1288" s="118">
        <v>0.92</v>
      </c>
      <c r="F1288" s="118">
        <v>16.82</v>
      </c>
    </row>
    <row r="1289" spans="2:6" x14ac:dyDescent="0.2">
      <c r="B1289" s="116" t="s">
        <v>2234</v>
      </c>
      <c r="C1289" s="117" t="s">
        <v>2235</v>
      </c>
      <c r="D1289" s="118">
        <v>15.26</v>
      </c>
      <c r="E1289" s="118">
        <v>19.09</v>
      </c>
      <c r="F1289" s="118">
        <v>0.46</v>
      </c>
    </row>
    <row r="1290" spans="2:6" x14ac:dyDescent="0.2">
      <c r="B1290" s="116" t="s">
        <v>2236</v>
      </c>
      <c r="C1290" s="117" t="s">
        <v>2237</v>
      </c>
      <c r="D1290" s="118">
        <v>2.4</v>
      </c>
      <c r="E1290" s="118">
        <v>1.1000000000000001</v>
      </c>
      <c r="F1290" s="118">
        <v>0.87</v>
      </c>
    </row>
    <row r="1291" spans="2:6" x14ac:dyDescent="0.2">
      <c r="B1291" s="116" t="s">
        <v>2238</v>
      </c>
      <c r="C1291" s="117" t="s">
        <v>2239</v>
      </c>
      <c r="D1291" s="118">
        <v>1.83</v>
      </c>
      <c r="E1291" s="118">
        <v>1.88</v>
      </c>
      <c r="F1291" s="118">
        <v>19.149999999999999</v>
      </c>
    </row>
    <row r="1292" spans="2:6" x14ac:dyDescent="0.2">
      <c r="B1292" s="116" t="s">
        <v>4137</v>
      </c>
      <c r="C1292" s="117" t="s">
        <v>4138</v>
      </c>
      <c r="D1292" s="118"/>
      <c r="E1292" s="118">
        <v>2.58</v>
      </c>
      <c r="F1292" s="118"/>
    </row>
    <row r="1293" spans="2:6" x14ac:dyDescent="0.2">
      <c r="B1293" s="116" t="s">
        <v>2240</v>
      </c>
      <c r="C1293" s="117" t="s">
        <v>2241</v>
      </c>
      <c r="D1293" s="118">
        <v>0.59</v>
      </c>
      <c r="E1293" s="118">
        <v>7.16</v>
      </c>
      <c r="F1293" s="118">
        <v>86.8</v>
      </c>
    </row>
    <row r="1294" spans="2:6" x14ac:dyDescent="0.2">
      <c r="B1294" s="116" t="s">
        <v>2242</v>
      </c>
      <c r="C1294" s="117" t="s">
        <v>2243</v>
      </c>
      <c r="D1294" s="118"/>
      <c r="E1294" s="118"/>
      <c r="F1294" s="118"/>
    </row>
    <row r="1295" spans="2:6" x14ac:dyDescent="0.2">
      <c r="B1295" s="116" t="s">
        <v>2244</v>
      </c>
      <c r="C1295" s="117" t="s">
        <v>2245</v>
      </c>
      <c r="D1295" s="118">
        <v>3.95</v>
      </c>
      <c r="E1295" s="118">
        <v>2.99</v>
      </c>
      <c r="F1295" s="118">
        <v>14.68</v>
      </c>
    </row>
    <row r="1296" spans="2:6" x14ac:dyDescent="0.2">
      <c r="B1296" s="116" t="s">
        <v>4139</v>
      </c>
      <c r="C1296" s="117" t="s">
        <v>4140</v>
      </c>
      <c r="D1296" s="118">
        <v>1.07</v>
      </c>
      <c r="E1296" s="118">
        <v>1.25</v>
      </c>
      <c r="F1296" s="118">
        <v>9.68</v>
      </c>
    </row>
    <row r="1297" spans="2:6" x14ac:dyDescent="0.2">
      <c r="B1297" s="116" t="s">
        <v>4141</v>
      </c>
      <c r="C1297" s="117" t="s">
        <v>4142</v>
      </c>
      <c r="D1297" s="118"/>
      <c r="E1297" s="118"/>
      <c r="F1297" s="118"/>
    </row>
    <row r="1298" spans="2:6" x14ac:dyDescent="0.2">
      <c r="B1298" s="116" t="s">
        <v>2246</v>
      </c>
      <c r="C1298" s="117" t="s">
        <v>2247</v>
      </c>
      <c r="D1298" s="118">
        <v>3.79</v>
      </c>
      <c r="E1298" s="118">
        <v>5.34</v>
      </c>
      <c r="F1298" s="118">
        <v>21.96</v>
      </c>
    </row>
    <row r="1299" spans="2:6" x14ac:dyDescent="0.2">
      <c r="B1299" s="116" t="s">
        <v>4143</v>
      </c>
      <c r="C1299" s="117" t="s">
        <v>4144</v>
      </c>
      <c r="D1299" s="118"/>
      <c r="E1299" s="118"/>
      <c r="F1299" s="118"/>
    </row>
    <row r="1300" spans="2:6" x14ac:dyDescent="0.2">
      <c r="B1300" s="116" t="s">
        <v>2248</v>
      </c>
      <c r="C1300" s="117" t="s">
        <v>2249</v>
      </c>
      <c r="D1300" s="118">
        <v>6.06</v>
      </c>
      <c r="E1300" s="118">
        <v>2.81</v>
      </c>
      <c r="F1300" s="118">
        <v>10.46</v>
      </c>
    </row>
    <row r="1301" spans="2:6" x14ac:dyDescent="0.2">
      <c r="B1301" s="116" t="s">
        <v>2250</v>
      </c>
      <c r="C1301" s="117" t="s">
        <v>2251</v>
      </c>
      <c r="D1301" s="118">
        <v>4.17</v>
      </c>
      <c r="E1301" s="118">
        <v>1.61</v>
      </c>
      <c r="F1301" s="118">
        <v>4.79</v>
      </c>
    </row>
    <row r="1302" spans="2:6" x14ac:dyDescent="0.2">
      <c r="B1302" s="116" t="s">
        <v>2252</v>
      </c>
      <c r="C1302" s="117" t="s">
        <v>2253</v>
      </c>
      <c r="D1302" s="118">
        <v>9.49</v>
      </c>
      <c r="E1302" s="118">
        <v>6.13</v>
      </c>
      <c r="F1302" s="118">
        <v>9.86</v>
      </c>
    </row>
    <row r="1303" spans="2:6" x14ac:dyDescent="0.2">
      <c r="B1303" s="116" t="s">
        <v>4145</v>
      </c>
      <c r="C1303" s="117" t="s">
        <v>4146</v>
      </c>
      <c r="D1303" s="118">
        <v>2.36</v>
      </c>
      <c r="E1303" s="118">
        <v>8.8000000000000007</v>
      </c>
      <c r="F1303" s="118">
        <v>47.25</v>
      </c>
    </row>
    <row r="1304" spans="2:6" x14ac:dyDescent="0.2">
      <c r="B1304" s="116" t="s">
        <v>2256</v>
      </c>
      <c r="C1304" s="117" t="s">
        <v>2257</v>
      </c>
      <c r="D1304" s="118">
        <v>7.21</v>
      </c>
      <c r="E1304" s="118">
        <v>10.26</v>
      </c>
      <c r="F1304" s="118">
        <v>-8.5500000000000007</v>
      </c>
    </row>
    <row r="1305" spans="2:6" x14ac:dyDescent="0.2">
      <c r="B1305" s="116" t="s">
        <v>2258</v>
      </c>
      <c r="C1305" s="117" t="s">
        <v>2259</v>
      </c>
      <c r="D1305" s="118"/>
      <c r="E1305" s="118">
        <v>6.79</v>
      </c>
      <c r="F1305" s="118"/>
    </row>
    <row r="1306" spans="2:6" x14ac:dyDescent="0.2">
      <c r="B1306" s="116" t="s">
        <v>2260</v>
      </c>
      <c r="C1306" s="117" t="s">
        <v>2261</v>
      </c>
      <c r="D1306" s="118">
        <v>2.42</v>
      </c>
      <c r="E1306" s="118">
        <v>1.9</v>
      </c>
      <c r="F1306" s="118">
        <v>14.53</v>
      </c>
    </row>
    <row r="1307" spans="2:6" x14ac:dyDescent="0.2">
      <c r="B1307" s="116" t="s">
        <v>2262</v>
      </c>
      <c r="C1307" s="117" t="s">
        <v>2263</v>
      </c>
      <c r="D1307" s="118">
        <v>6.72</v>
      </c>
      <c r="E1307" s="118">
        <v>19.420000000000002</v>
      </c>
      <c r="F1307" s="118">
        <v>20.88</v>
      </c>
    </row>
    <row r="1308" spans="2:6" x14ac:dyDescent="0.2">
      <c r="B1308" s="116" t="s">
        <v>2264</v>
      </c>
      <c r="C1308" s="117" t="s">
        <v>2265</v>
      </c>
      <c r="D1308" s="118"/>
      <c r="E1308" s="118">
        <v>1.54</v>
      </c>
      <c r="F1308" s="118"/>
    </row>
    <row r="1309" spans="2:6" x14ac:dyDescent="0.2">
      <c r="B1309" s="116" t="s">
        <v>2266</v>
      </c>
      <c r="C1309" s="117" t="s">
        <v>2267</v>
      </c>
      <c r="D1309" s="118"/>
      <c r="E1309" s="118">
        <v>1.1100000000000001</v>
      </c>
      <c r="F1309" s="118"/>
    </row>
    <row r="1310" spans="2:6" x14ac:dyDescent="0.2">
      <c r="B1310" s="116" t="s">
        <v>2268</v>
      </c>
      <c r="C1310" s="117" t="s">
        <v>2269</v>
      </c>
      <c r="D1310" s="118">
        <v>3.02</v>
      </c>
      <c r="E1310" s="118">
        <v>9.19</v>
      </c>
      <c r="F1310" s="118">
        <v>54.67</v>
      </c>
    </row>
    <row r="1311" spans="2:6" x14ac:dyDescent="0.2">
      <c r="B1311" s="116" t="s">
        <v>2270</v>
      </c>
      <c r="C1311" s="117" t="s">
        <v>2271</v>
      </c>
      <c r="D1311" s="118">
        <v>11.88</v>
      </c>
      <c r="E1311" s="118">
        <v>2.5299999999999998</v>
      </c>
      <c r="F1311" s="118">
        <v>11</v>
      </c>
    </row>
    <row r="1312" spans="2:6" x14ac:dyDescent="0.2">
      <c r="B1312" s="116" t="s">
        <v>2272</v>
      </c>
      <c r="C1312" s="117" t="s">
        <v>2273</v>
      </c>
      <c r="D1312" s="118">
        <v>0.4</v>
      </c>
      <c r="E1312" s="118">
        <v>0.74</v>
      </c>
      <c r="F1312" s="118">
        <v>2.14</v>
      </c>
    </row>
    <row r="1313" spans="2:6" x14ac:dyDescent="0.2">
      <c r="B1313" s="116" t="s">
        <v>2274</v>
      </c>
      <c r="C1313" s="117" t="s">
        <v>2275</v>
      </c>
      <c r="D1313" s="118">
        <v>2.11</v>
      </c>
      <c r="E1313" s="118">
        <v>2.16</v>
      </c>
      <c r="F1313" s="118">
        <v>10.6</v>
      </c>
    </row>
    <row r="1314" spans="2:6" x14ac:dyDescent="0.2">
      <c r="B1314" s="116" t="s">
        <v>2276</v>
      </c>
      <c r="C1314" s="117" t="s">
        <v>2277</v>
      </c>
      <c r="D1314" s="118">
        <v>6.06</v>
      </c>
      <c r="E1314" s="118">
        <v>4.33</v>
      </c>
      <c r="F1314" s="118">
        <v>12.09</v>
      </c>
    </row>
    <row r="1315" spans="2:6" x14ac:dyDescent="0.2">
      <c r="B1315" s="116" t="s">
        <v>4147</v>
      </c>
      <c r="C1315" s="117" t="s">
        <v>4148</v>
      </c>
      <c r="D1315" s="118"/>
      <c r="E1315" s="118">
        <v>11.39</v>
      </c>
      <c r="F1315" s="118"/>
    </row>
    <row r="1316" spans="2:6" x14ac:dyDescent="0.2">
      <c r="B1316" s="116" t="s">
        <v>2278</v>
      </c>
      <c r="C1316" s="117" t="s">
        <v>2279</v>
      </c>
      <c r="D1316" s="118">
        <v>0.82</v>
      </c>
      <c r="E1316" s="118">
        <v>0.94</v>
      </c>
      <c r="F1316" s="118">
        <v>9.64</v>
      </c>
    </row>
    <row r="1317" spans="2:6" x14ac:dyDescent="0.2">
      <c r="B1317" s="116" t="s">
        <v>2280</v>
      </c>
      <c r="C1317" s="117" t="s">
        <v>2281</v>
      </c>
      <c r="D1317" s="118"/>
      <c r="E1317" s="118">
        <v>8.9499999999999993</v>
      </c>
      <c r="F1317" s="118"/>
    </row>
    <row r="1318" spans="2:6" x14ac:dyDescent="0.2">
      <c r="B1318" s="116" t="s">
        <v>2282</v>
      </c>
      <c r="C1318" s="117" t="s">
        <v>2283</v>
      </c>
      <c r="D1318" s="118">
        <v>3.08</v>
      </c>
      <c r="E1318" s="118">
        <v>4.74</v>
      </c>
      <c r="F1318" s="118">
        <v>7.66</v>
      </c>
    </row>
    <row r="1319" spans="2:6" x14ac:dyDescent="0.2">
      <c r="B1319" s="116" t="s">
        <v>2284</v>
      </c>
      <c r="C1319" s="117" t="s">
        <v>2285</v>
      </c>
      <c r="D1319" s="118">
        <v>1.45</v>
      </c>
      <c r="E1319" s="118">
        <v>2.52</v>
      </c>
      <c r="F1319" s="118">
        <v>7.93</v>
      </c>
    </row>
    <row r="1320" spans="2:6" x14ac:dyDescent="0.2">
      <c r="B1320" s="116" t="s">
        <v>2286</v>
      </c>
      <c r="C1320" s="117" t="s">
        <v>2287</v>
      </c>
      <c r="D1320" s="118">
        <v>3.47</v>
      </c>
      <c r="E1320" s="118">
        <v>15.07</v>
      </c>
      <c r="F1320" s="118">
        <v>45.12</v>
      </c>
    </row>
    <row r="1321" spans="2:6" x14ac:dyDescent="0.2">
      <c r="B1321" s="116" t="s">
        <v>2288</v>
      </c>
      <c r="C1321" s="117" t="s">
        <v>2289</v>
      </c>
      <c r="D1321" s="118">
        <v>29.65</v>
      </c>
      <c r="E1321" s="118">
        <v>2.2599999999999998</v>
      </c>
      <c r="F1321" s="118">
        <v>-25.25</v>
      </c>
    </row>
    <row r="1322" spans="2:6" x14ac:dyDescent="0.2">
      <c r="B1322" s="116" t="s">
        <v>2290</v>
      </c>
      <c r="C1322" s="117" t="s">
        <v>2291</v>
      </c>
      <c r="D1322" s="118">
        <v>1.23</v>
      </c>
      <c r="E1322" s="118">
        <v>2.66</v>
      </c>
      <c r="F1322" s="118">
        <v>18.97</v>
      </c>
    </row>
    <row r="1323" spans="2:6" x14ac:dyDescent="0.2">
      <c r="B1323" s="116" t="s">
        <v>2292</v>
      </c>
      <c r="C1323" s="117" t="s">
        <v>2293</v>
      </c>
      <c r="D1323" s="118">
        <v>4.5199999999999996</v>
      </c>
      <c r="E1323" s="118">
        <v>0.96</v>
      </c>
      <c r="F1323" s="118">
        <v>12.04</v>
      </c>
    </row>
    <row r="1324" spans="2:6" x14ac:dyDescent="0.2">
      <c r="B1324" s="116" t="s">
        <v>2294</v>
      </c>
      <c r="C1324" s="117" t="s">
        <v>2295</v>
      </c>
      <c r="D1324" s="118"/>
      <c r="E1324" s="118"/>
      <c r="F1324" s="118"/>
    </row>
    <row r="1325" spans="2:6" x14ac:dyDescent="0.2">
      <c r="B1325" s="116" t="s">
        <v>2296</v>
      </c>
      <c r="C1325" s="117" t="s">
        <v>2297</v>
      </c>
      <c r="D1325" s="118">
        <v>0.95</v>
      </c>
      <c r="E1325" s="118">
        <v>0.59</v>
      </c>
      <c r="F1325" s="118">
        <v>-1.74</v>
      </c>
    </row>
    <row r="1326" spans="2:6" x14ac:dyDescent="0.2">
      <c r="B1326" s="116" t="s">
        <v>2298</v>
      </c>
      <c r="C1326" s="117" t="s">
        <v>2299</v>
      </c>
      <c r="D1326" s="118">
        <v>3.76</v>
      </c>
      <c r="E1326" s="118">
        <v>4.32</v>
      </c>
      <c r="F1326" s="118"/>
    </row>
    <row r="1327" spans="2:6" x14ac:dyDescent="0.2">
      <c r="B1327" s="116" t="s">
        <v>4149</v>
      </c>
      <c r="C1327" s="117" t="s">
        <v>4150</v>
      </c>
      <c r="D1327" s="118">
        <v>0.52</v>
      </c>
      <c r="E1327" s="118">
        <v>0.37</v>
      </c>
      <c r="F1327" s="118">
        <v>5.0999999999999996</v>
      </c>
    </row>
    <row r="1328" spans="2:6" x14ac:dyDescent="0.2">
      <c r="B1328" s="116" t="s">
        <v>2300</v>
      </c>
      <c r="C1328" s="117" t="s">
        <v>2301</v>
      </c>
      <c r="D1328" s="118">
        <v>14.17</v>
      </c>
      <c r="E1328" s="118">
        <v>2.54</v>
      </c>
      <c r="F1328" s="118">
        <v>7.88</v>
      </c>
    </row>
    <row r="1329" spans="2:6" x14ac:dyDescent="0.2">
      <c r="B1329" s="116" t="s">
        <v>2302</v>
      </c>
      <c r="C1329" s="117" t="s">
        <v>2303</v>
      </c>
      <c r="D1329" s="118">
        <v>1.89</v>
      </c>
      <c r="E1329" s="118">
        <v>6.76</v>
      </c>
      <c r="F1329" s="118">
        <v>42.21</v>
      </c>
    </row>
    <row r="1330" spans="2:6" x14ac:dyDescent="0.2">
      <c r="B1330" s="116" t="s">
        <v>2304</v>
      </c>
      <c r="C1330" s="117" t="s">
        <v>2305</v>
      </c>
      <c r="D1330" s="118">
        <v>1.1299999999999999</v>
      </c>
      <c r="E1330" s="118">
        <v>1.84</v>
      </c>
      <c r="F1330" s="118">
        <v>7.84</v>
      </c>
    </row>
    <row r="1331" spans="2:6" x14ac:dyDescent="0.2">
      <c r="B1331" s="116" t="s">
        <v>2306</v>
      </c>
      <c r="C1331" s="117" t="s">
        <v>2307</v>
      </c>
      <c r="D1331" s="118">
        <v>1.53</v>
      </c>
      <c r="E1331" s="118">
        <v>1.46</v>
      </c>
      <c r="F1331" s="118">
        <v>9.6300000000000008</v>
      </c>
    </row>
    <row r="1332" spans="2:6" x14ac:dyDescent="0.2">
      <c r="B1332" s="116" t="s">
        <v>2308</v>
      </c>
      <c r="C1332" s="117" t="s">
        <v>2309</v>
      </c>
      <c r="D1332" s="118">
        <v>1.01</v>
      </c>
      <c r="E1332" s="118">
        <v>1.03</v>
      </c>
      <c r="F1332" s="118">
        <v>-0.64</v>
      </c>
    </row>
    <row r="1333" spans="2:6" x14ac:dyDescent="0.2">
      <c r="B1333" s="116" t="s">
        <v>2311</v>
      </c>
      <c r="C1333" s="117" t="s">
        <v>2312</v>
      </c>
      <c r="D1333" s="118">
        <v>16.88</v>
      </c>
      <c r="E1333" s="118">
        <v>40.32</v>
      </c>
      <c r="F1333" s="118">
        <v>4.29</v>
      </c>
    </row>
    <row r="1334" spans="2:6" x14ac:dyDescent="0.2">
      <c r="B1334" s="116" t="s">
        <v>2313</v>
      </c>
      <c r="C1334" s="117" t="s">
        <v>2314</v>
      </c>
      <c r="D1334" s="118"/>
      <c r="E1334" s="118"/>
      <c r="F1334" s="118"/>
    </row>
    <row r="1335" spans="2:6" x14ac:dyDescent="0.2">
      <c r="B1335" s="116" t="s">
        <v>4151</v>
      </c>
      <c r="C1335" s="117" t="s">
        <v>4152</v>
      </c>
      <c r="D1335" s="118">
        <v>0.23</v>
      </c>
      <c r="E1335" s="118">
        <v>0.4</v>
      </c>
      <c r="F1335" s="118">
        <v>5.36</v>
      </c>
    </row>
    <row r="1336" spans="2:6" x14ac:dyDescent="0.2">
      <c r="B1336" s="116" t="s">
        <v>4153</v>
      </c>
      <c r="C1336" s="117" t="s">
        <v>4154</v>
      </c>
      <c r="D1336" s="118">
        <v>0.53</v>
      </c>
      <c r="E1336" s="118">
        <v>0.96</v>
      </c>
      <c r="F1336" s="118">
        <v>8.65</v>
      </c>
    </row>
    <row r="1337" spans="2:6" x14ac:dyDescent="0.2">
      <c r="B1337" s="116" t="s">
        <v>4155</v>
      </c>
      <c r="C1337" s="117" t="s">
        <v>4156</v>
      </c>
      <c r="D1337" s="118"/>
      <c r="E1337" s="118">
        <v>2.5299999999999998</v>
      </c>
      <c r="F1337" s="118"/>
    </row>
    <row r="1338" spans="2:6" x14ac:dyDescent="0.2">
      <c r="B1338" s="116" t="s">
        <v>4157</v>
      </c>
      <c r="C1338" s="117" t="s">
        <v>4158</v>
      </c>
      <c r="D1338" s="118">
        <v>2.42</v>
      </c>
      <c r="E1338" s="118">
        <v>0.83</v>
      </c>
      <c r="F1338" s="118">
        <v>7.07</v>
      </c>
    </row>
    <row r="1339" spans="2:6" x14ac:dyDescent="0.2">
      <c r="B1339" s="116" t="s">
        <v>2316</v>
      </c>
      <c r="C1339" s="117" t="s">
        <v>2317</v>
      </c>
      <c r="D1339" s="118">
        <v>1.02</v>
      </c>
      <c r="E1339" s="118"/>
      <c r="F1339" s="118">
        <v>-45.11</v>
      </c>
    </row>
    <row r="1340" spans="2:6" x14ac:dyDescent="0.2">
      <c r="B1340" s="116" t="s">
        <v>2318</v>
      </c>
      <c r="C1340" s="117" t="s">
        <v>2319</v>
      </c>
      <c r="D1340" s="118">
        <v>3.25</v>
      </c>
      <c r="E1340" s="118">
        <v>3.73</v>
      </c>
      <c r="F1340" s="118">
        <v>12.72</v>
      </c>
    </row>
    <row r="1341" spans="2:6" x14ac:dyDescent="0.2">
      <c r="B1341" s="116" t="s">
        <v>2320</v>
      </c>
      <c r="C1341" s="117" t="s">
        <v>2321</v>
      </c>
      <c r="D1341" s="118">
        <v>3.65</v>
      </c>
      <c r="E1341" s="118">
        <v>0.93</v>
      </c>
      <c r="F1341" s="118">
        <v>13.22</v>
      </c>
    </row>
    <row r="1342" spans="2:6" x14ac:dyDescent="0.2">
      <c r="B1342" s="116" t="s">
        <v>2322</v>
      </c>
      <c r="C1342" s="117" t="s">
        <v>2323</v>
      </c>
      <c r="D1342" s="118">
        <v>1.66</v>
      </c>
      <c r="E1342" s="118">
        <v>2.87</v>
      </c>
      <c r="F1342" s="118">
        <v>31.79</v>
      </c>
    </row>
    <row r="1343" spans="2:6" x14ac:dyDescent="0.2">
      <c r="B1343" s="116" t="s">
        <v>2324</v>
      </c>
      <c r="C1343" s="117" t="s">
        <v>2325</v>
      </c>
      <c r="D1343" s="118">
        <v>0.25</v>
      </c>
      <c r="E1343" s="118">
        <v>0.51</v>
      </c>
      <c r="F1343" s="118">
        <v>5.1100000000000003</v>
      </c>
    </row>
    <row r="1344" spans="2:6" x14ac:dyDescent="0.2">
      <c r="B1344" s="116" t="s">
        <v>2326</v>
      </c>
      <c r="C1344" s="117" t="s">
        <v>2327</v>
      </c>
      <c r="D1344" s="118">
        <v>4.0999999999999996</v>
      </c>
      <c r="E1344" s="118">
        <v>3.11</v>
      </c>
      <c r="F1344" s="118">
        <v>18.239999999999998</v>
      </c>
    </row>
    <row r="1345" spans="2:6" x14ac:dyDescent="0.2">
      <c r="B1345" s="116" t="s">
        <v>2328</v>
      </c>
      <c r="C1345" s="117" t="s">
        <v>2329</v>
      </c>
      <c r="D1345" s="118">
        <v>1</v>
      </c>
      <c r="E1345" s="118">
        <v>30.37</v>
      </c>
      <c r="F1345" s="118">
        <v>136.63</v>
      </c>
    </row>
    <row r="1346" spans="2:6" x14ac:dyDescent="0.2">
      <c r="B1346" s="116" t="s">
        <v>2330</v>
      </c>
      <c r="C1346" s="117" t="s">
        <v>2331</v>
      </c>
      <c r="D1346" s="118"/>
      <c r="E1346" s="118">
        <v>5.52</v>
      </c>
      <c r="F1346" s="118"/>
    </row>
    <row r="1347" spans="2:6" x14ac:dyDescent="0.2">
      <c r="B1347" s="116" t="s">
        <v>2332</v>
      </c>
      <c r="C1347" s="117" t="s">
        <v>2333</v>
      </c>
      <c r="D1347" s="118">
        <v>2.1800000000000002</v>
      </c>
      <c r="E1347" s="118">
        <v>14.91</v>
      </c>
      <c r="F1347" s="118">
        <v>77.11</v>
      </c>
    </row>
    <row r="1348" spans="2:6" x14ac:dyDescent="0.2">
      <c r="B1348" s="116" t="s">
        <v>2335</v>
      </c>
      <c r="C1348" s="117" t="s">
        <v>2336</v>
      </c>
      <c r="D1348" s="118">
        <v>4.3499999999999996</v>
      </c>
      <c r="E1348" s="118">
        <v>3.69</v>
      </c>
      <c r="F1348" s="118">
        <v>13.03</v>
      </c>
    </row>
    <row r="1349" spans="2:6" x14ac:dyDescent="0.2">
      <c r="B1349" s="116" t="s">
        <v>2337</v>
      </c>
      <c r="C1349" s="117" t="s">
        <v>2338</v>
      </c>
      <c r="D1349" s="118">
        <v>0.94</v>
      </c>
      <c r="E1349" s="118">
        <v>2.11</v>
      </c>
      <c r="F1349" s="118">
        <v>10.050000000000001</v>
      </c>
    </row>
    <row r="1350" spans="2:6" x14ac:dyDescent="0.2">
      <c r="B1350" s="116" t="s">
        <v>2339</v>
      </c>
      <c r="C1350" s="117" t="s">
        <v>2340</v>
      </c>
      <c r="D1350" s="118">
        <v>3.19</v>
      </c>
      <c r="E1350" s="118">
        <v>4.7</v>
      </c>
      <c r="F1350" s="118">
        <v>18.39</v>
      </c>
    </row>
    <row r="1351" spans="2:6" x14ac:dyDescent="0.2">
      <c r="B1351" s="116" t="s">
        <v>2341</v>
      </c>
      <c r="C1351" s="117" t="s">
        <v>2342</v>
      </c>
      <c r="D1351" s="118">
        <v>1.86</v>
      </c>
      <c r="E1351" s="118">
        <v>1.79</v>
      </c>
      <c r="F1351" s="118">
        <v>18.260000000000002</v>
      </c>
    </row>
    <row r="1352" spans="2:6" x14ac:dyDescent="0.2">
      <c r="B1352" s="116" t="s">
        <v>2343</v>
      </c>
      <c r="C1352" s="117" t="s">
        <v>2344</v>
      </c>
      <c r="D1352" s="118">
        <v>3.94</v>
      </c>
      <c r="E1352" s="118">
        <v>15.92</v>
      </c>
      <c r="F1352" s="118">
        <v>-150.86000000000001</v>
      </c>
    </row>
    <row r="1353" spans="2:6" x14ac:dyDescent="0.2">
      <c r="B1353" s="116" t="s">
        <v>2345</v>
      </c>
      <c r="C1353" s="117" t="s">
        <v>2346</v>
      </c>
      <c r="D1353" s="118">
        <v>1.47</v>
      </c>
      <c r="E1353" s="118"/>
      <c r="F1353" s="118"/>
    </row>
    <row r="1354" spans="2:6" x14ac:dyDescent="0.2">
      <c r="B1354" s="116" t="s">
        <v>2347</v>
      </c>
      <c r="C1354" s="117" t="s">
        <v>2348</v>
      </c>
      <c r="D1354" s="118">
        <v>2.96</v>
      </c>
      <c r="E1354" s="118">
        <v>2.04</v>
      </c>
      <c r="F1354" s="118">
        <v>15.74</v>
      </c>
    </row>
    <row r="1355" spans="2:6" x14ac:dyDescent="0.2">
      <c r="B1355" s="116" t="s">
        <v>2349</v>
      </c>
      <c r="C1355" s="117" t="s">
        <v>2350</v>
      </c>
      <c r="D1355" s="118">
        <v>0.85</v>
      </c>
      <c r="E1355" s="118">
        <v>0.91</v>
      </c>
      <c r="F1355" s="118">
        <v>7.21</v>
      </c>
    </row>
    <row r="1356" spans="2:6" x14ac:dyDescent="0.2">
      <c r="B1356" s="116" t="s">
        <v>2351</v>
      </c>
      <c r="C1356" s="117" t="s">
        <v>2352</v>
      </c>
      <c r="D1356" s="118">
        <v>2.52</v>
      </c>
      <c r="E1356" s="118">
        <v>2.34</v>
      </c>
      <c r="F1356" s="118">
        <v>13.93</v>
      </c>
    </row>
    <row r="1357" spans="2:6" x14ac:dyDescent="0.2">
      <c r="B1357" s="116" t="s">
        <v>2353</v>
      </c>
      <c r="C1357" s="117" t="s">
        <v>2354</v>
      </c>
      <c r="D1357" s="118">
        <v>0.64</v>
      </c>
      <c r="E1357" s="118">
        <v>1.49</v>
      </c>
      <c r="F1357" s="118">
        <v>21.65</v>
      </c>
    </row>
    <row r="1358" spans="2:6" x14ac:dyDescent="0.2">
      <c r="B1358" s="116" t="s">
        <v>2355</v>
      </c>
      <c r="C1358" s="117" t="s">
        <v>2356</v>
      </c>
      <c r="D1358" s="118">
        <v>3.08</v>
      </c>
      <c r="E1358" s="118">
        <v>4.03</v>
      </c>
      <c r="F1358" s="118">
        <v>15.09</v>
      </c>
    </row>
    <row r="1359" spans="2:6" x14ac:dyDescent="0.2">
      <c r="B1359" s="116" t="s">
        <v>2357</v>
      </c>
      <c r="C1359" s="117" t="s">
        <v>2358</v>
      </c>
      <c r="D1359" s="118">
        <v>27.13</v>
      </c>
      <c r="E1359" s="118">
        <v>50.27</v>
      </c>
      <c r="F1359" s="118">
        <v>-31.8</v>
      </c>
    </row>
    <row r="1360" spans="2:6" x14ac:dyDescent="0.2">
      <c r="B1360" s="116" t="s">
        <v>2359</v>
      </c>
      <c r="C1360" s="117" t="s">
        <v>2360</v>
      </c>
      <c r="D1360" s="118">
        <v>10.33</v>
      </c>
      <c r="E1360" s="118">
        <v>10.17</v>
      </c>
      <c r="F1360" s="118">
        <v>24.4</v>
      </c>
    </row>
    <row r="1361" spans="2:6" x14ac:dyDescent="0.2">
      <c r="B1361" s="116" t="s">
        <v>2361</v>
      </c>
      <c r="C1361" s="117" t="s">
        <v>2362</v>
      </c>
      <c r="D1361" s="118">
        <v>7.03</v>
      </c>
      <c r="E1361" s="118">
        <v>16.22</v>
      </c>
      <c r="F1361" s="118">
        <v>75.16</v>
      </c>
    </row>
    <row r="1362" spans="2:6" x14ac:dyDescent="0.2">
      <c r="B1362" s="116" t="s">
        <v>2363</v>
      </c>
      <c r="C1362" s="117" t="s">
        <v>2364</v>
      </c>
      <c r="D1362" s="118">
        <v>1.85</v>
      </c>
      <c r="E1362" s="118">
        <v>6.27</v>
      </c>
      <c r="F1362" s="118">
        <v>44.03</v>
      </c>
    </row>
    <row r="1363" spans="2:6" x14ac:dyDescent="0.2">
      <c r="B1363" s="116" t="s">
        <v>2365</v>
      </c>
      <c r="C1363" s="117" t="s">
        <v>2366</v>
      </c>
      <c r="D1363" s="118">
        <v>4.08</v>
      </c>
      <c r="E1363" s="118">
        <v>3.88</v>
      </c>
      <c r="F1363" s="118">
        <v>18.55</v>
      </c>
    </row>
    <row r="1364" spans="2:6" x14ac:dyDescent="0.2">
      <c r="B1364" s="116" t="s">
        <v>2367</v>
      </c>
      <c r="C1364" s="117" t="s">
        <v>2368</v>
      </c>
      <c r="D1364" s="118">
        <v>1.67</v>
      </c>
      <c r="E1364" s="118">
        <v>1.46</v>
      </c>
      <c r="F1364" s="118">
        <v>11.69</v>
      </c>
    </row>
    <row r="1365" spans="2:6" x14ac:dyDescent="0.2">
      <c r="B1365" s="116" t="s">
        <v>2369</v>
      </c>
      <c r="C1365" s="117" t="s">
        <v>2370</v>
      </c>
      <c r="D1365" s="118">
        <v>5.8</v>
      </c>
      <c r="E1365" s="118">
        <v>7.64</v>
      </c>
      <c r="F1365" s="118">
        <v>28.54</v>
      </c>
    </row>
    <row r="1366" spans="2:6" x14ac:dyDescent="0.2">
      <c r="B1366" s="116" t="s">
        <v>2371</v>
      </c>
      <c r="C1366" s="117" t="s">
        <v>2372</v>
      </c>
      <c r="D1366" s="118">
        <v>3.03</v>
      </c>
      <c r="E1366" s="118">
        <v>1.87</v>
      </c>
      <c r="F1366" s="118">
        <v>9.86</v>
      </c>
    </row>
    <row r="1367" spans="2:6" x14ac:dyDescent="0.2">
      <c r="B1367" s="116" t="s">
        <v>2373</v>
      </c>
      <c r="C1367" s="117" t="s">
        <v>2374</v>
      </c>
      <c r="D1367" s="118">
        <v>0.89</v>
      </c>
      <c r="E1367" s="118">
        <v>1.5</v>
      </c>
      <c r="F1367" s="118">
        <v>13.54</v>
      </c>
    </row>
    <row r="1368" spans="2:6" x14ac:dyDescent="0.2">
      <c r="B1368" s="116" t="s">
        <v>2375</v>
      </c>
      <c r="C1368" s="117" t="s">
        <v>4159</v>
      </c>
      <c r="D1368" s="118">
        <v>0.83</v>
      </c>
      <c r="E1368" s="118">
        <v>0.81</v>
      </c>
      <c r="F1368" s="118">
        <v>2.59</v>
      </c>
    </row>
    <row r="1369" spans="2:6" x14ac:dyDescent="0.2">
      <c r="B1369" s="116" t="s">
        <v>2375</v>
      </c>
      <c r="C1369" s="117" t="s">
        <v>2376</v>
      </c>
      <c r="D1369" s="118">
        <v>0.81</v>
      </c>
      <c r="E1369" s="118">
        <v>0.79</v>
      </c>
      <c r="F1369" s="118">
        <v>2.59</v>
      </c>
    </row>
    <row r="1370" spans="2:6" x14ac:dyDescent="0.2">
      <c r="B1370" s="116" t="s">
        <v>2377</v>
      </c>
      <c r="C1370" s="117" t="s">
        <v>2378</v>
      </c>
      <c r="D1370" s="118"/>
      <c r="E1370" s="118"/>
      <c r="F1370" s="118"/>
    </row>
    <row r="1371" spans="2:6" x14ac:dyDescent="0.2">
      <c r="B1371" s="116" t="s">
        <v>2379</v>
      </c>
      <c r="C1371" s="117" t="s">
        <v>2380</v>
      </c>
      <c r="D1371" s="118">
        <v>3.76</v>
      </c>
      <c r="E1371" s="118">
        <v>3.69</v>
      </c>
      <c r="F1371" s="118">
        <v>22.22</v>
      </c>
    </row>
    <row r="1372" spans="2:6" x14ac:dyDescent="0.2">
      <c r="B1372" s="116" t="s">
        <v>2381</v>
      </c>
      <c r="C1372" s="117" t="s">
        <v>2382</v>
      </c>
      <c r="D1372" s="118">
        <v>1.72</v>
      </c>
      <c r="E1372" s="118">
        <v>2.4300000000000002</v>
      </c>
      <c r="F1372" s="118">
        <v>21.05</v>
      </c>
    </row>
    <row r="1373" spans="2:6" x14ac:dyDescent="0.2">
      <c r="B1373" s="116" t="s">
        <v>2383</v>
      </c>
      <c r="C1373" s="117" t="s">
        <v>2384</v>
      </c>
      <c r="D1373" s="118">
        <v>3.14</v>
      </c>
      <c r="E1373" s="118">
        <v>0.95</v>
      </c>
      <c r="F1373" s="118">
        <v>6.52</v>
      </c>
    </row>
    <row r="1374" spans="2:6" x14ac:dyDescent="0.2">
      <c r="B1374" s="116" t="s">
        <v>2385</v>
      </c>
      <c r="C1374" s="117" t="s">
        <v>2386</v>
      </c>
      <c r="D1374" s="118">
        <v>2.68</v>
      </c>
      <c r="E1374" s="118">
        <v>4.4400000000000004</v>
      </c>
      <c r="F1374" s="118">
        <v>13.4</v>
      </c>
    </row>
    <row r="1375" spans="2:6" x14ac:dyDescent="0.2">
      <c r="B1375" s="116" t="s">
        <v>2388</v>
      </c>
      <c r="C1375" s="117" t="s">
        <v>2389</v>
      </c>
      <c r="D1375" s="118">
        <v>17.239999999999998</v>
      </c>
      <c r="E1375" s="118">
        <v>2.72</v>
      </c>
      <c r="F1375" s="118">
        <v>4.79</v>
      </c>
    </row>
    <row r="1376" spans="2:6" x14ac:dyDescent="0.2">
      <c r="B1376" s="116" t="s">
        <v>2390</v>
      </c>
      <c r="C1376" s="117" t="s">
        <v>2391</v>
      </c>
      <c r="D1376" s="118">
        <v>6.05</v>
      </c>
      <c r="E1376" s="118">
        <v>4.2300000000000004</v>
      </c>
      <c r="F1376" s="118">
        <v>19.02</v>
      </c>
    </row>
    <row r="1377" spans="2:6" x14ac:dyDescent="0.2">
      <c r="B1377" s="116" t="s">
        <v>2392</v>
      </c>
      <c r="C1377" s="117" t="s">
        <v>2393</v>
      </c>
      <c r="D1377" s="118"/>
      <c r="E1377" s="118"/>
      <c r="F1377" s="118"/>
    </row>
    <row r="1378" spans="2:6" x14ac:dyDescent="0.2">
      <c r="B1378" s="116" t="s">
        <v>4160</v>
      </c>
      <c r="C1378" s="117" t="s">
        <v>4161</v>
      </c>
      <c r="D1378" s="118">
        <v>0.38</v>
      </c>
      <c r="E1378" s="118"/>
      <c r="F1378" s="118"/>
    </row>
    <row r="1379" spans="2:6" x14ac:dyDescent="0.2">
      <c r="B1379" s="116" t="s">
        <v>2394</v>
      </c>
      <c r="C1379" s="117" t="s">
        <v>2395</v>
      </c>
      <c r="D1379" s="118">
        <v>0.93</v>
      </c>
      <c r="E1379" s="118">
        <v>1.49</v>
      </c>
      <c r="F1379" s="118">
        <v>12.18</v>
      </c>
    </row>
    <row r="1380" spans="2:6" x14ac:dyDescent="0.2">
      <c r="B1380" s="116" t="s">
        <v>4162</v>
      </c>
      <c r="C1380" s="117" t="s">
        <v>4163</v>
      </c>
      <c r="D1380" s="118"/>
      <c r="E1380" s="118">
        <v>20.72</v>
      </c>
      <c r="F1380" s="118"/>
    </row>
    <row r="1381" spans="2:6" x14ac:dyDescent="0.2">
      <c r="B1381" s="116" t="s">
        <v>2396</v>
      </c>
      <c r="C1381" s="117" t="s">
        <v>2397</v>
      </c>
      <c r="D1381" s="118">
        <v>2.52</v>
      </c>
      <c r="E1381" s="118">
        <v>4.6399999999999997</v>
      </c>
      <c r="F1381" s="118">
        <v>3.5</v>
      </c>
    </row>
    <row r="1382" spans="2:6" x14ac:dyDescent="0.2">
      <c r="B1382" s="116" t="s">
        <v>2398</v>
      </c>
      <c r="C1382" s="117" t="s">
        <v>2399</v>
      </c>
      <c r="D1382" s="118">
        <v>3.28</v>
      </c>
      <c r="E1382" s="118">
        <v>4.91</v>
      </c>
      <c r="F1382" s="118">
        <v>23.57</v>
      </c>
    </row>
    <row r="1383" spans="2:6" x14ac:dyDescent="0.2">
      <c r="B1383" s="116" t="s">
        <v>2400</v>
      </c>
      <c r="C1383" s="117" t="s">
        <v>2401</v>
      </c>
      <c r="D1383" s="118"/>
      <c r="E1383" s="118"/>
      <c r="F1383" s="118"/>
    </row>
    <row r="1384" spans="2:6" x14ac:dyDescent="0.2">
      <c r="B1384" s="116" t="s">
        <v>2402</v>
      </c>
      <c r="C1384" s="117" t="s">
        <v>2403</v>
      </c>
      <c r="D1384" s="118">
        <v>5.42</v>
      </c>
      <c r="E1384" s="118">
        <v>1.89</v>
      </c>
      <c r="F1384" s="118">
        <v>10.039999999999999</v>
      </c>
    </row>
    <row r="1385" spans="2:6" x14ac:dyDescent="0.2">
      <c r="B1385" s="116" t="s">
        <v>2404</v>
      </c>
      <c r="C1385" s="117" t="s">
        <v>2405</v>
      </c>
      <c r="D1385" s="118">
        <v>4.0599999999999996</v>
      </c>
      <c r="E1385" s="118">
        <v>2.25</v>
      </c>
      <c r="F1385" s="118">
        <v>10.17</v>
      </c>
    </row>
    <row r="1386" spans="2:6" x14ac:dyDescent="0.2">
      <c r="B1386" s="116" t="s">
        <v>2406</v>
      </c>
      <c r="C1386" s="117" t="s">
        <v>2407</v>
      </c>
      <c r="D1386" s="118">
        <v>3</v>
      </c>
      <c r="E1386" s="118">
        <v>2.36</v>
      </c>
      <c r="F1386" s="118">
        <v>8.66</v>
      </c>
    </row>
    <row r="1387" spans="2:6" x14ac:dyDescent="0.2">
      <c r="B1387" s="116" t="s">
        <v>4164</v>
      </c>
      <c r="C1387" s="117" t="s">
        <v>4165</v>
      </c>
      <c r="D1387" s="118">
        <v>0.68</v>
      </c>
      <c r="E1387" s="118">
        <v>0.04</v>
      </c>
      <c r="F1387" s="118"/>
    </row>
    <row r="1388" spans="2:6" x14ac:dyDescent="0.2">
      <c r="B1388" s="116" t="s">
        <v>2408</v>
      </c>
      <c r="C1388" s="117" t="s">
        <v>2409</v>
      </c>
      <c r="D1388" s="118">
        <v>10.039999999999999</v>
      </c>
      <c r="E1388" s="118">
        <v>2.09</v>
      </c>
      <c r="F1388" s="118">
        <v>6.79</v>
      </c>
    </row>
    <row r="1389" spans="2:6" x14ac:dyDescent="0.2">
      <c r="B1389" s="116" t="s">
        <v>4166</v>
      </c>
      <c r="C1389" s="117" t="s">
        <v>4167</v>
      </c>
      <c r="D1389" s="118">
        <v>1.0900000000000001</v>
      </c>
      <c r="E1389" s="118">
        <v>0.02</v>
      </c>
      <c r="F1389" s="118">
        <v>95.79</v>
      </c>
    </row>
    <row r="1390" spans="2:6" x14ac:dyDescent="0.2">
      <c r="B1390" s="116" t="s">
        <v>2410</v>
      </c>
      <c r="C1390" s="117" t="s">
        <v>2411</v>
      </c>
      <c r="D1390" s="118">
        <v>2.66</v>
      </c>
      <c r="E1390" s="118">
        <v>4.93</v>
      </c>
      <c r="F1390" s="118">
        <v>19.3</v>
      </c>
    </row>
    <row r="1391" spans="2:6" x14ac:dyDescent="0.2">
      <c r="B1391" s="116" t="s">
        <v>2412</v>
      </c>
      <c r="C1391" s="117" t="s">
        <v>2413</v>
      </c>
      <c r="D1391" s="118">
        <v>25.46</v>
      </c>
      <c r="E1391" s="118">
        <v>49.43</v>
      </c>
      <c r="F1391" s="118">
        <v>-53.93</v>
      </c>
    </row>
    <row r="1392" spans="2:6" x14ac:dyDescent="0.2">
      <c r="B1392" s="116" t="s">
        <v>2414</v>
      </c>
      <c r="C1392" s="117" t="s">
        <v>2415</v>
      </c>
      <c r="D1392" s="118">
        <v>10.02</v>
      </c>
      <c r="E1392" s="118">
        <v>6.59</v>
      </c>
      <c r="F1392" s="118">
        <v>11.63</v>
      </c>
    </row>
    <row r="1393" spans="2:6" x14ac:dyDescent="0.2">
      <c r="B1393" s="116" t="s">
        <v>2416</v>
      </c>
      <c r="C1393" s="117" t="s">
        <v>2417</v>
      </c>
      <c r="D1393" s="118">
        <v>24.21</v>
      </c>
      <c r="E1393" s="118">
        <v>11.4</v>
      </c>
      <c r="F1393" s="118">
        <v>16.52</v>
      </c>
    </row>
    <row r="1394" spans="2:6" x14ac:dyDescent="0.2">
      <c r="B1394" s="116" t="s">
        <v>2418</v>
      </c>
      <c r="C1394" s="117" t="s">
        <v>2419</v>
      </c>
      <c r="D1394" s="118">
        <v>2.98</v>
      </c>
      <c r="E1394" s="118">
        <v>3.91</v>
      </c>
      <c r="F1394" s="118">
        <v>12.67</v>
      </c>
    </row>
    <row r="1395" spans="2:6" x14ac:dyDescent="0.2">
      <c r="B1395" s="116" t="s">
        <v>2420</v>
      </c>
      <c r="C1395" s="117" t="s">
        <v>2421</v>
      </c>
      <c r="D1395" s="118">
        <v>0.46</v>
      </c>
      <c r="E1395" s="118">
        <v>1.1000000000000001</v>
      </c>
      <c r="F1395" s="118">
        <v>7.82</v>
      </c>
    </row>
    <row r="1396" spans="2:6" x14ac:dyDescent="0.2">
      <c r="B1396" s="116" t="s">
        <v>2422</v>
      </c>
      <c r="C1396" s="117" t="s">
        <v>2423</v>
      </c>
      <c r="D1396" s="118">
        <v>1.1299999999999999</v>
      </c>
      <c r="E1396" s="118">
        <v>5.72</v>
      </c>
      <c r="F1396" s="118">
        <v>43.86</v>
      </c>
    </row>
    <row r="1397" spans="2:6" x14ac:dyDescent="0.2">
      <c r="B1397" s="116" t="s">
        <v>2424</v>
      </c>
      <c r="C1397" s="117" t="s">
        <v>2425</v>
      </c>
      <c r="D1397" s="118">
        <v>3.71</v>
      </c>
      <c r="E1397" s="118">
        <v>4.01</v>
      </c>
      <c r="F1397" s="118">
        <v>11.85</v>
      </c>
    </row>
    <row r="1398" spans="2:6" x14ac:dyDescent="0.2">
      <c r="B1398" s="116" t="s">
        <v>2426</v>
      </c>
      <c r="C1398" s="117" t="s">
        <v>2427</v>
      </c>
      <c r="D1398" s="118">
        <v>1.23</v>
      </c>
      <c r="E1398" s="118">
        <v>1.23</v>
      </c>
      <c r="F1398" s="118">
        <v>19.989999999999998</v>
      </c>
    </row>
    <row r="1399" spans="2:6" x14ac:dyDescent="0.2">
      <c r="B1399" s="116" t="s">
        <v>2428</v>
      </c>
      <c r="C1399" s="117" t="s">
        <v>2429</v>
      </c>
      <c r="D1399" s="118">
        <v>0.63</v>
      </c>
      <c r="E1399" s="118">
        <v>0.95</v>
      </c>
      <c r="F1399" s="118">
        <v>10.23</v>
      </c>
    </row>
    <row r="1400" spans="2:6" x14ac:dyDescent="0.2">
      <c r="B1400" s="116" t="s">
        <v>2430</v>
      </c>
      <c r="C1400" s="117" t="s">
        <v>2431</v>
      </c>
      <c r="D1400" s="118">
        <v>1.37</v>
      </c>
      <c r="E1400" s="118">
        <v>2.42</v>
      </c>
      <c r="F1400" s="118">
        <v>25.36</v>
      </c>
    </row>
    <row r="1401" spans="2:6" x14ac:dyDescent="0.2">
      <c r="B1401" s="116" t="s">
        <v>2432</v>
      </c>
      <c r="C1401" s="117" t="s">
        <v>2433</v>
      </c>
      <c r="D1401" s="118">
        <v>3.37</v>
      </c>
      <c r="E1401" s="118">
        <v>1.08</v>
      </c>
      <c r="F1401" s="118">
        <v>8.7200000000000006</v>
      </c>
    </row>
    <row r="1402" spans="2:6" x14ac:dyDescent="0.2">
      <c r="B1402" s="116" t="s">
        <v>2434</v>
      </c>
      <c r="C1402" s="117" t="s">
        <v>2435</v>
      </c>
      <c r="D1402" s="118">
        <v>67.760000000000005</v>
      </c>
      <c r="E1402" s="118">
        <v>9.91</v>
      </c>
      <c r="F1402" s="118">
        <v>-48.7</v>
      </c>
    </row>
    <row r="1403" spans="2:6" x14ac:dyDescent="0.2">
      <c r="B1403" s="116" t="s">
        <v>4168</v>
      </c>
      <c r="C1403" s="117" t="s">
        <v>4169</v>
      </c>
      <c r="D1403" s="118">
        <v>0.47</v>
      </c>
      <c r="E1403" s="118">
        <v>1.1200000000000001</v>
      </c>
      <c r="F1403" s="118">
        <v>3.63</v>
      </c>
    </row>
    <row r="1404" spans="2:6" x14ac:dyDescent="0.2">
      <c r="B1404" s="116" t="s">
        <v>4170</v>
      </c>
      <c r="C1404" s="117" t="s">
        <v>4171</v>
      </c>
      <c r="D1404" s="118">
        <v>3.61</v>
      </c>
      <c r="E1404" s="118"/>
      <c r="F1404" s="118">
        <v>9.25</v>
      </c>
    </row>
    <row r="1405" spans="2:6" x14ac:dyDescent="0.2">
      <c r="B1405" s="116" t="s">
        <v>2436</v>
      </c>
      <c r="C1405" s="117" t="s">
        <v>2437</v>
      </c>
      <c r="D1405" s="118">
        <v>5.04</v>
      </c>
      <c r="E1405" s="118">
        <v>2.4900000000000002</v>
      </c>
      <c r="F1405" s="118">
        <v>6.07</v>
      </c>
    </row>
    <row r="1406" spans="2:6" x14ac:dyDescent="0.2">
      <c r="B1406" s="116" t="s">
        <v>2438</v>
      </c>
      <c r="C1406" s="117" t="s">
        <v>2439</v>
      </c>
      <c r="D1406" s="118"/>
      <c r="E1406" s="118">
        <v>1.1200000000000001</v>
      </c>
      <c r="F1406" s="118"/>
    </row>
    <row r="1407" spans="2:6" x14ac:dyDescent="0.2">
      <c r="B1407" s="116" t="s">
        <v>4172</v>
      </c>
      <c r="C1407" s="117" t="s">
        <v>4173</v>
      </c>
      <c r="D1407" s="118"/>
      <c r="E1407" s="118">
        <v>1.1399999999999999</v>
      </c>
      <c r="F1407" s="118"/>
    </row>
    <row r="1408" spans="2:6" x14ac:dyDescent="0.2">
      <c r="B1408" s="116" t="s">
        <v>2440</v>
      </c>
      <c r="C1408" s="117" t="s">
        <v>2441</v>
      </c>
      <c r="D1408" s="118">
        <v>4.45</v>
      </c>
      <c r="E1408" s="118">
        <v>9.24</v>
      </c>
      <c r="F1408" s="118">
        <v>48.85</v>
      </c>
    </row>
    <row r="1409" spans="2:6" x14ac:dyDescent="0.2">
      <c r="B1409" s="116" t="s">
        <v>4174</v>
      </c>
      <c r="C1409" s="117" t="s">
        <v>4175</v>
      </c>
      <c r="D1409" s="118">
        <v>1.06</v>
      </c>
      <c r="E1409" s="118">
        <v>1.18</v>
      </c>
      <c r="F1409" s="118">
        <v>10.210000000000001</v>
      </c>
    </row>
    <row r="1410" spans="2:6" x14ac:dyDescent="0.2">
      <c r="B1410" s="116" t="s">
        <v>2442</v>
      </c>
      <c r="C1410" s="117" t="s">
        <v>2443</v>
      </c>
      <c r="D1410" s="118">
        <v>4.74</v>
      </c>
      <c r="E1410" s="118">
        <v>7.65</v>
      </c>
      <c r="F1410" s="118">
        <v>23.84</v>
      </c>
    </row>
    <row r="1411" spans="2:6" x14ac:dyDescent="0.2">
      <c r="B1411" s="116" t="s">
        <v>4176</v>
      </c>
      <c r="C1411" s="117" t="s">
        <v>4177</v>
      </c>
      <c r="D1411" s="118">
        <v>1.82</v>
      </c>
      <c r="E1411" s="118">
        <v>2.2999999999999998</v>
      </c>
      <c r="F1411" s="118">
        <v>10.38</v>
      </c>
    </row>
    <row r="1412" spans="2:6" x14ac:dyDescent="0.2">
      <c r="B1412" s="116" t="s">
        <v>2444</v>
      </c>
      <c r="C1412" s="117" t="s">
        <v>2445</v>
      </c>
      <c r="D1412" s="118">
        <v>3.11</v>
      </c>
      <c r="E1412" s="118">
        <v>210.93</v>
      </c>
      <c r="F1412" s="118">
        <v>391.89</v>
      </c>
    </row>
    <row r="1413" spans="2:6" x14ac:dyDescent="0.2">
      <c r="B1413" s="116" t="s">
        <v>4178</v>
      </c>
      <c r="C1413" s="117" t="s">
        <v>4179</v>
      </c>
      <c r="D1413" s="118">
        <v>0.98</v>
      </c>
      <c r="E1413" s="118">
        <v>1.53</v>
      </c>
      <c r="F1413" s="118">
        <v>3.07</v>
      </c>
    </row>
    <row r="1414" spans="2:6" x14ac:dyDescent="0.2">
      <c r="B1414" s="116" t="s">
        <v>2446</v>
      </c>
      <c r="C1414" s="117" t="s">
        <v>2447</v>
      </c>
      <c r="D1414" s="118">
        <v>0.62</v>
      </c>
      <c r="E1414" s="118">
        <v>1.98</v>
      </c>
      <c r="F1414" s="118">
        <v>22.7</v>
      </c>
    </row>
    <row r="1415" spans="2:6" x14ac:dyDescent="0.2">
      <c r="B1415" s="116" t="s">
        <v>2448</v>
      </c>
      <c r="C1415" s="117" t="s">
        <v>2449</v>
      </c>
      <c r="D1415" s="118">
        <v>3.9</v>
      </c>
      <c r="E1415" s="118">
        <v>2.87</v>
      </c>
      <c r="F1415" s="118">
        <v>7.5</v>
      </c>
    </row>
    <row r="1416" spans="2:6" x14ac:dyDescent="0.2">
      <c r="B1416" s="116" t="s">
        <v>2450</v>
      </c>
      <c r="C1416" s="117" t="s">
        <v>2451</v>
      </c>
      <c r="D1416" s="118">
        <v>2.37</v>
      </c>
      <c r="E1416" s="118">
        <v>3.5</v>
      </c>
      <c r="F1416" s="118">
        <v>14.27</v>
      </c>
    </row>
    <row r="1417" spans="2:6" x14ac:dyDescent="0.2">
      <c r="B1417" s="116" t="s">
        <v>2452</v>
      </c>
      <c r="C1417" s="117" t="s">
        <v>2453</v>
      </c>
      <c r="D1417" s="118">
        <v>3.2</v>
      </c>
      <c r="E1417" s="118"/>
      <c r="F1417" s="118"/>
    </row>
    <row r="1418" spans="2:6" x14ac:dyDescent="0.2">
      <c r="B1418" s="116" t="s">
        <v>2454</v>
      </c>
      <c r="C1418" s="117" t="s">
        <v>2455</v>
      </c>
      <c r="D1418" s="118">
        <v>1.75</v>
      </c>
      <c r="E1418" s="118">
        <v>1.6</v>
      </c>
      <c r="F1418" s="118">
        <v>17.059999999999999</v>
      </c>
    </row>
    <row r="1419" spans="2:6" x14ac:dyDescent="0.2">
      <c r="B1419" s="116" t="s">
        <v>2456</v>
      </c>
      <c r="C1419" s="117" t="s">
        <v>2457</v>
      </c>
      <c r="D1419" s="118">
        <v>2.77</v>
      </c>
      <c r="E1419" s="118">
        <v>0.88</v>
      </c>
      <c r="F1419" s="118">
        <v>10.72</v>
      </c>
    </row>
    <row r="1420" spans="2:6" x14ac:dyDescent="0.2">
      <c r="B1420" s="116" t="s">
        <v>2458</v>
      </c>
      <c r="C1420" s="117" t="s">
        <v>2459</v>
      </c>
      <c r="D1420" s="118">
        <v>0.46</v>
      </c>
      <c r="E1420" s="118">
        <v>1.45</v>
      </c>
      <c r="F1420" s="118">
        <v>21.81</v>
      </c>
    </row>
    <row r="1421" spans="2:6" x14ac:dyDescent="0.2">
      <c r="B1421" s="116" t="s">
        <v>2460</v>
      </c>
      <c r="C1421" s="117" t="s">
        <v>2461</v>
      </c>
      <c r="D1421" s="118">
        <v>4.01</v>
      </c>
      <c r="E1421" s="118">
        <v>1.45</v>
      </c>
      <c r="F1421" s="118">
        <v>0.56000000000000005</v>
      </c>
    </row>
    <row r="1422" spans="2:6" x14ac:dyDescent="0.2">
      <c r="B1422" s="116" t="s">
        <v>2462</v>
      </c>
      <c r="C1422" s="117" t="s">
        <v>2463</v>
      </c>
      <c r="D1422" s="118">
        <v>7.24</v>
      </c>
      <c r="E1422" s="118">
        <v>5.74</v>
      </c>
      <c r="F1422" s="118">
        <v>24.65</v>
      </c>
    </row>
    <row r="1423" spans="2:6" x14ac:dyDescent="0.2">
      <c r="B1423" s="116" t="s">
        <v>2464</v>
      </c>
      <c r="C1423" s="117" t="s">
        <v>2465</v>
      </c>
      <c r="D1423" s="118">
        <v>3.18</v>
      </c>
      <c r="E1423" s="118">
        <v>0.9</v>
      </c>
      <c r="F1423" s="118">
        <v>9.83</v>
      </c>
    </row>
    <row r="1424" spans="2:6" x14ac:dyDescent="0.2">
      <c r="B1424" s="116" t="s">
        <v>2466</v>
      </c>
      <c r="C1424" s="117" t="s">
        <v>2467</v>
      </c>
      <c r="D1424" s="118">
        <v>0.17</v>
      </c>
      <c r="E1424" s="118">
        <v>1.41</v>
      </c>
      <c r="F1424" s="118">
        <v>16.559999999999999</v>
      </c>
    </row>
    <row r="1425" spans="2:6" x14ac:dyDescent="0.2">
      <c r="B1425" s="116" t="s">
        <v>2468</v>
      </c>
      <c r="C1425" s="117" t="s">
        <v>2469</v>
      </c>
      <c r="D1425" s="118">
        <v>0.11</v>
      </c>
      <c r="E1425" s="118">
        <v>0.25</v>
      </c>
      <c r="F1425" s="118">
        <v>3.71</v>
      </c>
    </row>
    <row r="1426" spans="2:6" x14ac:dyDescent="0.2">
      <c r="B1426" s="116" t="s">
        <v>2470</v>
      </c>
      <c r="C1426" s="117" t="s">
        <v>2471</v>
      </c>
      <c r="D1426" s="118">
        <v>11.9</v>
      </c>
      <c r="E1426" s="118">
        <v>8.4499999999999993</v>
      </c>
      <c r="F1426" s="118">
        <v>18.82</v>
      </c>
    </row>
    <row r="1427" spans="2:6" x14ac:dyDescent="0.2">
      <c r="B1427" s="116" t="s">
        <v>2472</v>
      </c>
      <c r="C1427" s="117" t="s">
        <v>2473</v>
      </c>
      <c r="D1427" s="118">
        <v>6.97</v>
      </c>
      <c r="E1427" s="118">
        <v>12.73</v>
      </c>
      <c r="F1427" s="118">
        <v>4.82</v>
      </c>
    </row>
    <row r="1428" spans="2:6" x14ac:dyDescent="0.2">
      <c r="B1428" s="116" t="s">
        <v>2474</v>
      </c>
      <c r="C1428" s="117" t="s">
        <v>2475</v>
      </c>
      <c r="D1428" s="118">
        <v>19.32</v>
      </c>
      <c r="E1428" s="118">
        <v>29.02</v>
      </c>
      <c r="F1428" s="118">
        <v>38.25</v>
      </c>
    </row>
    <row r="1429" spans="2:6" x14ac:dyDescent="0.2">
      <c r="B1429" s="116" t="s">
        <v>2476</v>
      </c>
      <c r="C1429" s="117" t="s">
        <v>2477</v>
      </c>
      <c r="D1429" s="118">
        <v>7.84</v>
      </c>
      <c r="E1429" s="118">
        <v>11.31</v>
      </c>
      <c r="F1429" s="118">
        <v>40.99</v>
      </c>
    </row>
    <row r="1430" spans="2:6" x14ac:dyDescent="0.2">
      <c r="B1430" s="116" t="s">
        <v>2478</v>
      </c>
      <c r="C1430" s="117" t="s">
        <v>2479</v>
      </c>
      <c r="D1430" s="118">
        <v>5.59</v>
      </c>
      <c r="E1430" s="118">
        <v>1.18</v>
      </c>
      <c r="F1430" s="118">
        <v>8.1199999999999992</v>
      </c>
    </row>
    <row r="1431" spans="2:6" x14ac:dyDescent="0.2">
      <c r="B1431" s="116" t="s">
        <v>2480</v>
      </c>
      <c r="C1431" s="117" t="s">
        <v>2481</v>
      </c>
      <c r="D1431" s="118">
        <v>3.36</v>
      </c>
      <c r="E1431" s="118">
        <v>2.08</v>
      </c>
      <c r="F1431" s="118">
        <v>13.92</v>
      </c>
    </row>
    <row r="1432" spans="2:6" x14ac:dyDescent="0.2">
      <c r="B1432" s="116" t="s">
        <v>2482</v>
      </c>
      <c r="C1432" s="117" t="s">
        <v>2483</v>
      </c>
      <c r="D1432" s="118">
        <v>3</v>
      </c>
      <c r="E1432" s="118">
        <v>0.93</v>
      </c>
      <c r="F1432" s="118">
        <v>8.2100000000000009</v>
      </c>
    </row>
    <row r="1433" spans="2:6" x14ac:dyDescent="0.2">
      <c r="B1433" s="116" t="s">
        <v>2484</v>
      </c>
      <c r="C1433" s="117" t="s">
        <v>2485</v>
      </c>
      <c r="D1433" s="118">
        <v>1.07</v>
      </c>
      <c r="E1433" s="118">
        <v>1.17</v>
      </c>
      <c r="F1433" s="118">
        <v>12.74</v>
      </c>
    </row>
    <row r="1434" spans="2:6" x14ac:dyDescent="0.2">
      <c r="B1434" s="116" t="s">
        <v>2484</v>
      </c>
      <c r="C1434" s="117" t="s">
        <v>4180</v>
      </c>
      <c r="D1434" s="118">
        <v>0.95</v>
      </c>
      <c r="E1434" s="118">
        <v>1.05</v>
      </c>
      <c r="F1434" s="118">
        <v>12.74</v>
      </c>
    </row>
    <row r="1435" spans="2:6" x14ac:dyDescent="0.2">
      <c r="B1435" s="116" t="s">
        <v>4181</v>
      </c>
      <c r="C1435" s="117" t="s">
        <v>4182</v>
      </c>
      <c r="D1435" s="118">
        <v>0.72</v>
      </c>
      <c r="E1435" s="118"/>
      <c r="F1435" s="118"/>
    </row>
    <row r="1436" spans="2:6" x14ac:dyDescent="0.2">
      <c r="B1436" s="116" t="s">
        <v>2486</v>
      </c>
      <c r="C1436" s="117" t="s">
        <v>2487</v>
      </c>
      <c r="D1436" s="118">
        <v>0.97</v>
      </c>
      <c r="E1436" s="118">
        <v>2.5299999999999998</v>
      </c>
      <c r="F1436" s="118">
        <v>25.99</v>
      </c>
    </row>
    <row r="1437" spans="2:6" x14ac:dyDescent="0.2">
      <c r="B1437" s="116" t="s">
        <v>4183</v>
      </c>
      <c r="C1437" s="117" t="s">
        <v>4184</v>
      </c>
      <c r="D1437" s="118"/>
      <c r="E1437" s="118">
        <v>1.74</v>
      </c>
      <c r="F1437" s="118"/>
    </row>
    <row r="1438" spans="2:6" x14ac:dyDescent="0.2">
      <c r="B1438" s="116" t="s">
        <v>2488</v>
      </c>
      <c r="C1438" s="117" t="s">
        <v>2489</v>
      </c>
      <c r="D1438" s="118">
        <v>0.37</v>
      </c>
      <c r="E1438" s="118">
        <v>0.57999999999999996</v>
      </c>
      <c r="F1438" s="118">
        <v>15.16</v>
      </c>
    </row>
    <row r="1439" spans="2:6" x14ac:dyDescent="0.2">
      <c r="B1439" s="116" t="s">
        <v>2490</v>
      </c>
      <c r="C1439" s="117" t="s">
        <v>2491</v>
      </c>
      <c r="D1439" s="118">
        <v>0.28999999999999998</v>
      </c>
      <c r="E1439" s="118">
        <v>1.1599999999999999</v>
      </c>
      <c r="F1439" s="118">
        <v>13.68</v>
      </c>
    </row>
    <row r="1440" spans="2:6" x14ac:dyDescent="0.2">
      <c r="B1440" s="116" t="s">
        <v>2492</v>
      </c>
      <c r="C1440" s="117" t="s">
        <v>2493</v>
      </c>
      <c r="D1440" s="118">
        <v>11.28</v>
      </c>
      <c r="E1440" s="118">
        <v>17</v>
      </c>
      <c r="F1440" s="118">
        <v>18.190000000000001</v>
      </c>
    </row>
    <row r="1441" spans="2:6" x14ac:dyDescent="0.2">
      <c r="B1441" s="116" t="s">
        <v>4183</v>
      </c>
      <c r="C1441" s="117" t="s">
        <v>4185</v>
      </c>
      <c r="D1441" s="118"/>
      <c r="E1441" s="118"/>
      <c r="F1441" s="118"/>
    </row>
    <row r="1442" spans="2:6" x14ac:dyDescent="0.2">
      <c r="B1442" s="116" t="s">
        <v>4186</v>
      </c>
      <c r="C1442" s="117" t="s">
        <v>4187</v>
      </c>
      <c r="D1442" s="118"/>
      <c r="E1442" s="118"/>
      <c r="F1442" s="118"/>
    </row>
    <row r="1443" spans="2:6" x14ac:dyDescent="0.2">
      <c r="B1443" s="116" t="s">
        <v>2494</v>
      </c>
      <c r="C1443" s="117" t="s">
        <v>2495</v>
      </c>
      <c r="D1443" s="118">
        <v>12.44</v>
      </c>
      <c r="E1443" s="118">
        <v>10.32</v>
      </c>
      <c r="F1443" s="118">
        <v>-28.55</v>
      </c>
    </row>
    <row r="1444" spans="2:6" x14ac:dyDescent="0.2">
      <c r="B1444" s="116" t="s">
        <v>2496</v>
      </c>
      <c r="C1444" s="117" t="s">
        <v>2497</v>
      </c>
      <c r="D1444" s="118"/>
      <c r="E1444" s="118"/>
      <c r="F1444" s="118"/>
    </row>
    <row r="1445" spans="2:6" x14ac:dyDescent="0.2">
      <c r="B1445" s="116" t="s">
        <v>4188</v>
      </c>
      <c r="C1445" s="117" t="s">
        <v>4189</v>
      </c>
      <c r="D1445" s="118"/>
      <c r="E1445" s="118">
        <v>1.43</v>
      </c>
      <c r="F1445" s="118"/>
    </row>
    <row r="1446" spans="2:6" x14ac:dyDescent="0.2">
      <c r="B1446" s="116" t="s">
        <v>2498</v>
      </c>
      <c r="C1446" s="117" t="s">
        <v>2499</v>
      </c>
      <c r="D1446" s="118">
        <v>3.1</v>
      </c>
      <c r="E1446" s="118">
        <v>0.91</v>
      </c>
      <c r="F1446" s="118">
        <v>5.72</v>
      </c>
    </row>
    <row r="1447" spans="2:6" x14ac:dyDescent="0.2">
      <c r="B1447" s="116" t="s">
        <v>2500</v>
      </c>
      <c r="C1447" s="117" t="s">
        <v>2501</v>
      </c>
      <c r="D1447" s="118">
        <v>2.93</v>
      </c>
      <c r="E1447" s="118">
        <v>0.99</v>
      </c>
      <c r="F1447" s="118">
        <v>-0.1</v>
      </c>
    </row>
    <row r="1448" spans="2:6" x14ac:dyDescent="0.2">
      <c r="B1448" s="116" t="s">
        <v>2502</v>
      </c>
      <c r="C1448" s="117" t="s">
        <v>2503</v>
      </c>
      <c r="D1448" s="118">
        <v>3.08</v>
      </c>
      <c r="E1448" s="118">
        <v>2.12</v>
      </c>
      <c r="F1448" s="118">
        <v>11.02</v>
      </c>
    </row>
    <row r="1449" spans="2:6" x14ac:dyDescent="0.2">
      <c r="B1449" s="116" t="s">
        <v>2504</v>
      </c>
      <c r="C1449" s="117" t="s">
        <v>2505</v>
      </c>
      <c r="D1449" s="118">
        <v>6.45</v>
      </c>
      <c r="E1449" s="118">
        <v>10.16</v>
      </c>
      <c r="F1449" s="118">
        <v>-9.39</v>
      </c>
    </row>
    <row r="1450" spans="2:6" x14ac:dyDescent="0.2">
      <c r="B1450" s="116" t="s">
        <v>2506</v>
      </c>
      <c r="C1450" s="117" t="s">
        <v>2507</v>
      </c>
      <c r="D1450" s="118">
        <v>10.39</v>
      </c>
      <c r="E1450" s="118">
        <v>11.33</v>
      </c>
      <c r="F1450" s="118">
        <v>6.8</v>
      </c>
    </row>
    <row r="1451" spans="2:6" x14ac:dyDescent="0.2">
      <c r="B1451" s="116" t="s">
        <v>2508</v>
      </c>
      <c r="C1451" s="117" t="s">
        <v>2509</v>
      </c>
      <c r="D1451" s="118">
        <v>2.88</v>
      </c>
      <c r="E1451" s="118">
        <v>13.42</v>
      </c>
      <c r="F1451" s="118">
        <v>59.5</v>
      </c>
    </row>
    <row r="1452" spans="2:6" x14ac:dyDescent="0.2">
      <c r="B1452" s="116" t="s">
        <v>2510</v>
      </c>
      <c r="C1452" s="117" t="s">
        <v>2511</v>
      </c>
      <c r="D1452" s="118">
        <v>3.78</v>
      </c>
      <c r="E1452" s="118">
        <v>3.41</v>
      </c>
      <c r="F1452" s="118">
        <v>28.1</v>
      </c>
    </row>
    <row r="1453" spans="2:6" x14ac:dyDescent="0.2">
      <c r="B1453" s="116" t="s">
        <v>4190</v>
      </c>
      <c r="C1453" s="117" t="s">
        <v>4191</v>
      </c>
      <c r="D1453" s="118"/>
      <c r="E1453" s="118"/>
      <c r="F1453" s="118"/>
    </row>
    <row r="1454" spans="2:6" x14ac:dyDescent="0.2">
      <c r="B1454" s="116" t="s">
        <v>2512</v>
      </c>
      <c r="C1454" s="117" t="s">
        <v>2513</v>
      </c>
      <c r="D1454" s="118">
        <v>1</v>
      </c>
      <c r="E1454" s="118">
        <v>1.1200000000000001</v>
      </c>
      <c r="F1454" s="118">
        <v>12.98</v>
      </c>
    </row>
    <row r="1455" spans="2:6" x14ac:dyDescent="0.2">
      <c r="B1455" s="116" t="s">
        <v>2514</v>
      </c>
      <c r="C1455" s="117" t="s">
        <v>2515</v>
      </c>
      <c r="D1455" s="118">
        <v>0.25</v>
      </c>
      <c r="E1455" s="118">
        <v>3.73</v>
      </c>
      <c r="F1455" s="118">
        <v>15.86</v>
      </c>
    </row>
    <row r="1456" spans="2:6" x14ac:dyDescent="0.2">
      <c r="B1456" s="116" t="s">
        <v>2516</v>
      </c>
      <c r="C1456" s="117" t="s">
        <v>2517</v>
      </c>
      <c r="D1456" s="118">
        <v>8.94</v>
      </c>
      <c r="E1456" s="118">
        <v>13.61</v>
      </c>
      <c r="F1456" s="118">
        <v>-11.24</v>
      </c>
    </row>
    <row r="1457" spans="2:6" x14ac:dyDescent="0.2">
      <c r="B1457" s="116" t="s">
        <v>2518</v>
      </c>
      <c r="C1457" s="117" t="s">
        <v>2519</v>
      </c>
      <c r="D1457" s="118">
        <v>4.5199999999999996</v>
      </c>
      <c r="E1457" s="118">
        <v>6.57</v>
      </c>
      <c r="F1457" s="118">
        <v>23.03</v>
      </c>
    </row>
    <row r="1458" spans="2:6" x14ac:dyDescent="0.2">
      <c r="B1458" s="116" t="s">
        <v>4192</v>
      </c>
      <c r="C1458" s="117" t="s">
        <v>4193</v>
      </c>
      <c r="D1458" s="118"/>
      <c r="E1458" s="118"/>
      <c r="F1458" s="118"/>
    </row>
    <row r="1459" spans="2:6" x14ac:dyDescent="0.2">
      <c r="B1459" s="116" t="s">
        <v>2520</v>
      </c>
      <c r="C1459" s="117" t="s">
        <v>2521</v>
      </c>
      <c r="D1459" s="118">
        <v>1.26</v>
      </c>
      <c r="E1459" s="118">
        <v>3.46</v>
      </c>
      <c r="F1459" s="118">
        <v>28.12</v>
      </c>
    </row>
    <row r="1460" spans="2:6" x14ac:dyDescent="0.2">
      <c r="B1460" s="116" t="s">
        <v>2522</v>
      </c>
      <c r="C1460" s="117" t="s">
        <v>2523</v>
      </c>
      <c r="D1460" s="118">
        <v>4.01</v>
      </c>
      <c r="E1460" s="118">
        <v>0.64</v>
      </c>
      <c r="F1460" s="118">
        <v>1.06</v>
      </c>
    </row>
    <row r="1461" spans="2:6" x14ac:dyDescent="0.2">
      <c r="B1461" s="116" t="s">
        <v>4194</v>
      </c>
      <c r="C1461" s="117" t="s">
        <v>4195</v>
      </c>
      <c r="D1461" s="118"/>
      <c r="E1461" s="118"/>
      <c r="F1461" s="118"/>
    </row>
    <row r="1462" spans="2:6" x14ac:dyDescent="0.2">
      <c r="B1462" s="116" t="s">
        <v>2524</v>
      </c>
      <c r="C1462" s="117" t="s">
        <v>2525</v>
      </c>
      <c r="D1462" s="118">
        <v>1.59</v>
      </c>
      <c r="E1462" s="118">
        <v>3.81</v>
      </c>
      <c r="F1462" s="118">
        <v>26.11</v>
      </c>
    </row>
    <row r="1463" spans="2:6" x14ac:dyDescent="0.2">
      <c r="B1463" s="116" t="s">
        <v>2526</v>
      </c>
      <c r="C1463" s="117" t="s">
        <v>2527</v>
      </c>
      <c r="D1463" s="118">
        <v>2.0299999999999998</v>
      </c>
      <c r="E1463" s="118">
        <v>3.31</v>
      </c>
      <c r="F1463" s="118">
        <v>13.79</v>
      </c>
    </row>
    <row r="1464" spans="2:6" x14ac:dyDescent="0.2">
      <c r="B1464" s="116" t="s">
        <v>2528</v>
      </c>
      <c r="C1464" s="117" t="s">
        <v>2529</v>
      </c>
      <c r="D1464" s="118">
        <v>1.5</v>
      </c>
      <c r="E1464" s="118">
        <v>2.09</v>
      </c>
      <c r="F1464" s="118">
        <v>22.02</v>
      </c>
    </row>
    <row r="1465" spans="2:6" x14ac:dyDescent="0.2">
      <c r="B1465" s="116" t="s">
        <v>2530</v>
      </c>
      <c r="C1465" s="117" t="s">
        <v>2531</v>
      </c>
      <c r="D1465" s="118">
        <v>0.97</v>
      </c>
      <c r="E1465" s="118">
        <v>1.93</v>
      </c>
      <c r="F1465" s="118">
        <v>20.68</v>
      </c>
    </row>
    <row r="1466" spans="2:6" x14ac:dyDescent="0.2">
      <c r="B1466" s="116" t="s">
        <v>2532</v>
      </c>
      <c r="C1466" s="117" t="s">
        <v>2533</v>
      </c>
      <c r="D1466" s="118">
        <v>0.82</v>
      </c>
      <c r="E1466" s="118">
        <v>5.66</v>
      </c>
      <c r="F1466" s="118">
        <v>45.12</v>
      </c>
    </row>
    <row r="1467" spans="2:6" x14ac:dyDescent="0.2">
      <c r="B1467" s="116" t="s">
        <v>2534</v>
      </c>
      <c r="C1467" s="117" t="s">
        <v>2535</v>
      </c>
      <c r="D1467" s="118">
        <v>2.93</v>
      </c>
      <c r="E1467" s="118"/>
      <c r="F1467" s="118">
        <v>-29.71</v>
      </c>
    </row>
    <row r="1468" spans="2:6" x14ac:dyDescent="0.2">
      <c r="B1468" s="116" t="s">
        <v>4196</v>
      </c>
      <c r="C1468" s="117" t="s">
        <v>4197</v>
      </c>
      <c r="D1468" s="118"/>
      <c r="E1468" s="118">
        <v>7.91</v>
      </c>
      <c r="F1468" s="118"/>
    </row>
    <row r="1469" spans="2:6" x14ac:dyDescent="0.2">
      <c r="B1469" s="116" t="s">
        <v>4198</v>
      </c>
      <c r="C1469" s="117" t="s">
        <v>4199</v>
      </c>
      <c r="D1469" s="118">
        <v>1.94</v>
      </c>
      <c r="E1469" s="118">
        <v>0.94</v>
      </c>
      <c r="F1469" s="118">
        <v>5.0599999999999996</v>
      </c>
    </row>
    <row r="1470" spans="2:6" x14ac:dyDescent="0.2">
      <c r="B1470" s="116" t="s">
        <v>2536</v>
      </c>
      <c r="C1470" s="117" t="s">
        <v>2537</v>
      </c>
      <c r="D1470" s="118">
        <v>1.38</v>
      </c>
      <c r="E1470" s="118">
        <v>3.33</v>
      </c>
      <c r="F1470" s="118">
        <v>29.23</v>
      </c>
    </row>
    <row r="1471" spans="2:6" x14ac:dyDescent="0.2">
      <c r="B1471" s="116" t="s">
        <v>2538</v>
      </c>
      <c r="C1471" s="117" t="s">
        <v>2539</v>
      </c>
      <c r="D1471" s="118">
        <v>3.43</v>
      </c>
      <c r="E1471" s="118">
        <v>3.55</v>
      </c>
      <c r="F1471" s="118">
        <v>16.07</v>
      </c>
    </row>
    <row r="1472" spans="2:6" x14ac:dyDescent="0.2">
      <c r="B1472" s="116" t="s">
        <v>4200</v>
      </c>
      <c r="C1472" s="117" t="s">
        <v>4201</v>
      </c>
      <c r="D1472" s="118">
        <v>0.28999999999999998</v>
      </c>
      <c r="E1472" s="118">
        <v>0.39</v>
      </c>
      <c r="F1472" s="118">
        <v>3.06</v>
      </c>
    </row>
    <row r="1473" spans="2:6" x14ac:dyDescent="0.2">
      <c r="B1473" s="116" t="s">
        <v>2540</v>
      </c>
      <c r="C1473" s="117" t="s">
        <v>2541</v>
      </c>
      <c r="D1473" s="118">
        <v>23.96</v>
      </c>
      <c r="E1473" s="118">
        <v>22.98</v>
      </c>
      <c r="F1473" s="118">
        <v>-46.52</v>
      </c>
    </row>
    <row r="1474" spans="2:6" x14ac:dyDescent="0.2">
      <c r="B1474" s="116" t="s">
        <v>2542</v>
      </c>
      <c r="C1474" s="117" t="s">
        <v>2543</v>
      </c>
      <c r="D1474" s="118">
        <v>17.440000000000001</v>
      </c>
      <c r="E1474" s="118">
        <v>2.0699999999999998</v>
      </c>
      <c r="F1474" s="118">
        <v>6.55</v>
      </c>
    </row>
    <row r="1475" spans="2:6" x14ac:dyDescent="0.2">
      <c r="B1475" s="116" t="s">
        <v>2544</v>
      </c>
      <c r="C1475" s="117" t="s">
        <v>2545</v>
      </c>
      <c r="D1475" s="118">
        <v>8.7100000000000009</v>
      </c>
      <c r="E1475" s="118"/>
      <c r="F1475" s="118">
        <v>-46.45</v>
      </c>
    </row>
    <row r="1476" spans="2:6" x14ac:dyDescent="0.2">
      <c r="B1476" s="116" t="s">
        <v>4202</v>
      </c>
      <c r="C1476" s="117" t="s">
        <v>4203</v>
      </c>
      <c r="D1476" s="118">
        <v>0.82</v>
      </c>
      <c r="E1476" s="118">
        <v>8.51</v>
      </c>
      <c r="F1476" s="118">
        <v>12.71</v>
      </c>
    </row>
    <row r="1477" spans="2:6" x14ac:dyDescent="0.2">
      <c r="B1477" s="116" t="s">
        <v>2546</v>
      </c>
      <c r="C1477" s="117" t="s">
        <v>2547</v>
      </c>
      <c r="D1477" s="118">
        <v>1.42</v>
      </c>
      <c r="E1477" s="118"/>
      <c r="F1477" s="118">
        <v>-80.959999999999994</v>
      </c>
    </row>
    <row r="1478" spans="2:6" x14ac:dyDescent="0.2">
      <c r="B1478" s="116" t="s">
        <v>2548</v>
      </c>
      <c r="C1478" s="117" t="s">
        <v>2549</v>
      </c>
      <c r="D1478" s="118">
        <v>2.99</v>
      </c>
      <c r="E1478" s="118">
        <v>1.27</v>
      </c>
      <c r="F1478" s="118">
        <v>11.1</v>
      </c>
    </row>
    <row r="1479" spans="2:6" x14ac:dyDescent="0.2">
      <c r="B1479" s="116" t="s">
        <v>2550</v>
      </c>
      <c r="C1479" s="117" t="s">
        <v>2551</v>
      </c>
      <c r="D1479" s="118">
        <v>3.4</v>
      </c>
      <c r="E1479" s="118">
        <v>1.03</v>
      </c>
      <c r="F1479" s="118">
        <v>9.82</v>
      </c>
    </row>
    <row r="1480" spans="2:6" x14ac:dyDescent="0.2">
      <c r="B1480" s="116" t="s">
        <v>4204</v>
      </c>
      <c r="C1480" s="117" t="s">
        <v>4205</v>
      </c>
      <c r="D1480" s="118">
        <v>1.25</v>
      </c>
      <c r="E1480" s="118">
        <v>1.96</v>
      </c>
      <c r="F1480" s="118">
        <v>19.22</v>
      </c>
    </row>
    <row r="1481" spans="2:6" x14ac:dyDescent="0.2">
      <c r="B1481" s="116" t="s">
        <v>2552</v>
      </c>
      <c r="C1481" s="117" t="s">
        <v>2553</v>
      </c>
      <c r="D1481" s="118">
        <v>2.83</v>
      </c>
      <c r="E1481" s="118">
        <v>2.4500000000000002</v>
      </c>
      <c r="F1481" s="118">
        <v>8.08</v>
      </c>
    </row>
    <row r="1482" spans="2:6" x14ac:dyDescent="0.2">
      <c r="B1482" s="116" t="s">
        <v>2554</v>
      </c>
      <c r="C1482" s="117" t="s">
        <v>2555</v>
      </c>
      <c r="D1482" s="118">
        <v>2.09</v>
      </c>
      <c r="E1482" s="118">
        <v>3.41</v>
      </c>
      <c r="F1482" s="118">
        <v>21.15</v>
      </c>
    </row>
    <row r="1483" spans="2:6" x14ac:dyDescent="0.2">
      <c r="B1483" s="116" t="s">
        <v>2556</v>
      </c>
      <c r="C1483" s="117" t="s">
        <v>2557</v>
      </c>
      <c r="D1483" s="118">
        <v>3</v>
      </c>
      <c r="E1483" s="118">
        <v>2.04</v>
      </c>
      <c r="F1483" s="118">
        <v>9.33</v>
      </c>
    </row>
    <row r="1484" spans="2:6" x14ac:dyDescent="0.2">
      <c r="B1484" s="116" t="s">
        <v>2558</v>
      </c>
      <c r="C1484" s="117" t="s">
        <v>2559</v>
      </c>
      <c r="D1484" s="118">
        <v>14.39</v>
      </c>
      <c r="E1484" s="118">
        <v>37.590000000000003</v>
      </c>
      <c r="F1484" s="118">
        <v>7.85</v>
      </c>
    </row>
    <row r="1485" spans="2:6" x14ac:dyDescent="0.2">
      <c r="B1485" s="116" t="s">
        <v>2560</v>
      </c>
      <c r="C1485" s="117" t="s">
        <v>2561</v>
      </c>
      <c r="D1485" s="118">
        <v>2.5499999999999998</v>
      </c>
      <c r="E1485" s="118">
        <v>22.8</v>
      </c>
      <c r="F1485" s="118">
        <v>82.89</v>
      </c>
    </row>
    <row r="1486" spans="2:6" x14ac:dyDescent="0.2">
      <c r="B1486" s="116" t="s">
        <v>2562</v>
      </c>
      <c r="C1486" s="117" t="s">
        <v>2563</v>
      </c>
      <c r="D1486" s="118">
        <v>2.42</v>
      </c>
      <c r="E1486" s="118">
        <v>1.99</v>
      </c>
      <c r="F1486" s="118">
        <v>7.93</v>
      </c>
    </row>
    <row r="1487" spans="2:6" x14ac:dyDescent="0.2">
      <c r="B1487" s="116" t="s">
        <v>2564</v>
      </c>
      <c r="C1487" s="117" t="s">
        <v>2565</v>
      </c>
      <c r="D1487" s="118"/>
      <c r="E1487" s="118"/>
      <c r="F1487" s="118"/>
    </row>
    <row r="1488" spans="2:6" x14ac:dyDescent="0.2">
      <c r="B1488" s="116" t="s">
        <v>2566</v>
      </c>
      <c r="C1488" s="117" t="s">
        <v>2567</v>
      </c>
      <c r="D1488" s="118">
        <v>1.32</v>
      </c>
      <c r="E1488" s="118">
        <v>2.41</v>
      </c>
      <c r="F1488" s="118">
        <v>11.15</v>
      </c>
    </row>
    <row r="1489" spans="2:6" x14ac:dyDescent="0.2">
      <c r="B1489" s="116" t="s">
        <v>2568</v>
      </c>
      <c r="C1489" s="117" t="s">
        <v>2569</v>
      </c>
      <c r="D1489" s="118">
        <v>0.7</v>
      </c>
      <c r="E1489" s="118">
        <v>3.34</v>
      </c>
      <c r="F1489" s="118">
        <v>15.58</v>
      </c>
    </row>
    <row r="1490" spans="2:6" x14ac:dyDescent="0.2">
      <c r="B1490" s="116" t="s">
        <v>4206</v>
      </c>
      <c r="C1490" s="117" t="s">
        <v>4207</v>
      </c>
      <c r="D1490" s="118"/>
      <c r="E1490" s="118"/>
      <c r="F1490" s="118"/>
    </row>
    <row r="1491" spans="2:6" x14ac:dyDescent="0.2">
      <c r="B1491" s="116" t="s">
        <v>2570</v>
      </c>
      <c r="C1491" s="117" t="s">
        <v>2571</v>
      </c>
      <c r="D1491" s="118">
        <v>1.87</v>
      </c>
      <c r="E1491" s="118">
        <v>5.43</v>
      </c>
      <c r="F1491" s="118">
        <v>27.89</v>
      </c>
    </row>
    <row r="1492" spans="2:6" x14ac:dyDescent="0.2">
      <c r="B1492" s="116" t="s">
        <v>2572</v>
      </c>
      <c r="C1492" s="117" t="s">
        <v>2573</v>
      </c>
      <c r="D1492" s="118">
        <v>2.97</v>
      </c>
      <c r="E1492" s="118">
        <v>1.91</v>
      </c>
      <c r="F1492" s="118">
        <v>14.57</v>
      </c>
    </row>
    <row r="1493" spans="2:6" x14ac:dyDescent="0.2">
      <c r="B1493" s="116" t="s">
        <v>2574</v>
      </c>
      <c r="C1493" s="117" t="s">
        <v>2575</v>
      </c>
      <c r="D1493" s="118"/>
      <c r="E1493" s="118">
        <v>5.44</v>
      </c>
      <c r="F1493" s="118"/>
    </row>
    <row r="1494" spans="2:6" x14ac:dyDescent="0.2">
      <c r="B1494" s="116" t="s">
        <v>2576</v>
      </c>
      <c r="C1494" s="117" t="s">
        <v>2577</v>
      </c>
      <c r="D1494" s="118">
        <v>2.4</v>
      </c>
      <c r="E1494" s="118">
        <v>6.04</v>
      </c>
      <c r="F1494" s="118">
        <v>26.64</v>
      </c>
    </row>
    <row r="1495" spans="2:6" x14ac:dyDescent="0.2">
      <c r="B1495" s="116" t="s">
        <v>2578</v>
      </c>
      <c r="C1495" s="117" t="s">
        <v>2579</v>
      </c>
      <c r="D1495" s="118">
        <v>1.62</v>
      </c>
      <c r="E1495" s="118">
        <v>1.31</v>
      </c>
      <c r="F1495" s="118">
        <v>9.57</v>
      </c>
    </row>
    <row r="1496" spans="2:6" x14ac:dyDescent="0.2">
      <c r="B1496" s="116" t="s">
        <v>2580</v>
      </c>
      <c r="C1496" s="117" t="s">
        <v>2581</v>
      </c>
      <c r="D1496" s="118">
        <v>2.71</v>
      </c>
      <c r="E1496" s="118">
        <v>3.41</v>
      </c>
      <c r="F1496" s="118">
        <v>22.77</v>
      </c>
    </row>
    <row r="1497" spans="2:6" x14ac:dyDescent="0.2">
      <c r="B1497" s="116" t="s">
        <v>2582</v>
      </c>
      <c r="C1497" s="117" t="s">
        <v>2583</v>
      </c>
      <c r="D1497" s="118">
        <v>0.98</v>
      </c>
      <c r="E1497" s="118">
        <v>1.99</v>
      </c>
      <c r="F1497" s="118">
        <v>14.4</v>
      </c>
    </row>
    <row r="1498" spans="2:6" x14ac:dyDescent="0.2">
      <c r="B1498" s="116" t="s">
        <v>2584</v>
      </c>
      <c r="C1498" s="117" t="s">
        <v>2585</v>
      </c>
      <c r="D1498" s="118">
        <v>0.6</v>
      </c>
      <c r="E1498" s="118">
        <v>0.57999999999999996</v>
      </c>
      <c r="F1498" s="118">
        <v>9.24</v>
      </c>
    </row>
    <row r="1499" spans="2:6" x14ac:dyDescent="0.2">
      <c r="B1499" s="116" t="s">
        <v>2586</v>
      </c>
      <c r="C1499" s="117" t="s">
        <v>2587</v>
      </c>
      <c r="D1499" s="118">
        <v>15.46</v>
      </c>
      <c r="E1499" s="118">
        <v>8.5399999999999991</v>
      </c>
      <c r="F1499" s="118">
        <v>33.78</v>
      </c>
    </row>
    <row r="1500" spans="2:6" x14ac:dyDescent="0.2">
      <c r="B1500" s="116" t="s">
        <v>2588</v>
      </c>
      <c r="C1500" s="117" t="s">
        <v>2589</v>
      </c>
      <c r="D1500" s="118">
        <v>11.68</v>
      </c>
      <c r="E1500" s="118">
        <v>4.8600000000000003</v>
      </c>
      <c r="F1500" s="118">
        <v>14.84</v>
      </c>
    </row>
    <row r="1501" spans="2:6" x14ac:dyDescent="0.2">
      <c r="B1501" s="116" t="s">
        <v>4208</v>
      </c>
      <c r="C1501" s="117" t="s">
        <v>4209</v>
      </c>
      <c r="D1501" s="118"/>
      <c r="E1501" s="118"/>
      <c r="F1501" s="118"/>
    </row>
    <row r="1502" spans="2:6" x14ac:dyDescent="0.2">
      <c r="B1502" s="116" t="s">
        <v>4210</v>
      </c>
      <c r="C1502" s="117" t="s">
        <v>4211</v>
      </c>
      <c r="D1502" s="118"/>
      <c r="E1502" s="118">
        <v>1.95</v>
      </c>
      <c r="F1502" s="118"/>
    </row>
    <row r="1503" spans="2:6" x14ac:dyDescent="0.2">
      <c r="B1503" s="116" t="s">
        <v>4212</v>
      </c>
      <c r="C1503" s="117" t="s">
        <v>4213</v>
      </c>
      <c r="D1503" s="118"/>
      <c r="E1503" s="118"/>
      <c r="F1503" s="118"/>
    </row>
    <row r="1504" spans="2:6" x14ac:dyDescent="0.2">
      <c r="B1504" s="116" t="s">
        <v>4214</v>
      </c>
      <c r="C1504" s="117" t="s">
        <v>4215</v>
      </c>
      <c r="D1504" s="118"/>
      <c r="E1504" s="118">
        <v>1.49</v>
      </c>
      <c r="F1504" s="118"/>
    </row>
    <row r="1505" spans="2:6" x14ac:dyDescent="0.2">
      <c r="B1505" s="116" t="s">
        <v>2590</v>
      </c>
      <c r="C1505" s="117" t="s">
        <v>2591</v>
      </c>
      <c r="D1505" s="118">
        <v>2.93</v>
      </c>
      <c r="E1505" s="118">
        <v>6.04</v>
      </c>
      <c r="F1505" s="118">
        <v>-25.22</v>
      </c>
    </row>
    <row r="1506" spans="2:6" x14ac:dyDescent="0.2">
      <c r="B1506" s="116" t="s">
        <v>2592</v>
      </c>
      <c r="C1506" s="117" t="s">
        <v>2593</v>
      </c>
      <c r="D1506" s="118">
        <v>0.41</v>
      </c>
      <c r="E1506" s="118">
        <v>1.7</v>
      </c>
      <c r="F1506" s="118">
        <v>19.75</v>
      </c>
    </row>
    <row r="1507" spans="2:6" x14ac:dyDescent="0.2">
      <c r="B1507" s="116" t="s">
        <v>2594</v>
      </c>
      <c r="C1507" s="117" t="s">
        <v>2595</v>
      </c>
      <c r="D1507" s="118">
        <v>4.55</v>
      </c>
      <c r="E1507" s="118">
        <v>3.89</v>
      </c>
      <c r="F1507" s="118">
        <v>48.7</v>
      </c>
    </row>
    <row r="1508" spans="2:6" x14ac:dyDescent="0.2">
      <c r="B1508" s="116" t="s">
        <v>2597</v>
      </c>
      <c r="C1508" s="117" t="s">
        <v>2598</v>
      </c>
      <c r="D1508" s="118">
        <v>6.07</v>
      </c>
      <c r="E1508" s="118">
        <v>6.41</v>
      </c>
      <c r="F1508" s="118">
        <v>10.44</v>
      </c>
    </row>
    <row r="1509" spans="2:6" x14ac:dyDescent="0.2">
      <c r="B1509" s="116" t="s">
        <v>2599</v>
      </c>
      <c r="C1509" s="117" t="s">
        <v>2600</v>
      </c>
      <c r="D1509" s="118">
        <v>0.27</v>
      </c>
      <c r="E1509" s="118">
        <v>0.46</v>
      </c>
      <c r="F1509" s="118">
        <v>3.77</v>
      </c>
    </row>
    <row r="1510" spans="2:6" x14ac:dyDescent="0.2">
      <c r="B1510" s="116" t="s">
        <v>2601</v>
      </c>
      <c r="C1510" s="117" t="s">
        <v>2602</v>
      </c>
      <c r="D1510" s="118"/>
      <c r="E1510" s="118">
        <v>1.45</v>
      </c>
      <c r="F1510" s="118"/>
    </row>
    <row r="1511" spans="2:6" x14ac:dyDescent="0.2">
      <c r="B1511" s="116" t="s">
        <v>2603</v>
      </c>
      <c r="C1511" s="117" t="s">
        <v>2604</v>
      </c>
      <c r="D1511" s="118"/>
      <c r="E1511" s="118">
        <v>1.02</v>
      </c>
      <c r="F1511" s="118"/>
    </row>
    <row r="1512" spans="2:6" x14ac:dyDescent="0.2">
      <c r="B1512" s="116" t="s">
        <v>2605</v>
      </c>
      <c r="C1512" s="117" t="s">
        <v>2606</v>
      </c>
      <c r="D1512" s="118"/>
      <c r="E1512" s="118">
        <v>1.86</v>
      </c>
      <c r="F1512" s="118"/>
    </row>
    <row r="1513" spans="2:6" x14ac:dyDescent="0.2">
      <c r="B1513" s="116" t="s">
        <v>2607</v>
      </c>
      <c r="C1513" s="117" t="s">
        <v>2608</v>
      </c>
      <c r="D1513" s="118">
        <v>0.66</v>
      </c>
      <c r="E1513" s="118">
        <v>1.0900000000000001</v>
      </c>
      <c r="F1513" s="118">
        <v>12.64</v>
      </c>
    </row>
    <row r="1514" spans="2:6" x14ac:dyDescent="0.2">
      <c r="B1514" s="116" t="s">
        <v>2609</v>
      </c>
      <c r="C1514" s="117" t="s">
        <v>2610</v>
      </c>
      <c r="D1514" s="118">
        <v>5.71</v>
      </c>
      <c r="E1514" s="118">
        <v>3.09</v>
      </c>
      <c r="F1514" s="118">
        <v>-9.92</v>
      </c>
    </row>
    <row r="1515" spans="2:6" x14ac:dyDescent="0.2">
      <c r="B1515" s="116" t="s">
        <v>2611</v>
      </c>
      <c r="C1515" s="117" t="s">
        <v>2612</v>
      </c>
      <c r="D1515" s="118">
        <v>0.46</v>
      </c>
      <c r="E1515" s="118">
        <v>1.42</v>
      </c>
      <c r="F1515" s="118">
        <v>11.41</v>
      </c>
    </row>
    <row r="1516" spans="2:6" x14ac:dyDescent="0.2">
      <c r="B1516" s="116" t="s">
        <v>2613</v>
      </c>
      <c r="C1516" s="117" t="s">
        <v>2614</v>
      </c>
      <c r="D1516" s="118">
        <v>2.37</v>
      </c>
      <c r="E1516" s="118">
        <v>1.91</v>
      </c>
      <c r="F1516" s="118">
        <v>10.039999999999999</v>
      </c>
    </row>
    <row r="1517" spans="2:6" x14ac:dyDescent="0.2">
      <c r="B1517" s="116" t="s">
        <v>2615</v>
      </c>
      <c r="C1517" s="117" t="s">
        <v>2616</v>
      </c>
      <c r="D1517" s="118">
        <v>7.53</v>
      </c>
      <c r="E1517" s="118">
        <v>7.63</v>
      </c>
      <c r="F1517" s="118">
        <v>17.14</v>
      </c>
    </row>
    <row r="1518" spans="2:6" x14ac:dyDescent="0.2">
      <c r="B1518" s="116" t="s">
        <v>2617</v>
      </c>
      <c r="C1518" s="117" t="s">
        <v>2618</v>
      </c>
      <c r="D1518" s="118">
        <v>3.68</v>
      </c>
      <c r="E1518" s="118">
        <v>17.010000000000002</v>
      </c>
      <c r="F1518" s="118">
        <v>112.21</v>
      </c>
    </row>
    <row r="1519" spans="2:6" x14ac:dyDescent="0.2">
      <c r="B1519" s="116" t="s">
        <v>2619</v>
      </c>
      <c r="C1519" s="117" t="s">
        <v>2620</v>
      </c>
      <c r="D1519" s="118">
        <v>5.0199999999999996</v>
      </c>
      <c r="E1519" s="118">
        <v>2.88</v>
      </c>
      <c r="F1519" s="118">
        <v>12.1</v>
      </c>
    </row>
    <row r="1520" spans="2:6" x14ac:dyDescent="0.2">
      <c r="B1520" s="116" t="s">
        <v>2621</v>
      </c>
      <c r="C1520" s="117" t="s">
        <v>2622</v>
      </c>
      <c r="D1520" s="118">
        <v>10.210000000000001</v>
      </c>
      <c r="E1520" s="118">
        <v>7.99</v>
      </c>
      <c r="F1520" s="118">
        <v>16.53</v>
      </c>
    </row>
    <row r="1521" spans="2:6" x14ac:dyDescent="0.2">
      <c r="B1521" s="116" t="s">
        <v>4216</v>
      </c>
      <c r="C1521" s="117" t="s">
        <v>4217</v>
      </c>
      <c r="D1521" s="118"/>
      <c r="E1521" s="118"/>
      <c r="F1521" s="118"/>
    </row>
    <row r="1522" spans="2:6" x14ac:dyDescent="0.2">
      <c r="B1522" s="116" t="s">
        <v>2623</v>
      </c>
      <c r="C1522" s="117" t="s">
        <v>2624</v>
      </c>
      <c r="D1522" s="118">
        <v>0.32</v>
      </c>
      <c r="E1522" s="118">
        <v>0.79</v>
      </c>
      <c r="F1522" s="118">
        <v>14.15</v>
      </c>
    </row>
    <row r="1523" spans="2:6" x14ac:dyDescent="0.2">
      <c r="B1523" s="116" t="s">
        <v>2623</v>
      </c>
      <c r="C1523" s="117" t="s">
        <v>4218</v>
      </c>
      <c r="D1523" s="118">
        <v>0.33</v>
      </c>
      <c r="E1523" s="118">
        <v>0.81</v>
      </c>
      <c r="F1523" s="118">
        <v>14.15</v>
      </c>
    </row>
    <row r="1524" spans="2:6" x14ac:dyDescent="0.2">
      <c r="B1524" s="116" t="s">
        <v>2625</v>
      </c>
      <c r="C1524" s="117" t="s">
        <v>2626</v>
      </c>
      <c r="D1524" s="118">
        <v>2.82</v>
      </c>
      <c r="E1524" s="118">
        <v>2.06</v>
      </c>
      <c r="F1524" s="118">
        <v>15.77</v>
      </c>
    </row>
    <row r="1525" spans="2:6" x14ac:dyDescent="0.2">
      <c r="B1525" s="116" t="s">
        <v>2628</v>
      </c>
      <c r="C1525" s="117" t="s">
        <v>2629</v>
      </c>
      <c r="D1525" s="118">
        <v>3.43</v>
      </c>
      <c r="E1525" s="118">
        <v>4.7</v>
      </c>
      <c r="F1525" s="118">
        <v>30.53</v>
      </c>
    </row>
    <row r="1526" spans="2:6" x14ac:dyDescent="0.2">
      <c r="B1526" s="116" t="s">
        <v>2630</v>
      </c>
      <c r="C1526" s="117" t="s">
        <v>2631</v>
      </c>
      <c r="D1526" s="118">
        <v>13.78</v>
      </c>
      <c r="E1526" s="118">
        <v>9.17</v>
      </c>
      <c r="F1526" s="118">
        <v>-13.4</v>
      </c>
    </row>
    <row r="1527" spans="2:6" x14ac:dyDescent="0.2">
      <c r="B1527" s="116" t="s">
        <v>2632</v>
      </c>
      <c r="C1527" s="117" t="s">
        <v>2633</v>
      </c>
      <c r="D1527" s="118">
        <v>6.99</v>
      </c>
      <c r="E1527" s="118">
        <v>18.48</v>
      </c>
      <c r="F1527" s="118">
        <v>50.99</v>
      </c>
    </row>
    <row r="1528" spans="2:6" x14ac:dyDescent="0.2">
      <c r="B1528" s="116" t="s">
        <v>4219</v>
      </c>
      <c r="C1528" s="117" t="s">
        <v>4220</v>
      </c>
      <c r="D1528" s="118">
        <v>1.04</v>
      </c>
      <c r="E1528" s="118">
        <v>0.53</v>
      </c>
      <c r="F1528" s="118">
        <v>8.84</v>
      </c>
    </row>
    <row r="1529" spans="2:6" x14ac:dyDescent="0.2">
      <c r="B1529" s="116" t="s">
        <v>2634</v>
      </c>
      <c r="C1529" s="117" t="s">
        <v>2635</v>
      </c>
      <c r="D1529" s="118">
        <v>10.34</v>
      </c>
      <c r="E1529" s="118">
        <v>2.54</v>
      </c>
      <c r="F1529" s="118">
        <v>-10.06</v>
      </c>
    </row>
    <row r="1530" spans="2:6" x14ac:dyDescent="0.2">
      <c r="B1530" s="116" t="s">
        <v>4221</v>
      </c>
      <c r="C1530" s="117" t="s">
        <v>4222</v>
      </c>
      <c r="D1530" s="118">
        <v>0.35</v>
      </c>
      <c r="E1530" s="118">
        <v>2.11</v>
      </c>
      <c r="F1530" s="118">
        <v>18.93</v>
      </c>
    </row>
    <row r="1531" spans="2:6" x14ac:dyDescent="0.2">
      <c r="B1531" s="116" t="s">
        <v>2636</v>
      </c>
      <c r="C1531" s="117" t="s">
        <v>2637</v>
      </c>
      <c r="D1531" s="118">
        <v>3.18</v>
      </c>
      <c r="E1531" s="118">
        <v>4.96</v>
      </c>
      <c r="F1531" s="118">
        <v>15.27</v>
      </c>
    </row>
    <row r="1532" spans="2:6" x14ac:dyDescent="0.2">
      <c r="B1532" s="116" t="s">
        <v>2638</v>
      </c>
      <c r="C1532" s="117" t="s">
        <v>2639</v>
      </c>
      <c r="D1532" s="118">
        <v>0.86</v>
      </c>
      <c r="E1532" s="118">
        <v>1.28</v>
      </c>
      <c r="F1532" s="118">
        <v>10.81</v>
      </c>
    </row>
    <row r="1533" spans="2:6" x14ac:dyDescent="0.2">
      <c r="B1533" s="116" t="s">
        <v>2640</v>
      </c>
      <c r="C1533" s="117" t="s">
        <v>2641</v>
      </c>
      <c r="D1533" s="118"/>
      <c r="E1533" s="118">
        <v>2.84</v>
      </c>
      <c r="F1533" s="118"/>
    </row>
    <row r="1534" spans="2:6" x14ac:dyDescent="0.2">
      <c r="B1534" s="116" t="s">
        <v>2642</v>
      </c>
      <c r="C1534" s="117" t="s">
        <v>2643</v>
      </c>
      <c r="D1534" s="118">
        <v>1.54</v>
      </c>
      <c r="E1534" s="118">
        <v>0.54</v>
      </c>
      <c r="F1534" s="118">
        <v>6.04</v>
      </c>
    </row>
    <row r="1535" spans="2:6" x14ac:dyDescent="0.2">
      <c r="B1535" s="116" t="s">
        <v>4223</v>
      </c>
      <c r="C1535" s="117" t="s">
        <v>4224</v>
      </c>
      <c r="D1535" s="118">
        <v>1.46</v>
      </c>
      <c r="E1535" s="118">
        <v>0.51</v>
      </c>
      <c r="F1535" s="118">
        <v>6.04</v>
      </c>
    </row>
    <row r="1536" spans="2:6" x14ac:dyDescent="0.2">
      <c r="B1536" s="116" t="s">
        <v>4225</v>
      </c>
      <c r="C1536" s="117" t="s">
        <v>4226</v>
      </c>
      <c r="D1536" s="118">
        <v>4.5999999999999996</v>
      </c>
      <c r="E1536" s="118"/>
      <c r="F1536" s="118"/>
    </row>
    <row r="1537" spans="2:6" x14ac:dyDescent="0.2">
      <c r="B1537" s="116" t="s">
        <v>2644</v>
      </c>
      <c r="C1537" s="117" t="s">
        <v>2645</v>
      </c>
      <c r="D1537" s="118">
        <v>2.2599999999999998</v>
      </c>
      <c r="E1537" s="118">
        <v>3.91</v>
      </c>
      <c r="F1537" s="118">
        <v>26.66</v>
      </c>
    </row>
    <row r="1538" spans="2:6" x14ac:dyDescent="0.2">
      <c r="B1538" s="116" t="s">
        <v>2646</v>
      </c>
      <c r="C1538" s="117" t="s">
        <v>2647</v>
      </c>
      <c r="D1538" s="118">
        <v>2.2599999999999998</v>
      </c>
      <c r="E1538" s="118">
        <v>2.0299999999999998</v>
      </c>
      <c r="F1538" s="118">
        <v>17.39</v>
      </c>
    </row>
    <row r="1539" spans="2:6" x14ac:dyDescent="0.2">
      <c r="B1539" s="116" t="s">
        <v>2648</v>
      </c>
      <c r="C1539" s="117" t="s">
        <v>2649</v>
      </c>
      <c r="D1539" s="118">
        <v>2.4700000000000002</v>
      </c>
      <c r="E1539" s="118">
        <v>6.16</v>
      </c>
      <c r="F1539" s="118">
        <v>19.55</v>
      </c>
    </row>
    <row r="1540" spans="2:6" x14ac:dyDescent="0.2">
      <c r="B1540" s="116" t="s">
        <v>2650</v>
      </c>
      <c r="C1540" s="117" t="s">
        <v>2651</v>
      </c>
      <c r="D1540" s="118">
        <v>3.43</v>
      </c>
      <c r="E1540" s="118">
        <v>1.32</v>
      </c>
      <c r="F1540" s="118">
        <v>17.68</v>
      </c>
    </row>
    <row r="1541" spans="2:6" x14ac:dyDescent="0.2">
      <c r="B1541" s="116" t="s">
        <v>2652</v>
      </c>
      <c r="C1541" s="117" t="s">
        <v>2653</v>
      </c>
      <c r="D1541" s="118">
        <v>0.62</v>
      </c>
      <c r="E1541" s="118">
        <v>1.21</v>
      </c>
      <c r="F1541" s="118">
        <v>10.029999999999999</v>
      </c>
    </row>
    <row r="1542" spans="2:6" x14ac:dyDescent="0.2">
      <c r="B1542" s="116" t="s">
        <v>2652</v>
      </c>
      <c r="C1542" s="117" t="s">
        <v>4227</v>
      </c>
      <c r="D1542" s="118">
        <v>0.62</v>
      </c>
      <c r="E1542" s="118">
        <v>1.22</v>
      </c>
      <c r="F1542" s="118">
        <v>10.029999999999999</v>
      </c>
    </row>
    <row r="1543" spans="2:6" x14ac:dyDescent="0.2">
      <c r="B1543" s="116" t="s">
        <v>2654</v>
      </c>
      <c r="C1543" s="117" t="s">
        <v>2655</v>
      </c>
      <c r="D1543" s="118">
        <v>1.87</v>
      </c>
      <c r="E1543" s="118">
        <v>2.2999999999999998</v>
      </c>
      <c r="F1543" s="118">
        <v>13.69</v>
      </c>
    </row>
    <row r="1544" spans="2:6" x14ac:dyDescent="0.2">
      <c r="B1544" s="116" t="s">
        <v>2656</v>
      </c>
      <c r="C1544" s="117" t="s">
        <v>2657</v>
      </c>
      <c r="D1544" s="118">
        <v>2.95</v>
      </c>
      <c r="E1544" s="118">
        <v>3.06</v>
      </c>
      <c r="F1544" s="118">
        <v>14.94</v>
      </c>
    </row>
    <row r="1545" spans="2:6" x14ac:dyDescent="0.2">
      <c r="B1545" s="116" t="s">
        <v>2658</v>
      </c>
      <c r="C1545" s="117" t="s">
        <v>2659</v>
      </c>
      <c r="D1545" s="118">
        <v>1.4</v>
      </c>
      <c r="E1545" s="118">
        <v>1.21</v>
      </c>
      <c r="F1545" s="118">
        <v>6.37</v>
      </c>
    </row>
    <row r="1546" spans="2:6" x14ac:dyDescent="0.2">
      <c r="B1546" s="116" t="s">
        <v>2660</v>
      </c>
      <c r="C1546" s="117" t="s">
        <v>2661</v>
      </c>
      <c r="D1546" s="118">
        <v>10.09</v>
      </c>
      <c r="E1546" s="118">
        <v>1.79</v>
      </c>
      <c r="F1546" s="118">
        <v>4.5999999999999996</v>
      </c>
    </row>
    <row r="1547" spans="2:6" x14ac:dyDescent="0.2">
      <c r="B1547" s="116" t="s">
        <v>2662</v>
      </c>
      <c r="C1547" s="117" t="s">
        <v>2663</v>
      </c>
      <c r="D1547" s="118">
        <v>4.49</v>
      </c>
      <c r="E1547" s="118">
        <v>3.33</v>
      </c>
      <c r="F1547" s="118">
        <v>25.79</v>
      </c>
    </row>
    <row r="1548" spans="2:6" x14ac:dyDescent="0.2">
      <c r="B1548" s="116" t="s">
        <v>4228</v>
      </c>
      <c r="C1548" s="117" t="s">
        <v>4229</v>
      </c>
      <c r="D1548" s="118"/>
      <c r="E1548" s="118">
        <v>8.5399999999999991</v>
      </c>
      <c r="F1548" s="118"/>
    </row>
    <row r="1549" spans="2:6" x14ac:dyDescent="0.2">
      <c r="B1549" s="116" t="s">
        <v>4230</v>
      </c>
      <c r="C1549" s="117" t="s">
        <v>4231</v>
      </c>
      <c r="D1549" s="118"/>
      <c r="E1549" s="118">
        <v>4.24</v>
      </c>
      <c r="F1549" s="118"/>
    </row>
    <row r="1550" spans="2:6" x14ac:dyDescent="0.2">
      <c r="B1550" s="116" t="s">
        <v>2664</v>
      </c>
      <c r="C1550" s="117" t="s">
        <v>2665</v>
      </c>
      <c r="D1550" s="118">
        <v>0.41</v>
      </c>
      <c r="E1550" s="118">
        <v>0.68</v>
      </c>
      <c r="F1550" s="118">
        <v>6.06</v>
      </c>
    </row>
    <row r="1551" spans="2:6" x14ac:dyDescent="0.2">
      <c r="B1551" s="116" t="s">
        <v>2666</v>
      </c>
      <c r="C1551" s="117" t="s">
        <v>2667</v>
      </c>
      <c r="D1551" s="118">
        <v>20.5</v>
      </c>
      <c r="E1551" s="118">
        <v>2.2000000000000002</v>
      </c>
      <c r="F1551" s="118">
        <v>2.63</v>
      </c>
    </row>
    <row r="1552" spans="2:6" x14ac:dyDescent="0.2">
      <c r="B1552" s="116" t="s">
        <v>2668</v>
      </c>
      <c r="C1552" s="117" t="s">
        <v>2669</v>
      </c>
      <c r="D1552" s="118">
        <v>2.4</v>
      </c>
      <c r="E1552" s="118">
        <v>1.06</v>
      </c>
      <c r="F1552" s="118">
        <v>10.86</v>
      </c>
    </row>
    <row r="1553" spans="2:6" x14ac:dyDescent="0.2">
      <c r="B1553" s="116" t="s">
        <v>2670</v>
      </c>
      <c r="C1553" s="117" t="s">
        <v>2671</v>
      </c>
      <c r="D1553" s="118">
        <v>0.74</v>
      </c>
      <c r="E1553" s="118">
        <v>0.93</v>
      </c>
      <c r="F1553" s="118">
        <v>9.19</v>
      </c>
    </row>
    <row r="1554" spans="2:6" x14ac:dyDescent="0.2">
      <c r="B1554" s="116" t="s">
        <v>2672</v>
      </c>
      <c r="C1554" s="117" t="s">
        <v>2673</v>
      </c>
      <c r="D1554" s="118">
        <v>18.100000000000001</v>
      </c>
      <c r="E1554" s="118">
        <v>4.8</v>
      </c>
      <c r="F1554" s="118">
        <v>6.92</v>
      </c>
    </row>
    <row r="1555" spans="2:6" x14ac:dyDescent="0.2">
      <c r="B1555" s="116" t="s">
        <v>2674</v>
      </c>
      <c r="C1555" s="117" t="s">
        <v>2675</v>
      </c>
      <c r="D1555" s="118">
        <v>19.75</v>
      </c>
      <c r="E1555" s="118">
        <v>3.85</v>
      </c>
      <c r="F1555" s="118">
        <v>4.42</v>
      </c>
    </row>
    <row r="1556" spans="2:6" x14ac:dyDescent="0.2">
      <c r="B1556" s="116" t="s">
        <v>2676</v>
      </c>
      <c r="C1556" s="117" t="s">
        <v>2677</v>
      </c>
      <c r="D1556" s="118">
        <v>1.21</v>
      </c>
      <c r="E1556" s="118"/>
      <c r="F1556" s="118">
        <v>-230.09</v>
      </c>
    </row>
    <row r="1557" spans="2:6" x14ac:dyDescent="0.2">
      <c r="B1557" s="116" t="s">
        <v>2679</v>
      </c>
      <c r="C1557" s="117" t="s">
        <v>2680</v>
      </c>
      <c r="D1557" s="118"/>
      <c r="E1557" s="118">
        <v>7.86</v>
      </c>
      <c r="F1557" s="118"/>
    </row>
    <row r="1558" spans="2:6" x14ac:dyDescent="0.2">
      <c r="B1558" s="116" t="s">
        <v>2681</v>
      </c>
      <c r="C1558" s="117" t="s">
        <v>2682</v>
      </c>
      <c r="D1558" s="118">
        <v>1.0900000000000001</v>
      </c>
      <c r="E1558" s="118">
        <v>5.89</v>
      </c>
      <c r="F1558" s="118">
        <v>41.46</v>
      </c>
    </row>
    <row r="1559" spans="2:6" x14ac:dyDescent="0.2">
      <c r="B1559" s="116" t="s">
        <v>2683</v>
      </c>
      <c r="C1559" s="117" t="s">
        <v>2684</v>
      </c>
      <c r="D1559" s="118">
        <v>2.95</v>
      </c>
      <c r="E1559" s="118">
        <v>9.7100000000000009</v>
      </c>
      <c r="F1559" s="118">
        <v>63.53</v>
      </c>
    </row>
    <row r="1560" spans="2:6" x14ac:dyDescent="0.2">
      <c r="B1560" s="116" t="s">
        <v>2685</v>
      </c>
      <c r="C1560" s="117" t="s">
        <v>2686</v>
      </c>
      <c r="D1560" s="118">
        <v>0.38</v>
      </c>
      <c r="E1560" s="118">
        <v>0.74</v>
      </c>
      <c r="F1560" s="118">
        <v>5.55</v>
      </c>
    </row>
    <row r="1561" spans="2:6" x14ac:dyDescent="0.2">
      <c r="B1561" s="116" t="s">
        <v>2687</v>
      </c>
      <c r="C1561" s="117" t="s">
        <v>2688</v>
      </c>
      <c r="D1561" s="118">
        <v>1.1599999999999999</v>
      </c>
      <c r="E1561" s="118">
        <v>0.28000000000000003</v>
      </c>
      <c r="F1561" s="118">
        <v>-4.18</v>
      </c>
    </row>
    <row r="1562" spans="2:6" x14ac:dyDescent="0.2">
      <c r="B1562" s="116" t="s">
        <v>2689</v>
      </c>
      <c r="C1562" s="117" t="s">
        <v>2690</v>
      </c>
      <c r="D1562" s="118"/>
      <c r="E1562" s="118">
        <v>1.52</v>
      </c>
      <c r="F1562" s="118"/>
    </row>
    <row r="1563" spans="2:6" x14ac:dyDescent="0.2">
      <c r="B1563" s="116" t="s">
        <v>2691</v>
      </c>
      <c r="C1563" s="117" t="s">
        <v>2692</v>
      </c>
      <c r="D1563" s="118">
        <v>1.48</v>
      </c>
      <c r="E1563" s="118">
        <v>1.81</v>
      </c>
      <c r="F1563" s="118">
        <v>16.12</v>
      </c>
    </row>
    <row r="1564" spans="2:6" x14ac:dyDescent="0.2">
      <c r="B1564" s="116" t="s">
        <v>4232</v>
      </c>
      <c r="C1564" s="117" t="s">
        <v>4233</v>
      </c>
      <c r="D1564" s="118">
        <v>1.27</v>
      </c>
      <c r="E1564" s="118">
        <v>1.74</v>
      </c>
      <c r="F1564" s="118">
        <v>29.42</v>
      </c>
    </row>
    <row r="1565" spans="2:6" x14ac:dyDescent="0.2">
      <c r="B1565" s="116" t="s">
        <v>2693</v>
      </c>
      <c r="C1565" s="117" t="s">
        <v>2694</v>
      </c>
      <c r="D1565" s="118">
        <v>1.1299999999999999</v>
      </c>
      <c r="E1565" s="118">
        <v>2.4</v>
      </c>
      <c r="F1565" s="118">
        <v>18.329999999999998</v>
      </c>
    </row>
    <row r="1566" spans="2:6" x14ac:dyDescent="0.2">
      <c r="B1566" s="116" t="s">
        <v>2695</v>
      </c>
      <c r="C1566" s="117" t="s">
        <v>2696</v>
      </c>
      <c r="D1566" s="118">
        <v>4.51</v>
      </c>
      <c r="E1566" s="118">
        <v>4.3</v>
      </c>
      <c r="F1566" s="118">
        <v>11.34</v>
      </c>
    </row>
    <row r="1567" spans="2:6" x14ac:dyDescent="0.2">
      <c r="B1567" s="116" t="s">
        <v>2697</v>
      </c>
      <c r="C1567" s="117" t="s">
        <v>2698</v>
      </c>
      <c r="D1567" s="118">
        <v>7.42</v>
      </c>
      <c r="E1567" s="118">
        <v>9.33</v>
      </c>
      <c r="F1567" s="118">
        <v>26.49</v>
      </c>
    </row>
    <row r="1568" spans="2:6" x14ac:dyDescent="0.2">
      <c r="B1568" s="116" t="s">
        <v>2699</v>
      </c>
      <c r="C1568" s="117" t="s">
        <v>2700</v>
      </c>
      <c r="D1568" s="118">
        <v>14.22</v>
      </c>
      <c r="E1568" s="118">
        <v>30.78</v>
      </c>
      <c r="F1568" s="118">
        <v>-1.1299999999999999</v>
      </c>
    </row>
    <row r="1569" spans="2:6" x14ac:dyDescent="0.2">
      <c r="B1569" s="116" t="s">
        <v>2701</v>
      </c>
      <c r="C1569" s="117" t="s">
        <v>2702</v>
      </c>
      <c r="D1569" s="118"/>
      <c r="E1569" s="118">
        <v>0.43</v>
      </c>
      <c r="F1569" s="118"/>
    </row>
    <row r="1570" spans="2:6" x14ac:dyDescent="0.2">
      <c r="B1570" s="116" t="s">
        <v>2703</v>
      </c>
      <c r="C1570" s="117" t="s">
        <v>2704</v>
      </c>
      <c r="D1570" s="118">
        <v>2.61</v>
      </c>
      <c r="E1570" s="118">
        <v>1.6</v>
      </c>
      <c r="F1570" s="118">
        <v>8.8699999999999992</v>
      </c>
    </row>
    <row r="1571" spans="2:6" x14ac:dyDescent="0.2">
      <c r="B1571" s="116" t="s">
        <v>2705</v>
      </c>
      <c r="C1571" s="117" t="s">
        <v>2706</v>
      </c>
      <c r="D1571" s="118"/>
      <c r="E1571" s="118"/>
      <c r="F1571" s="118"/>
    </row>
    <row r="1572" spans="2:6" x14ac:dyDescent="0.2">
      <c r="B1572" s="116" t="s">
        <v>4234</v>
      </c>
      <c r="C1572" s="117" t="s">
        <v>4235</v>
      </c>
      <c r="D1572" s="118">
        <v>2.27</v>
      </c>
      <c r="E1572" s="118">
        <v>1.18</v>
      </c>
      <c r="F1572" s="118">
        <v>6.46</v>
      </c>
    </row>
    <row r="1573" spans="2:6" x14ac:dyDescent="0.2">
      <c r="B1573" s="116" t="s">
        <v>2707</v>
      </c>
      <c r="C1573" s="117" t="s">
        <v>2708</v>
      </c>
      <c r="D1573" s="118">
        <v>2.83</v>
      </c>
      <c r="E1573" s="118">
        <v>16.399999999999999</v>
      </c>
      <c r="F1573" s="118">
        <v>78.709999999999994</v>
      </c>
    </row>
    <row r="1574" spans="2:6" x14ac:dyDescent="0.2">
      <c r="B1574" s="116" t="s">
        <v>2709</v>
      </c>
      <c r="C1574" s="117" t="s">
        <v>2710</v>
      </c>
      <c r="D1574" s="118">
        <v>13.86</v>
      </c>
      <c r="E1574" s="118">
        <v>26.6</v>
      </c>
      <c r="F1574" s="118">
        <v>-6.77</v>
      </c>
    </row>
    <row r="1575" spans="2:6" x14ac:dyDescent="0.2">
      <c r="B1575" s="116" t="s">
        <v>2711</v>
      </c>
      <c r="C1575" s="117" t="s">
        <v>2712</v>
      </c>
      <c r="D1575" s="118">
        <v>6</v>
      </c>
      <c r="E1575" s="118">
        <v>15.04</v>
      </c>
      <c r="F1575" s="118">
        <v>31.43</v>
      </c>
    </row>
    <row r="1576" spans="2:6" x14ac:dyDescent="0.2">
      <c r="B1576" s="116" t="s">
        <v>2714</v>
      </c>
      <c r="C1576" s="117" t="s">
        <v>2715</v>
      </c>
      <c r="D1576" s="118">
        <v>5.85</v>
      </c>
      <c r="E1576" s="118">
        <v>4.16</v>
      </c>
      <c r="F1576" s="118">
        <v>12.82</v>
      </c>
    </row>
    <row r="1577" spans="2:6" x14ac:dyDescent="0.2">
      <c r="B1577" s="116" t="s">
        <v>2716</v>
      </c>
      <c r="C1577" s="117" t="s">
        <v>2717</v>
      </c>
      <c r="D1577" s="118">
        <v>7.04</v>
      </c>
      <c r="E1577" s="118">
        <v>4.4800000000000004</v>
      </c>
      <c r="F1577" s="118">
        <v>16.7</v>
      </c>
    </row>
    <row r="1578" spans="2:6" x14ac:dyDescent="0.2">
      <c r="B1578" s="116" t="s">
        <v>2718</v>
      </c>
      <c r="C1578" s="117" t="s">
        <v>2719</v>
      </c>
      <c r="D1578" s="118">
        <v>2.46</v>
      </c>
      <c r="E1578" s="118">
        <v>11.5</v>
      </c>
      <c r="F1578" s="118">
        <v>49.21</v>
      </c>
    </row>
    <row r="1579" spans="2:6" x14ac:dyDescent="0.2">
      <c r="B1579" s="116" t="s">
        <v>4236</v>
      </c>
      <c r="C1579" s="117" t="s">
        <v>4237</v>
      </c>
      <c r="D1579" s="118">
        <v>0.61</v>
      </c>
      <c r="E1579" s="118">
        <v>0.78</v>
      </c>
      <c r="F1579" s="118">
        <v>6.21</v>
      </c>
    </row>
    <row r="1580" spans="2:6" x14ac:dyDescent="0.2">
      <c r="B1580" s="116" t="s">
        <v>2720</v>
      </c>
      <c r="C1580" s="117" t="s">
        <v>2721</v>
      </c>
      <c r="D1580" s="118">
        <v>6.59</v>
      </c>
      <c r="E1580" s="118">
        <v>5.47</v>
      </c>
      <c r="F1580" s="118">
        <v>9.86</v>
      </c>
    </row>
    <row r="1581" spans="2:6" x14ac:dyDescent="0.2">
      <c r="B1581" s="116" t="s">
        <v>2722</v>
      </c>
      <c r="C1581" s="117" t="s">
        <v>2723</v>
      </c>
      <c r="D1581" s="118">
        <v>1.59</v>
      </c>
      <c r="E1581" s="118">
        <v>6.37</v>
      </c>
      <c r="F1581" s="118">
        <v>23.46</v>
      </c>
    </row>
    <row r="1582" spans="2:6" x14ac:dyDescent="0.2">
      <c r="B1582" s="116" t="s">
        <v>2724</v>
      </c>
      <c r="C1582" s="117" t="s">
        <v>2725</v>
      </c>
      <c r="D1582" s="118">
        <v>0.57999999999999996</v>
      </c>
      <c r="E1582" s="118">
        <v>1.35</v>
      </c>
      <c r="F1582" s="118">
        <v>12.85</v>
      </c>
    </row>
    <row r="1583" spans="2:6" x14ac:dyDescent="0.2">
      <c r="B1583" s="116" t="s">
        <v>2726</v>
      </c>
      <c r="C1583" s="117" t="s">
        <v>2727</v>
      </c>
      <c r="D1583" s="118">
        <v>2.76</v>
      </c>
      <c r="E1583" s="118">
        <v>3.53</v>
      </c>
      <c r="F1583" s="118">
        <v>12.86</v>
      </c>
    </row>
    <row r="1584" spans="2:6" x14ac:dyDescent="0.2">
      <c r="B1584" s="116" t="s">
        <v>4238</v>
      </c>
      <c r="C1584" s="117" t="s">
        <v>4239</v>
      </c>
      <c r="D1584" s="118"/>
      <c r="E1584" s="118"/>
      <c r="F1584" s="118"/>
    </row>
    <row r="1585" spans="2:6" x14ac:dyDescent="0.2">
      <c r="B1585" s="116" t="s">
        <v>2728</v>
      </c>
      <c r="C1585" s="117" t="s">
        <v>2729</v>
      </c>
      <c r="D1585" s="118">
        <v>1.94</v>
      </c>
      <c r="E1585" s="118">
        <v>4.45</v>
      </c>
      <c r="F1585" s="118">
        <v>26.34</v>
      </c>
    </row>
    <row r="1586" spans="2:6" x14ac:dyDescent="0.2">
      <c r="B1586" s="116" t="s">
        <v>2730</v>
      </c>
      <c r="C1586" s="117" t="s">
        <v>2731</v>
      </c>
      <c r="D1586" s="118"/>
      <c r="E1586" s="118">
        <v>9.7100000000000009</v>
      </c>
      <c r="F1586" s="118"/>
    </row>
    <row r="1587" spans="2:6" x14ac:dyDescent="0.2">
      <c r="B1587" s="116" t="s">
        <v>2732</v>
      </c>
      <c r="C1587" s="117" t="s">
        <v>2733</v>
      </c>
      <c r="D1587" s="118"/>
      <c r="E1587" s="118">
        <v>4.8</v>
      </c>
      <c r="F1587" s="118"/>
    </row>
    <row r="1588" spans="2:6" x14ac:dyDescent="0.2">
      <c r="B1588" s="116" t="s">
        <v>2734</v>
      </c>
      <c r="C1588" s="117" t="s">
        <v>2735</v>
      </c>
      <c r="D1588" s="118">
        <v>0.76</v>
      </c>
      <c r="E1588" s="118">
        <v>1.34</v>
      </c>
      <c r="F1588" s="118">
        <v>-8.7200000000000006</v>
      </c>
    </row>
    <row r="1589" spans="2:6" x14ac:dyDescent="0.2">
      <c r="B1589" s="116" t="s">
        <v>2736</v>
      </c>
      <c r="C1589" s="117" t="s">
        <v>2737</v>
      </c>
      <c r="D1589" s="118">
        <v>2.36</v>
      </c>
      <c r="E1589" s="118">
        <v>2.02</v>
      </c>
      <c r="F1589" s="118">
        <v>17.18</v>
      </c>
    </row>
    <row r="1590" spans="2:6" x14ac:dyDescent="0.2">
      <c r="B1590" s="116" t="s">
        <v>2738</v>
      </c>
      <c r="C1590" s="117" t="s">
        <v>2739</v>
      </c>
      <c r="D1590" s="118">
        <v>1.56</v>
      </c>
      <c r="E1590" s="118">
        <v>2.4900000000000002</v>
      </c>
      <c r="F1590" s="118">
        <v>18.39</v>
      </c>
    </row>
    <row r="1591" spans="2:6" x14ac:dyDescent="0.2">
      <c r="B1591" s="116" t="s">
        <v>2740</v>
      </c>
      <c r="C1591" s="117" t="s">
        <v>2741</v>
      </c>
      <c r="D1591" s="118"/>
      <c r="E1591" s="118"/>
      <c r="F1591" s="118"/>
    </row>
    <row r="1592" spans="2:6" x14ac:dyDescent="0.2">
      <c r="B1592" s="116" t="s">
        <v>2742</v>
      </c>
      <c r="C1592" s="117" t="s">
        <v>2743</v>
      </c>
      <c r="D1592" s="118">
        <v>4.9000000000000004</v>
      </c>
      <c r="E1592" s="118">
        <v>2.2799999999999998</v>
      </c>
      <c r="F1592" s="118">
        <v>4.18</v>
      </c>
    </row>
    <row r="1593" spans="2:6" x14ac:dyDescent="0.2">
      <c r="B1593" s="116" t="s">
        <v>2744</v>
      </c>
      <c r="C1593" s="117" t="s">
        <v>2745</v>
      </c>
      <c r="D1593" s="118">
        <v>0.8</v>
      </c>
      <c r="E1593" s="118">
        <v>1.03</v>
      </c>
      <c r="F1593" s="118">
        <v>-0.84</v>
      </c>
    </row>
    <row r="1594" spans="2:6" x14ac:dyDescent="0.2">
      <c r="B1594" s="116" t="s">
        <v>2746</v>
      </c>
      <c r="C1594" s="117" t="s">
        <v>2747</v>
      </c>
      <c r="D1594" s="118">
        <v>1.6</v>
      </c>
      <c r="E1594" s="118">
        <v>6.88</v>
      </c>
      <c r="F1594" s="118">
        <v>34.130000000000003</v>
      </c>
    </row>
    <row r="1595" spans="2:6" x14ac:dyDescent="0.2">
      <c r="B1595" s="116" t="s">
        <v>2748</v>
      </c>
      <c r="C1595" s="117" t="s">
        <v>2749</v>
      </c>
      <c r="D1595" s="118">
        <v>1.03</v>
      </c>
      <c r="E1595" s="118">
        <v>2.37</v>
      </c>
      <c r="F1595" s="118">
        <v>2.86</v>
      </c>
    </row>
    <row r="1596" spans="2:6" x14ac:dyDescent="0.2">
      <c r="B1596" s="116" t="s">
        <v>2750</v>
      </c>
      <c r="C1596" s="117" t="s">
        <v>2751</v>
      </c>
      <c r="D1596" s="118"/>
      <c r="E1596" s="118">
        <v>4.67</v>
      </c>
      <c r="F1596" s="118"/>
    </row>
    <row r="1597" spans="2:6" x14ac:dyDescent="0.2">
      <c r="B1597" s="116" t="s">
        <v>2752</v>
      </c>
      <c r="C1597" s="117" t="s">
        <v>2753</v>
      </c>
      <c r="D1597" s="118"/>
      <c r="E1597" s="118">
        <v>7.03</v>
      </c>
      <c r="F1597" s="118">
        <v>-56.05</v>
      </c>
    </row>
    <row r="1598" spans="2:6" x14ac:dyDescent="0.2">
      <c r="B1598" s="116" t="s">
        <v>2754</v>
      </c>
      <c r="C1598" s="117" t="s">
        <v>2755</v>
      </c>
      <c r="D1598" s="118">
        <v>0.87</v>
      </c>
      <c r="E1598" s="118">
        <v>3.61</v>
      </c>
      <c r="F1598" s="118">
        <v>23.15</v>
      </c>
    </row>
    <row r="1599" spans="2:6" x14ac:dyDescent="0.2">
      <c r="B1599" s="116" t="s">
        <v>2756</v>
      </c>
      <c r="C1599" s="117" t="s">
        <v>2757</v>
      </c>
      <c r="D1599" s="118">
        <v>3.73</v>
      </c>
      <c r="E1599" s="118">
        <v>7.65</v>
      </c>
      <c r="F1599" s="118">
        <v>22.89</v>
      </c>
    </row>
    <row r="1600" spans="2:6" x14ac:dyDescent="0.2">
      <c r="B1600" s="116" t="s">
        <v>2758</v>
      </c>
      <c r="C1600" s="117" t="s">
        <v>2759</v>
      </c>
      <c r="D1600" s="118">
        <v>1.18</v>
      </c>
      <c r="E1600" s="118">
        <v>0.53</v>
      </c>
      <c r="F1600" s="118">
        <v>7.27</v>
      </c>
    </row>
    <row r="1601" spans="2:6" x14ac:dyDescent="0.2">
      <c r="B1601" s="116" t="s">
        <v>2760</v>
      </c>
      <c r="C1601" s="117" t="s">
        <v>2761</v>
      </c>
      <c r="D1601" s="118">
        <v>4.91</v>
      </c>
      <c r="E1601" s="118">
        <v>4.72</v>
      </c>
      <c r="F1601" s="118">
        <v>15.39</v>
      </c>
    </row>
    <row r="1602" spans="2:6" x14ac:dyDescent="0.2">
      <c r="B1602" s="116" t="s">
        <v>2762</v>
      </c>
      <c r="C1602" s="117" t="s">
        <v>2763</v>
      </c>
      <c r="D1602" s="118"/>
      <c r="E1602" s="118"/>
      <c r="F1602" s="118"/>
    </row>
    <row r="1603" spans="2:6" x14ac:dyDescent="0.2">
      <c r="B1603" s="116" t="s">
        <v>2764</v>
      </c>
      <c r="C1603" s="117" t="s">
        <v>2765</v>
      </c>
      <c r="D1603" s="118">
        <v>2.89</v>
      </c>
      <c r="E1603" s="118">
        <v>4.9000000000000004</v>
      </c>
      <c r="F1603" s="118">
        <v>20.23</v>
      </c>
    </row>
    <row r="1604" spans="2:6" x14ac:dyDescent="0.2">
      <c r="B1604" s="116" t="s">
        <v>2766</v>
      </c>
      <c r="C1604" s="117" t="s">
        <v>2767</v>
      </c>
      <c r="D1604" s="118">
        <v>1.83</v>
      </c>
      <c r="E1604" s="118">
        <v>0.92</v>
      </c>
      <c r="F1604" s="118">
        <v>0.46</v>
      </c>
    </row>
    <row r="1605" spans="2:6" x14ac:dyDescent="0.2">
      <c r="B1605" s="116" t="s">
        <v>2768</v>
      </c>
      <c r="C1605" s="117" t="s">
        <v>2769</v>
      </c>
      <c r="D1605" s="118"/>
      <c r="E1605" s="118"/>
      <c r="F1605" s="118"/>
    </row>
    <row r="1606" spans="2:6" x14ac:dyDescent="0.2">
      <c r="B1606" s="116" t="s">
        <v>4240</v>
      </c>
      <c r="C1606" s="117" t="s">
        <v>4241</v>
      </c>
      <c r="D1606" s="118"/>
      <c r="E1606" s="118">
        <v>1.51</v>
      </c>
      <c r="F1606" s="118">
        <v>11.3</v>
      </c>
    </row>
    <row r="1607" spans="2:6" x14ac:dyDescent="0.2">
      <c r="B1607" s="116" t="s">
        <v>2770</v>
      </c>
      <c r="C1607" s="117" t="s">
        <v>2771</v>
      </c>
      <c r="D1607" s="118">
        <v>14.94</v>
      </c>
      <c r="E1607" s="118"/>
      <c r="F1607" s="118">
        <v>-4.12</v>
      </c>
    </row>
    <row r="1608" spans="2:6" x14ac:dyDescent="0.2">
      <c r="B1608" s="116" t="s">
        <v>2772</v>
      </c>
      <c r="C1608" s="117" t="s">
        <v>2773</v>
      </c>
      <c r="D1608" s="118">
        <v>1.28</v>
      </c>
      <c r="E1608" s="118">
        <v>2.63</v>
      </c>
      <c r="F1608" s="118">
        <v>23.05</v>
      </c>
    </row>
    <row r="1609" spans="2:6" x14ac:dyDescent="0.2">
      <c r="B1609" s="116" t="s">
        <v>4242</v>
      </c>
      <c r="C1609" s="117" t="s">
        <v>4243</v>
      </c>
      <c r="D1609" s="118"/>
      <c r="E1609" s="118">
        <v>1.84</v>
      </c>
      <c r="F1609" s="118"/>
    </row>
    <row r="1610" spans="2:6" x14ac:dyDescent="0.2">
      <c r="B1610" s="116" t="s">
        <v>4244</v>
      </c>
      <c r="C1610" s="117" t="s">
        <v>4245</v>
      </c>
      <c r="D1610" s="118">
        <v>1.67</v>
      </c>
      <c r="E1610" s="118"/>
      <c r="F1610" s="118">
        <v>9.93</v>
      </c>
    </row>
    <row r="1611" spans="2:6" x14ac:dyDescent="0.2">
      <c r="B1611" s="116" t="s">
        <v>4246</v>
      </c>
      <c r="C1611" s="117" t="s">
        <v>4247</v>
      </c>
      <c r="D1611" s="118"/>
      <c r="E1611" s="118"/>
      <c r="F1611" s="118"/>
    </row>
    <row r="1612" spans="2:6" x14ac:dyDescent="0.2">
      <c r="B1612" s="116" t="s">
        <v>2774</v>
      </c>
      <c r="C1612" s="117" t="s">
        <v>2775</v>
      </c>
      <c r="D1612" s="118">
        <v>3.52</v>
      </c>
      <c r="E1612" s="118">
        <v>1.41</v>
      </c>
      <c r="F1612" s="118">
        <v>13.61</v>
      </c>
    </row>
    <row r="1613" spans="2:6" x14ac:dyDescent="0.2">
      <c r="B1613" s="116" t="s">
        <v>2776</v>
      </c>
      <c r="C1613" s="117" t="s">
        <v>2777</v>
      </c>
      <c r="D1613" s="118">
        <v>6.64</v>
      </c>
      <c r="E1613" s="118">
        <v>1.25</v>
      </c>
      <c r="F1613" s="118">
        <v>0.67</v>
      </c>
    </row>
    <row r="1614" spans="2:6" x14ac:dyDescent="0.2">
      <c r="B1614" s="116" t="s">
        <v>4248</v>
      </c>
      <c r="C1614" s="117" t="s">
        <v>4249</v>
      </c>
      <c r="D1614" s="118">
        <v>1.92</v>
      </c>
      <c r="E1614" s="118">
        <v>1.34</v>
      </c>
      <c r="F1614" s="118">
        <v>22.06</v>
      </c>
    </row>
    <row r="1615" spans="2:6" x14ac:dyDescent="0.2">
      <c r="B1615" s="116" t="s">
        <v>2778</v>
      </c>
      <c r="C1615" s="117" t="s">
        <v>2779</v>
      </c>
      <c r="D1615" s="118">
        <v>1.89</v>
      </c>
      <c r="E1615" s="118">
        <v>1.51</v>
      </c>
      <c r="F1615" s="118">
        <v>16.02</v>
      </c>
    </row>
    <row r="1616" spans="2:6" x14ac:dyDescent="0.2">
      <c r="B1616" s="116" t="s">
        <v>2780</v>
      </c>
      <c r="C1616" s="117" t="s">
        <v>2781</v>
      </c>
      <c r="D1616" s="118">
        <v>4.1399999999999997</v>
      </c>
      <c r="E1616" s="118"/>
      <c r="F1616" s="118">
        <v>-125.91</v>
      </c>
    </row>
    <row r="1617" spans="2:6" x14ac:dyDescent="0.2">
      <c r="B1617" s="116" t="s">
        <v>2782</v>
      </c>
      <c r="C1617" s="117" t="s">
        <v>2783</v>
      </c>
      <c r="D1617" s="118">
        <v>1.18</v>
      </c>
      <c r="E1617" s="118">
        <v>1.22</v>
      </c>
      <c r="F1617" s="118">
        <v>13.29</v>
      </c>
    </row>
    <row r="1618" spans="2:6" x14ac:dyDescent="0.2">
      <c r="B1618" s="116" t="s">
        <v>2784</v>
      </c>
      <c r="C1618" s="117" t="s">
        <v>2785</v>
      </c>
      <c r="D1618" s="118"/>
      <c r="E1618" s="118"/>
      <c r="F1618" s="118"/>
    </row>
    <row r="1619" spans="2:6" x14ac:dyDescent="0.2">
      <c r="B1619" s="116" t="s">
        <v>2786</v>
      </c>
      <c r="C1619" s="117" t="s">
        <v>2787</v>
      </c>
      <c r="D1619" s="118">
        <v>3.81</v>
      </c>
      <c r="E1619" s="118">
        <v>3.93</v>
      </c>
      <c r="F1619" s="118">
        <v>21.75</v>
      </c>
    </row>
    <row r="1620" spans="2:6" x14ac:dyDescent="0.2">
      <c r="B1620" s="116" t="s">
        <v>2788</v>
      </c>
      <c r="C1620" s="117" t="s">
        <v>2789</v>
      </c>
      <c r="D1620" s="118">
        <v>0.85</v>
      </c>
      <c r="E1620" s="118">
        <v>0.32</v>
      </c>
      <c r="F1620" s="118">
        <v>6.38</v>
      </c>
    </row>
    <row r="1621" spans="2:6" x14ac:dyDescent="0.2">
      <c r="B1621" s="116" t="s">
        <v>2790</v>
      </c>
      <c r="C1621" s="117" t="s">
        <v>2791</v>
      </c>
      <c r="D1621" s="118">
        <v>5.25</v>
      </c>
      <c r="E1621" s="118">
        <v>3.08</v>
      </c>
      <c r="F1621" s="118">
        <v>20.52</v>
      </c>
    </row>
    <row r="1622" spans="2:6" x14ac:dyDescent="0.2">
      <c r="B1622" s="116" t="s">
        <v>4250</v>
      </c>
      <c r="C1622" s="117" t="s">
        <v>4251</v>
      </c>
      <c r="D1622" s="118"/>
      <c r="E1622" s="118">
        <v>8.64</v>
      </c>
      <c r="F1622" s="118"/>
    </row>
    <row r="1623" spans="2:6" x14ac:dyDescent="0.2">
      <c r="B1623" s="116" t="s">
        <v>2792</v>
      </c>
      <c r="C1623" s="117" t="s">
        <v>2793</v>
      </c>
      <c r="D1623" s="118">
        <v>2.67</v>
      </c>
      <c r="E1623" s="118">
        <v>4.91</v>
      </c>
      <c r="F1623" s="118">
        <v>20.55</v>
      </c>
    </row>
    <row r="1624" spans="2:6" x14ac:dyDescent="0.2">
      <c r="B1624" s="116" t="s">
        <v>2795</v>
      </c>
      <c r="C1624" s="117" t="s">
        <v>2796</v>
      </c>
      <c r="D1624" s="118">
        <v>2.21</v>
      </c>
      <c r="E1624" s="118">
        <v>3.06</v>
      </c>
      <c r="F1624" s="118">
        <v>18.12</v>
      </c>
    </row>
    <row r="1625" spans="2:6" x14ac:dyDescent="0.2">
      <c r="B1625" s="116" t="s">
        <v>2797</v>
      </c>
      <c r="C1625" s="117" t="s">
        <v>2798</v>
      </c>
      <c r="D1625" s="118">
        <v>0.52</v>
      </c>
      <c r="E1625" s="118">
        <v>1.19</v>
      </c>
      <c r="F1625" s="118">
        <v>5.71</v>
      </c>
    </row>
    <row r="1626" spans="2:6" x14ac:dyDescent="0.2">
      <c r="B1626" s="116" t="s">
        <v>2799</v>
      </c>
      <c r="C1626" s="117" t="s">
        <v>2800</v>
      </c>
      <c r="D1626" s="118">
        <v>1.81</v>
      </c>
      <c r="E1626" s="118">
        <v>3.14</v>
      </c>
      <c r="F1626" s="118">
        <v>22.89</v>
      </c>
    </row>
    <row r="1627" spans="2:6" x14ac:dyDescent="0.2">
      <c r="B1627" s="116" t="s">
        <v>4252</v>
      </c>
      <c r="C1627" s="117" t="s">
        <v>4253</v>
      </c>
      <c r="D1627" s="118"/>
      <c r="E1627" s="118"/>
      <c r="F1627" s="118"/>
    </row>
    <row r="1628" spans="2:6" x14ac:dyDescent="0.2">
      <c r="B1628" s="116" t="s">
        <v>4254</v>
      </c>
      <c r="C1628" s="117" t="s">
        <v>4255</v>
      </c>
      <c r="D1628" s="118"/>
      <c r="E1628" s="118"/>
      <c r="F1628" s="118"/>
    </row>
    <row r="1629" spans="2:6" x14ac:dyDescent="0.2">
      <c r="B1629" s="116" t="s">
        <v>2801</v>
      </c>
      <c r="C1629" s="117" t="s">
        <v>2802</v>
      </c>
      <c r="D1629" s="118">
        <v>8.27</v>
      </c>
      <c r="E1629" s="118">
        <v>7.33</v>
      </c>
      <c r="F1629" s="118">
        <v>-158.33000000000001</v>
      </c>
    </row>
    <row r="1630" spans="2:6" x14ac:dyDescent="0.2">
      <c r="B1630" s="116" t="s">
        <v>4256</v>
      </c>
      <c r="C1630" s="117" t="s">
        <v>4257</v>
      </c>
      <c r="D1630" s="118">
        <v>0.71</v>
      </c>
      <c r="E1630" s="118">
        <v>1.39</v>
      </c>
      <c r="F1630" s="118">
        <v>5.35</v>
      </c>
    </row>
    <row r="1631" spans="2:6" x14ac:dyDescent="0.2">
      <c r="B1631" s="116" t="s">
        <v>2804</v>
      </c>
      <c r="C1631" s="117" t="s">
        <v>2805</v>
      </c>
      <c r="D1631" s="118">
        <v>3.91</v>
      </c>
      <c r="E1631" s="118">
        <v>6.25</v>
      </c>
      <c r="F1631" s="118">
        <v>17.809999999999999</v>
      </c>
    </row>
    <row r="1632" spans="2:6" x14ac:dyDescent="0.2">
      <c r="B1632" s="116" t="s">
        <v>2806</v>
      </c>
      <c r="C1632" s="117" t="s">
        <v>2807</v>
      </c>
      <c r="D1632" s="118">
        <v>1.35</v>
      </c>
      <c r="E1632" s="118"/>
      <c r="F1632" s="118">
        <v>-121.14</v>
      </c>
    </row>
    <row r="1633" spans="2:6" x14ac:dyDescent="0.2">
      <c r="B1633" s="116" t="s">
        <v>2808</v>
      </c>
      <c r="C1633" s="117" t="s">
        <v>2809</v>
      </c>
      <c r="D1633" s="118"/>
      <c r="E1633" s="118">
        <v>1.1200000000000001</v>
      </c>
      <c r="F1633" s="118"/>
    </row>
    <row r="1634" spans="2:6" x14ac:dyDescent="0.2">
      <c r="B1634" s="116" t="s">
        <v>2810</v>
      </c>
      <c r="C1634" s="117" t="s">
        <v>2811</v>
      </c>
      <c r="D1634" s="118">
        <v>5.5</v>
      </c>
      <c r="E1634" s="118">
        <v>5.47</v>
      </c>
      <c r="F1634" s="118">
        <v>29.86</v>
      </c>
    </row>
    <row r="1635" spans="2:6" x14ac:dyDescent="0.2">
      <c r="B1635" s="125" t="s">
        <v>2812</v>
      </c>
      <c r="C1635" s="118" t="s">
        <v>2813</v>
      </c>
      <c r="D1635" s="118">
        <v>0.51</v>
      </c>
      <c r="E1635" s="118"/>
      <c r="F1635" s="118">
        <v>10.25</v>
      </c>
    </row>
    <row r="1636" spans="2:6" x14ac:dyDescent="0.2">
      <c r="B1636" s="125" t="s">
        <v>4258</v>
      </c>
      <c r="C1636" s="118" t="s">
        <v>4259</v>
      </c>
      <c r="D1636" s="118">
        <v>0.77</v>
      </c>
      <c r="E1636" s="118">
        <v>1.2</v>
      </c>
      <c r="F1636" s="118">
        <v>15.12</v>
      </c>
    </row>
    <row r="1637" spans="2:6" x14ac:dyDescent="0.2">
      <c r="B1637" s="125" t="s">
        <v>2814</v>
      </c>
      <c r="C1637" s="118" t="s">
        <v>2815</v>
      </c>
      <c r="D1637" s="118"/>
      <c r="E1637" s="118">
        <v>2.36</v>
      </c>
      <c r="F1637" s="118"/>
    </row>
    <row r="1638" spans="2:6" x14ac:dyDescent="0.2">
      <c r="B1638" s="125" t="s">
        <v>2816</v>
      </c>
      <c r="C1638" s="118" t="s">
        <v>2817</v>
      </c>
      <c r="D1638" s="118">
        <v>3.22</v>
      </c>
      <c r="E1638" s="118">
        <v>3.28</v>
      </c>
      <c r="F1638" s="118">
        <v>11.17</v>
      </c>
    </row>
    <row r="1639" spans="2:6" x14ac:dyDescent="0.2">
      <c r="B1639" s="125" t="s">
        <v>2818</v>
      </c>
      <c r="C1639" s="118" t="s">
        <v>2819</v>
      </c>
      <c r="D1639" s="118">
        <v>1.28</v>
      </c>
      <c r="E1639" s="118">
        <v>1.28</v>
      </c>
      <c r="F1639" s="118">
        <v>14.73</v>
      </c>
    </row>
    <row r="1640" spans="2:6" x14ac:dyDescent="0.2">
      <c r="B1640" s="125" t="s">
        <v>4260</v>
      </c>
      <c r="C1640" s="118" t="s">
        <v>4261</v>
      </c>
      <c r="D1640" s="118">
        <v>1.07</v>
      </c>
      <c r="E1640" s="118">
        <v>1.1200000000000001</v>
      </c>
      <c r="F1640" s="118">
        <v>17.93</v>
      </c>
    </row>
    <row r="1641" spans="2:6" x14ac:dyDescent="0.2">
      <c r="B1641" s="125" t="s">
        <v>4262</v>
      </c>
      <c r="C1641" s="118" t="s">
        <v>4263</v>
      </c>
      <c r="D1641" s="118">
        <v>2.92</v>
      </c>
      <c r="E1641" s="118">
        <v>1.7</v>
      </c>
      <c r="F1641" s="118">
        <v>9.58</v>
      </c>
    </row>
    <row r="1642" spans="2:6" x14ac:dyDescent="0.2">
      <c r="B1642" s="125" t="s">
        <v>4264</v>
      </c>
      <c r="C1642" s="118" t="s">
        <v>4265</v>
      </c>
      <c r="D1642" s="118"/>
      <c r="E1642" s="118"/>
      <c r="F1642" s="118"/>
    </row>
    <row r="1643" spans="2:6" x14ac:dyDescent="0.2">
      <c r="B1643" s="125" t="s">
        <v>2820</v>
      </c>
      <c r="C1643" s="118" t="s">
        <v>2821</v>
      </c>
      <c r="D1643" s="118">
        <v>15.8</v>
      </c>
      <c r="E1643" s="118">
        <v>9.41</v>
      </c>
      <c r="F1643" s="118">
        <v>-17.16</v>
      </c>
    </row>
    <row r="1644" spans="2:6" x14ac:dyDescent="0.2">
      <c r="B1644" s="125" t="s">
        <v>2822</v>
      </c>
      <c r="C1644" s="118" t="s">
        <v>2823</v>
      </c>
      <c r="D1644" s="118"/>
      <c r="E1644" s="118">
        <v>5.21</v>
      </c>
      <c r="F1644" s="118"/>
    </row>
    <row r="1645" spans="2:6" x14ac:dyDescent="0.2">
      <c r="B1645" s="125" t="s">
        <v>2824</v>
      </c>
      <c r="C1645" s="118" t="s">
        <v>2825</v>
      </c>
      <c r="D1645" s="118"/>
      <c r="E1645" s="118">
        <v>13.72</v>
      </c>
      <c r="F1645" s="118"/>
    </row>
    <row r="1646" spans="2:6" x14ac:dyDescent="0.2">
      <c r="B1646" s="125" t="s">
        <v>4266</v>
      </c>
      <c r="C1646" s="118" t="s">
        <v>4267</v>
      </c>
      <c r="D1646" s="118"/>
      <c r="E1646" s="118"/>
      <c r="F1646" s="118"/>
    </row>
    <row r="1647" spans="2:6" x14ac:dyDescent="0.2">
      <c r="B1647" s="125" t="s">
        <v>2826</v>
      </c>
      <c r="C1647" s="118" t="s">
        <v>2827</v>
      </c>
      <c r="D1647" s="118">
        <v>7.35</v>
      </c>
      <c r="E1647" s="118">
        <v>12.93</v>
      </c>
      <c r="F1647" s="118">
        <v>9.01</v>
      </c>
    </row>
    <row r="1648" spans="2:6" x14ac:dyDescent="0.2">
      <c r="B1648" s="125" t="s">
        <v>4268</v>
      </c>
      <c r="C1648" s="118" t="s">
        <v>4269</v>
      </c>
      <c r="D1648" s="118"/>
      <c r="E1648" s="118">
        <v>0.56000000000000005</v>
      </c>
      <c r="F1648" s="118"/>
    </row>
    <row r="1649" spans="2:6" x14ac:dyDescent="0.2">
      <c r="B1649" s="125" t="s">
        <v>2828</v>
      </c>
      <c r="C1649" s="118" t="s">
        <v>2829</v>
      </c>
      <c r="D1649" s="118">
        <v>0.28000000000000003</v>
      </c>
      <c r="E1649" s="118">
        <v>2.5099999999999998</v>
      </c>
      <c r="F1649" s="118">
        <v>-159.01</v>
      </c>
    </row>
    <row r="1650" spans="2:6" x14ac:dyDescent="0.2">
      <c r="B1650" s="125" t="s">
        <v>2830</v>
      </c>
      <c r="C1650" s="118" t="s">
        <v>2831</v>
      </c>
      <c r="D1650" s="118">
        <v>3.25</v>
      </c>
      <c r="E1650" s="118"/>
      <c r="F1650" s="118">
        <v>13.55</v>
      </c>
    </row>
    <row r="1651" spans="2:6" x14ac:dyDescent="0.2">
      <c r="B1651" s="125" t="s">
        <v>2832</v>
      </c>
      <c r="C1651" s="118" t="s">
        <v>2833</v>
      </c>
      <c r="D1651" s="118">
        <v>0.71</v>
      </c>
      <c r="E1651" s="118">
        <v>0.46</v>
      </c>
      <c r="F1651" s="118">
        <v>12.35</v>
      </c>
    </row>
    <row r="1652" spans="2:6" x14ac:dyDescent="0.2">
      <c r="B1652" s="125" t="s">
        <v>2834</v>
      </c>
      <c r="C1652" s="118" t="s">
        <v>2835</v>
      </c>
      <c r="D1652" s="118">
        <v>0.21</v>
      </c>
      <c r="E1652" s="118">
        <v>0.76</v>
      </c>
      <c r="F1652" s="118">
        <v>9.68</v>
      </c>
    </row>
    <row r="1653" spans="2:6" x14ac:dyDescent="0.2">
      <c r="B1653" s="125" t="s">
        <v>2836</v>
      </c>
      <c r="C1653" s="118" t="s">
        <v>2837</v>
      </c>
      <c r="D1653" s="118">
        <v>8.7200000000000006</v>
      </c>
      <c r="E1653" s="118"/>
      <c r="F1653" s="118">
        <v>-137.43</v>
      </c>
    </row>
    <row r="1654" spans="2:6" x14ac:dyDescent="0.2">
      <c r="B1654" s="125" t="s">
        <v>4270</v>
      </c>
      <c r="C1654" s="118" t="s">
        <v>4271</v>
      </c>
      <c r="D1654" s="118"/>
      <c r="E1654" s="118"/>
      <c r="F1654" s="118"/>
    </row>
    <row r="1655" spans="2:6" x14ac:dyDescent="0.2">
      <c r="B1655" s="125" t="s">
        <v>4272</v>
      </c>
      <c r="C1655" s="118" t="s">
        <v>4273</v>
      </c>
      <c r="D1655" s="118">
        <v>0.47</v>
      </c>
      <c r="E1655" s="118">
        <v>1.1100000000000001</v>
      </c>
      <c r="F1655" s="118">
        <v>13.3</v>
      </c>
    </row>
    <row r="1656" spans="2:6" x14ac:dyDescent="0.2">
      <c r="B1656" s="125" t="s">
        <v>2838</v>
      </c>
      <c r="C1656" s="118" t="s">
        <v>2839</v>
      </c>
      <c r="D1656" s="118"/>
      <c r="E1656" s="118"/>
      <c r="F1656" s="118"/>
    </row>
    <row r="1657" spans="2:6" x14ac:dyDescent="0.2">
      <c r="B1657" s="125" t="s">
        <v>2840</v>
      </c>
      <c r="C1657" s="118" t="s">
        <v>2841</v>
      </c>
      <c r="D1657" s="118">
        <v>2.76</v>
      </c>
      <c r="E1657" s="118">
        <v>1.25</v>
      </c>
      <c r="F1657" s="118">
        <v>8.9700000000000006</v>
      </c>
    </row>
    <row r="1658" spans="2:6" x14ac:dyDescent="0.2">
      <c r="B1658" s="125" t="s">
        <v>2842</v>
      </c>
      <c r="C1658" s="118" t="s">
        <v>2843</v>
      </c>
      <c r="D1658" s="118">
        <v>27.43</v>
      </c>
      <c r="E1658" s="118">
        <v>16.45</v>
      </c>
      <c r="F1658" s="118">
        <v>-3.85</v>
      </c>
    </row>
    <row r="1659" spans="2:6" x14ac:dyDescent="0.2">
      <c r="B1659" s="125" t="s">
        <v>4274</v>
      </c>
      <c r="C1659" s="118" t="s">
        <v>4275</v>
      </c>
      <c r="D1659" s="118"/>
      <c r="E1659" s="118"/>
      <c r="F1659" s="118"/>
    </row>
    <row r="1660" spans="2:6" x14ac:dyDescent="0.2">
      <c r="B1660" s="125" t="s">
        <v>2844</v>
      </c>
      <c r="C1660" s="118" t="s">
        <v>2845</v>
      </c>
      <c r="D1660" s="118">
        <v>2.87</v>
      </c>
      <c r="E1660" s="118">
        <v>13.55</v>
      </c>
      <c r="F1660" s="118">
        <v>48.92</v>
      </c>
    </row>
    <row r="1661" spans="2:6" x14ac:dyDescent="0.2">
      <c r="B1661" s="125" t="s">
        <v>2846</v>
      </c>
      <c r="C1661" s="118" t="s">
        <v>2847</v>
      </c>
      <c r="D1661" s="118">
        <v>3.59</v>
      </c>
      <c r="E1661" s="118">
        <v>8.69</v>
      </c>
      <c r="F1661" s="118">
        <v>41.79</v>
      </c>
    </row>
    <row r="1662" spans="2:6" x14ac:dyDescent="0.2">
      <c r="B1662" s="125" t="s">
        <v>4276</v>
      </c>
      <c r="C1662" s="118" t="s">
        <v>4277</v>
      </c>
      <c r="D1662" s="118"/>
      <c r="E1662" s="118"/>
      <c r="F1662" s="118"/>
    </row>
    <row r="1663" spans="2:6" x14ac:dyDescent="0.2">
      <c r="B1663" s="125" t="s">
        <v>4278</v>
      </c>
      <c r="C1663" s="118" t="s">
        <v>4279</v>
      </c>
      <c r="D1663" s="118"/>
      <c r="E1663" s="118"/>
      <c r="F1663" s="118"/>
    </row>
    <row r="1664" spans="2:6" x14ac:dyDescent="0.2">
      <c r="B1664" s="125" t="s">
        <v>4280</v>
      </c>
      <c r="C1664" s="118" t="s">
        <v>4281</v>
      </c>
      <c r="D1664" s="118"/>
      <c r="E1664" s="118">
        <v>0.49</v>
      </c>
      <c r="F1664" s="118"/>
    </row>
    <row r="1665" spans="2:6" x14ac:dyDescent="0.2">
      <c r="B1665" s="125" t="s">
        <v>2848</v>
      </c>
      <c r="C1665" s="118" t="s">
        <v>2849</v>
      </c>
      <c r="D1665" s="118">
        <v>0.7</v>
      </c>
      <c r="E1665" s="118">
        <v>1.45</v>
      </c>
      <c r="F1665" s="118">
        <v>40.909999999999997</v>
      </c>
    </row>
    <row r="1666" spans="2:6" x14ac:dyDescent="0.2">
      <c r="B1666" s="125" t="s">
        <v>2850</v>
      </c>
      <c r="C1666" s="118" t="s">
        <v>2851</v>
      </c>
      <c r="D1666" s="118">
        <v>0.94</v>
      </c>
      <c r="E1666" s="118">
        <v>1.71</v>
      </c>
      <c r="F1666" s="118">
        <v>9.15</v>
      </c>
    </row>
    <row r="1667" spans="2:6" x14ac:dyDescent="0.2">
      <c r="B1667" s="125" t="s">
        <v>2852</v>
      </c>
      <c r="C1667" s="118" t="s">
        <v>2853</v>
      </c>
      <c r="D1667" s="118">
        <v>1.63</v>
      </c>
      <c r="E1667" s="118">
        <v>2.14</v>
      </c>
      <c r="F1667" s="118">
        <v>13.53</v>
      </c>
    </row>
    <row r="1668" spans="2:6" x14ac:dyDescent="0.2">
      <c r="B1668" s="125" t="s">
        <v>2854</v>
      </c>
      <c r="C1668" s="118" t="s">
        <v>2855</v>
      </c>
      <c r="D1668" s="118">
        <v>1.42</v>
      </c>
      <c r="E1668" s="118">
        <v>0.76</v>
      </c>
      <c r="F1668" s="118">
        <v>3.8</v>
      </c>
    </row>
    <row r="1669" spans="2:6" x14ac:dyDescent="0.2">
      <c r="B1669" s="125" t="s">
        <v>2857</v>
      </c>
      <c r="C1669" s="118" t="s">
        <v>2858</v>
      </c>
      <c r="D1669" s="118">
        <v>4.17</v>
      </c>
      <c r="E1669" s="118"/>
      <c r="F1669" s="118">
        <v>-117.72</v>
      </c>
    </row>
    <row r="1670" spans="2:6" x14ac:dyDescent="0.2">
      <c r="B1670" s="125" t="s">
        <v>2859</v>
      </c>
      <c r="C1670" s="118" t="s">
        <v>2860</v>
      </c>
      <c r="D1670" s="118">
        <v>1.38</v>
      </c>
      <c r="E1670" s="118">
        <v>8.86</v>
      </c>
      <c r="F1670" s="118">
        <v>22.24</v>
      </c>
    </row>
    <row r="1671" spans="2:6" x14ac:dyDescent="0.2">
      <c r="B1671" s="125" t="s">
        <v>2861</v>
      </c>
      <c r="C1671" s="118" t="s">
        <v>2862</v>
      </c>
      <c r="D1671" s="118">
        <v>3.48</v>
      </c>
      <c r="E1671" s="118">
        <v>2</v>
      </c>
      <c r="F1671" s="118">
        <v>21.44</v>
      </c>
    </row>
    <row r="1672" spans="2:6" x14ac:dyDescent="0.2">
      <c r="B1672" s="125" t="s">
        <v>2863</v>
      </c>
      <c r="C1672" s="118" t="s">
        <v>2864</v>
      </c>
      <c r="D1672" s="118">
        <v>2.95</v>
      </c>
      <c r="E1672" s="118"/>
      <c r="F1672" s="118">
        <v>-41.03</v>
      </c>
    </row>
    <row r="1673" spans="2:6" x14ac:dyDescent="0.2">
      <c r="B1673" s="125" t="s">
        <v>2867</v>
      </c>
      <c r="C1673" s="118" t="s">
        <v>2868</v>
      </c>
      <c r="D1673" s="118">
        <v>1.59</v>
      </c>
      <c r="E1673" s="118">
        <v>1.54</v>
      </c>
      <c r="F1673" s="118">
        <v>11.49</v>
      </c>
    </row>
    <row r="1674" spans="2:6" x14ac:dyDescent="0.2">
      <c r="B1674" s="125" t="s">
        <v>4282</v>
      </c>
      <c r="C1674" s="118" t="s">
        <v>4283</v>
      </c>
      <c r="D1674" s="118"/>
      <c r="E1674" s="118"/>
      <c r="F1674" s="118"/>
    </row>
    <row r="1675" spans="2:6" x14ac:dyDescent="0.2">
      <c r="B1675" s="125" t="s">
        <v>4284</v>
      </c>
      <c r="C1675" s="118" t="s">
        <v>4285</v>
      </c>
      <c r="D1675" s="118">
        <v>2.46</v>
      </c>
      <c r="E1675" s="118">
        <v>2.12</v>
      </c>
      <c r="F1675" s="118">
        <v>12.54</v>
      </c>
    </row>
    <row r="1676" spans="2:6" x14ac:dyDescent="0.2">
      <c r="B1676" s="125" t="s">
        <v>2869</v>
      </c>
      <c r="C1676" s="118" t="s">
        <v>2870</v>
      </c>
      <c r="D1676" s="118">
        <v>0.83</v>
      </c>
      <c r="E1676" s="118">
        <v>2.06</v>
      </c>
      <c r="F1676" s="118">
        <v>19.079999999999998</v>
      </c>
    </row>
    <row r="1677" spans="2:6" x14ac:dyDescent="0.2">
      <c r="B1677" s="125" t="s">
        <v>4286</v>
      </c>
      <c r="C1677" s="118" t="s">
        <v>4287</v>
      </c>
      <c r="D1677" s="118">
        <v>0.63</v>
      </c>
      <c r="E1677" s="118">
        <v>1.25</v>
      </c>
      <c r="F1677" s="118">
        <v>13.02</v>
      </c>
    </row>
    <row r="1678" spans="2:6" x14ac:dyDescent="0.2">
      <c r="B1678" s="125" t="s">
        <v>2871</v>
      </c>
      <c r="C1678" s="118" t="s">
        <v>2872</v>
      </c>
      <c r="D1678" s="118">
        <v>0.64</v>
      </c>
      <c r="E1678" s="118">
        <v>0.71</v>
      </c>
      <c r="F1678" s="118">
        <v>15.02</v>
      </c>
    </row>
    <row r="1679" spans="2:6" x14ac:dyDescent="0.2">
      <c r="B1679" s="125" t="s">
        <v>2873</v>
      </c>
      <c r="C1679" s="118" t="s">
        <v>2874</v>
      </c>
      <c r="D1679" s="118">
        <v>1.17</v>
      </c>
      <c r="E1679" s="118">
        <v>2.35</v>
      </c>
      <c r="F1679" s="118">
        <v>14.59</v>
      </c>
    </row>
    <row r="1680" spans="2:6" x14ac:dyDescent="0.2">
      <c r="B1680" s="125" t="s">
        <v>2875</v>
      </c>
      <c r="C1680" s="118" t="s">
        <v>2876</v>
      </c>
      <c r="D1680" s="118">
        <v>0.97</v>
      </c>
      <c r="E1680" s="118">
        <v>1.46</v>
      </c>
      <c r="F1680" s="118">
        <v>15.47</v>
      </c>
    </row>
    <row r="1681" spans="2:6" x14ac:dyDescent="0.2">
      <c r="B1681" s="125" t="s">
        <v>2877</v>
      </c>
      <c r="C1681" s="118" t="s">
        <v>2878</v>
      </c>
      <c r="D1681" s="118">
        <v>5.77</v>
      </c>
      <c r="E1681" s="118">
        <v>4.6100000000000003</v>
      </c>
      <c r="F1681" s="118">
        <v>9.9700000000000006</v>
      </c>
    </row>
    <row r="1682" spans="2:6" x14ac:dyDescent="0.2">
      <c r="B1682" s="125" t="s">
        <v>2879</v>
      </c>
      <c r="C1682" s="118" t="s">
        <v>2880</v>
      </c>
      <c r="D1682" s="118">
        <v>1.57</v>
      </c>
      <c r="E1682" s="118">
        <v>1.42</v>
      </c>
      <c r="F1682" s="118">
        <v>5.62</v>
      </c>
    </row>
    <row r="1683" spans="2:6" x14ac:dyDescent="0.2">
      <c r="B1683" s="125" t="s">
        <v>2881</v>
      </c>
      <c r="C1683" s="118" t="s">
        <v>2882</v>
      </c>
      <c r="D1683" s="118">
        <v>0.98</v>
      </c>
      <c r="E1683" s="118">
        <v>1.58</v>
      </c>
      <c r="F1683" s="118">
        <v>13.37</v>
      </c>
    </row>
    <row r="1684" spans="2:6" x14ac:dyDescent="0.2">
      <c r="B1684" s="125" t="s">
        <v>2883</v>
      </c>
      <c r="C1684" s="118" t="s">
        <v>2884</v>
      </c>
      <c r="D1684" s="118"/>
      <c r="E1684" s="118">
        <v>0.89</v>
      </c>
      <c r="F1684" s="118"/>
    </row>
    <row r="1685" spans="2:6" x14ac:dyDescent="0.2">
      <c r="B1685" s="125" t="s">
        <v>2885</v>
      </c>
      <c r="C1685" s="118" t="s">
        <v>2886</v>
      </c>
      <c r="D1685" s="118">
        <v>5.4</v>
      </c>
      <c r="E1685" s="118">
        <v>1.1299999999999999</v>
      </c>
      <c r="F1685" s="118">
        <v>3.99</v>
      </c>
    </row>
    <row r="1686" spans="2:6" x14ac:dyDescent="0.2">
      <c r="B1686" s="125" t="s">
        <v>2887</v>
      </c>
      <c r="C1686" s="118" t="s">
        <v>2888</v>
      </c>
      <c r="D1686" s="118">
        <v>0.73</v>
      </c>
      <c r="E1686" s="118">
        <v>3.53</v>
      </c>
      <c r="F1686" s="118">
        <v>26.45</v>
      </c>
    </row>
    <row r="1687" spans="2:6" x14ac:dyDescent="0.2">
      <c r="B1687" s="125" t="s">
        <v>2889</v>
      </c>
      <c r="C1687" s="118" t="s">
        <v>2890</v>
      </c>
      <c r="D1687" s="118">
        <v>1.92</v>
      </c>
      <c r="E1687" s="118">
        <v>1.52</v>
      </c>
      <c r="F1687" s="118">
        <v>20.440000000000001</v>
      </c>
    </row>
    <row r="1688" spans="2:6" x14ac:dyDescent="0.2">
      <c r="B1688" s="125" t="s">
        <v>4288</v>
      </c>
      <c r="C1688" s="118" t="s">
        <v>4289</v>
      </c>
      <c r="D1688" s="118"/>
      <c r="E1688" s="118"/>
      <c r="F1688" s="118"/>
    </row>
    <row r="1689" spans="2:6" x14ac:dyDescent="0.2">
      <c r="B1689" s="125" t="s">
        <v>2891</v>
      </c>
      <c r="C1689" s="118" t="s">
        <v>2892</v>
      </c>
      <c r="D1689" s="118">
        <v>19.37</v>
      </c>
      <c r="E1689" s="118">
        <v>7.93</v>
      </c>
      <c r="F1689" s="118">
        <v>-24.74</v>
      </c>
    </row>
    <row r="1690" spans="2:6" x14ac:dyDescent="0.2">
      <c r="B1690" s="125" t="s">
        <v>2893</v>
      </c>
      <c r="C1690" s="118" t="s">
        <v>2894</v>
      </c>
      <c r="D1690" s="118">
        <v>5.55</v>
      </c>
      <c r="E1690" s="118">
        <v>2.48</v>
      </c>
      <c r="F1690" s="118">
        <v>9.51</v>
      </c>
    </row>
    <row r="1691" spans="2:6" x14ac:dyDescent="0.2">
      <c r="B1691" s="125" t="s">
        <v>2895</v>
      </c>
      <c r="C1691" s="118" t="s">
        <v>2896</v>
      </c>
      <c r="D1691" s="118">
        <v>0.95</v>
      </c>
      <c r="E1691" s="118">
        <v>0.47</v>
      </c>
      <c r="F1691" s="118">
        <v>6.23</v>
      </c>
    </row>
    <row r="1692" spans="2:6" x14ac:dyDescent="0.2">
      <c r="B1692" s="125" t="s">
        <v>2897</v>
      </c>
      <c r="C1692" s="118" t="s">
        <v>2898</v>
      </c>
      <c r="D1692" s="118"/>
      <c r="E1692" s="118">
        <v>2.13</v>
      </c>
      <c r="F1692" s="118"/>
    </row>
    <row r="1693" spans="2:6" x14ac:dyDescent="0.2">
      <c r="B1693" s="125" t="s">
        <v>2899</v>
      </c>
      <c r="C1693" s="118" t="s">
        <v>2900</v>
      </c>
      <c r="D1693" s="118">
        <v>1.8</v>
      </c>
      <c r="E1693" s="118">
        <v>6.9</v>
      </c>
      <c r="F1693" s="118">
        <v>51.15</v>
      </c>
    </row>
    <row r="1694" spans="2:6" x14ac:dyDescent="0.2">
      <c r="B1694" s="125" t="s">
        <v>4290</v>
      </c>
      <c r="C1694" s="118" t="s">
        <v>4291</v>
      </c>
      <c r="D1694" s="118">
        <v>0.4</v>
      </c>
      <c r="E1694" s="118">
        <v>0.83</v>
      </c>
      <c r="F1694" s="118">
        <v>4.82</v>
      </c>
    </row>
    <row r="1695" spans="2:6" x14ac:dyDescent="0.2">
      <c r="B1695" s="125" t="s">
        <v>2901</v>
      </c>
      <c r="C1695" s="118" t="s">
        <v>2902</v>
      </c>
      <c r="D1695" s="118"/>
      <c r="E1695" s="118">
        <v>2.91</v>
      </c>
      <c r="F1695" s="118"/>
    </row>
    <row r="1696" spans="2:6" x14ac:dyDescent="0.2">
      <c r="B1696" s="125" t="s">
        <v>2903</v>
      </c>
      <c r="C1696" s="118" t="s">
        <v>2904</v>
      </c>
      <c r="D1696" s="118">
        <v>2.19</v>
      </c>
      <c r="E1696" s="118">
        <v>0.71</v>
      </c>
      <c r="F1696" s="118">
        <v>0.64</v>
      </c>
    </row>
    <row r="1697" spans="2:6" x14ac:dyDescent="0.2">
      <c r="B1697" s="125" t="s">
        <v>4292</v>
      </c>
      <c r="C1697" s="118" t="s">
        <v>4293</v>
      </c>
      <c r="D1697" s="118">
        <v>4.37</v>
      </c>
      <c r="E1697" s="118"/>
      <c r="F1697" s="118"/>
    </row>
    <row r="1698" spans="2:6" x14ac:dyDescent="0.2">
      <c r="B1698" s="125" t="s">
        <v>4294</v>
      </c>
      <c r="C1698" s="118" t="s">
        <v>4295</v>
      </c>
      <c r="D1698" s="118">
        <v>0.48</v>
      </c>
      <c r="E1698" s="118"/>
      <c r="F1698" s="118">
        <v>7.6</v>
      </c>
    </row>
    <row r="1699" spans="2:6" x14ac:dyDescent="0.2">
      <c r="B1699" s="125" t="s">
        <v>2905</v>
      </c>
      <c r="C1699" s="118" t="s">
        <v>2906</v>
      </c>
      <c r="D1699" s="118">
        <v>5.16</v>
      </c>
      <c r="E1699" s="118">
        <v>4.5</v>
      </c>
      <c r="F1699" s="118">
        <v>12.91</v>
      </c>
    </row>
    <row r="1700" spans="2:6" x14ac:dyDescent="0.2">
      <c r="B1700" s="125" t="s">
        <v>2907</v>
      </c>
      <c r="C1700" s="118" t="s">
        <v>2908</v>
      </c>
      <c r="D1700" s="118">
        <v>2.31</v>
      </c>
      <c r="E1700" s="118">
        <v>2.6</v>
      </c>
      <c r="F1700" s="118">
        <v>21.4</v>
      </c>
    </row>
    <row r="1701" spans="2:6" x14ac:dyDescent="0.2">
      <c r="B1701" s="125" t="s">
        <v>2910</v>
      </c>
      <c r="C1701" s="118" t="s">
        <v>2911</v>
      </c>
      <c r="D1701" s="118">
        <v>16.84</v>
      </c>
      <c r="E1701" s="118">
        <v>11.05</v>
      </c>
      <c r="F1701" s="118">
        <v>-46.46</v>
      </c>
    </row>
    <row r="1702" spans="2:6" x14ac:dyDescent="0.2">
      <c r="B1702" s="125" t="s">
        <v>2912</v>
      </c>
      <c r="C1702" s="118" t="s">
        <v>2913</v>
      </c>
      <c r="D1702" s="118">
        <v>0.77</v>
      </c>
      <c r="E1702" s="118">
        <v>1.76</v>
      </c>
      <c r="F1702" s="118">
        <v>11.94</v>
      </c>
    </row>
    <row r="1703" spans="2:6" x14ac:dyDescent="0.2">
      <c r="B1703" s="125" t="s">
        <v>2914</v>
      </c>
      <c r="C1703" s="118" t="s">
        <v>2915</v>
      </c>
      <c r="D1703" s="118">
        <v>0.96</v>
      </c>
      <c r="E1703" s="118">
        <v>1.81</v>
      </c>
      <c r="F1703" s="118">
        <v>19.21</v>
      </c>
    </row>
    <row r="1704" spans="2:6" x14ac:dyDescent="0.2">
      <c r="B1704" s="125" t="s">
        <v>4296</v>
      </c>
      <c r="C1704" s="118" t="s">
        <v>4297</v>
      </c>
      <c r="D1704" s="118"/>
      <c r="E1704" s="118"/>
      <c r="F1704" s="118"/>
    </row>
    <row r="1705" spans="2:6" x14ac:dyDescent="0.2">
      <c r="B1705" s="125" t="s">
        <v>2916</v>
      </c>
      <c r="C1705" s="118" t="s">
        <v>2917</v>
      </c>
      <c r="D1705" s="118"/>
      <c r="E1705" s="118">
        <v>4.22</v>
      </c>
      <c r="F1705" s="118"/>
    </row>
    <row r="1706" spans="2:6" x14ac:dyDescent="0.2">
      <c r="B1706" s="125" t="s">
        <v>2918</v>
      </c>
      <c r="C1706" s="118" t="s">
        <v>2919</v>
      </c>
      <c r="D1706" s="118">
        <v>0.16</v>
      </c>
      <c r="E1706" s="118">
        <v>0.56999999999999995</v>
      </c>
      <c r="F1706" s="118">
        <v>8.1300000000000008</v>
      </c>
    </row>
    <row r="1707" spans="2:6" x14ac:dyDescent="0.2">
      <c r="B1707" s="125" t="s">
        <v>2920</v>
      </c>
      <c r="C1707" s="118" t="s">
        <v>2921</v>
      </c>
      <c r="D1707" s="118">
        <v>6.17</v>
      </c>
      <c r="E1707" s="118">
        <v>5.18</v>
      </c>
      <c r="F1707" s="118">
        <v>16.559999999999999</v>
      </c>
    </row>
    <row r="1708" spans="2:6" x14ac:dyDescent="0.2">
      <c r="B1708" s="125" t="s">
        <v>2922</v>
      </c>
      <c r="C1708" s="118" t="s">
        <v>2923</v>
      </c>
      <c r="D1708" s="118"/>
      <c r="E1708" s="118"/>
      <c r="F1708" s="118"/>
    </row>
    <row r="1709" spans="2:6" x14ac:dyDescent="0.2">
      <c r="B1709" s="125" t="s">
        <v>2924</v>
      </c>
      <c r="C1709" s="118" t="s">
        <v>2925</v>
      </c>
      <c r="D1709" s="118">
        <v>2.71</v>
      </c>
      <c r="E1709" s="118">
        <v>1.25</v>
      </c>
      <c r="F1709" s="118">
        <v>15.11</v>
      </c>
    </row>
    <row r="1710" spans="2:6" x14ac:dyDescent="0.2">
      <c r="B1710" s="125" t="s">
        <v>2926</v>
      </c>
      <c r="C1710" s="118" t="s">
        <v>2927</v>
      </c>
      <c r="D1710" s="118">
        <v>0.23</v>
      </c>
      <c r="E1710" s="118">
        <v>1.42</v>
      </c>
      <c r="F1710" s="118">
        <v>17.649999999999999</v>
      </c>
    </row>
    <row r="1711" spans="2:6" x14ac:dyDescent="0.2">
      <c r="B1711" s="125" t="s">
        <v>2928</v>
      </c>
      <c r="C1711" s="118" t="s">
        <v>2929</v>
      </c>
      <c r="D1711" s="118">
        <v>2.88</v>
      </c>
      <c r="E1711" s="118">
        <v>1.83</v>
      </c>
      <c r="F1711" s="118">
        <v>18.190000000000001</v>
      </c>
    </row>
    <row r="1712" spans="2:6" x14ac:dyDescent="0.2">
      <c r="B1712" s="125" t="s">
        <v>4298</v>
      </c>
      <c r="C1712" s="118" t="s">
        <v>4299</v>
      </c>
      <c r="D1712" s="118">
        <v>0.66</v>
      </c>
      <c r="E1712" s="118"/>
      <c r="F1712" s="118">
        <v>10.09</v>
      </c>
    </row>
    <row r="1713" spans="2:6" x14ac:dyDescent="0.2">
      <c r="B1713" s="125" t="s">
        <v>2930</v>
      </c>
      <c r="C1713" s="118" t="s">
        <v>2931</v>
      </c>
      <c r="D1713" s="118">
        <v>2.89</v>
      </c>
      <c r="E1713" s="118">
        <v>2.04</v>
      </c>
      <c r="F1713" s="118">
        <v>10.039999999999999</v>
      </c>
    </row>
    <row r="1714" spans="2:6" x14ac:dyDescent="0.2">
      <c r="B1714" s="125" t="s">
        <v>4300</v>
      </c>
      <c r="C1714" s="118" t="s">
        <v>4301</v>
      </c>
      <c r="D1714" s="118"/>
      <c r="E1714" s="118"/>
      <c r="F1714" s="118"/>
    </row>
    <row r="1715" spans="2:6" x14ac:dyDescent="0.2">
      <c r="B1715" s="125" t="s">
        <v>2932</v>
      </c>
      <c r="C1715" s="118" t="s">
        <v>2933</v>
      </c>
      <c r="D1715" s="118">
        <v>2.16</v>
      </c>
      <c r="E1715" s="118"/>
      <c r="F1715" s="118">
        <v>8.9600000000000009</v>
      </c>
    </row>
    <row r="1716" spans="2:6" x14ac:dyDescent="0.2">
      <c r="B1716" s="125" t="s">
        <v>2934</v>
      </c>
      <c r="C1716" s="118" t="s">
        <v>2935</v>
      </c>
      <c r="D1716" s="118"/>
      <c r="E1716" s="118"/>
      <c r="F1716" s="118"/>
    </row>
    <row r="1717" spans="2:6" x14ac:dyDescent="0.2">
      <c r="B1717" s="125" t="s">
        <v>2936</v>
      </c>
      <c r="C1717" s="118" t="s">
        <v>2937</v>
      </c>
      <c r="D1717" s="118">
        <v>1.07</v>
      </c>
      <c r="E1717" s="118">
        <v>3.13</v>
      </c>
      <c r="F1717" s="118">
        <v>19.55</v>
      </c>
    </row>
    <row r="1718" spans="2:6" x14ac:dyDescent="0.2">
      <c r="B1718" s="125" t="s">
        <v>2938</v>
      </c>
      <c r="C1718" s="118" t="s">
        <v>2939</v>
      </c>
      <c r="D1718" s="118"/>
      <c r="E1718" s="118">
        <v>5.98</v>
      </c>
      <c r="F1718" s="118"/>
    </row>
    <row r="1719" spans="2:6" x14ac:dyDescent="0.2">
      <c r="B1719" s="125" t="s">
        <v>2940</v>
      </c>
      <c r="C1719" s="118" t="s">
        <v>2941</v>
      </c>
      <c r="D1719" s="118"/>
      <c r="E1719" s="118"/>
      <c r="F1719" s="118"/>
    </row>
    <row r="1720" spans="2:6" x14ac:dyDescent="0.2">
      <c r="B1720" s="125" t="s">
        <v>2942</v>
      </c>
      <c r="C1720" s="118" t="s">
        <v>2943</v>
      </c>
      <c r="D1720" s="118">
        <v>8.35</v>
      </c>
      <c r="E1720" s="118">
        <v>14.38</v>
      </c>
      <c r="F1720" s="118">
        <v>63.49</v>
      </c>
    </row>
    <row r="1721" spans="2:6" x14ac:dyDescent="0.2">
      <c r="B1721" s="125" t="s">
        <v>2944</v>
      </c>
      <c r="C1721" s="118" t="s">
        <v>2945</v>
      </c>
      <c r="D1721" s="118">
        <v>9.7899999999999991</v>
      </c>
      <c r="E1721" s="118">
        <v>109.23</v>
      </c>
      <c r="F1721" s="118">
        <v>341.54</v>
      </c>
    </row>
    <row r="1722" spans="2:6" x14ac:dyDescent="0.2">
      <c r="B1722" s="125" t="s">
        <v>4302</v>
      </c>
      <c r="C1722" s="118" t="s">
        <v>4303</v>
      </c>
      <c r="D1722" s="118"/>
      <c r="E1722" s="118">
        <v>5.1100000000000003</v>
      </c>
      <c r="F1722" s="118"/>
    </row>
    <row r="1723" spans="2:6" x14ac:dyDescent="0.2">
      <c r="B1723" s="125" t="s">
        <v>2946</v>
      </c>
      <c r="C1723" s="118" t="s">
        <v>2947</v>
      </c>
      <c r="D1723" s="118">
        <v>9</v>
      </c>
      <c r="E1723" s="118">
        <v>12.84</v>
      </c>
      <c r="F1723" s="118">
        <v>-12.74</v>
      </c>
    </row>
    <row r="1724" spans="2:6" x14ac:dyDescent="0.2">
      <c r="B1724" s="125" t="s">
        <v>2948</v>
      </c>
      <c r="C1724" s="118" t="s">
        <v>2949</v>
      </c>
      <c r="D1724" s="118">
        <v>3.18</v>
      </c>
      <c r="E1724" s="118">
        <v>9.99</v>
      </c>
      <c r="F1724" s="118">
        <v>13.23</v>
      </c>
    </row>
    <row r="1725" spans="2:6" x14ac:dyDescent="0.2">
      <c r="B1725" s="125" t="s">
        <v>2950</v>
      </c>
      <c r="C1725" s="118" t="s">
        <v>2951</v>
      </c>
      <c r="D1725" s="118">
        <v>1.1299999999999999</v>
      </c>
      <c r="E1725" s="118">
        <v>5.95</v>
      </c>
      <c r="F1725" s="118">
        <v>56.85</v>
      </c>
    </row>
    <row r="1726" spans="2:6" x14ac:dyDescent="0.2">
      <c r="B1726" s="125" t="s">
        <v>2952</v>
      </c>
      <c r="C1726" s="118" t="s">
        <v>2953</v>
      </c>
      <c r="D1726" s="118"/>
      <c r="E1726" s="118"/>
      <c r="F1726" s="118"/>
    </row>
    <row r="1727" spans="2:6" x14ac:dyDescent="0.2">
      <c r="B1727" s="125" t="s">
        <v>4304</v>
      </c>
      <c r="C1727" s="118" t="s">
        <v>4305</v>
      </c>
      <c r="D1727" s="118"/>
      <c r="E1727" s="118"/>
      <c r="F1727" s="118"/>
    </row>
    <row r="1728" spans="2:6" x14ac:dyDescent="0.2">
      <c r="B1728" s="125" t="s">
        <v>2954</v>
      </c>
      <c r="C1728" s="118" t="s">
        <v>2955</v>
      </c>
      <c r="D1728" s="118">
        <v>6.26</v>
      </c>
      <c r="E1728" s="118">
        <v>20.82</v>
      </c>
      <c r="F1728" s="118">
        <v>2.65</v>
      </c>
    </row>
    <row r="1729" spans="2:6" x14ac:dyDescent="0.2">
      <c r="B1729" s="125" t="s">
        <v>2956</v>
      </c>
      <c r="C1729" s="118" t="s">
        <v>2957</v>
      </c>
      <c r="D1729" s="118">
        <v>3.48</v>
      </c>
      <c r="E1729" s="118">
        <v>3.43</v>
      </c>
      <c r="F1729" s="118">
        <v>16.04</v>
      </c>
    </row>
    <row r="1730" spans="2:6" x14ac:dyDescent="0.2">
      <c r="B1730" s="125" t="s">
        <v>2958</v>
      </c>
      <c r="C1730" s="118" t="s">
        <v>2959</v>
      </c>
      <c r="D1730" s="118">
        <v>2.33</v>
      </c>
      <c r="E1730" s="118">
        <v>2.71</v>
      </c>
      <c r="F1730" s="118">
        <v>8.35</v>
      </c>
    </row>
    <row r="1731" spans="2:6" x14ac:dyDescent="0.2">
      <c r="B1731" s="125" t="s">
        <v>2961</v>
      </c>
      <c r="C1731" s="118" t="s">
        <v>2962</v>
      </c>
      <c r="D1731" s="118">
        <v>2.23</v>
      </c>
      <c r="E1731" s="118">
        <v>1.85</v>
      </c>
      <c r="F1731" s="118">
        <v>7.56</v>
      </c>
    </row>
    <row r="1732" spans="2:6" x14ac:dyDescent="0.2">
      <c r="B1732" s="125" t="s">
        <v>2963</v>
      </c>
      <c r="C1732" s="118" t="s">
        <v>2964</v>
      </c>
      <c r="D1732" s="118">
        <v>9.26</v>
      </c>
      <c r="E1732" s="118">
        <v>1.52</v>
      </c>
      <c r="F1732" s="118">
        <v>6.54</v>
      </c>
    </row>
    <row r="1733" spans="2:6" x14ac:dyDescent="0.2">
      <c r="B1733" s="125" t="s">
        <v>2965</v>
      </c>
      <c r="C1733" s="118" t="s">
        <v>2966</v>
      </c>
      <c r="D1733" s="118">
        <v>1.36</v>
      </c>
      <c r="E1733" s="118">
        <v>1.79</v>
      </c>
      <c r="F1733" s="118">
        <v>10.9</v>
      </c>
    </row>
    <row r="1734" spans="2:6" x14ac:dyDescent="0.2">
      <c r="B1734" s="125" t="s">
        <v>2967</v>
      </c>
      <c r="C1734" s="118" t="s">
        <v>2968</v>
      </c>
      <c r="D1734" s="118">
        <v>3.46</v>
      </c>
      <c r="E1734" s="118">
        <v>2.2799999999999998</v>
      </c>
      <c r="F1734" s="118">
        <v>10.18</v>
      </c>
    </row>
    <row r="1735" spans="2:6" x14ac:dyDescent="0.2">
      <c r="B1735" s="125" t="s">
        <v>2969</v>
      </c>
      <c r="C1735" s="118" t="s">
        <v>2970</v>
      </c>
      <c r="D1735" s="118">
        <v>17.8</v>
      </c>
      <c r="E1735" s="118">
        <v>5.57</v>
      </c>
      <c r="F1735" s="118">
        <v>-55.37</v>
      </c>
    </row>
    <row r="1736" spans="2:6" x14ac:dyDescent="0.2">
      <c r="B1736" s="125" t="s">
        <v>2971</v>
      </c>
      <c r="C1736" s="118" t="s">
        <v>2972</v>
      </c>
      <c r="D1736" s="118">
        <v>2.8</v>
      </c>
      <c r="E1736" s="118">
        <v>3.52</v>
      </c>
      <c r="F1736" s="118">
        <v>14.69</v>
      </c>
    </row>
    <row r="1737" spans="2:6" x14ac:dyDescent="0.2">
      <c r="B1737" s="125" t="s">
        <v>2973</v>
      </c>
      <c r="C1737" s="118" t="s">
        <v>2974</v>
      </c>
      <c r="D1737" s="118">
        <v>3.25</v>
      </c>
      <c r="E1737" s="118">
        <v>7.15</v>
      </c>
      <c r="F1737" s="118">
        <v>14.95</v>
      </c>
    </row>
    <row r="1738" spans="2:6" x14ac:dyDescent="0.2">
      <c r="B1738" s="125" t="s">
        <v>2975</v>
      </c>
      <c r="C1738" s="118" t="s">
        <v>2976</v>
      </c>
      <c r="D1738" s="118"/>
      <c r="E1738" s="118">
        <v>2.0499999999999998</v>
      </c>
      <c r="F1738" s="118"/>
    </row>
    <row r="1739" spans="2:6" x14ac:dyDescent="0.2">
      <c r="B1739" s="125" t="s">
        <v>2977</v>
      </c>
      <c r="C1739" s="118" t="s">
        <v>2978</v>
      </c>
      <c r="D1739" s="118"/>
      <c r="E1739" s="118">
        <v>188.29</v>
      </c>
      <c r="F1739" s="118"/>
    </row>
    <row r="1740" spans="2:6" x14ac:dyDescent="0.2">
      <c r="B1740" s="125" t="s">
        <v>4306</v>
      </c>
      <c r="C1740" s="118" t="s">
        <v>4307</v>
      </c>
      <c r="D1740" s="118">
        <v>5.35</v>
      </c>
      <c r="E1740" s="118">
        <v>5.9</v>
      </c>
      <c r="F1740" s="118">
        <v>16.13</v>
      </c>
    </row>
    <row r="1741" spans="2:6" x14ac:dyDescent="0.2">
      <c r="B1741" s="125" t="s">
        <v>2979</v>
      </c>
      <c r="C1741" s="118" t="s">
        <v>2980</v>
      </c>
      <c r="D1741" s="118">
        <v>2.9</v>
      </c>
      <c r="E1741" s="118">
        <v>2.63</v>
      </c>
      <c r="F1741" s="118">
        <v>18.78</v>
      </c>
    </row>
    <row r="1742" spans="2:6" x14ac:dyDescent="0.2">
      <c r="B1742" s="125" t="s">
        <v>4308</v>
      </c>
      <c r="C1742" s="118" t="s">
        <v>4309</v>
      </c>
      <c r="D1742" s="118">
        <v>58.72</v>
      </c>
      <c r="E1742" s="118"/>
      <c r="F1742" s="118"/>
    </row>
    <row r="1743" spans="2:6" x14ac:dyDescent="0.2">
      <c r="B1743" s="125" t="s">
        <v>2981</v>
      </c>
      <c r="C1743" s="118" t="s">
        <v>2982</v>
      </c>
      <c r="D1743" s="118"/>
      <c r="E1743" s="118">
        <v>1.21</v>
      </c>
      <c r="F1743" s="118"/>
    </row>
    <row r="1744" spans="2:6" x14ac:dyDescent="0.2">
      <c r="B1744" s="125" t="s">
        <v>4310</v>
      </c>
      <c r="C1744" s="118" t="s">
        <v>4311</v>
      </c>
      <c r="D1744" s="118">
        <v>0.42</v>
      </c>
      <c r="E1744" s="118">
        <v>0.79</v>
      </c>
      <c r="F1744" s="118">
        <v>10.74</v>
      </c>
    </row>
    <row r="1745" spans="2:6" x14ac:dyDescent="0.2">
      <c r="B1745" s="125" t="s">
        <v>2983</v>
      </c>
      <c r="C1745" s="118" t="s">
        <v>2984</v>
      </c>
      <c r="D1745" s="118">
        <v>2.34</v>
      </c>
      <c r="E1745" s="118">
        <v>3.1</v>
      </c>
      <c r="F1745" s="118">
        <v>23.71</v>
      </c>
    </row>
    <row r="1746" spans="2:6" x14ac:dyDescent="0.2">
      <c r="B1746" s="125" t="s">
        <v>2986</v>
      </c>
      <c r="C1746" s="118" t="s">
        <v>2987</v>
      </c>
      <c r="D1746" s="118">
        <v>10.17</v>
      </c>
      <c r="E1746" s="118">
        <v>2.02</v>
      </c>
      <c r="F1746" s="118">
        <v>4.57</v>
      </c>
    </row>
    <row r="1747" spans="2:6" x14ac:dyDescent="0.2">
      <c r="B1747" s="125" t="s">
        <v>4312</v>
      </c>
      <c r="C1747" s="118" t="s">
        <v>4313</v>
      </c>
      <c r="D1747" s="118"/>
      <c r="E1747" s="118"/>
      <c r="F1747" s="118"/>
    </row>
    <row r="1748" spans="2:6" x14ac:dyDescent="0.2">
      <c r="B1748" s="125" t="s">
        <v>2988</v>
      </c>
      <c r="C1748" s="118" t="s">
        <v>2989</v>
      </c>
      <c r="D1748" s="118">
        <v>4.37</v>
      </c>
      <c r="E1748" s="118">
        <v>3.82</v>
      </c>
      <c r="F1748" s="118">
        <v>13.8</v>
      </c>
    </row>
    <row r="1749" spans="2:6" x14ac:dyDescent="0.2">
      <c r="B1749" s="125" t="s">
        <v>2990</v>
      </c>
      <c r="C1749" s="118" t="s">
        <v>2991</v>
      </c>
      <c r="D1749" s="118">
        <v>2.68</v>
      </c>
      <c r="E1749" s="118">
        <v>1.26</v>
      </c>
      <c r="F1749" s="118">
        <v>11.86</v>
      </c>
    </row>
    <row r="1750" spans="2:6" x14ac:dyDescent="0.2">
      <c r="B1750" s="125" t="s">
        <v>2992</v>
      </c>
      <c r="C1750" s="118" t="s">
        <v>2993</v>
      </c>
      <c r="D1750" s="118">
        <v>3.14</v>
      </c>
      <c r="E1750" s="118">
        <v>0.98</v>
      </c>
      <c r="F1750" s="118">
        <v>10.37</v>
      </c>
    </row>
    <row r="1751" spans="2:6" x14ac:dyDescent="0.2">
      <c r="B1751" s="125" t="s">
        <v>2994</v>
      </c>
      <c r="C1751" s="118" t="s">
        <v>2995</v>
      </c>
      <c r="D1751" s="118">
        <v>0.56999999999999995</v>
      </c>
      <c r="E1751" s="118">
        <v>1.73</v>
      </c>
      <c r="F1751" s="118">
        <v>28.5</v>
      </c>
    </row>
    <row r="1752" spans="2:6" x14ac:dyDescent="0.2">
      <c r="B1752" s="125" t="s">
        <v>2996</v>
      </c>
      <c r="C1752" s="118" t="s">
        <v>2997</v>
      </c>
      <c r="D1752" s="118">
        <v>1.84</v>
      </c>
      <c r="E1752" s="118">
        <v>2.63</v>
      </c>
      <c r="F1752" s="118">
        <v>17.59</v>
      </c>
    </row>
    <row r="1753" spans="2:6" x14ac:dyDescent="0.2">
      <c r="B1753" s="125" t="s">
        <v>2998</v>
      </c>
      <c r="C1753" s="118" t="s">
        <v>2999</v>
      </c>
      <c r="D1753" s="118">
        <v>18.63</v>
      </c>
      <c r="E1753" s="118">
        <v>7.2</v>
      </c>
      <c r="F1753" s="118">
        <v>10.16</v>
      </c>
    </row>
    <row r="1754" spans="2:6" x14ac:dyDescent="0.2">
      <c r="B1754" s="125" t="s">
        <v>3000</v>
      </c>
      <c r="C1754" s="118" t="s">
        <v>3001</v>
      </c>
      <c r="D1754" s="118">
        <v>14.12</v>
      </c>
      <c r="E1754" s="118">
        <v>2.0699999999999998</v>
      </c>
      <c r="F1754" s="118">
        <v>5.73</v>
      </c>
    </row>
    <row r="1755" spans="2:6" x14ac:dyDescent="0.2">
      <c r="B1755" s="125" t="s">
        <v>3002</v>
      </c>
      <c r="C1755" s="118" t="s">
        <v>3003</v>
      </c>
      <c r="D1755" s="118">
        <v>3.61</v>
      </c>
      <c r="E1755" s="118">
        <v>2.2400000000000002</v>
      </c>
      <c r="F1755" s="118">
        <v>8.65</v>
      </c>
    </row>
    <row r="1756" spans="2:6" x14ac:dyDescent="0.2">
      <c r="B1756" s="125" t="s">
        <v>3004</v>
      </c>
      <c r="C1756" s="118" t="s">
        <v>3005</v>
      </c>
      <c r="D1756" s="118">
        <v>1.72</v>
      </c>
      <c r="E1756" s="118">
        <v>1.03</v>
      </c>
      <c r="F1756" s="118">
        <v>12.13</v>
      </c>
    </row>
    <row r="1757" spans="2:6" x14ac:dyDescent="0.2">
      <c r="B1757" s="125" t="s">
        <v>3006</v>
      </c>
      <c r="C1757" s="118" t="s">
        <v>3007</v>
      </c>
      <c r="D1757" s="118">
        <v>5.81</v>
      </c>
      <c r="E1757" s="118">
        <v>1.42</v>
      </c>
      <c r="F1757" s="118">
        <v>10.51</v>
      </c>
    </row>
    <row r="1758" spans="2:6" x14ac:dyDescent="0.2">
      <c r="B1758" s="125" t="s">
        <v>3008</v>
      </c>
      <c r="C1758" s="118" t="s">
        <v>3009</v>
      </c>
      <c r="D1758" s="118">
        <v>1.33</v>
      </c>
      <c r="E1758" s="118">
        <v>6.52</v>
      </c>
      <c r="F1758" s="118">
        <v>72.069999999999993</v>
      </c>
    </row>
    <row r="1759" spans="2:6" x14ac:dyDescent="0.2">
      <c r="B1759" s="125" t="s">
        <v>3010</v>
      </c>
      <c r="C1759" s="118" t="s">
        <v>3011</v>
      </c>
      <c r="D1759" s="118">
        <v>4.4000000000000004</v>
      </c>
      <c r="E1759" s="118">
        <v>3.13</v>
      </c>
      <c r="F1759" s="118">
        <v>14.98</v>
      </c>
    </row>
    <row r="1760" spans="2:6" x14ac:dyDescent="0.2">
      <c r="B1760" s="125" t="s">
        <v>3010</v>
      </c>
      <c r="C1760" s="118" t="s">
        <v>4314</v>
      </c>
      <c r="D1760" s="118">
        <v>4.4400000000000004</v>
      </c>
      <c r="E1760" s="118">
        <v>3.16</v>
      </c>
      <c r="F1760" s="118">
        <v>14.98</v>
      </c>
    </row>
    <row r="1761" spans="2:6" x14ac:dyDescent="0.2">
      <c r="B1761" s="125" t="s">
        <v>3012</v>
      </c>
      <c r="C1761" s="118" t="s">
        <v>3013</v>
      </c>
      <c r="D1761" s="118">
        <v>1.66</v>
      </c>
      <c r="E1761" s="118">
        <v>1.46</v>
      </c>
      <c r="F1761" s="118">
        <v>10.199999999999999</v>
      </c>
    </row>
    <row r="1762" spans="2:6" x14ac:dyDescent="0.2">
      <c r="B1762" s="125" t="s">
        <v>3014</v>
      </c>
      <c r="C1762" s="118" t="s">
        <v>3015</v>
      </c>
      <c r="D1762" s="118">
        <v>0.88</v>
      </c>
      <c r="E1762" s="118">
        <v>0.63</v>
      </c>
      <c r="F1762" s="118">
        <v>2.17</v>
      </c>
    </row>
    <row r="1763" spans="2:6" x14ac:dyDescent="0.2">
      <c r="B1763" s="125" t="s">
        <v>3016</v>
      </c>
      <c r="C1763" s="118" t="s">
        <v>3017</v>
      </c>
      <c r="D1763" s="118"/>
      <c r="E1763" s="118">
        <v>0.59</v>
      </c>
      <c r="F1763" s="118"/>
    </row>
    <row r="1764" spans="2:6" x14ac:dyDescent="0.2">
      <c r="B1764" s="125" t="s">
        <v>3018</v>
      </c>
      <c r="C1764" s="118" t="s">
        <v>3019</v>
      </c>
      <c r="D1764" s="118">
        <v>11.35</v>
      </c>
      <c r="E1764" s="118">
        <v>3.79</v>
      </c>
      <c r="F1764" s="118">
        <v>4.01</v>
      </c>
    </row>
    <row r="1765" spans="2:6" x14ac:dyDescent="0.2">
      <c r="B1765" s="125" t="s">
        <v>3020</v>
      </c>
      <c r="C1765" s="118" t="s">
        <v>3021</v>
      </c>
      <c r="D1765" s="118">
        <v>0.19</v>
      </c>
      <c r="E1765" s="118">
        <v>4.07</v>
      </c>
      <c r="F1765" s="118">
        <v>35.57</v>
      </c>
    </row>
    <row r="1766" spans="2:6" x14ac:dyDescent="0.2">
      <c r="B1766" s="125" t="s">
        <v>3022</v>
      </c>
      <c r="C1766" s="118" t="s">
        <v>3023</v>
      </c>
      <c r="D1766" s="118">
        <v>1.5</v>
      </c>
      <c r="E1766" s="118">
        <v>1.33</v>
      </c>
      <c r="F1766" s="118"/>
    </row>
    <row r="1767" spans="2:6" x14ac:dyDescent="0.2">
      <c r="B1767" s="125" t="s">
        <v>4315</v>
      </c>
      <c r="C1767" s="118" t="s">
        <v>4316</v>
      </c>
      <c r="D1767" s="118"/>
      <c r="E1767" s="118"/>
      <c r="F1767" s="118"/>
    </row>
    <row r="1768" spans="2:6" x14ac:dyDescent="0.2">
      <c r="B1768" s="125" t="s">
        <v>4317</v>
      </c>
      <c r="C1768" s="118" t="s">
        <v>4318</v>
      </c>
      <c r="D1768" s="118">
        <v>1.63</v>
      </c>
      <c r="E1768" s="118">
        <v>1.59</v>
      </c>
      <c r="F1768" s="118">
        <v>5.44</v>
      </c>
    </row>
    <row r="1769" spans="2:6" x14ac:dyDescent="0.2">
      <c r="B1769" s="125" t="s">
        <v>3024</v>
      </c>
      <c r="C1769" s="118" t="s">
        <v>3025</v>
      </c>
      <c r="D1769" s="118">
        <v>2.61</v>
      </c>
      <c r="E1769" s="118">
        <v>1.37</v>
      </c>
      <c r="F1769" s="118">
        <v>8.84</v>
      </c>
    </row>
    <row r="1770" spans="2:6" x14ac:dyDescent="0.2">
      <c r="B1770" s="125" t="s">
        <v>4319</v>
      </c>
      <c r="C1770" s="118" t="s">
        <v>4320</v>
      </c>
      <c r="D1770" s="118"/>
      <c r="E1770" s="118"/>
      <c r="F1770" s="118"/>
    </row>
    <row r="1771" spans="2:6" x14ac:dyDescent="0.2">
      <c r="B1771" s="125" t="s">
        <v>4321</v>
      </c>
      <c r="C1771" s="118" t="s">
        <v>4322</v>
      </c>
      <c r="D1771" s="118"/>
      <c r="E1771" s="118">
        <v>1.42</v>
      </c>
      <c r="F1771" s="118"/>
    </row>
    <row r="1772" spans="2:6" x14ac:dyDescent="0.2">
      <c r="B1772" s="125" t="s">
        <v>3026</v>
      </c>
      <c r="C1772" s="118" t="s">
        <v>3027</v>
      </c>
      <c r="D1772" s="118">
        <v>9.02</v>
      </c>
      <c r="E1772" s="118">
        <v>5.57</v>
      </c>
      <c r="F1772" s="118">
        <v>2.6</v>
      </c>
    </row>
    <row r="1773" spans="2:6" x14ac:dyDescent="0.2">
      <c r="B1773" s="125" t="s">
        <v>4323</v>
      </c>
      <c r="C1773" s="118" t="s">
        <v>4324</v>
      </c>
      <c r="D1773" s="118">
        <v>2.56</v>
      </c>
      <c r="E1773" s="118">
        <v>1.1599999999999999</v>
      </c>
      <c r="F1773" s="118">
        <v>16.100000000000001</v>
      </c>
    </row>
    <row r="1774" spans="2:6" x14ac:dyDescent="0.2">
      <c r="B1774" s="125" t="s">
        <v>4325</v>
      </c>
      <c r="C1774" s="118" t="s">
        <v>4326</v>
      </c>
      <c r="D1774" s="118"/>
      <c r="E1774" s="118">
        <v>3.67</v>
      </c>
      <c r="F1774" s="118"/>
    </row>
    <row r="1775" spans="2:6" x14ac:dyDescent="0.2">
      <c r="B1775" s="125" t="s">
        <v>3028</v>
      </c>
      <c r="C1775" s="118" t="s">
        <v>3029</v>
      </c>
      <c r="D1775" s="118">
        <v>6.7</v>
      </c>
      <c r="E1775" s="118">
        <v>2.2400000000000002</v>
      </c>
      <c r="F1775" s="118">
        <v>8.56</v>
      </c>
    </row>
    <row r="1776" spans="2:6" x14ac:dyDescent="0.2">
      <c r="B1776" s="125" t="s">
        <v>3030</v>
      </c>
      <c r="C1776" s="118" t="s">
        <v>3031</v>
      </c>
      <c r="D1776" s="118">
        <v>1.51</v>
      </c>
      <c r="E1776" s="118">
        <v>2.86</v>
      </c>
      <c r="F1776" s="118">
        <v>17.100000000000001</v>
      </c>
    </row>
    <row r="1777" spans="2:6" x14ac:dyDescent="0.2">
      <c r="B1777" s="125" t="s">
        <v>3032</v>
      </c>
      <c r="C1777" s="118" t="s">
        <v>3033</v>
      </c>
      <c r="D1777" s="118">
        <v>3.85</v>
      </c>
      <c r="E1777" s="118">
        <v>3.36</v>
      </c>
      <c r="F1777" s="118">
        <v>26.6</v>
      </c>
    </row>
    <row r="1778" spans="2:6" x14ac:dyDescent="0.2">
      <c r="B1778" s="125" t="s">
        <v>3034</v>
      </c>
      <c r="C1778" s="118" t="s">
        <v>3035</v>
      </c>
      <c r="D1778" s="118"/>
      <c r="E1778" s="118">
        <v>0.88</v>
      </c>
      <c r="F1778" s="118"/>
    </row>
    <row r="1779" spans="2:6" x14ac:dyDescent="0.2">
      <c r="B1779" s="125" t="s">
        <v>4327</v>
      </c>
      <c r="C1779" s="118" t="s">
        <v>4328</v>
      </c>
      <c r="D1779" s="118"/>
      <c r="E1779" s="118"/>
      <c r="F1779" s="118"/>
    </row>
    <row r="1780" spans="2:6" x14ac:dyDescent="0.2">
      <c r="B1780" s="125" t="s">
        <v>3036</v>
      </c>
      <c r="C1780" s="118" t="s">
        <v>3037</v>
      </c>
      <c r="D1780" s="118">
        <v>1.66</v>
      </c>
      <c r="E1780" s="118">
        <v>2.02</v>
      </c>
      <c r="F1780" s="118">
        <v>8.86</v>
      </c>
    </row>
    <row r="1781" spans="2:6" x14ac:dyDescent="0.2">
      <c r="B1781" s="125" t="s">
        <v>3038</v>
      </c>
      <c r="C1781" s="118" t="s">
        <v>3039</v>
      </c>
      <c r="D1781" s="118">
        <v>1.17</v>
      </c>
      <c r="E1781" s="118">
        <v>1.52</v>
      </c>
      <c r="F1781" s="118">
        <v>19.5</v>
      </c>
    </row>
    <row r="1782" spans="2:6" x14ac:dyDescent="0.2">
      <c r="B1782" s="125" t="s">
        <v>4329</v>
      </c>
      <c r="C1782" s="118" t="s">
        <v>4330</v>
      </c>
      <c r="D1782" s="118"/>
      <c r="E1782" s="118"/>
      <c r="F1782" s="118"/>
    </row>
    <row r="1783" spans="2:6" x14ac:dyDescent="0.2">
      <c r="B1783" s="125" t="s">
        <v>3040</v>
      </c>
      <c r="C1783" s="118" t="s">
        <v>3041</v>
      </c>
      <c r="D1783" s="118">
        <v>5.83</v>
      </c>
      <c r="E1783" s="118">
        <v>6.93</v>
      </c>
      <c r="F1783" s="118">
        <v>25.98</v>
      </c>
    </row>
    <row r="1784" spans="2:6" x14ac:dyDescent="0.2">
      <c r="B1784" s="125" t="s">
        <v>3042</v>
      </c>
      <c r="C1784" s="118" t="s">
        <v>3043</v>
      </c>
      <c r="D1784" s="118">
        <v>3.06</v>
      </c>
      <c r="E1784" s="118">
        <v>2.81</v>
      </c>
      <c r="F1784" s="118">
        <v>14.94</v>
      </c>
    </row>
    <row r="1785" spans="2:6" x14ac:dyDescent="0.2">
      <c r="B1785" s="125" t="s">
        <v>3044</v>
      </c>
      <c r="C1785" s="118" t="s">
        <v>3045</v>
      </c>
      <c r="D1785" s="118">
        <v>1.25</v>
      </c>
      <c r="E1785" s="118">
        <v>2.02</v>
      </c>
      <c r="F1785" s="118">
        <v>9.82</v>
      </c>
    </row>
    <row r="1786" spans="2:6" x14ac:dyDescent="0.2">
      <c r="B1786" s="125" t="s">
        <v>3046</v>
      </c>
      <c r="C1786" s="118" t="s">
        <v>3047</v>
      </c>
      <c r="D1786" s="118">
        <v>0.67</v>
      </c>
      <c r="E1786" s="118">
        <v>16.07</v>
      </c>
      <c r="F1786" s="118">
        <v>76.8</v>
      </c>
    </row>
    <row r="1787" spans="2:6" x14ac:dyDescent="0.2">
      <c r="B1787" s="125" t="s">
        <v>4331</v>
      </c>
      <c r="C1787" s="118" t="s">
        <v>4332</v>
      </c>
      <c r="D1787" s="118"/>
      <c r="E1787" s="118">
        <v>0.94</v>
      </c>
      <c r="F1787" s="118"/>
    </row>
    <row r="1788" spans="2:6" x14ac:dyDescent="0.2">
      <c r="B1788" s="125" t="s">
        <v>3048</v>
      </c>
      <c r="C1788" s="118" t="s">
        <v>3049</v>
      </c>
      <c r="D1788" s="118">
        <v>0.56000000000000005</v>
      </c>
      <c r="E1788" s="118">
        <v>1.23</v>
      </c>
      <c r="F1788" s="118">
        <v>12.61</v>
      </c>
    </row>
    <row r="1789" spans="2:6" x14ac:dyDescent="0.2">
      <c r="B1789" s="125" t="s">
        <v>3050</v>
      </c>
      <c r="C1789" s="118" t="s">
        <v>3051</v>
      </c>
      <c r="D1789" s="118">
        <v>1.51</v>
      </c>
      <c r="E1789" s="118">
        <v>1.43</v>
      </c>
      <c r="F1789" s="118">
        <v>13.38</v>
      </c>
    </row>
    <row r="1790" spans="2:6" x14ac:dyDescent="0.2">
      <c r="B1790" s="125" t="s">
        <v>3052</v>
      </c>
      <c r="C1790" s="118" t="s">
        <v>3053</v>
      </c>
      <c r="D1790" s="118">
        <v>1.39</v>
      </c>
      <c r="E1790" s="118">
        <v>0.61</v>
      </c>
      <c r="F1790" s="118">
        <v>11.23</v>
      </c>
    </row>
    <row r="1791" spans="2:6" x14ac:dyDescent="0.2">
      <c r="B1791" s="125" t="s">
        <v>3054</v>
      </c>
      <c r="C1791" s="118" t="s">
        <v>3055</v>
      </c>
      <c r="D1791" s="118">
        <v>7.58</v>
      </c>
      <c r="E1791" s="118">
        <v>7.96</v>
      </c>
      <c r="F1791" s="118">
        <v>13.33</v>
      </c>
    </row>
    <row r="1792" spans="2:6" x14ac:dyDescent="0.2">
      <c r="B1792" s="125" t="s">
        <v>3056</v>
      </c>
      <c r="C1792" s="118" t="s">
        <v>3057</v>
      </c>
      <c r="D1792" s="118">
        <v>0.93</v>
      </c>
      <c r="E1792" s="118">
        <v>0.86</v>
      </c>
      <c r="F1792" s="118">
        <v>7.33</v>
      </c>
    </row>
    <row r="1793" spans="2:6" x14ac:dyDescent="0.2">
      <c r="B1793" s="125" t="s">
        <v>3058</v>
      </c>
      <c r="C1793" s="118" t="s">
        <v>3059</v>
      </c>
      <c r="D1793" s="118">
        <v>4.62</v>
      </c>
      <c r="E1793" s="118">
        <v>1.58</v>
      </c>
      <c r="F1793" s="118">
        <v>13.9</v>
      </c>
    </row>
    <row r="1794" spans="2:6" x14ac:dyDescent="0.2">
      <c r="B1794" s="125" t="s">
        <v>3060</v>
      </c>
      <c r="C1794" s="118" t="s">
        <v>3061</v>
      </c>
      <c r="D1794" s="118"/>
      <c r="E1794" s="118">
        <v>2.2200000000000002</v>
      </c>
      <c r="F1794" s="118"/>
    </row>
    <row r="1795" spans="2:6" x14ac:dyDescent="0.2">
      <c r="B1795" s="125" t="s">
        <v>3062</v>
      </c>
      <c r="C1795" s="118" t="s">
        <v>3063</v>
      </c>
      <c r="D1795" s="118">
        <v>8.2100000000000009</v>
      </c>
      <c r="E1795" s="118">
        <v>6.89</v>
      </c>
      <c r="F1795" s="118">
        <v>19.760000000000002</v>
      </c>
    </row>
    <row r="1796" spans="2:6" x14ac:dyDescent="0.2">
      <c r="B1796" s="125" t="s">
        <v>4333</v>
      </c>
      <c r="C1796" s="118" t="s">
        <v>4334</v>
      </c>
      <c r="D1796" s="118">
        <v>0.88</v>
      </c>
      <c r="E1796" s="118"/>
      <c r="F1796" s="118"/>
    </row>
    <row r="1797" spans="2:6" x14ac:dyDescent="0.2">
      <c r="B1797" s="125" t="s">
        <v>3064</v>
      </c>
      <c r="C1797" s="118" t="s">
        <v>3065</v>
      </c>
      <c r="D1797" s="118">
        <v>2.37</v>
      </c>
      <c r="E1797" s="118">
        <v>1.73</v>
      </c>
      <c r="F1797" s="118">
        <v>16.079999999999998</v>
      </c>
    </row>
    <row r="1798" spans="2:6" x14ac:dyDescent="0.2">
      <c r="B1798" s="125" t="s">
        <v>3066</v>
      </c>
      <c r="C1798" s="118" t="s">
        <v>3067</v>
      </c>
      <c r="D1798" s="118">
        <v>1.75</v>
      </c>
      <c r="E1798" s="118">
        <v>10.09</v>
      </c>
      <c r="F1798" s="118">
        <v>23.03</v>
      </c>
    </row>
    <row r="1799" spans="2:6" x14ac:dyDescent="0.2">
      <c r="B1799" s="125" t="s">
        <v>3068</v>
      </c>
      <c r="C1799" s="118" t="s">
        <v>3069</v>
      </c>
      <c r="D1799" s="118">
        <v>5.75</v>
      </c>
      <c r="E1799" s="118"/>
      <c r="F1799" s="118">
        <v>-59.21</v>
      </c>
    </row>
    <row r="1800" spans="2:6" x14ac:dyDescent="0.2">
      <c r="B1800" s="125" t="s">
        <v>3070</v>
      </c>
      <c r="C1800" s="118" t="s">
        <v>3071</v>
      </c>
      <c r="D1800" s="118">
        <v>10.55</v>
      </c>
      <c r="E1800" s="118">
        <v>5.18</v>
      </c>
      <c r="F1800" s="118">
        <v>-10.64</v>
      </c>
    </row>
    <row r="1801" spans="2:6" x14ac:dyDescent="0.2">
      <c r="B1801" s="125" t="s">
        <v>3072</v>
      </c>
      <c r="C1801" s="118" t="s">
        <v>3073</v>
      </c>
      <c r="D1801" s="118">
        <v>3.86</v>
      </c>
      <c r="E1801" s="118">
        <v>4.6900000000000004</v>
      </c>
      <c r="F1801" s="118">
        <v>15.09</v>
      </c>
    </row>
    <row r="1802" spans="2:6" x14ac:dyDescent="0.2">
      <c r="B1802" s="125" t="s">
        <v>3074</v>
      </c>
      <c r="C1802" s="118" t="s">
        <v>3075</v>
      </c>
      <c r="D1802" s="118">
        <v>13.37</v>
      </c>
      <c r="E1802" s="118">
        <v>28.61</v>
      </c>
      <c r="F1802" s="118">
        <v>-2.4500000000000002</v>
      </c>
    </row>
    <row r="1803" spans="2:6" x14ac:dyDescent="0.2">
      <c r="B1803" s="125" t="s">
        <v>3076</v>
      </c>
      <c r="C1803" s="118" t="s">
        <v>3077</v>
      </c>
      <c r="D1803" s="118">
        <v>0.1</v>
      </c>
      <c r="E1803" s="118">
        <v>1.26</v>
      </c>
      <c r="F1803" s="118">
        <v>15.96</v>
      </c>
    </row>
    <row r="1804" spans="2:6" x14ac:dyDescent="0.2">
      <c r="B1804" s="125" t="s">
        <v>3079</v>
      </c>
      <c r="C1804" s="118" t="s">
        <v>3080</v>
      </c>
      <c r="D1804" s="118">
        <v>10.64</v>
      </c>
      <c r="E1804" s="118">
        <v>6.51</v>
      </c>
      <c r="F1804" s="118">
        <v>13.2</v>
      </c>
    </row>
    <row r="1805" spans="2:6" x14ac:dyDescent="0.2">
      <c r="B1805" s="125" t="s">
        <v>3081</v>
      </c>
      <c r="C1805" s="118" t="s">
        <v>3082</v>
      </c>
      <c r="D1805" s="118">
        <v>0.99</v>
      </c>
      <c r="E1805" s="118">
        <v>0.54</v>
      </c>
      <c r="F1805" s="118">
        <v>8.49</v>
      </c>
    </row>
    <row r="1806" spans="2:6" x14ac:dyDescent="0.2">
      <c r="B1806" s="125" t="s">
        <v>3083</v>
      </c>
      <c r="C1806" s="118" t="s">
        <v>3084</v>
      </c>
      <c r="D1806" s="118">
        <v>0.7</v>
      </c>
      <c r="E1806" s="118">
        <v>1.31</v>
      </c>
      <c r="F1806" s="118">
        <v>16.21</v>
      </c>
    </row>
    <row r="1807" spans="2:6" x14ac:dyDescent="0.2">
      <c r="B1807" s="125" t="s">
        <v>3085</v>
      </c>
      <c r="C1807" s="118" t="s">
        <v>3086</v>
      </c>
      <c r="D1807" s="118">
        <v>2.29</v>
      </c>
      <c r="E1807" s="118">
        <v>2.95</v>
      </c>
      <c r="F1807" s="118">
        <v>18.329999999999998</v>
      </c>
    </row>
    <row r="1808" spans="2:6" x14ac:dyDescent="0.2">
      <c r="B1808" s="125" t="s">
        <v>3087</v>
      </c>
      <c r="C1808" s="118" t="s">
        <v>3088</v>
      </c>
      <c r="D1808" s="118">
        <v>2.27</v>
      </c>
      <c r="E1808" s="118">
        <v>5.84</v>
      </c>
      <c r="F1808" s="118">
        <v>25.08</v>
      </c>
    </row>
    <row r="1809" spans="2:6" x14ac:dyDescent="0.2">
      <c r="B1809" s="125" t="s">
        <v>3089</v>
      </c>
      <c r="C1809" s="118" t="s">
        <v>3090</v>
      </c>
      <c r="D1809" s="118">
        <v>0.81</v>
      </c>
      <c r="E1809" s="118">
        <v>0.68</v>
      </c>
      <c r="F1809" s="118">
        <v>5.85</v>
      </c>
    </row>
    <row r="1810" spans="2:6" x14ac:dyDescent="0.2">
      <c r="B1810" s="125" t="s">
        <v>3091</v>
      </c>
      <c r="C1810" s="118" t="s">
        <v>3092</v>
      </c>
      <c r="D1810" s="118">
        <v>4.6100000000000003</v>
      </c>
      <c r="E1810" s="118">
        <v>6.74</v>
      </c>
      <c r="F1810" s="118">
        <v>29.58</v>
      </c>
    </row>
    <row r="1811" spans="2:6" x14ac:dyDescent="0.2">
      <c r="B1811" s="125" t="s">
        <v>3093</v>
      </c>
      <c r="C1811" s="118" t="s">
        <v>3094</v>
      </c>
      <c r="D1811" s="118">
        <v>3.91</v>
      </c>
      <c r="E1811" s="118">
        <v>1.43</v>
      </c>
      <c r="F1811" s="118">
        <v>-2.15</v>
      </c>
    </row>
    <row r="1812" spans="2:6" x14ac:dyDescent="0.2">
      <c r="B1812" s="125" t="s">
        <v>3095</v>
      </c>
      <c r="C1812" s="118" t="s">
        <v>3096</v>
      </c>
      <c r="D1812" s="118">
        <v>0.46</v>
      </c>
      <c r="E1812" s="118">
        <v>0.53</v>
      </c>
      <c r="F1812" s="118">
        <v>16.04</v>
      </c>
    </row>
    <row r="1813" spans="2:6" x14ac:dyDescent="0.2">
      <c r="B1813" s="125" t="s">
        <v>4335</v>
      </c>
      <c r="C1813" s="118" t="s">
        <v>4336</v>
      </c>
      <c r="D1813" s="118"/>
      <c r="E1813" s="118"/>
      <c r="F1813" s="118"/>
    </row>
    <row r="1814" spans="2:6" x14ac:dyDescent="0.2">
      <c r="B1814" s="125" t="s">
        <v>4337</v>
      </c>
      <c r="C1814" s="118" t="s">
        <v>4338</v>
      </c>
      <c r="D1814" s="118">
        <v>8.3000000000000007</v>
      </c>
      <c r="E1814" s="118">
        <v>2.95</v>
      </c>
      <c r="F1814" s="118">
        <v>4.62</v>
      </c>
    </row>
    <row r="1815" spans="2:6" x14ac:dyDescent="0.2">
      <c r="B1815" s="125" t="s">
        <v>3097</v>
      </c>
      <c r="C1815" s="118" t="s">
        <v>3098</v>
      </c>
      <c r="D1815" s="118">
        <v>6.31</v>
      </c>
      <c r="E1815" s="118">
        <v>5.95</v>
      </c>
      <c r="F1815" s="118">
        <v>18.57</v>
      </c>
    </row>
    <row r="1816" spans="2:6" x14ac:dyDescent="0.2">
      <c r="B1816" s="125" t="s">
        <v>3099</v>
      </c>
      <c r="C1816" s="118" t="s">
        <v>3100</v>
      </c>
      <c r="D1816" s="118">
        <v>6.81</v>
      </c>
      <c r="E1816" s="118">
        <v>2.4700000000000002</v>
      </c>
      <c r="F1816" s="118">
        <v>10.71</v>
      </c>
    </row>
    <row r="1817" spans="2:6" x14ac:dyDescent="0.2">
      <c r="B1817" s="125" t="s">
        <v>3101</v>
      </c>
      <c r="C1817" s="118" t="s">
        <v>3102</v>
      </c>
      <c r="D1817" s="118">
        <v>1.47</v>
      </c>
      <c r="E1817" s="118">
        <v>2.21</v>
      </c>
      <c r="F1817" s="118">
        <v>28.43</v>
      </c>
    </row>
    <row r="1818" spans="2:6" x14ac:dyDescent="0.2">
      <c r="B1818" s="125" t="s">
        <v>3103</v>
      </c>
      <c r="C1818" s="118" t="s">
        <v>3104</v>
      </c>
      <c r="D1818" s="118">
        <v>0.71</v>
      </c>
      <c r="E1818" s="118">
        <v>4.5999999999999996</v>
      </c>
      <c r="F1818" s="118">
        <v>27.43</v>
      </c>
    </row>
    <row r="1819" spans="2:6" x14ac:dyDescent="0.2">
      <c r="B1819" s="125" t="s">
        <v>3105</v>
      </c>
      <c r="C1819" s="118" t="s">
        <v>3106</v>
      </c>
      <c r="D1819" s="118">
        <v>1.1100000000000001</v>
      </c>
      <c r="E1819" s="118">
        <v>1.82</v>
      </c>
      <c r="F1819" s="118">
        <v>10.44</v>
      </c>
    </row>
    <row r="1820" spans="2:6" x14ac:dyDescent="0.2">
      <c r="B1820" s="125" t="s">
        <v>4339</v>
      </c>
      <c r="C1820" s="118" t="s">
        <v>4340</v>
      </c>
      <c r="D1820" s="118">
        <v>0.95</v>
      </c>
      <c r="E1820" s="118"/>
      <c r="F1820" s="118"/>
    </row>
    <row r="1821" spans="2:6" x14ac:dyDescent="0.2">
      <c r="B1821" s="125" t="s">
        <v>3107</v>
      </c>
      <c r="C1821" s="118" t="s">
        <v>3108</v>
      </c>
      <c r="D1821" s="118">
        <v>0.57999999999999996</v>
      </c>
      <c r="E1821" s="118">
        <v>1.6</v>
      </c>
      <c r="F1821" s="118">
        <v>5.73</v>
      </c>
    </row>
    <row r="1822" spans="2:6" x14ac:dyDescent="0.2">
      <c r="B1822" s="125" t="s">
        <v>3114</v>
      </c>
      <c r="C1822" s="118" t="s">
        <v>4341</v>
      </c>
      <c r="D1822" s="118"/>
      <c r="E1822" s="118">
        <v>0.47</v>
      </c>
      <c r="F1822" s="118"/>
    </row>
    <row r="1823" spans="2:6" x14ac:dyDescent="0.2">
      <c r="B1823" s="125" t="s">
        <v>3109</v>
      </c>
      <c r="C1823" s="118" t="s">
        <v>3110</v>
      </c>
      <c r="D1823" s="118">
        <v>2.5299999999999998</v>
      </c>
      <c r="E1823" s="118">
        <v>3.47</v>
      </c>
      <c r="F1823" s="118">
        <v>17.670000000000002</v>
      </c>
    </row>
    <row r="1824" spans="2:6" x14ac:dyDescent="0.2">
      <c r="B1824" s="125" t="s">
        <v>3112</v>
      </c>
      <c r="C1824" s="118" t="s">
        <v>3113</v>
      </c>
      <c r="D1824" s="118">
        <v>1.1200000000000001</v>
      </c>
      <c r="E1824" s="118">
        <v>2</v>
      </c>
      <c r="F1824" s="118">
        <v>-0.95</v>
      </c>
    </row>
    <row r="1825" spans="2:6" x14ac:dyDescent="0.2">
      <c r="B1825" s="125" t="s">
        <v>3114</v>
      </c>
      <c r="C1825" s="118" t="s">
        <v>3115</v>
      </c>
      <c r="D1825" s="118"/>
      <c r="E1825" s="118">
        <v>0.48</v>
      </c>
      <c r="F1825" s="118"/>
    </row>
    <row r="1826" spans="2:6" x14ac:dyDescent="0.2">
      <c r="B1826" s="125" t="s">
        <v>4342</v>
      </c>
      <c r="C1826" s="118" t="s">
        <v>4343</v>
      </c>
      <c r="D1826" s="118">
        <v>0.47</v>
      </c>
      <c r="E1826" s="118">
        <v>0.99</v>
      </c>
      <c r="F1826" s="118">
        <v>10.56</v>
      </c>
    </row>
    <row r="1827" spans="2:6" x14ac:dyDescent="0.2">
      <c r="B1827" s="125" t="s">
        <v>4344</v>
      </c>
      <c r="C1827" s="118" t="s">
        <v>4345</v>
      </c>
      <c r="D1827" s="118"/>
      <c r="E1827" s="118"/>
      <c r="F1827" s="118"/>
    </row>
    <row r="1828" spans="2:6" x14ac:dyDescent="0.2">
      <c r="B1828" s="125" t="s">
        <v>3116</v>
      </c>
      <c r="C1828" s="118" t="s">
        <v>3117</v>
      </c>
      <c r="D1828" s="118">
        <v>1.66</v>
      </c>
      <c r="E1828" s="118">
        <v>12.5</v>
      </c>
      <c r="F1828" s="118">
        <v>57.64</v>
      </c>
    </row>
    <row r="1829" spans="2:6" x14ac:dyDescent="0.2">
      <c r="B1829" s="125" t="s">
        <v>3118</v>
      </c>
      <c r="C1829" s="118" t="s">
        <v>3119</v>
      </c>
      <c r="D1829" s="118">
        <v>0.99</v>
      </c>
      <c r="E1829" s="118">
        <v>1.82</v>
      </c>
      <c r="F1829" s="118">
        <v>12.58</v>
      </c>
    </row>
    <row r="1830" spans="2:6" x14ac:dyDescent="0.2">
      <c r="B1830" s="125" t="s">
        <v>3120</v>
      </c>
      <c r="C1830" s="118" t="s">
        <v>3121</v>
      </c>
      <c r="D1830" s="118">
        <v>0.24</v>
      </c>
      <c r="E1830" s="118">
        <v>2.46</v>
      </c>
      <c r="F1830" s="118">
        <v>-16.829999999999998</v>
      </c>
    </row>
    <row r="1831" spans="2:6" x14ac:dyDescent="0.2">
      <c r="B1831" s="125" t="s">
        <v>3122</v>
      </c>
      <c r="C1831" s="118" t="s">
        <v>3123</v>
      </c>
      <c r="D1831" s="118">
        <v>1.1599999999999999</v>
      </c>
      <c r="E1831" s="118">
        <v>1.64</v>
      </c>
      <c r="F1831" s="118">
        <v>12.1</v>
      </c>
    </row>
    <row r="1832" spans="2:6" x14ac:dyDescent="0.2">
      <c r="B1832" s="125" t="s">
        <v>3124</v>
      </c>
      <c r="C1832" s="118" t="s">
        <v>3125</v>
      </c>
      <c r="D1832" s="118">
        <v>0.78</v>
      </c>
      <c r="E1832" s="118"/>
      <c r="F1832" s="118">
        <v>8.11</v>
      </c>
    </row>
    <row r="1833" spans="2:6" x14ac:dyDescent="0.2">
      <c r="B1833" s="125" t="s">
        <v>3126</v>
      </c>
      <c r="C1833" s="118" t="s">
        <v>3127</v>
      </c>
      <c r="D1833" s="118">
        <v>0.89</v>
      </c>
      <c r="E1833" s="118">
        <v>1.88</v>
      </c>
      <c r="F1833" s="118">
        <v>21.4</v>
      </c>
    </row>
    <row r="1834" spans="2:6" x14ac:dyDescent="0.2">
      <c r="B1834" s="125" t="s">
        <v>4346</v>
      </c>
      <c r="C1834" s="118" t="s">
        <v>4347</v>
      </c>
      <c r="D1834" s="118"/>
      <c r="E1834" s="118">
        <v>3.97</v>
      </c>
      <c r="F1834" s="118"/>
    </row>
    <row r="1835" spans="2:6" x14ac:dyDescent="0.2">
      <c r="B1835" s="125" t="s">
        <v>3128</v>
      </c>
      <c r="C1835" s="118" t="s">
        <v>3129</v>
      </c>
      <c r="D1835" s="118">
        <v>2.12</v>
      </c>
      <c r="E1835" s="118">
        <v>2</v>
      </c>
      <c r="F1835" s="118">
        <v>7.76</v>
      </c>
    </row>
    <row r="1836" spans="2:6" x14ac:dyDescent="0.2">
      <c r="B1836" s="125" t="s">
        <v>3130</v>
      </c>
      <c r="C1836" s="118" t="s">
        <v>3131</v>
      </c>
      <c r="D1836" s="118"/>
      <c r="E1836" s="118"/>
      <c r="F1836" s="118"/>
    </row>
    <row r="1837" spans="2:6" x14ac:dyDescent="0.2">
      <c r="B1837" s="125" t="s">
        <v>4348</v>
      </c>
      <c r="C1837" s="118" t="s">
        <v>4349</v>
      </c>
      <c r="D1837" s="118"/>
      <c r="E1837" s="118"/>
      <c r="F1837" s="118"/>
    </row>
    <row r="1838" spans="2:6" x14ac:dyDescent="0.2">
      <c r="B1838" s="125" t="s">
        <v>3132</v>
      </c>
      <c r="C1838" s="118" t="s">
        <v>3133</v>
      </c>
      <c r="D1838" s="118">
        <v>2.11</v>
      </c>
      <c r="E1838" s="118">
        <v>1.78</v>
      </c>
      <c r="F1838" s="118">
        <v>3.89</v>
      </c>
    </row>
    <row r="1839" spans="2:6" x14ac:dyDescent="0.2">
      <c r="B1839" s="125" t="s">
        <v>3134</v>
      </c>
      <c r="C1839" s="118" t="s">
        <v>3135</v>
      </c>
      <c r="D1839" s="118">
        <v>0.73</v>
      </c>
      <c r="E1839" s="118">
        <v>1.0900000000000001</v>
      </c>
      <c r="F1839" s="118">
        <v>9.5399999999999991</v>
      </c>
    </row>
    <row r="1840" spans="2:6" x14ac:dyDescent="0.2">
      <c r="B1840" s="125" t="s">
        <v>3136</v>
      </c>
      <c r="C1840" s="118" t="s">
        <v>3137</v>
      </c>
      <c r="D1840" s="118"/>
      <c r="E1840" s="118">
        <v>3.72</v>
      </c>
      <c r="F1840" s="118"/>
    </row>
    <row r="1841" spans="2:6" x14ac:dyDescent="0.2">
      <c r="B1841" s="125" t="s">
        <v>3138</v>
      </c>
      <c r="C1841" s="118" t="s">
        <v>3139</v>
      </c>
      <c r="D1841" s="118">
        <v>4.71</v>
      </c>
      <c r="E1841" s="118">
        <v>4.3899999999999997</v>
      </c>
      <c r="F1841" s="118">
        <v>15.82</v>
      </c>
    </row>
    <row r="1842" spans="2:6" x14ac:dyDescent="0.2">
      <c r="B1842" s="125" t="s">
        <v>4350</v>
      </c>
      <c r="C1842" s="118" t="s">
        <v>4351</v>
      </c>
      <c r="D1842" s="118"/>
      <c r="E1842" s="118"/>
      <c r="F1842" s="118"/>
    </row>
    <row r="1843" spans="2:6" x14ac:dyDescent="0.2">
      <c r="B1843" s="125" t="s">
        <v>3140</v>
      </c>
      <c r="C1843" s="118" t="s">
        <v>3141</v>
      </c>
      <c r="D1843" s="118">
        <v>4.7699999999999996</v>
      </c>
      <c r="E1843" s="118">
        <v>4.13</v>
      </c>
      <c r="F1843" s="118">
        <v>17.11</v>
      </c>
    </row>
    <row r="1844" spans="2:6" x14ac:dyDescent="0.2">
      <c r="B1844" s="125" t="s">
        <v>3142</v>
      </c>
      <c r="C1844" s="118" t="s">
        <v>3143</v>
      </c>
      <c r="D1844" s="118">
        <v>1.55</v>
      </c>
      <c r="E1844" s="118">
        <v>2.5499999999999998</v>
      </c>
      <c r="F1844" s="118">
        <v>13.89</v>
      </c>
    </row>
    <row r="1845" spans="2:6" x14ac:dyDescent="0.2">
      <c r="B1845" s="125" t="s">
        <v>4352</v>
      </c>
      <c r="C1845" s="118" t="s">
        <v>4353</v>
      </c>
      <c r="D1845" s="118"/>
      <c r="E1845" s="118"/>
      <c r="F1845" s="118"/>
    </row>
    <row r="1846" spans="2:6" x14ac:dyDescent="0.2">
      <c r="B1846" s="125" t="s">
        <v>3144</v>
      </c>
      <c r="C1846" s="118" t="s">
        <v>3145</v>
      </c>
      <c r="D1846" s="118">
        <v>13.3</v>
      </c>
      <c r="E1846" s="118">
        <v>25.78</v>
      </c>
      <c r="F1846" s="118">
        <v>-19.309999999999999</v>
      </c>
    </row>
    <row r="1847" spans="2:6" x14ac:dyDescent="0.2">
      <c r="B1847" s="125" t="s">
        <v>3146</v>
      </c>
      <c r="C1847" s="118" t="s">
        <v>3147</v>
      </c>
      <c r="D1847" s="118">
        <v>1.25</v>
      </c>
      <c r="E1847" s="118">
        <v>10.43</v>
      </c>
      <c r="F1847" s="118">
        <v>46.35</v>
      </c>
    </row>
    <row r="1848" spans="2:6" x14ac:dyDescent="0.2">
      <c r="B1848" s="125" t="s">
        <v>3148</v>
      </c>
      <c r="C1848" s="118" t="s">
        <v>3149</v>
      </c>
      <c r="D1848" s="118">
        <v>2.64</v>
      </c>
      <c r="E1848" s="118"/>
      <c r="F1848" s="118">
        <v>33.090000000000003</v>
      </c>
    </row>
    <row r="1849" spans="2:6" x14ac:dyDescent="0.2">
      <c r="B1849" s="125" t="s">
        <v>3150</v>
      </c>
      <c r="C1849" s="118" t="s">
        <v>3151</v>
      </c>
      <c r="D1849" s="118">
        <v>0.75</v>
      </c>
      <c r="E1849" s="118">
        <v>1.1000000000000001</v>
      </c>
      <c r="F1849" s="118">
        <v>14.26</v>
      </c>
    </row>
    <row r="1850" spans="2:6" x14ac:dyDescent="0.2">
      <c r="B1850" s="125" t="s">
        <v>4354</v>
      </c>
      <c r="C1850" s="118" t="s">
        <v>4355</v>
      </c>
      <c r="D1850" s="118">
        <v>0.62</v>
      </c>
      <c r="E1850" s="118">
        <v>1.33</v>
      </c>
      <c r="F1850" s="118">
        <v>0.76</v>
      </c>
    </row>
    <row r="1851" spans="2:6" x14ac:dyDescent="0.2">
      <c r="B1851" s="125" t="s">
        <v>3152</v>
      </c>
      <c r="C1851" s="118" t="s">
        <v>3153</v>
      </c>
      <c r="D1851" s="118">
        <v>0.68</v>
      </c>
      <c r="E1851" s="118">
        <v>1.1299999999999999</v>
      </c>
      <c r="F1851" s="118">
        <v>10.68</v>
      </c>
    </row>
    <row r="1852" spans="2:6" x14ac:dyDescent="0.2">
      <c r="B1852" s="125" t="s">
        <v>4356</v>
      </c>
      <c r="C1852" s="118" t="s">
        <v>4357</v>
      </c>
      <c r="D1852" s="118">
        <v>20.329999999999998</v>
      </c>
      <c r="E1852" s="118">
        <v>12.99</v>
      </c>
      <c r="F1852" s="118">
        <v>104.77</v>
      </c>
    </row>
    <row r="1853" spans="2:6" x14ac:dyDescent="0.2">
      <c r="B1853" s="125" t="s">
        <v>4358</v>
      </c>
      <c r="C1853" s="118" t="s">
        <v>4359</v>
      </c>
      <c r="D1853" s="118">
        <v>1.2</v>
      </c>
      <c r="E1853" s="118">
        <v>2.08</v>
      </c>
      <c r="F1853" s="118">
        <v>21.64</v>
      </c>
    </row>
    <row r="1854" spans="2:6" x14ac:dyDescent="0.2">
      <c r="B1854" s="125" t="s">
        <v>3154</v>
      </c>
      <c r="C1854" s="118" t="s">
        <v>3155</v>
      </c>
      <c r="D1854" s="118">
        <v>1.47</v>
      </c>
      <c r="E1854" s="118">
        <v>13.58</v>
      </c>
      <c r="F1854" s="118">
        <v>72.95</v>
      </c>
    </row>
    <row r="1855" spans="2:6" x14ac:dyDescent="0.2">
      <c r="B1855" s="125" t="s">
        <v>3156</v>
      </c>
      <c r="C1855" s="118" t="s">
        <v>3157</v>
      </c>
      <c r="D1855" s="118">
        <v>4.49</v>
      </c>
      <c r="E1855" s="118">
        <v>11.29</v>
      </c>
      <c r="F1855" s="118">
        <v>12.54</v>
      </c>
    </row>
    <row r="1856" spans="2:6" x14ac:dyDescent="0.2">
      <c r="B1856" s="125" t="s">
        <v>3158</v>
      </c>
      <c r="C1856" s="118" t="s">
        <v>3159</v>
      </c>
      <c r="D1856" s="118">
        <v>7.37</v>
      </c>
      <c r="E1856" s="118">
        <v>13.03</v>
      </c>
      <c r="F1856" s="118">
        <v>35.94</v>
      </c>
    </row>
    <row r="1857" spans="2:6" x14ac:dyDescent="0.2">
      <c r="B1857" s="125" t="s">
        <v>3160</v>
      </c>
      <c r="C1857" s="118" t="s">
        <v>3161</v>
      </c>
      <c r="D1857" s="118">
        <v>0.98</v>
      </c>
      <c r="E1857" s="118">
        <v>1.08</v>
      </c>
      <c r="F1857" s="118">
        <v>-0.17</v>
      </c>
    </row>
    <row r="1858" spans="2:6" x14ac:dyDescent="0.2">
      <c r="B1858" s="125" t="s">
        <v>3162</v>
      </c>
      <c r="C1858" s="118" t="s">
        <v>3163</v>
      </c>
      <c r="D1858" s="118">
        <v>5.85</v>
      </c>
      <c r="E1858" s="118">
        <v>3.68</v>
      </c>
      <c r="F1858" s="118">
        <v>5.16</v>
      </c>
    </row>
    <row r="1859" spans="2:6" x14ac:dyDescent="0.2">
      <c r="B1859" s="125" t="s">
        <v>3164</v>
      </c>
      <c r="C1859" s="118" t="s">
        <v>3165</v>
      </c>
      <c r="D1859" s="118">
        <v>3.4</v>
      </c>
      <c r="E1859" s="118">
        <v>3.46</v>
      </c>
      <c r="F1859" s="118">
        <v>10.63</v>
      </c>
    </row>
    <row r="1860" spans="2:6" x14ac:dyDescent="0.2">
      <c r="B1860" s="125" t="s">
        <v>3166</v>
      </c>
      <c r="C1860" s="118" t="s">
        <v>3167</v>
      </c>
      <c r="D1860" s="118">
        <v>3</v>
      </c>
      <c r="E1860" s="118">
        <v>3.43</v>
      </c>
      <c r="F1860" s="118">
        <v>15.96</v>
      </c>
    </row>
    <row r="1861" spans="2:6" x14ac:dyDescent="0.2">
      <c r="B1861" s="125" t="s">
        <v>3168</v>
      </c>
      <c r="C1861" s="118" t="s">
        <v>3169</v>
      </c>
      <c r="D1861" s="118">
        <v>21.01</v>
      </c>
      <c r="E1861" s="118">
        <v>2.34</v>
      </c>
      <c r="F1861" s="118">
        <v>4.55</v>
      </c>
    </row>
    <row r="1862" spans="2:6" x14ac:dyDescent="0.2">
      <c r="B1862" s="125" t="s">
        <v>3170</v>
      </c>
      <c r="C1862" s="118" t="s">
        <v>3171</v>
      </c>
      <c r="D1862" s="118">
        <v>4.97</v>
      </c>
      <c r="E1862" s="118">
        <v>4.09</v>
      </c>
      <c r="F1862" s="118">
        <v>28.8</v>
      </c>
    </row>
    <row r="1863" spans="2:6" x14ac:dyDescent="0.2">
      <c r="B1863" s="125" t="s">
        <v>3172</v>
      </c>
      <c r="C1863" s="118" t="s">
        <v>3173</v>
      </c>
      <c r="D1863" s="118">
        <v>4.58</v>
      </c>
      <c r="E1863" s="118">
        <v>2.3199999999999998</v>
      </c>
      <c r="F1863" s="118">
        <v>14.01</v>
      </c>
    </row>
    <row r="1864" spans="2:6" x14ac:dyDescent="0.2">
      <c r="B1864" s="125" t="s">
        <v>3174</v>
      </c>
      <c r="C1864" s="118" t="s">
        <v>3175</v>
      </c>
      <c r="D1864" s="118">
        <v>6.09</v>
      </c>
      <c r="E1864" s="118">
        <v>7.22</v>
      </c>
      <c r="F1864" s="118">
        <v>22.94</v>
      </c>
    </row>
    <row r="1865" spans="2:6" x14ac:dyDescent="0.2">
      <c r="B1865" s="125" t="s">
        <v>4360</v>
      </c>
      <c r="C1865" s="118" t="s">
        <v>4361</v>
      </c>
      <c r="D1865" s="118">
        <v>4.46</v>
      </c>
      <c r="E1865" s="118"/>
      <c r="F1865" s="118"/>
    </row>
    <row r="1866" spans="2:6" x14ac:dyDescent="0.2">
      <c r="B1866" s="125" t="s">
        <v>3176</v>
      </c>
      <c r="C1866" s="118" t="s">
        <v>3177</v>
      </c>
      <c r="D1866" s="118">
        <v>1.23</v>
      </c>
      <c r="E1866" s="118">
        <v>1.5</v>
      </c>
      <c r="F1866" s="118">
        <v>10.73</v>
      </c>
    </row>
    <row r="1867" spans="2:6" x14ac:dyDescent="0.2">
      <c r="B1867" s="125" t="s">
        <v>3178</v>
      </c>
      <c r="C1867" s="118" t="s">
        <v>3179</v>
      </c>
      <c r="D1867" s="118">
        <v>0.57999999999999996</v>
      </c>
      <c r="E1867" s="118"/>
      <c r="F1867" s="118">
        <v>8.15</v>
      </c>
    </row>
    <row r="1868" spans="2:6" x14ac:dyDescent="0.2">
      <c r="B1868" s="125" t="s">
        <v>3181</v>
      </c>
      <c r="C1868" s="118" t="s">
        <v>3182</v>
      </c>
      <c r="D1868" s="118">
        <v>1.64</v>
      </c>
      <c r="E1868" s="118">
        <v>1.05</v>
      </c>
      <c r="F1868" s="118">
        <v>7.97</v>
      </c>
    </row>
    <row r="1869" spans="2:6" x14ac:dyDescent="0.2">
      <c r="B1869" s="125" t="s">
        <v>3184</v>
      </c>
      <c r="C1869" s="118" t="s">
        <v>3185</v>
      </c>
      <c r="D1869" s="118"/>
      <c r="E1869" s="118">
        <v>1.49</v>
      </c>
      <c r="F1869" s="118"/>
    </row>
    <row r="1870" spans="2:6" x14ac:dyDescent="0.2">
      <c r="B1870" s="125" t="s">
        <v>3186</v>
      </c>
      <c r="C1870" s="118" t="s">
        <v>3187</v>
      </c>
      <c r="D1870" s="118">
        <v>1.32</v>
      </c>
      <c r="E1870" s="118">
        <v>6.98</v>
      </c>
      <c r="F1870" s="118">
        <v>36.119999999999997</v>
      </c>
    </row>
    <row r="1871" spans="2:6" x14ac:dyDescent="0.2">
      <c r="B1871" s="125" t="s">
        <v>3188</v>
      </c>
      <c r="C1871" s="118" t="s">
        <v>3189</v>
      </c>
      <c r="D1871" s="118">
        <v>1.86</v>
      </c>
      <c r="E1871" s="118">
        <v>1.04</v>
      </c>
      <c r="F1871" s="118">
        <v>11.76</v>
      </c>
    </row>
    <row r="1872" spans="2:6" x14ac:dyDescent="0.2">
      <c r="B1872" s="125" t="s">
        <v>4362</v>
      </c>
      <c r="C1872" s="118" t="s">
        <v>4363</v>
      </c>
      <c r="D1872" s="118"/>
      <c r="E1872" s="118"/>
      <c r="F1872" s="118"/>
    </row>
    <row r="1873" spans="2:6" x14ac:dyDescent="0.2">
      <c r="B1873" s="125" t="s">
        <v>3190</v>
      </c>
      <c r="C1873" s="118" t="s">
        <v>3191</v>
      </c>
      <c r="D1873" s="118">
        <v>1.73</v>
      </c>
      <c r="E1873" s="118">
        <v>6.56</v>
      </c>
      <c r="F1873" s="118">
        <v>-11.42</v>
      </c>
    </row>
    <row r="1874" spans="2:6" x14ac:dyDescent="0.2">
      <c r="B1874" s="125" t="s">
        <v>3192</v>
      </c>
      <c r="C1874" s="118" t="s">
        <v>3193</v>
      </c>
      <c r="D1874" s="118">
        <v>6.95</v>
      </c>
      <c r="E1874" s="118">
        <v>4.55</v>
      </c>
      <c r="F1874" s="118">
        <v>19.37</v>
      </c>
    </row>
    <row r="1875" spans="2:6" x14ac:dyDescent="0.2">
      <c r="B1875" s="125" t="s">
        <v>3195</v>
      </c>
      <c r="C1875" s="118" t="s">
        <v>3196</v>
      </c>
      <c r="D1875" s="118">
        <v>0.77</v>
      </c>
      <c r="E1875" s="118">
        <v>2.25</v>
      </c>
      <c r="F1875" s="118">
        <v>15.92</v>
      </c>
    </row>
    <row r="1876" spans="2:6" x14ac:dyDescent="0.2">
      <c r="B1876" s="125" t="s">
        <v>3197</v>
      </c>
      <c r="C1876" s="118" t="s">
        <v>3198</v>
      </c>
      <c r="D1876" s="118">
        <v>1.55</v>
      </c>
      <c r="E1876" s="118">
        <v>1.23</v>
      </c>
      <c r="F1876" s="118">
        <v>12.16</v>
      </c>
    </row>
    <row r="1877" spans="2:6" x14ac:dyDescent="0.2">
      <c r="B1877" s="125" t="s">
        <v>4364</v>
      </c>
      <c r="C1877" s="118" t="s">
        <v>4365</v>
      </c>
      <c r="D1877" s="118"/>
      <c r="E1877" s="118"/>
      <c r="F1877" s="118"/>
    </row>
    <row r="1878" spans="2:6" x14ac:dyDescent="0.2">
      <c r="B1878" s="125" t="s">
        <v>3199</v>
      </c>
      <c r="C1878" s="118" t="s">
        <v>3200</v>
      </c>
      <c r="D1878" s="118">
        <v>2.62</v>
      </c>
      <c r="E1878" s="118">
        <v>9.1300000000000008</v>
      </c>
      <c r="F1878" s="118">
        <v>40.520000000000003</v>
      </c>
    </row>
    <row r="1879" spans="2:6" x14ac:dyDescent="0.2">
      <c r="B1879" s="125" t="s">
        <v>3201</v>
      </c>
      <c r="C1879" s="118" t="s">
        <v>3202</v>
      </c>
      <c r="D1879" s="118">
        <v>16.63</v>
      </c>
      <c r="E1879" s="118">
        <v>18.899999999999999</v>
      </c>
      <c r="F1879" s="118">
        <v>23.63</v>
      </c>
    </row>
    <row r="1880" spans="2:6" x14ac:dyDescent="0.2">
      <c r="B1880" s="125" t="s">
        <v>3203</v>
      </c>
      <c r="C1880" s="118" t="s">
        <v>3204</v>
      </c>
      <c r="D1880" s="118">
        <v>0.94</v>
      </c>
      <c r="E1880" s="118"/>
      <c r="F1880" s="118">
        <v>9.69</v>
      </c>
    </row>
    <row r="1881" spans="2:6" x14ac:dyDescent="0.2">
      <c r="B1881" s="125" t="s">
        <v>3205</v>
      </c>
      <c r="C1881" s="118" t="s">
        <v>3206</v>
      </c>
      <c r="D1881" s="118">
        <v>1.53</v>
      </c>
      <c r="E1881" s="118">
        <v>4.54</v>
      </c>
      <c r="F1881" s="118">
        <v>17.36</v>
      </c>
    </row>
    <row r="1882" spans="2:6" x14ac:dyDescent="0.2">
      <c r="B1882" s="125" t="s">
        <v>3207</v>
      </c>
      <c r="C1882" s="118" t="s">
        <v>3208</v>
      </c>
      <c r="D1882" s="118">
        <v>0.15</v>
      </c>
      <c r="E1882" s="118">
        <v>0.8</v>
      </c>
      <c r="F1882" s="118">
        <v>-4.54</v>
      </c>
    </row>
    <row r="1883" spans="2:6" x14ac:dyDescent="0.2">
      <c r="B1883" s="125" t="s">
        <v>4366</v>
      </c>
      <c r="C1883" s="118" t="s">
        <v>4367</v>
      </c>
      <c r="D1883" s="118"/>
      <c r="E1883" s="118">
        <v>4.1100000000000003</v>
      </c>
      <c r="F1883" s="118"/>
    </row>
    <row r="1884" spans="2:6" x14ac:dyDescent="0.2">
      <c r="B1884" s="125" t="s">
        <v>3209</v>
      </c>
      <c r="C1884" s="118" t="s">
        <v>3210</v>
      </c>
      <c r="D1884" s="118">
        <v>5.24</v>
      </c>
      <c r="E1884" s="118">
        <v>7.08</v>
      </c>
      <c r="F1884" s="118">
        <v>23.95</v>
      </c>
    </row>
    <row r="1885" spans="2:6" x14ac:dyDescent="0.2">
      <c r="B1885" s="125" t="s">
        <v>3211</v>
      </c>
      <c r="C1885" s="118" t="s">
        <v>3212</v>
      </c>
      <c r="D1885" s="118">
        <v>1.99</v>
      </c>
      <c r="E1885" s="118">
        <v>2.8</v>
      </c>
      <c r="F1885" s="118">
        <v>16.75</v>
      </c>
    </row>
    <row r="1886" spans="2:6" x14ac:dyDescent="0.2">
      <c r="B1886" s="125" t="s">
        <v>4368</v>
      </c>
      <c r="C1886" s="118" t="s">
        <v>4369</v>
      </c>
      <c r="D1886" s="118">
        <v>0.27</v>
      </c>
      <c r="E1886" s="118">
        <v>1.62</v>
      </c>
      <c r="F1886" s="118">
        <v>17.899999999999999</v>
      </c>
    </row>
    <row r="1887" spans="2:6" x14ac:dyDescent="0.2">
      <c r="B1887" s="125" t="s">
        <v>3213</v>
      </c>
      <c r="C1887" s="118" t="s">
        <v>3214</v>
      </c>
      <c r="D1887" s="118">
        <v>1.19</v>
      </c>
      <c r="E1887" s="118">
        <v>1.1399999999999999</v>
      </c>
      <c r="F1887" s="118">
        <v>2.4</v>
      </c>
    </row>
    <row r="1888" spans="2:6" x14ac:dyDescent="0.2">
      <c r="B1888" s="125" t="s">
        <v>3215</v>
      </c>
      <c r="C1888" s="118" t="s">
        <v>3216</v>
      </c>
      <c r="D1888" s="118"/>
      <c r="E1888" s="118"/>
      <c r="F1888" s="118"/>
    </row>
    <row r="1889" spans="2:6" x14ac:dyDescent="0.2">
      <c r="B1889" s="125" t="s">
        <v>4370</v>
      </c>
      <c r="C1889" s="118" t="s">
        <v>4371</v>
      </c>
      <c r="D1889" s="118"/>
      <c r="E1889" s="118">
        <v>2.0099999999999998</v>
      </c>
      <c r="F1889" s="118"/>
    </row>
    <row r="1890" spans="2:6" x14ac:dyDescent="0.2">
      <c r="B1890" s="125" t="s">
        <v>3217</v>
      </c>
      <c r="C1890" s="118" t="s">
        <v>3218</v>
      </c>
      <c r="D1890" s="118">
        <v>17.61</v>
      </c>
      <c r="E1890" s="118">
        <v>3.61</v>
      </c>
      <c r="F1890" s="118">
        <v>-7.22</v>
      </c>
    </row>
    <row r="1891" spans="2:6" x14ac:dyDescent="0.2">
      <c r="B1891" s="125" t="s">
        <v>3219</v>
      </c>
      <c r="C1891" s="118" t="s">
        <v>3220</v>
      </c>
      <c r="D1891" s="118">
        <v>3.31</v>
      </c>
      <c r="E1891" s="118">
        <v>0.94</v>
      </c>
      <c r="F1891" s="118">
        <v>13.49</v>
      </c>
    </row>
    <row r="1892" spans="2:6" x14ac:dyDescent="0.2">
      <c r="B1892" s="125" t="s">
        <v>4372</v>
      </c>
      <c r="C1892" s="118" t="s">
        <v>4373</v>
      </c>
      <c r="D1892" s="118"/>
      <c r="E1892" s="118"/>
      <c r="F1892" s="118"/>
    </row>
    <row r="1893" spans="2:6" x14ac:dyDescent="0.2">
      <c r="B1893" s="125" t="s">
        <v>3221</v>
      </c>
      <c r="C1893" s="118" t="s">
        <v>3222</v>
      </c>
      <c r="D1893" s="118">
        <v>10.14</v>
      </c>
      <c r="E1893" s="118">
        <v>4</v>
      </c>
      <c r="F1893" s="118">
        <v>7.93</v>
      </c>
    </row>
    <row r="1894" spans="2:6" x14ac:dyDescent="0.2">
      <c r="B1894" s="125" t="s">
        <v>3223</v>
      </c>
      <c r="C1894" s="118" t="s">
        <v>3224</v>
      </c>
      <c r="D1894" s="118">
        <v>0.34</v>
      </c>
      <c r="E1894" s="118">
        <v>0.48</v>
      </c>
      <c r="F1894" s="118">
        <v>16.62</v>
      </c>
    </row>
    <row r="1895" spans="2:6" x14ac:dyDescent="0.2">
      <c r="B1895" s="125" t="s">
        <v>3225</v>
      </c>
      <c r="C1895" s="118" t="s">
        <v>3226</v>
      </c>
      <c r="D1895" s="118">
        <v>7.76</v>
      </c>
      <c r="E1895" s="118">
        <v>13.94</v>
      </c>
      <c r="F1895" s="118">
        <v>57.25</v>
      </c>
    </row>
    <row r="1896" spans="2:6" x14ac:dyDescent="0.2">
      <c r="B1896" s="125" t="s">
        <v>3227</v>
      </c>
      <c r="C1896" s="118" t="s">
        <v>3228</v>
      </c>
      <c r="D1896" s="118">
        <v>1.39</v>
      </c>
      <c r="E1896" s="118">
        <v>3.97</v>
      </c>
      <c r="F1896" s="118">
        <v>16.3</v>
      </c>
    </row>
    <row r="1897" spans="2:6" x14ac:dyDescent="0.2">
      <c r="B1897" s="125" t="s">
        <v>3229</v>
      </c>
      <c r="C1897" s="118" t="s">
        <v>3230</v>
      </c>
      <c r="D1897" s="118">
        <v>0.88</v>
      </c>
      <c r="E1897" s="118">
        <v>2.2000000000000002</v>
      </c>
      <c r="F1897" s="118">
        <v>15.55</v>
      </c>
    </row>
    <row r="1898" spans="2:6" x14ac:dyDescent="0.2">
      <c r="B1898" s="125" t="s">
        <v>4374</v>
      </c>
      <c r="C1898" s="118" t="s">
        <v>4375</v>
      </c>
      <c r="D1898" s="118"/>
      <c r="E1898" s="118"/>
      <c r="F1898" s="118"/>
    </row>
    <row r="1899" spans="2:6" x14ac:dyDescent="0.2">
      <c r="B1899" s="125" t="s">
        <v>3231</v>
      </c>
      <c r="C1899" s="118" t="s">
        <v>3232</v>
      </c>
      <c r="D1899" s="118">
        <v>9.9499999999999993</v>
      </c>
      <c r="E1899" s="118">
        <v>6.97</v>
      </c>
      <c r="F1899" s="118">
        <v>11.44</v>
      </c>
    </row>
    <row r="1900" spans="2:6" x14ac:dyDescent="0.2">
      <c r="B1900" s="125" t="s">
        <v>3233</v>
      </c>
      <c r="C1900" s="118" t="s">
        <v>4376</v>
      </c>
      <c r="D1900" s="118">
        <v>1.55</v>
      </c>
      <c r="E1900" s="118">
        <v>3.96</v>
      </c>
      <c r="F1900" s="118">
        <v>7.83</v>
      </c>
    </row>
    <row r="1901" spans="2:6" x14ac:dyDescent="0.2">
      <c r="B1901" s="125" t="s">
        <v>3233</v>
      </c>
      <c r="C1901" s="118" t="s">
        <v>3234</v>
      </c>
      <c r="D1901" s="118">
        <v>1.7</v>
      </c>
      <c r="E1901" s="118">
        <v>4.33</v>
      </c>
      <c r="F1901" s="118">
        <v>7.86</v>
      </c>
    </row>
    <row r="1902" spans="2:6" x14ac:dyDescent="0.2">
      <c r="B1902" s="125" t="s">
        <v>3235</v>
      </c>
      <c r="C1902" s="118" t="s">
        <v>3236</v>
      </c>
      <c r="D1902" s="118">
        <v>0.54</v>
      </c>
      <c r="E1902" s="118">
        <v>2.2200000000000002</v>
      </c>
      <c r="F1902" s="118">
        <v>29.33</v>
      </c>
    </row>
    <row r="1903" spans="2:6" x14ac:dyDescent="0.2">
      <c r="B1903" s="125" t="s">
        <v>4377</v>
      </c>
      <c r="C1903" s="118" t="s">
        <v>4378</v>
      </c>
      <c r="D1903" s="118"/>
      <c r="E1903" s="118">
        <v>3.48</v>
      </c>
      <c r="F1903" s="118"/>
    </row>
    <row r="1904" spans="2:6" x14ac:dyDescent="0.2">
      <c r="B1904" s="125" t="s">
        <v>3237</v>
      </c>
      <c r="C1904" s="118" t="s">
        <v>3238</v>
      </c>
      <c r="D1904" s="118">
        <v>1.32</v>
      </c>
      <c r="E1904" s="118">
        <v>0.79</v>
      </c>
      <c r="F1904" s="118">
        <v>8.07</v>
      </c>
    </row>
    <row r="1905" spans="2:6" x14ac:dyDescent="0.2">
      <c r="B1905" s="125" t="s">
        <v>4379</v>
      </c>
      <c r="C1905" s="118" t="s">
        <v>4380</v>
      </c>
      <c r="D1905" s="118"/>
      <c r="E1905" s="118"/>
      <c r="F1905" s="118"/>
    </row>
    <row r="1906" spans="2:6" x14ac:dyDescent="0.2">
      <c r="B1906" s="125" t="s">
        <v>3239</v>
      </c>
      <c r="C1906" s="118" t="s">
        <v>3240</v>
      </c>
      <c r="D1906" s="118">
        <v>4.38</v>
      </c>
      <c r="E1906" s="118">
        <v>1.18</v>
      </c>
      <c r="F1906" s="118">
        <v>7.9</v>
      </c>
    </row>
    <row r="1907" spans="2:6" x14ac:dyDescent="0.2">
      <c r="B1907" s="125" t="s">
        <v>4381</v>
      </c>
      <c r="C1907" s="118" t="s">
        <v>4382</v>
      </c>
      <c r="D1907" s="118"/>
      <c r="E1907" s="118"/>
      <c r="F1907" s="118"/>
    </row>
    <row r="1908" spans="2:6" x14ac:dyDescent="0.2">
      <c r="B1908" s="125" t="s">
        <v>3241</v>
      </c>
      <c r="C1908" s="118" t="s">
        <v>3242</v>
      </c>
      <c r="D1908" s="118"/>
      <c r="E1908" s="118"/>
      <c r="F1908" s="118"/>
    </row>
    <row r="1909" spans="2:6" x14ac:dyDescent="0.2">
      <c r="B1909" s="125" t="s">
        <v>3243</v>
      </c>
      <c r="C1909" s="118" t="s">
        <v>3244</v>
      </c>
      <c r="D1909" s="118">
        <v>12.92</v>
      </c>
      <c r="E1909" s="118">
        <v>4.68</v>
      </c>
      <c r="F1909" s="118">
        <v>5.59</v>
      </c>
    </row>
    <row r="1910" spans="2:6" x14ac:dyDescent="0.2">
      <c r="B1910" s="125" t="s">
        <v>3245</v>
      </c>
      <c r="C1910" s="118" t="s">
        <v>3246</v>
      </c>
      <c r="D1910" s="118">
        <v>1.17</v>
      </c>
      <c r="E1910" s="118">
        <v>2.08</v>
      </c>
      <c r="F1910" s="118">
        <v>10.56</v>
      </c>
    </row>
    <row r="1911" spans="2:6" x14ac:dyDescent="0.2">
      <c r="B1911" s="125" t="s">
        <v>3247</v>
      </c>
      <c r="C1911" s="118" t="s">
        <v>3248</v>
      </c>
      <c r="D1911" s="118">
        <v>0.21</v>
      </c>
      <c r="E1911" s="118">
        <v>1.89</v>
      </c>
      <c r="F1911" s="118">
        <v>11.93</v>
      </c>
    </row>
    <row r="1912" spans="2:6" x14ac:dyDescent="0.2">
      <c r="B1912" s="125" t="s">
        <v>3249</v>
      </c>
      <c r="C1912" s="118" t="s">
        <v>3250</v>
      </c>
      <c r="D1912" s="118">
        <v>1.99</v>
      </c>
      <c r="E1912" s="118">
        <v>1.9</v>
      </c>
      <c r="F1912" s="118">
        <v>9.69</v>
      </c>
    </row>
    <row r="1913" spans="2:6" x14ac:dyDescent="0.2">
      <c r="B1913" s="125" t="s">
        <v>3251</v>
      </c>
      <c r="C1913" s="118" t="s">
        <v>3252</v>
      </c>
      <c r="D1913" s="118">
        <v>1.2</v>
      </c>
      <c r="E1913" s="118">
        <v>2.48</v>
      </c>
      <c r="F1913" s="118">
        <v>16.41</v>
      </c>
    </row>
    <row r="1914" spans="2:6" x14ac:dyDescent="0.2">
      <c r="B1914" s="125" t="s">
        <v>3253</v>
      </c>
      <c r="C1914" s="118" t="s">
        <v>3254</v>
      </c>
      <c r="D1914" s="118">
        <v>7</v>
      </c>
      <c r="E1914" s="118">
        <v>84.22</v>
      </c>
      <c r="F1914" s="118">
        <v>206.17</v>
      </c>
    </row>
    <row r="1915" spans="2:6" x14ac:dyDescent="0.2">
      <c r="B1915" s="125" t="s">
        <v>3255</v>
      </c>
      <c r="C1915" s="118" t="s">
        <v>3256</v>
      </c>
      <c r="D1915" s="118"/>
      <c r="E1915" s="118">
        <v>4.6500000000000004</v>
      </c>
      <c r="F1915" s="118"/>
    </row>
    <row r="1916" spans="2:6" x14ac:dyDescent="0.2">
      <c r="B1916" s="125" t="s">
        <v>3257</v>
      </c>
      <c r="C1916" s="118" t="s">
        <v>3258</v>
      </c>
      <c r="D1916" s="118">
        <v>1.9</v>
      </c>
      <c r="E1916" s="118">
        <v>7.32</v>
      </c>
      <c r="F1916" s="118">
        <v>37.04</v>
      </c>
    </row>
    <row r="1917" spans="2:6" x14ac:dyDescent="0.2">
      <c r="B1917" s="125" t="s">
        <v>3259</v>
      </c>
      <c r="C1917" s="118" t="s">
        <v>3260</v>
      </c>
      <c r="D1917" s="118">
        <v>2.62</v>
      </c>
      <c r="E1917" s="118">
        <v>1.3</v>
      </c>
      <c r="F1917" s="118">
        <v>8.68</v>
      </c>
    </row>
    <row r="1918" spans="2:6" x14ac:dyDescent="0.2">
      <c r="B1918" s="125" t="s">
        <v>4383</v>
      </c>
      <c r="C1918" s="118" t="s">
        <v>4384</v>
      </c>
      <c r="D1918" s="118">
        <v>1.0900000000000001</v>
      </c>
      <c r="E1918" s="118">
        <v>0.78</v>
      </c>
      <c r="F1918" s="118">
        <v>1.41</v>
      </c>
    </row>
    <row r="1919" spans="2:6" x14ac:dyDescent="0.2">
      <c r="B1919" s="125" t="s">
        <v>3261</v>
      </c>
      <c r="C1919" s="118" t="s">
        <v>3262</v>
      </c>
      <c r="D1919" s="118">
        <v>2.6</v>
      </c>
      <c r="E1919" s="118">
        <v>0.88</v>
      </c>
      <c r="F1919" s="118">
        <v>8.7100000000000009</v>
      </c>
    </row>
    <row r="1920" spans="2:6" x14ac:dyDescent="0.2">
      <c r="B1920" s="125" t="s">
        <v>3263</v>
      </c>
      <c r="C1920" s="118" t="s">
        <v>3264</v>
      </c>
      <c r="D1920" s="118"/>
      <c r="E1920" s="118">
        <v>6.76</v>
      </c>
      <c r="F1920" s="118"/>
    </row>
    <row r="1921" spans="2:6" x14ac:dyDescent="0.2">
      <c r="B1921" s="125" t="s">
        <v>3265</v>
      </c>
      <c r="C1921" s="118" t="s">
        <v>3266</v>
      </c>
      <c r="D1921" s="118"/>
      <c r="E1921" s="118"/>
      <c r="F1921" s="118"/>
    </row>
    <row r="1922" spans="2:6" x14ac:dyDescent="0.2">
      <c r="B1922" s="125" t="s">
        <v>3267</v>
      </c>
      <c r="C1922" s="118" t="s">
        <v>3268</v>
      </c>
      <c r="D1922" s="118">
        <v>2.1</v>
      </c>
      <c r="E1922" s="118">
        <v>2.2999999999999998</v>
      </c>
      <c r="F1922" s="118">
        <v>9.67</v>
      </c>
    </row>
    <row r="1923" spans="2:6" x14ac:dyDescent="0.2">
      <c r="B1923" s="125" t="s">
        <v>3269</v>
      </c>
      <c r="C1923" s="118" t="s">
        <v>3270</v>
      </c>
      <c r="D1923" s="118">
        <v>0.94</v>
      </c>
      <c r="E1923" s="118">
        <v>3.96</v>
      </c>
      <c r="F1923" s="118">
        <v>25.2</v>
      </c>
    </row>
    <row r="1924" spans="2:6" x14ac:dyDescent="0.2">
      <c r="B1924" s="125" t="s">
        <v>4385</v>
      </c>
      <c r="C1924" s="118" t="s">
        <v>4386</v>
      </c>
      <c r="D1924" s="118">
        <v>3.07</v>
      </c>
      <c r="E1924" s="118"/>
      <c r="F1924" s="118"/>
    </row>
    <row r="1925" spans="2:6" x14ac:dyDescent="0.2">
      <c r="B1925" s="125" t="s">
        <v>3271</v>
      </c>
      <c r="C1925" s="118" t="s">
        <v>3272</v>
      </c>
      <c r="D1925" s="118">
        <v>0.52</v>
      </c>
      <c r="E1925" s="118">
        <v>0.65</v>
      </c>
      <c r="F1925" s="118">
        <v>12.9</v>
      </c>
    </row>
    <row r="1926" spans="2:6" x14ac:dyDescent="0.2">
      <c r="B1926" s="125" t="s">
        <v>3273</v>
      </c>
      <c r="C1926" s="118" t="s">
        <v>3274</v>
      </c>
      <c r="D1926" s="118">
        <v>5.17</v>
      </c>
      <c r="E1926" s="118">
        <v>6.45</v>
      </c>
      <c r="F1926" s="118">
        <v>31.74</v>
      </c>
    </row>
    <row r="1927" spans="2:6" x14ac:dyDescent="0.2">
      <c r="B1927" s="125" t="s">
        <v>3275</v>
      </c>
      <c r="C1927" s="118" t="s">
        <v>3276</v>
      </c>
      <c r="D1927" s="118">
        <v>0.42</v>
      </c>
      <c r="E1927" s="118">
        <v>2.09</v>
      </c>
      <c r="F1927" s="118">
        <v>15.03</v>
      </c>
    </row>
    <row r="1928" spans="2:6" x14ac:dyDescent="0.2">
      <c r="B1928" s="125" t="s">
        <v>3277</v>
      </c>
      <c r="C1928" s="118" t="s">
        <v>3278</v>
      </c>
      <c r="D1928" s="118">
        <v>3.39</v>
      </c>
      <c r="E1928" s="118"/>
      <c r="F1928" s="118"/>
    </row>
    <row r="1929" spans="2:6" x14ac:dyDescent="0.2">
      <c r="B1929" s="125" t="s">
        <v>3279</v>
      </c>
      <c r="C1929" s="118" t="s">
        <v>3280</v>
      </c>
      <c r="D1929" s="118">
        <v>1.43</v>
      </c>
      <c r="E1929" s="118">
        <v>23.43</v>
      </c>
      <c r="F1929" s="118">
        <v>175.6</v>
      </c>
    </row>
    <row r="1930" spans="2:6" x14ac:dyDescent="0.2">
      <c r="B1930" s="125" t="s">
        <v>3281</v>
      </c>
      <c r="C1930" s="118" t="s">
        <v>3282</v>
      </c>
      <c r="D1930" s="118">
        <v>1.1100000000000001</v>
      </c>
      <c r="E1930" s="118">
        <v>2.81</v>
      </c>
      <c r="F1930" s="118">
        <v>41.97</v>
      </c>
    </row>
    <row r="1931" spans="2:6" x14ac:dyDescent="0.2">
      <c r="B1931" s="125" t="s">
        <v>3283</v>
      </c>
      <c r="C1931" s="118" t="s">
        <v>3284</v>
      </c>
      <c r="D1931" s="118">
        <v>3.24</v>
      </c>
      <c r="E1931" s="118">
        <v>1.86</v>
      </c>
      <c r="F1931" s="118">
        <v>15.45</v>
      </c>
    </row>
    <row r="1932" spans="2:6" x14ac:dyDescent="0.2">
      <c r="B1932" s="125" t="s">
        <v>3285</v>
      </c>
      <c r="C1932" s="118" t="s">
        <v>3286</v>
      </c>
      <c r="D1932" s="118">
        <v>0.38</v>
      </c>
      <c r="E1932" s="118">
        <v>2.72</v>
      </c>
      <c r="F1932" s="118">
        <v>14.15</v>
      </c>
    </row>
    <row r="1933" spans="2:6" x14ac:dyDescent="0.2">
      <c r="B1933" s="125" t="s">
        <v>3287</v>
      </c>
      <c r="C1933" s="118" t="s">
        <v>3288</v>
      </c>
      <c r="D1933" s="118">
        <v>0.82</v>
      </c>
      <c r="E1933" s="118">
        <v>0.78</v>
      </c>
      <c r="F1933" s="118">
        <v>3.46</v>
      </c>
    </row>
    <row r="1934" spans="2:6" x14ac:dyDescent="0.2">
      <c r="B1934" s="125" t="s">
        <v>3289</v>
      </c>
      <c r="C1934" s="118" t="s">
        <v>3290</v>
      </c>
      <c r="D1934" s="118"/>
      <c r="E1934" s="118"/>
      <c r="F1934" s="118"/>
    </row>
    <row r="1935" spans="2:6" x14ac:dyDescent="0.2">
      <c r="B1935" s="125" t="s">
        <v>3291</v>
      </c>
      <c r="C1935" s="118" t="s">
        <v>3292</v>
      </c>
      <c r="D1935" s="118">
        <v>2.46</v>
      </c>
      <c r="E1935" s="118">
        <v>1.47</v>
      </c>
      <c r="F1935" s="118">
        <v>-4.54</v>
      </c>
    </row>
    <row r="1936" spans="2:6" x14ac:dyDescent="0.2">
      <c r="B1936" s="125" t="s">
        <v>3293</v>
      </c>
      <c r="C1936" s="118" t="s">
        <v>3294</v>
      </c>
      <c r="D1936" s="118">
        <v>1.61</v>
      </c>
      <c r="E1936" s="118">
        <v>2.72</v>
      </c>
      <c r="F1936" s="118">
        <v>16.809999999999999</v>
      </c>
    </row>
    <row r="1937" spans="2:6" x14ac:dyDescent="0.2">
      <c r="B1937" s="125" t="s">
        <v>4387</v>
      </c>
      <c r="C1937" s="118" t="s">
        <v>4388</v>
      </c>
      <c r="D1937" s="118"/>
      <c r="E1937" s="118"/>
      <c r="F1937" s="118"/>
    </row>
    <row r="1938" spans="2:6" x14ac:dyDescent="0.2">
      <c r="B1938" s="125" t="s">
        <v>3295</v>
      </c>
      <c r="C1938" s="118" t="s">
        <v>3296</v>
      </c>
      <c r="D1938" s="118">
        <v>15.5</v>
      </c>
      <c r="E1938" s="118">
        <v>11.7</v>
      </c>
      <c r="F1938" s="118">
        <v>41.04</v>
      </c>
    </row>
    <row r="1939" spans="2:6" x14ac:dyDescent="0.2">
      <c r="B1939" s="125" t="s">
        <v>3297</v>
      </c>
      <c r="C1939" s="118" t="s">
        <v>3298</v>
      </c>
      <c r="D1939" s="118">
        <v>1.2</v>
      </c>
      <c r="E1939" s="118">
        <v>1.44</v>
      </c>
      <c r="F1939" s="118">
        <v>8.11</v>
      </c>
    </row>
    <row r="1940" spans="2:6" x14ac:dyDescent="0.2">
      <c r="B1940" s="125" t="s">
        <v>3299</v>
      </c>
      <c r="C1940" s="118" t="s">
        <v>3300</v>
      </c>
      <c r="D1940" s="118">
        <v>1.62</v>
      </c>
      <c r="E1940" s="118">
        <v>1.4</v>
      </c>
      <c r="F1940" s="118">
        <v>21.11</v>
      </c>
    </row>
    <row r="1941" spans="2:6" x14ac:dyDescent="0.2">
      <c r="B1941" s="125" t="s">
        <v>3301</v>
      </c>
      <c r="C1941" s="118" t="s">
        <v>3302</v>
      </c>
      <c r="D1941" s="118">
        <v>3.4</v>
      </c>
      <c r="E1941" s="118">
        <v>6.09</v>
      </c>
      <c r="F1941" s="118">
        <v>24.91</v>
      </c>
    </row>
    <row r="1942" spans="2:6" x14ac:dyDescent="0.2">
      <c r="B1942" s="125" t="s">
        <v>4389</v>
      </c>
      <c r="C1942" s="118" t="s">
        <v>4390</v>
      </c>
      <c r="D1942" s="118"/>
      <c r="E1942" s="118">
        <v>2.74</v>
      </c>
      <c r="F1942" s="118"/>
    </row>
    <row r="1943" spans="2:6" x14ac:dyDescent="0.2">
      <c r="B1943" s="125" t="s">
        <v>4391</v>
      </c>
      <c r="C1943" s="118" t="s">
        <v>4392</v>
      </c>
      <c r="D1943" s="118">
        <v>0.65</v>
      </c>
      <c r="E1943" s="118">
        <v>0.79</v>
      </c>
      <c r="F1943" s="118">
        <v>17.03</v>
      </c>
    </row>
    <row r="1944" spans="2:6" x14ac:dyDescent="0.2">
      <c r="B1944" s="125" t="s">
        <v>3303</v>
      </c>
      <c r="C1944" s="118" t="s">
        <v>3304</v>
      </c>
      <c r="D1944" s="118">
        <v>22.86</v>
      </c>
      <c r="E1944" s="118">
        <v>15.32</v>
      </c>
      <c r="F1944" s="118">
        <v>18.100000000000001</v>
      </c>
    </row>
    <row r="1945" spans="2:6" x14ac:dyDescent="0.2">
      <c r="B1945" s="125" t="s">
        <v>3305</v>
      </c>
      <c r="C1945" s="118" t="s">
        <v>3306</v>
      </c>
      <c r="D1945" s="118"/>
      <c r="E1945" s="118"/>
      <c r="F1945" s="118"/>
    </row>
    <row r="1946" spans="2:6" x14ac:dyDescent="0.2">
      <c r="B1946" s="125" t="s">
        <v>3307</v>
      </c>
      <c r="C1946" s="118" t="s">
        <v>3308</v>
      </c>
      <c r="D1946" s="118">
        <v>0.47</v>
      </c>
      <c r="E1946" s="118">
        <v>1.42</v>
      </c>
      <c r="F1946" s="118">
        <v>-15.89</v>
      </c>
    </row>
    <row r="1947" spans="2:6" x14ac:dyDescent="0.2">
      <c r="B1947" s="125" t="s">
        <v>3309</v>
      </c>
      <c r="C1947" s="118" t="s">
        <v>3310</v>
      </c>
      <c r="D1947" s="118">
        <v>7.59</v>
      </c>
      <c r="E1947" s="118">
        <v>1.3</v>
      </c>
      <c r="F1947" s="118">
        <v>4.2300000000000004</v>
      </c>
    </row>
    <row r="1948" spans="2:6" x14ac:dyDescent="0.2">
      <c r="B1948" s="125" t="s">
        <v>3311</v>
      </c>
      <c r="C1948" s="118" t="s">
        <v>3312</v>
      </c>
      <c r="D1948" s="118">
        <v>2.56</v>
      </c>
      <c r="E1948" s="118">
        <v>8.2200000000000006</v>
      </c>
      <c r="F1948" s="118">
        <v>34.520000000000003</v>
      </c>
    </row>
    <row r="1949" spans="2:6" x14ac:dyDescent="0.2">
      <c r="B1949" s="125" t="s">
        <v>4393</v>
      </c>
      <c r="C1949" s="118" t="s">
        <v>4394</v>
      </c>
      <c r="D1949" s="118"/>
      <c r="E1949" s="118"/>
      <c r="F1949" s="118"/>
    </row>
    <row r="1950" spans="2:6" x14ac:dyDescent="0.2">
      <c r="B1950" s="125" t="s">
        <v>3315</v>
      </c>
      <c r="C1950" s="118" t="s">
        <v>4395</v>
      </c>
      <c r="D1950" s="118">
        <v>0.83</v>
      </c>
      <c r="E1950" s="118">
        <v>1.27</v>
      </c>
      <c r="F1950" s="118">
        <v>21.71</v>
      </c>
    </row>
    <row r="1951" spans="2:6" x14ac:dyDescent="0.2">
      <c r="B1951" s="125" t="s">
        <v>4396</v>
      </c>
      <c r="C1951" s="118" t="s">
        <v>4397</v>
      </c>
      <c r="D1951" s="118">
        <v>3.97</v>
      </c>
      <c r="E1951" s="118"/>
      <c r="F1951" s="118"/>
    </row>
    <row r="1952" spans="2:6" x14ac:dyDescent="0.2">
      <c r="B1952" s="125" t="s">
        <v>3315</v>
      </c>
      <c r="C1952" s="118" t="s">
        <v>3316</v>
      </c>
      <c r="D1952" s="118">
        <v>0.78</v>
      </c>
      <c r="E1952" s="118">
        <v>1.19</v>
      </c>
      <c r="F1952" s="118">
        <v>21.71</v>
      </c>
    </row>
    <row r="1953" spans="2:6" x14ac:dyDescent="0.2">
      <c r="B1953" s="125" t="s">
        <v>3317</v>
      </c>
      <c r="C1953" s="118" t="s">
        <v>3318</v>
      </c>
      <c r="D1953" s="118">
        <v>2.97</v>
      </c>
      <c r="E1953" s="118">
        <v>4.62</v>
      </c>
      <c r="F1953" s="118">
        <v>16.75</v>
      </c>
    </row>
    <row r="1954" spans="2:6" x14ac:dyDescent="0.2">
      <c r="B1954" s="125" t="s">
        <v>3319</v>
      </c>
      <c r="C1954" s="118" t="s">
        <v>3320</v>
      </c>
      <c r="D1954" s="118">
        <v>11.84</v>
      </c>
      <c r="E1954" s="118">
        <v>1.31</v>
      </c>
      <c r="F1954" s="118">
        <v>8.15</v>
      </c>
    </row>
    <row r="1955" spans="2:6" x14ac:dyDescent="0.2">
      <c r="B1955" s="125" t="s">
        <v>3321</v>
      </c>
      <c r="C1955" s="118" t="s">
        <v>3322</v>
      </c>
      <c r="D1955" s="118">
        <v>0.5</v>
      </c>
      <c r="E1955" s="118">
        <v>2.29</v>
      </c>
      <c r="F1955" s="118">
        <v>14.63</v>
      </c>
    </row>
    <row r="1956" spans="2:6" x14ac:dyDescent="0.2">
      <c r="B1956" s="125" t="s">
        <v>3323</v>
      </c>
      <c r="C1956" s="118" t="s">
        <v>3324</v>
      </c>
      <c r="D1956" s="118">
        <v>2.4700000000000002</v>
      </c>
      <c r="E1956" s="118">
        <v>2.7</v>
      </c>
      <c r="F1956" s="118">
        <v>17.64</v>
      </c>
    </row>
    <row r="1957" spans="2:6" x14ac:dyDescent="0.2">
      <c r="B1957" s="125" t="s">
        <v>3325</v>
      </c>
      <c r="C1957" s="118" t="s">
        <v>3326</v>
      </c>
      <c r="D1957" s="118">
        <v>1.94</v>
      </c>
      <c r="E1957" s="118">
        <v>1.23</v>
      </c>
      <c r="F1957" s="118">
        <v>10.26</v>
      </c>
    </row>
    <row r="1958" spans="2:6" x14ac:dyDescent="0.2">
      <c r="B1958" s="125" t="s">
        <v>3327</v>
      </c>
      <c r="C1958" s="118" t="s">
        <v>3328</v>
      </c>
      <c r="D1958" s="118"/>
      <c r="E1958" s="118">
        <v>1.71</v>
      </c>
      <c r="F1958" s="118"/>
    </row>
    <row r="1959" spans="2:6" x14ac:dyDescent="0.2">
      <c r="B1959" s="125" t="s">
        <v>3329</v>
      </c>
      <c r="C1959" s="118" t="s">
        <v>3330</v>
      </c>
      <c r="D1959" s="118"/>
      <c r="E1959" s="118">
        <v>1.22</v>
      </c>
      <c r="F1959" s="118"/>
    </row>
    <row r="1960" spans="2:6" x14ac:dyDescent="0.2">
      <c r="B1960" s="125" t="s">
        <v>3331</v>
      </c>
      <c r="C1960" s="118" t="s">
        <v>3332</v>
      </c>
      <c r="D1960" s="118">
        <v>0.3</v>
      </c>
      <c r="E1960" s="118">
        <v>1.57</v>
      </c>
      <c r="F1960" s="118">
        <v>11.31</v>
      </c>
    </row>
    <row r="1961" spans="2:6" x14ac:dyDescent="0.2">
      <c r="B1961" s="125" t="s">
        <v>3333</v>
      </c>
      <c r="C1961" s="118" t="s">
        <v>3334</v>
      </c>
      <c r="D1961" s="118">
        <v>0.28000000000000003</v>
      </c>
      <c r="E1961" s="118">
        <v>0.6</v>
      </c>
      <c r="F1961" s="118">
        <v>7.92</v>
      </c>
    </row>
    <row r="1962" spans="2:6" x14ac:dyDescent="0.2">
      <c r="B1962" s="125" t="s">
        <v>3336</v>
      </c>
      <c r="C1962" s="118" t="s">
        <v>3337</v>
      </c>
      <c r="D1962" s="118">
        <v>0.64</v>
      </c>
      <c r="E1962" s="118">
        <v>2.16</v>
      </c>
      <c r="F1962" s="118">
        <v>28.38</v>
      </c>
    </row>
    <row r="1963" spans="2:6" x14ac:dyDescent="0.2">
      <c r="B1963" s="125" t="s">
        <v>3338</v>
      </c>
      <c r="C1963" s="118" t="s">
        <v>3339</v>
      </c>
      <c r="D1963" s="118">
        <v>2.5</v>
      </c>
      <c r="E1963" s="118">
        <v>1.1100000000000001</v>
      </c>
      <c r="F1963" s="118">
        <v>9.3800000000000008</v>
      </c>
    </row>
    <row r="1964" spans="2:6" x14ac:dyDescent="0.2">
      <c r="B1964" s="125" t="s">
        <v>3340</v>
      </c>
      <c r="C1964" s="118" t="s">
        <v>3341</v>
      </c>
      <c r="D1964" s="118">
        <v>4.26</v>
      </c>
      <c r="E1964" s="118">
        <v>3.69</v>
      </c>
      <c r="F1964" s="118">
        <v>11.07</v>
      </c>
    </row>
    <row r="1965" spans="2:6" x14ac:dyDescent="0.2">
      <c r="B1965" s="125" t="s">
        <v>3344</v>
      </c>
      <c r="C1965" s="118" t="s">
        <v>3345</v>
      </c>
      <c r="D1965" s="118">
        <v>6.49</v>
      </c>
      <c r="E1965" s="118">
        <v>11.85</v>
      </c>
      <c r="F1965" s="118">
        <v>47.55</v>
      </c>
    </row>
    <row r="1966" spans="2:6" x14ac:dyDescent="0.2">
      <c r="B1966" s="125" t="s">
        <v>3346</v>
      </c>
      <c r="C1966" s="118" t="s">
        <v>3347</v>
      </c>
      <c r="D1966" s="118">
        <v>5.74</v>
      </c>
      <c r="E1966" s="118">
        <v>1.81</v>
      </c>
      <c r="F1966" s="118">
        <v>8.5299999999999994</v>
      </c>
    </row>
    <row r="1967" spans="2:6" x14ac:dyDescent="0.2">
      <c r="B1967" s="125" t="s">
        <v>3348</v>
      </c>
      <c r="C1967" s="118" t="s">
        <v>3349</v>
      </c>
      <c r="D1967" s="118">
        <v>14.11</v>
      </c>
      <c r="E1967" s="118">
        <v>2.52</v>
      </c>
      <c r="F1967" s="118">
        <v>0.62</v>
      </c>
    </row>
    <row r="1968" spans="2:6" x14ac:dyDescent="0.2">
      <c r="B1968" s="125" t="s">
        <v>4398</v>
      </c>
      <c r="C1968" s="118" t="s">
        <v>4399</v>
      </c>
      <c r="D1968" s="118"/>
      <c r="E1968" s="118"/>
      <c r="F1968" s="118"/>
    </row>
    <row r="1969" spans="2:6" x14ac:dyDescent="0.2">
      <c r="B1969" s="125" t="s">
        <v>3350</v>
      </c>
      <c r="C1969" s="118" t="s">
        <v>3351</v>
      </c>
      <c r="D1969" s="118"/>
      <c r="E1969" s="118">
        <v>0.72</v>
      </c>
      <c r="F1969" s="118"/>
    </row>
    <row r="1970" spans="2:6" x14ac:dyDescent="0.2">
      <c r="B1970" s="125" t="s">
        <v>4400</v>
      </c>
      <c r="C1970" s="118" t="s">
        <v>4401</v>
      </c>
      <c r="D1970" s="118">
        <v>7.92</v>
      </c>
      <c r="E1970" s="118"/>
      <c r="F1970" s="118"/>
    </row>
    <row r="1971" spans="2:6" x14ac:dyDescent="0.2">
      <c r="B1971" s="125" t="s">
        <v>3352</v>
      </c>
      <c r="C1971" s="118" t="s">
        <v>3353</v>
      </c>
      <c r="D1971" s="118"/>
      <c r="E1971" s="118">
        <v>1.94</v>
      </c>
      <c r="F1971" s="118"/>
    </row>
    <row r="1972" spans="2:6" x14ac:dyDescent="0.2">
      <c r="B1972" s="125" t="s">
        <v>3354</v>
      </c>
      <c r="C1972" s="118" t="s">
        <v>3355</v>
      </c>
      <c r="D1972" s="118">
        <v>0.86</v>
      </c>
      <c r="E1972" s="118">
        <v>0.74</v>
      </c>
      <c r="F1972" s="118">
        <v>8.4700000000000006</v>
      </c>
    </row>
    <row r="1973" spans="2:6" x14ac:dyDescent="0.2">
      <c r="B1973" s="125" t="s">
        <v>3356</v>
      </c>
      <c r="C1973" s="118" t="s">
        <v>3357</v>
      </c>
      <c r="D1973" s="118">
        <v>2.36</v>
      </c>
      <c r="E1973" s="118">
        <v>2.34</v>
      </c>
      <c r="F1973" s="118">
        <v>13.44</v>
      </c>
    </row>
    <row r="1974" spans="2:6" x14ac:dyDescent="0.2">
      <c r="B1974" s="125" t="s">
        <v>3358</v>
      </c>
      <c r="C1974" s="118" t="s">
        <v>3359</v>
      </c>
      <c r="D1974" s="118">
        <v>10.4</v>
      </c>
      <c r="E1974" s="118">
        <v>11.72</v>
      </c>
      <c r="F1974" s="118">
        <v>33.049999999999997</v>
      </c>
    </row>
    <row r="1975" spans="2:6" x14ac:dyDescent="0.2">
      <c r="B1975" s="125" t="s">
        <v>3360</v>
      </c>
      <c r="C1975" s="118" t="s">
        <v>3361</v>
      </c>
      <c r="D1975" s="118">
        <v>18.41</v>
      </c>
      <c r="E1975" s="118"/>
      <c r="F1975" s="118">
        <v>-43.63</v>
      </c>
    </row>
    <row r="1976" spans="2:6" x14ac:dyDescent="0.2">
      <c r="B1976" s="125" t="s">
        <v>3362</v>
      </c>
      <c r="C1976" s="118" t="s">
        <v>3363</v>
      </c>
      <c r="D1976" s="118">
        <v>13.25</v>
      </c>
      <c r="E1976" s="118">
        <v>9.0299999999999994</v>
      </c>
      <c r="F1976" s="118">
        <v>21.73</v>
      </c>
    </row>
    <row r="1977" spans="2:6" x14ac:dyDescent="0.2">
      <c r="B1977" s="125" t="s">
        <v>3364</v>
      </c>
      <c r="C1977" s="118" t="s">
        <v>3365</v>
      </c>
      <c r="D1977" s="118">
        <v>2.2000000000000002</v>
      </c>
      <c r="E1977" s="118">
        <v>2.41</v>
      </c>
      <c r="F1977" s="118">
        <v>-2.2599999999999998</v>
      </c>
    </row>
    <row r="1978" spans="2:6" x14ac:dyDescent="0.2">
      <c r="B1978" s="125" t="s">
        <v>3366</v>
      </c>
      <c r="C1978" s="118" t="s">
        <v>3367</v>
      </c>
      <c r="D1978" s="118">
        <v>4.26</v>
      </c>
      <c r="E1978" s="118">
        <v>28.05</v>
      </c>
      <c r="F1978" s="118">
        <v>99.97</v>
      </c>
    </row>
    <row r="1979" spans="2:6" x14ac:dyDescent="0.2">
      <c r="B1979" s="125" t="s">
        <v>3368</v>
      </c>
      <c r="C1979" s="118" t="s">
        <v>3369</v>
      </c>
      <c r="D1979" s="118">
        <v>1.1499999999999999</v>
      </c>
      <c r="E1979" s="118">
        <v>1.66</v>
      </c>
      <c r="F1979" s="118">
        <v>7.52</v>
      </c>
    </row>
    <row r="1980" spans="2:6" x14ac:dyDescent="0.2">
      <c r="B1980" s="125" t="s">
        <v>4402</v>
      </c>
      <c r="C1980" s="118" t="s">
        <v>4403</v>
      </c>
      <c r="D1980" s="118"/>
      <c r="E1980" s="118"/>
      <c r="F1980" s="118"/>
    </row>
    <row r="1981" spans="2:6" x14ac:dyDescent="0.2">
      <c r="B1981" s="125" t="s">
        <v>3370</v>
      </c>
      <c r="C1981" s="118" t="s">
        <v>3371</v>
      </c>
      <c r="D1981" s="118">
        <v>7.17</v>
      </c>
      <c r="E1981" s="118">
        <v>2.4700000000000002</v>
      </c>
      <c r="F1981" s="118">
        <v>4.78</v>
      </c>
    </row>
    <row r="1982" spans="2:6" x14ac:dyDescent="0.2">
      <c r="B1982" s="125" t="s">
        <v>3372</v>
      </c>
      <c r="C1982" s="118" t="s">
        <v>3373</v>
      </c>
      <c r="D1982" s="118">
        <v>1.76</v>
      </c>
      <c r="E1982" s="118"/>
      <c r="F1982" s="118">
        <v>-80.900000000000006</v>
      </c>
    </row>
    <row r="1983" spans="2:6" x14ac:dyDescent="0.2">
      <c r="B1983" s="125" t="s">
        <v>3374</v>
      </c>
      <c r="C1983" s="118" t="s">
        <v>3375</v>
      </c>
      <c r="D1983" s="118">
        <v>0.32</v>
      </c>
      <c r="E1983" s="118">
        <v>0.67</v>
      </c>
      <c r="F1983" s="118">
        <v>9.8800000000000008</v>
      </c>
    </row>
    <row r="1984" spans="2:6" x14ac:dyDescent="0.2">
      <c r="B1984" s="125" t="s">
        <v>4404</v>
      </c>
      <c r="C1984" s="118" t="s">
        <v>4405</v>
      </c>
      <c r="D1984" s="118">
        <v>1.45</v>
      </c>
      <c r="E1984" s="118">
        <v>4.76</v>
      </c>
      <c r="F1984" s="118">
        <v>16.68</v>
      </c>
    </row>
    <row r="1985" spans="2:6" x14ac:dyDescent="0.2">
      <c r="B1985" s="125" t="s">
        <v>4406</v>
      </c>
      <c r="C1985" s="118" t="s">
        <v>4407</v>
      </c>
      <c r="D1985" s="118"/>
      <c r="E1985" s="118"/>
      <c r="F1985" s="118"/>
    </row>
    <row r="1986" spans="2:6" x14ac:dyDescent="0.2">
      <c r="B1986" s="125" t="s">
        <v>3376</v>
      </c>
      <c r="C1986" s="118" t="s">
        <v>3377</v>
      </c>
      <c r="D1986" s="118">
        <v>1.9</v>
      </c>
      <c r="E1986" s="118">
        <v>4.3</v>
      </c>
      <c r="F1986" s="118">
        <v>34.909999999999997</v>
      </c>
    </row>
    <row r="1987" spans="2:6" x14ac:dyDescent="0.2">
      <c r="B1987" s="125" t="s">
        <v>3378</v>
      </c>
      <c r="C1987" s="118" t="s">
        <v>3379</v>
      </c>
      <c r="D1987" s="118">
        <v>1.42</v>
      </c>
      <c r="E1987" s="118"/>
      <c r="F1987" s="118"/>
    </row>
    <row r="1988" spans="2:6" x14ac:dyDescent="0.2">
      <c r="B1988" s="125" t="s">
        <v>3380</v>
      </c>
      <c r="C1988" s="118" t="s">
        <v>3381</v>
      </c>
      <c r="D1988" s="118">
        <v>2.31</v>
      </c>
      <c r="E1988" s="118">
        <v>1.42</v>
      </c>
      <c r="F1988" s="118">
        <v>8.34</v>
      </c>
    </row>
    <row r="1989" spans="2:6" x14ac:dyDescent="0.2">
      <c r="B1989" s="125" t="s">
        <v>3382</v>
      </c>
      <c r="C1989" s="118" t="s">
        <v>3383</v>
      </c>
      <c r="D1989" s="118">
        <v>4.0199999999999996</v>
      </c>
      <c r="E1989" s="118">
        <v>1.68</v>
      </c>
      <c r="F1989" s="118">
        <v>17.760000000000002</v>
      </c>
    </row>
    <row r="1990" spans="2:6" x14ac:dyDescent="0.2">
      <c r="B1990" s="125" t="s">
        <v>3384</v>
      </c>
      <c r="C1990" s="118" t="s">
        <v>3385</v>
      </c>
      <c r="D1990" s="118">
        <v>6.35</v>
      </c>
      <c r="E1990" s="118">
        <v>27.45</v>
      </c>
      <c r="F1990" s="118">
        <v>50.64</v>
      </c>
    </row>
    <row r="1991" spans="2:6" x14ac:dyDescent="0.2">
      <c r="B1991" s="125" t="s">
        <v>3386</v>
      </c>
      <c r="C1991" s="118" t="s">
        <v>3387</v>
      </c>
      <c r="D1991" s="118">
        <v>6.07</v>
      </c>
      <c r="E1991" s="118">
        <v>5.31</v>
      </c>
      <c r="F1991" s="118">
        <v>32.08</v>
      </c>
    </row>
    <row r="1992" spans="2:6" x14ac:dyDescent="0.2">
      <c r="B1992" s="125" t="s">
        <v>4408</v>
      </c>
      <c r="C1992" s="118" t="s">
        <v>4409</v>
      </c>
      <c r="D1992" s="118">
        <v>0.36</v>
      </c>
      <c r="E1992" s="118">
        <v>2.0099999999999998</v>
      </c>
      <c r="F1992" s="118">
        <v>22.08</v>
      </c>
    </row>
    <row r="1993" spans="2:6" x14ac:dyDescent="0.2">
      <c r="B1993" s="125" t="s">
        <v>3388</v>
      </c>
      <c r="C1993" s="118" t="s">
        <v>3389</v>
      </c>
      <c r="D1993" s="118">
        <v>1.87</v>
      </c>
      <c r="E1993" s="118">
        <v>4.8499999999999996</v>
      </c>
      <c r="F1993" s="118">
        <v>27.31</v>
      </c>
    </row>
    <row r="1994" spans="2:6" x14ac:dyDescent="0.2">
      <c r="B1994" s="125" t="s">
        <v>3390</v>
      </c>
      <c r="C1994" s="118" t="s">
        <v>3391</v>
      </c>
      <c r="D1994" s="118"/>
      <c r="E1994" s="118">
        <v>1.52</v>
      </c>
      <c r="F1994" s="118"/>
    </row>
    <row r="1995" spans="2:6" x14ac:dyDescent="0.2">
      <c r="B1995" s="125" t="s">
        <v>3392</v>
      </c>
      <c r="C1995" s="118" t="s">
        <v>3393</v>
      </c>
      <c r="D1995" s="118">
        <v>3.14</v>
      </c>
      <c r="E1995" s="118">
        <v>1.53</v>
      </c>
      <c r="F1995" s="118">
        <v>13.8</v>
      </c>
    </row>
    <row r="1996" spans="2:6" x14ac:dyDescent="0.2">
      <c r="B1996" s="125" t="s">
        <v>4410</v>
      </c>
      <c r="C1996" s="118" t="s">
        <v>4411</v>
      </c>
      <c r="D1996" s="118">
        <v>8.85</v>
      </c>
      <c r="E1996" s="118"/>
      <c r="F1996" s="118"/>
    </row>
    <row r="1997" spans="2:6" x14ac:dyDescent="0.2">
      <c r="B1997" s="125" t="s">
        <v>3394</v>
      </c>
      <c r="C1997" s="118" t="s">
        <v>3395</v>
      </c>
      <c r="D1997" s="118">
        <v>0.55000000000000004</v>
      </c>
      <c r="E1997" s="118">
        <v>2.95</v>
      </c>
      <c r="F1997" s="118">
        <v>14.95</v>
      </c>
    </row>
    <row r="1998" spans="2:6" x14ac:dyDescent="0.2">
      <c r="B1998" s="125" t="s">
        <v>3396</v>
      </c>
      <c r="C1998" s="118" t="s">
        <v>3397</v>
      </c>
      <c r="D1998" s="118">
        <v>4.63</v>
      </c>
      <c r="E1998" s="118">
        <v>3.56</v>
      </c>
      <c r="F1998" s="118">
        <v>10.57</v>
      </c>
    </row>
    <row r="1999" spans="2:6" x14ac:dyDescent="0.2">
      <c r="B1999" s="125" t="s">
        <v>3398</v>
      </c>
      <c r="C1999" s="118" t="s">
        <v>3399</v>
      </c>
      <c r="D1999" s="118">
        <v>12.3</v>
      </c>
      <c r="E1999" s="118">
        <v>18.05</v>
      </c>
      <c r="F1999" s="118">
        <v>-15.05</v>
      </c>
    </row>
    <row r="2000" spans="2:6" x14ac:dyDescent="0.2">
      <c r="B2000" s="125" t="s">
        <v>3400</v>
      </c>
      <c r="C2000" s="118" t="s">
        <v>3401</v>
      </c>
      <c r="D2000" s="118">
        <v>1.08</v>
      </c>
      <c r="E2000" s="118">
        <v>1.78</v>
      </c>
      <c r="F2000" s="118">
        <v>10.73</v>
      </c>
    </row>
    <row r="2001" spans="2:6" x14ac:dyDescent="0.2">
      <c r="B2001" s="125" t="s">
        <v>3402</v>
      </c>
      <c r="C2001" s="118" t="s">
        <v>3403</v>
      </c>
      <c r="D2001" s="118">
        <v>3.84</v>
      </c>
      <c r="E2001" s="118">
        <v>2.92</v>
      </c>
      <c r="F2001" s="118">
        <v>11</v>
      </c>
    </row>
    <row r="2002" spans="2:6" x14ac:dyDescent="0.2">
      <c r="B2002" s="125" t="s">
        <v>3404</v>
      </c>
      <c r="C2002" s="118" t="s">
        <v>3405</v>
      </c>
      <c r="D2002" s="118"/>
      <c r="E2002" s="118">
        <v>1.56</v>
      </c>
      <c r="F2002" s="118"/>
    </row>
    <row r="2003" spans="2:6" x14ac:dyDescent="0.2">
      <c r="B2003" s="125" t="s">
        <v>4412</v>
      </c>
      <c r="C2003" s="118" t="s">
        <v>4413</v>
      </c>
      <c r="D2003" s="118"/>
      <c r="E2003" s="118"/>
      <c r="F2003" s="118"/>
    </row>
    <row r="2004" spans="2:6" x14ac:dyDescent="0.2">
      <c r="B2004" s="125" t="s">
        <v>3406</v>
      </c>
      <c r="C2004" s="118" t="s">
        <v>3407</v>
      </c>
      <c r="D2004" s="118">
        <v>7.1</v>
      </c>
      <c r="E2004" s="118">
        <v>2.25</v>
      </c>
      <c r="F2004" s="118">
        <v>4.62</v>
      </c>
    </row>
    <row r="2005" spans="2:6" x14ac:dyDescent="0.2">
      <c r="B2005" s="125" t="s">
        <v>3408</v>
      </c>
      <c r="C2005" s="118" t="s">
        <v>3409</v>
      </c>
      <c r="D2005" s="118">
        <v>2.92</v>
      </c>
      <c r="E2005" s="118">
        <v>7.39</v>
      </c>
      <c r="F2005" s="118">
        <v>23.16</v>
      </c>
    </row>
    <row r="2006" spans="2:6" x14ac:dyDescent="0.2">
      <c r="B2006" s="125" t="s">
        <v>3410</v>
      </c>
      <c r="C2006" s="118" t="s">
        <v>3411</v>
      </c>
      <c r="D2006" s="118">
        <v>4.9400000000000004</v>
      </c>
      <c r="E2006" s="118">
        <v>3.43</v>
      </c>
      <c r="F2006" s="118">
        <v>14.63</v>
      </c>
    </row>
    <row r="2007" spans="2:6" x14ac:dyDescent="0.2">
      <c r="B2007" s="125" t="s">
        <v>3412</v>
      </c>
      <c r="C2007" s="118" t="s">
        <v>3413</v>
      </c>
      <c r="D2007" s="118">
        <v>5.6</v>
      </c>
      <c r="E2007" s="118">
        <v>4.82</v>
      </c>
      <c r="F2007" s="118">
        <v>17.88</v>
      </c>
    </row>
    <row r="2008" spans="2:6" x14ac:dyDescent="0.2">
      <c r="B2008" s="125" t="s">
        <v>3414</v>
      </c>
      <c r="C2008" s="118" t="s">
        <v>3415</v>
      </c>
      <c r="D2008" s="118">
        <v>0.68</v>
      </c>
      <c r="E2008" s="118">
        <v>0.34</v>
      </c>
      <c r="F2008" s="118">
        <v>8.43</v>
      </c>
    </row>
    <row r="2009" spans="2:6" x14ac:dyDescent="0.2">
      <c r="B2009" s="125" t="s">
        <v>3416</v>
      </c>
      <c r="C2009" s="118" t="s">
        <v>3417</v>
      </c>
      <c r="D2009" s="118">
        <v>2.06</v>
      </c>
      <c r="E2009" s="118">
        <v>1.21</v>
      </c>
      <c r="F2009" s="118">
        <v>13.74</v>
      </c>
    </row>
    <row r="2010" spans="2:6" x14ac:dyDescent="0.2">
      <c r="B2010" s="125" t="s">
        <v>3418</v>
      </c>
      <c r="C2010" s="118" t="s">
        <v>3419</v>
      </c>
      <c r="D2010" s="118">
        <v>2.41</v>
      </c>
      <c r="E2010" s="118">
        <v>3.95</v>
      </c>
      <c r="F2010" s="118">
        <v>19.91</v>
      </c>
    </row>
    <row r="2011" spans="2:6" x14ac:dyDescent="0.2">
      <c r="B2011" s="125" t="s">
        <v>3420</v>
      </c>
      <c r="C2011" s="118" t="s">
        <v>3421</v>
      </c>
      <c r="D2011" s="118">
        <v>0.45</v>
      </c>
      <c r="E2011" s="118">
        <v>2.57</v>
      </c>
      <c r="F2011" s="118">
        <v>30.55</v>
      </c>
    </row>
    <row r="2012" spans="2:6" x14ac:dyDescent="0.2">
      <c r="B2012" s="125" t="s">
        <v>3422</v>
      </c>
      <c r="C2012" s="118" t="s">
        <v>3423</v>
      </c>
      <c r="D2012" s="118"/>
      <c r="E2012" s="118">
        <v>6.61</v>
      </c>
      <c r="F2012" s="118"/>
    </row>
    <row r="2013" spans="2:6" x14ac:dyDescent="0.2">
      <c r="B2013" s="125" t="s">
        <v>3424</v>
      </c>
      <c r="C2013" s="118" t="s">
        <v>3425</v>
      </c>
      <c r="D2013" s="118">
        <v>2.64</v>
      </c>
      <c r="E2013" s="118">
        <v>2.59</v>
      </c>
      <c r="F2013" s="118">
        <v>16.57</v>
      </c>
    </row>
    <row r="2014" spans="2:6" x14ac:dyDescent="0.2">
      <c r="B2014" s="125" t="s">
        <v>3426</v>
      </c>
      <c r="C2014" s="118" t="s">
        <v>3427</v>
      </c>
      <c r="D2014" s="118">
        <v>8.94</v>
      </c>
      <c r="E2014" s="118">
        <v>35.17</v>
      </c>
      <c r="F2014" s="118">
        <v>-21.6</v>
      </c>
    </row>
    <row r="2015" spans="2:6" x14ac:dyDescent="0.2">
      <c r="B2015" s="125" t="s">
        <v>3428</v>
      </c>
      <c r="C2015" s="118" t="s">
        <v>3429</v>
      </c>
      <c r="D2015" s="118">
        <v>1.23</v>
      </c>
      <c r="E2015" s="118">
        <v>1.59</v>
      </c>
      <c r="F2015" s="118">
        <v>11</v>
      </c>
    </row>
    <row r="2016" spans="2:6" x14ac:dyDescent="0.2">
      <c r="B2016" s="125" t="s">
        <v>3430</v>
      </c>
      <c r="C2016" s="118" t="s">
        <v>3431</v>
      </c>
      <c r="D2016" s="118">
        <v>0.99</v>
      </c>
      <c r="E2016" s="118">
        <v>1.33</v>
      </c>
      <c r="F2016" s="118">
        <v>11.05</v>
      </c>
    </row>
    <row r="2017" spans="2:6" x14ac:dyDescent="0.2">
      <c r="B2017" s="125" t="s">
        <v>4414</v>
      </c>
      <c r="C2017" s="118" t="s">
        <v>4415</v>
      </c>
      <c r="D2017" s="118">
        <v>0.4</v>
      </c>
      <c r="E2017" s="118">
        <v>1</v>
      </c>
      <c r="F2017" s="118">
        <v>7.1</v>
      </c>
    </row>
    <row r="2018" spans="2:6" x14ac:dyDescent="0.2">
      <c r="B2018" s="125" t="s">
        <v>3432</v>
      </c>
      <c r="C2018" s="118" t="s">
        <v>3433</v>
      </c>
      <c r="D2018" s="118">
        <v>2.95</v>
      </c>
      <c r="E2018" s="118">
        <v>2.48</v>
      </c>
      <c r="F2018" s="118">
        <v>13</v>
      </c>
    </row>
    <row r="2019" spans="2:6" x14ac:dyDescent="0.2">
      <c r="B2019" s="125" t="s">
        <v>4416</v>
      </c>
      <c r="C2019" s="118" t="s">
        <v>4417</v>
      </c>
      <c r="D2019" s="118"/>
      <c r="E2019" s="118"/>
      <c r="F2019" s="118"/>
    </row>
    <row r="2020" spans="2:6" x14ac:dyDescent="0.2">
      <c r="B2020" s="125" t="s">
        <v>3434</v>
      </c>
      <c r="C2020" s="118" t="s">
        <v>3435</v>
      </c>
      <c r="D2020" s="118">
        <v>3.2</v>
      </c>
      <c r="E2020" s="118">
        <v>7.56</v>
      </c>
      <c r="F2020" s="118">
        <v>29.15</v>
      </c>
    </row>
    <row r="2021" spans="2:6" x14ac:dyDescent="0.2">
      <c r="B2021" s="125" t="s">
        <v>3436</v>
      </c>
      <c r="C2021" s="118" t="s">
        <v>3437</v>
      </c>
      <c r="D2021" s="118">
        <v>3.48</v>
      </c>
      <c r="E2021" s="118">
        <v>1.76</v>
      </c>
      <c r="F2021" s="118">
        <v>6.46</v>
      </c>
    </row>
    <row r="2022" spans="2:6" x14ac:dyDescent="0.2">
      <c r="B2022" s="125" t="s">
        <v>3438</v>
      </c>
      <c r="C2022" s="118" t="s">
        <v>3439</v>
      </c>
      <c r="D2022" s="118">
        <v>1.52</v>
      </c>
      <c r="E2022" s="118">
        <v>6.32</v>
      </c>
      <c r="F2022" s="118">
        <v>24.62</v>
      </c>
    </row>
    <row r="2023" spans="2:6" x14ac:dyDescent="0.2">
      <c r="B2023" s="125" t="s">
        <v>3440</v>
      </c>
      <c r="C2023" s="118" t="s">
        <v>3441</v>
      </c>
      <c r="D2023" s="118">
        <v>0.64</v>
      </c>
      <c r="E2023" s="118">
        <v>4.3099999999999996</v>
      </c>
      <c r="F2023" s="118">
        <v>18.23</v>
      </c>
    </row>
    <row r="2024" spans="2:6" x14ac:dyDescent="0.2">
      <c r="B2024" s="125" t="s">
        <v>4418</v>
      </c>
      <c r="C2024" s="118" t="s">
        <v>4419</v>
      </c>
      <c r="D2024" s="118">
        <v>0.34</v>
      </c>
      <c r="E2024" s="118">
        <v>1.3</v>
      </c>
      <c r="F2024" s="118">
        <v>7.4</v>
      </c>
    </row>
    <row r="2025" spans="2:6" x14ac:dyDescent="0.2">
      <c r="B2025" s="125" t="s">
        <v>3442</v>
      </c>
      <c r="C2025" s="118" t="s">
        <v>3443</v>
      </c>
      <c r="D2025" s="118">
        <v>3.7</v>
      </c>
      <c r="E2025" s="118">
        <v>5.71</v>
      </c>
      <c r="F2025" s="118">
        <v>23.92</v>
      </c>
    </row>
    <row r="2026" spans="2:6" x14ac:dyDescent="0.2">
      <c r="B2026" s="125" t="s">
        <v>4420</v>
      </c>
      <c r="C2026" s="118" t="s">
        <v>4421</v>
      </c>
      <c r="D2026" s="118"/>
      <c r="E2026" s="118"/>
      <c r="F2026" s="118"/>
    </row>
    <row r="2027" spans="2:6" x14ac:dyDescent="0.2">
      <c r="B2027" s="125" t="s">
        <v>4422</v>
      </c>
      <c r="C2027" s="118" t="s">
        <v>4423</v>
      </c>
      <c r="D2027" s="118"/>
      <c r="E2027" s="118">
        <v>18.41</v>
      </c>
      <c r="F2027" s="118"/>
    </row>
    <row r="2028" spans="2:6" x14ac:dyDescent="0.2">
      <c r="B2028" s="125" t="s">
        <v>3444</v>
      </c>
      <c r="C2028" s="118" t="s">
        <v>3445</v>
      </c>
      <c r="D2028" s="118">
        <v>14.57</v>
      </c>
      <c r="E2028" s="118">
        <v>2.2000000000000002</v>
      </c>
      <c r="F2028" s="118">
        <v>6.72</v>
      </c>
    </row>
    <row r="2029" spans="2:6" x14ac:dyDescent="0.2">
      <c r="B2029" s="125" t="s">
        <v>3446</v>
      </c>
      <c r="C2029" s="118" t="s">
        <v>3447</v>
      </c>
      <c r="D2029" s="118">
        <v>15.34</v>
      </c>
      <c r="E2029" s="118">
        <v>2.39</v>
      </c>
      <c r="F2029" s="118">
        <v>3.35</v>
      </c>
    </row>
    <row r="2030" spans="2:6" x14ac:dyDescent="0.2">
      <c r="B2030" s="125" t="s">
        <v>3448</v>
      </c>
      <c r="C2030" s="118" t="s">
        <v>3449</v>
      </c>
      <c r="D2030" s="118"/>
      <c r="E2030" s="118">
        <v>1.29</v>
      </c>
      <c r="F2030" s="118"/>
    </row>
    <row r="2031" spans="2:6" x14ac:dyDescent="0.2">
      <c r="B2031" s="125" t="s">
        <v>3450</v>
      </c>
      <c r="C2031" s="118" t="s">
        <v>3451</v>
      </c>
      <c r="D2031" s="118">
        <v>1.82</v>
      </c>
      <c r="E2031" s="118">
        <v>1.02</v>
      </c>
      <c r="F2031" s="118">
        <v>2.2799999999999998</v>
      </c>
    </row>
    <row r="2032" spans="2:6" x14ac:dyDescent="0.2">
      <c r="B2032" s="125" t="s">
        <v>3452</v>
      </c>
      <c r="C2032" s="118" t="s">
        <v>3453</v>
      </c>
      <c r="D2032" s="118">
        <v>1.67</v>
      </c>
      <c r="E2032" s="118">
        <v>2.1800000000000002</v>
      </c>
      <c r="F2032" s="118">
        <v>10.55</v>
      </c>
    </row>
    <row r="2033" spans="2:6" x14ac:dyDescent="0.2">
      <c r="B2033" s="125" t="s">
        <v>3454</v>
      </c>
      <c r="C2033" s="118" t="s">
        <v>3455</v>
      </c>
      <c r="D2033" s="118">
        <v>7.35</v>
      </c>
      <c r="E2033" s="118">
        <v>2.06</v>
      </c>
      <c r="F2033" s="118">
        <v>13.06</v>
      </c>
    </row>
    <row r="2034" spans="2:6" x14ac:dyDescent="0.2">
      <c r="B2034" s="125" t="s">
        <v>3456</v>
      </c>
      <c r="C2034" s="118" t="s">
        <v>3457</v>
      </c>
      <c r="D2034" s="118">
        <v>0.52</v>
      </c>
      <c r="E2034" s="118">
        <v>0.78</v>
      </c>
      <c r="F2034" s="118">
        <v>8.9700000000000006</v>
      </c>
    </row>
    <row r="2035" spans="2:6" x14ac:dyDescent="0.2">
      <c r="B2035" s="125" t="s">
        <v>4424</v>
      </c>
      <c r="C2035" s="118" t="s">
        <v>4425</v>
      </c>
      <c r="D2035" s="118">
        <v>1.26</v>
      </c>
      <c r="E2035" s="118">
        <v>2.94</v>
      </c>
      <c r="F2035" s="118">
        <v>15.97</v>
      </c>
    </row>
    <row r="2036" spans="2:6" x14ac:dyDescent="0.2">
      <c r="B2036" s="125" t="s">
        <v>3458</v>
      </c>
      <c r="C2036" s="118" t="s">
        <v>3459</v>
      </c>
      <c r="D2036" s="118">
        <v>0.88</v>
      </c>
      <c r="E2036" s="118">
        <v>4.53</v>
      </c>
      <c r="F2036" s="118">
        <v>33.89</v>
      </c>
    </row>
    <row r="2037" spans="2:6" x14ac:dyDescent="0.2">
      <c r="B2037" s="125" t="s">
        <v>3460</v>
      </c>
      <c r="C2037" s="118" t="s">
        <v>3461</v>
      </c>
      <c r="D2037" s="118">
        <v>1.36</v>
      </c>
      <c r="E2037" s="118">
        <v>3.79</v>
      </c>
      <c r="F2037" s="118">
        <v>14.63</v>
      </c>
    </row>
    <row r="2038" spans="2:6" x14ac:dyDescent="0.2">
      <c r="B2038" s="125" t="s">
        <v>3460</v>
      </c>
      <c r="C2038" s="118" t="s">
        <v>4426</v>
      </c>
      <c r="D2038" s="118">
        <v>1.41</v>
      </c>
      <c r="E2038" s="118">
        <v>3.92</v>
      </c>
      <c r="F2038" s="118">
        <v>14.63</v>
      </c>
    </row>
    <row r="2039" spans="2:6" x14ac:dyDescent="0.2">
      <c r="B2039" s="125" t="s">
        <v>3462</v>
      </c>
      <c r="C2039" s="118" t="s">
        <v>3463</v>
      </c>
      <c r="D2039" s="118">
        <v>5.97</v>
      </c>
      <c r="E2039" s="118">
        <v>7.3</v>
      </c>
      <c r="F2039" s="118">
        <v>16.93</v>
      </c>
    </row>
    <row r="2040" spans="2:6" x14ac:dyDescent="0.2">
      <c r="B2040" s="125" t="s">
        <v>3464</v>
      </c>
      <c r="C2040" s="118" t="s">
        <v>3465</v>
      </c>
      <c r="D2040" s="118">
        <v>2.2400000000000002</v>
      </c>
      <c r="E2040" s="118">
        <v>1.1200000000000001</v>
      </c>
      <c r="F2040" s="118">
        <v>10.72</v>
      </c>
    </row>
    <row r="2041" spans="2:6" x14ac:dyDescent="0.2">
      <c r="B2041" s="125" t="s">
        <v>4427</v>
      </c>
      <c r="C2041" s="118" t="s">
        <v>4428</v>
      </c>
      <c r="D2041" s="118"/>
      <c r="E2041" s="118">
        <v>7.65</v>
      </c>
      <c r="F2041" s="118"/>
    </row>
    <row r="2042" spans="2:6" x14ac:dyDescent="0.2">
      <c r="B2042" s="125" t="s">
        <v>4429</v>
      </c>
      <c r="C2042" s="118" t="s">
        <v>4430</v>
      </c>
      <c r="D2042" s="118">
        <v>4.4000000000000004</v>
      </c>
      <c r="E2042" s="118">
        <v>1.1399999999999999</v>
      </c>
      <c r="F2042" s="118">
        <v>-0.88</v>
      </c>
    </row>
    <row r="2043" spans="2:6" x14ac:dyDescent="0.2">
      <c r="B2043" s="125" t="s">
        <v>3466</v>
      </c>
      <c r="C2043" s="118" t="s">
        <v>3467</v>
      </c>
      <c r="D2043" s="118">
        <v>11.25</v>
      </c>
      <c r="E2043" s="118">
        <v>2.5099999999999998</v>
      </c>
      <c r="F2043" s="118">
        <v>10.130000000000001</v>
      </c>
    </row>
    <row r="2044" spans="2:6" x14ac:dyDescent="0.2">
      <c r="B2044" s="125" t="s">
        <v>3468</v>
      </c>
      <c r="C2044" s="118" t="s">
        <v>3469</v>
      </c>
      <c r="D2044" s="118">
        <v>2.0299999999999998</v>
      </c>
      <c r="E2044" s="118">
        <v>3.44</v>
      </c>
      <c r="F2044" s="118">
        <v>14.76</v>
      </c>
    </row>
    <row r="2045" spans="2:6" x14ac:dyDescent="0.2">
      <c r="B2045" s="125" t="s">
        <v>3470</v>
      </c>
      <c r="C2045" s="118" t="s">
        <v>3471</v>
      </c>
      <c r="D2045" s="118">
        <v>1.75</v>
      </c>
      <c r="E2045" s="118">
        <v>315.95</v>
      </c>
      <c r="F2045" s="118">
        <v>-309.12</v>
      </c>
    </row>
    <row r="2046" spans="2:6" x14ac:dyDescent="0.2">
      <c r="B2046" s="125" t="s">
        <v>3472</v>
      </c>
      <c r="C2046" s="118" t="s">
        <v>3473</v>
      </c>
      <c r="D2046" s="118">
        <v>3.89</v>
      </c>
      <c r="E2046" s="118">
        <v>2.0499999999999998</v>
      </c>
      <c r="F2046" s="118">
        <v>25.35</v>
      </c>
    </row>
    <row r="2047" spans="2:6" x14ac:dyDescent="0.2">
      <c r="B2047" s="125" t="s">
        <v>3474</v>
      </c>
      <c r="C2047" s="118" t="s">
        <v>3475</v>
      </c>
      <c r="D2047" s="118">
        <v>2.31</v>
      </c>
      <c r="E2047" s="118">
        <v>3.93</v>
      </c>
      <c r="F2047" s="118">
        <v>19.79</v>
      </c>
    </row>
    <row r="2048" spans="2:6" x14ac:dyDescent="0.2">
      <c r="B2048" s="125" t="s">
        <v>3476</v>
      </c>
      <c r="C2048" s="118" t="s">
        <v>3477</v>
      </c>
      <c r="D2048" s="118">
        <v>6.35</v>
      </c>
      <c r="E2048" s="118">
        <v>17.670000000000002</v>
      </c>
      <c r="F2048" s="118">
        <v>23.92</v>
      </c>
    </row>
    <row r="2049" spans="2:6" x14ac:dyDescent="0.2">
      <c r="B2049" s="125" t="s">
        <v>4431</v>
      </c>
      <c r="C2049" s="118" t="s">
        <v>4432</v>
      </c>
      <c r="D2049" s="118"/>
      <c r="E2049" s="118"/>
      <c r="F2049" s="118"/>
    </row>
    <row r="2050" spans="2:6" x14ac:dyDescent="0.2">
      <c r="B2050" s="125" t="s">
        <v>4433</v>
      </c>
      <c r="C2050" s="118" t="s">
        <v>4434</v>
      </c>
      <c r="D2050" s="118"/>
      <c r="E2050" s="118"/>
      <c r="F2050" s="118"/>
    </row>
    <row r="2051" spans="2:6" x14ac:dyDescent="0.2">
      <c r="B2051" s="125" t="s">
        <v>3478</v>
      </c>
      <c r="C2051" s="118" t="s">
        <v>3479</v>
      </c>
      <c r="D2051" s="118">
        <v>2.99</v>
      </c>
      <c r="E2051" s="118">
        <v>2.36</v>
      </c>
      <c r="F2051" s="118">
        <v>5.47</v>
      </c>
    </row>
    <row r="2052" spans="2:6" x14ac:dyDescent="0.2">
      <c r="B2052" s="125" t="s">
        <v>3480</v>
      </c>
      <c r="C2052" s="118" t="s">
        <v>3481</v>
      </c>
      <c r="D2052" s="118">
        <v>1.08</v>
      </c>
      <c r="E2052" s="118"/>
      <c r="F2052" s="118">
        <v>-90.37</v>
      </c>
    </row>
    <row r="2053" spans="2:6" x14ac:dyDescent="0.2">
      <c r="B2053" s="125" t="s">
        <v>4435</v>
      </c>
      <c r="C2053" s="118" t="s">
        <v>4436</v>
      </c>
      <c r="D2053" s="118"/>
      <c r="E2053" s="118"/>
      <c r="F2053" s="118"/>
    </row>
    <row r="2054" spans="2:6" x14ac:dyDescent="0.2">
      <c r="B2054" s="125" t="s">
        <v>3482</v>
      </c>
      <c r="C2054" s="118" t="s">
        <v>3483</v>
      </c>
      <c r="D2054" s="118">
        <v>1.75</v>
      </c>
      <c r="E2054" s="118">
        <v>6.33</v>
      </c>
      <c r="F2054" s="118">
        <v>34.979999999999997</v>
      </c>
    </row>
    <row r="2055" spans="2:6" x14ac:dyDescent="0.2">
      <c r="B2055" s="125" t="s">
        <v>4437</v>
      </c>
      <c r="C2055" s="118" t="s">
        <v>4438</v>
      </c>
      <c r="D2055" s="118"/>
      <c r="E2055" s="118"/>
      <c r="F2055" s="118"/>
    </row>
    <row r="2056" spans="2:6" x14ac:dyDescent="0.2">
      <c r="B2056" s="125" t="s">
        <v>3484</v>
      </c>
      <c r="C2056" s="118" t="s">
        <v>3485</v>
      </c>
      <c r="D2056" s="118">
        <v>2.2000000000000002</v>
      </c>
      <c r="E2056" s="118">
        <v>1.33</v>
      </c>
      <c r="F2056" s="118">
        <v>16.59</v>
      </c>
    </row>
    <row r="2057" spans="2:6" x14ac:dyDescent="0.2">
      <c r="B2057" s="125" t="s">
        <v>3486</v>
      </c>
      <c r="C2057" s="118" t="s">
        <v>3487</v>
      </c>
      <c r="D2057" s="118">
        <v>2.86</v>
      </c>
      <c r="E2057" s="118">
        <v>2.69</v>
      </c>
      <c r="F2057" s="118">
        <v>10.26</v>
      </c>
    </row>
    <row r="2058" spans="2:6" x14ac:dyDescent="0.2">
      <c r="B2058" s="125" t="s">
        <v>4439</v>
      </c>
      <c r="C2058" s="118" t="s">
        <v>4440</v>
      </c>
      <c r="D2058" s="118"/>
      <c r="E2058" s="118"/>
      <c r="F2058" s="118"/>
    </row>
    <row r="2059" spans="2:6" x14ac:dyDescent="0.2">
      <c r="B2059" s="125" t="s">
        <v>4441</v>
      </c>
      <c r="C2059" s="118" t="s">
        <v>4442</v>
      </c>
      <c r="D2059" s="118"/>
      <c r="E2059" s="118"/>
      <c r="F2059" s="118"/>
    </row>
    <row r="2060" spans="2:6" x14ac:dyDescent="0.2">
      <c r="B2060" s="125" t="s">
        <v>3488</v>
      </c>
      <c r="C2060" s="118" t="s">
        <v>3489</v>
      </c>
      <c r="D2060" s="118">
        <v>7.56</v>
      </c>
      <c r="E2060" s="118">
        <v>9.33</v>
      </c>
      <c r="F2060" s="118">
        <v>35.99</v>
      </c>
    </row>
    <row r="2061" spans="2:6" x14ac:dyDescent="0.2">
      <c r="B2061" s="125" t="s">
        <v>4443</v>
      </c>
      <c r="C2061" s="118" t="s">
        <v>4444</v>
      </c>
      <c r="D2061" s="118"/>
      <c r="E2061" s="118"/>
      <c r="F2061" s="118"/>
    </row>
    <row r="2062" spans="2:6" x14ac:dyDescent="0.2">
      <c r="B2062" s="125" t="s">
        <v>4445</v>
      </c>
      <c r="C2062" s="118" t="s">
        <v>4446</v>
      </c>
      <c r="D2062" s="118"/>
      <c r="E2062" s="118"/>
      <c r="F2062" s="118"/>
    </row>
    <row r="2063" spans="2:6" x14ac:dyDescent="0.2">
      <c r="B2063" s="125" t="s">
        <v>3491</v>
      </c>
      <c r="C2063" s="118" t="s">
        <v>3492</v>
      </c>
      <c r="D2063" s="118"/>
      <c r="E2063" s="118">
        <v>2.93</v>
      </c>
      <c r="F2063" s="118"/>
    </row>
    <row r="2064" spans="2:6" x14ac:dyDescent="0.2">
      <c r="B2064" s="125" t="s">
        <v>3493</v>
      </c>
      <c r="C2064" s="118" t="s">
        <v>3494</v>
      </c>
      <c r="D2064" s="118">
        <v>1.08</v>
      </c>
      <c r="E2064" s="118">
        <v>1.54</v>
      </c>
      <c r="F2064" s="118">
        <v>9.16</v>
      </c>
    </row>
    <row r="2065" spans="2:6" x14ac:dyDescent="0.2">
      <c r="B2065" s="125" t="s">
        <v>3495</v>
      </c>
      <c r="C2065" s="118" t="s">
        <v>3496</v>
      </c>
      <c r="D2065" s="118">
        <v>0.39</v>
      </c>
      <c r="E2065" s="118">
        <v>2.31</v>
      </c>
      <c r="F2065" s="118">
        <v>11.92</v>
      </c>
    </row>
    <row r="2066" spans="2:6" x14ac:dyDescent="0.2">
      <c r="B2066" s="125" t="s">
        <v>3497</v>
      </c>
      <c r="C2066" s="118" t="s">
        <v>3498</v>
      </c>
      <c r="D2066" s="118">
        <v>2.91</v>
      </c>
      <c r="E2066" s="118">
        <v>2.21</v>
      </c>
      <c r="F2066" s="118">
        <v>9.19</v>
      </c>
    </row>
    <row r="2067" spans="2:6" x14ac:dyDescent="0.2">
      <c r="B2067" s="125" t="s">
        <v>3499</v>
      </c>
      <c r="C2067" s="118" t="s">
        <v>3500</v>
      </c>
      <c r="D2067" s="118">
        <v>0.71</v>
      </c>
      <c r="E2067" s="118">
        <v>1.33</v>
      </c>
      <c r="F2067" s="118">
        <v>18.78</v>
      </c>
    </row>
    <row r="2068" spans="2:6" x14ac:dyDescent="0.2">
      <c r="B2068" s="125" t="s">
        <v>4447</v>
      </c>
      <c r="C2068" s="118" t="s">
        <v>4448</v>
      </c>
      <c r="D2068" s="118"/>
      <c r="E2068" s="118"/>
      <c r="F2068" s="118"/>
    </row>
    <row r="2069" spans="2:6" x14ac:dyDescent="0.2">
      <c r="B2069" s="125" t="s">
        <v>3501</v>
      </c>
      <c r="C2069" s="118" t="s">
        <v>3502</v>
      </c>
      <c r="D2069" s="118">
        <v>2.65</v>
      </c>
      <c r="E2069" s="118">
        <v>4.8</v>
      </c>
      <c r="F2069" s="118">
        <v>19.23</v>
      </c>
    </row>
    <row r="2070" spans="2:6" x14ac:dyDescent="0.2">
      <c r="B2070" s="125" t="s">
        <v>3503</v>
      </c>
      <c r="C2070" s="118" t="s">
        <v>3504</v>
      </c>
      <c r="D2070" s="118">
        <v>1.4</v>
      </c>
      <c r="E2070" s="118">
        <v>1.28</v>
      </c>
      <c r="F2070" s="118">
        <v>2.88</v>
      </c>
    </row>
    <row r="2071" spans="2:6" x14ac:dyDescent="0.2">
      <c r="B2071" s="125" t="s">
        <v>3505</v>
      </c>
      <c r="C2071" s="118" t="s">
        <v>3506</v>
      </c>
      <c r="D2071" s="118">
        <v>1.61</v>
      </c>
      <c r="E2071" s="118"/>
      <c r="F2071" s="118">
        <v>7.11</v>
      </c>
    </row>
    <row r="2072" spans="2:6" x14ac:dyDescent="0.2">
      <c r="B2072" s="125" t="s">
        <v>3507</v>
      </c>
      <c r="C2072" s="118" t="s">
        <v>3508</v>
      </c>
      <c r="D2072" s="118">
        <v>0.43</v>
      </c>
      <c r="E2072" s="118">
        <v>0.99</v>
      </c>
      <c r="F2072" s="118">
        <v>12.66</v>
      </c>
    </row>
    <row r="2073" spans="2:6" x14ac:dyDescent="0.2">
      <c r="B2073" s="125" t="s">
        <v>4449</v>
      </c>
      <c r="C2073" s="118" t="s">
        <v>4450</v>
      </c>
      <c r="D2073" s="118">
        <v>0.87</v>
      </c>
      <c r="E2073" s="118">
        <v>1.28</v>
      </c>
      <c r="F2073" s="118">
        <v>7.56</v>
      </c>
    </row>
    <row r="2074" spans="2:6" x14ac:dyDescent="0.2">
      <c r="B2074" s="125" t="s">
        <v>4451</v>
      </c>
      <c r="C2074" s="118" t="s">
        <v>4452</v>
      </c>
      <c r="D2074" s="118"/>
      <c r="E2074" s="118">
        <v>4.53</v>
      </c>
      <c r="F2074" s="118"/>
    </row>
    <row r="2075" spans="2:6" x14ac:dyDescent="0.2">
      <c r="B2075" s="125" t="s">
        <v>3509</v>
      </c>
      <c r="C2075" s="118" t="s">
        <v>3510</v>
      </c>
      <c r="D2075" s="118">
        <v>5.08</v>
      </c>
      <c r="E2075" s="118">
        <v>3.51</v>
      </c>
      <c r="F2075" s="118">
        <v>12.09</v>
      </c>
    </row>
    <row r="2076" spans="2:6" x14ac:dyDescent="0.2">
      <c r="B2076" s="125" t="s">
        <v>3511</v>
      </c>
      <c r="C2076" s="118" t="s">
        <v>3512</v>
      </c>
      <c r="D2076" s="118">
        <v>0.24</v>
      </c>
      <c r="E2076" s="118">
        <v>0.4</v>
      </c>
      <c r="F2076" s="118">
        <v>5.22</v>
      </c>
    </row>
    <row r="2077" spans="2:6" x14ac:dyDescent="0.2">
      <c r="B2077" s="125" t="s">
        <v>4453</v>
      </c>
      <c r="C2077" s="118" t="s">
        <v>4454</v>
      </c>
      <c r="D2077" s="118"/>
      <c r="E2077" s="118">
        <v>0.97</v>
      </c>
      <c r="F2077" s="118"/>
    </row>
    <row r="2078" spans="2:6" x14ac:dyDescent="0.2">
      <c r="B2078" s="125" t="s">
        <v>3513</v>
      </c>
      <c r="C2078" s="118" t="s">
        <v>3514</v>
      </c>
      <c r="D2078" s="118">
        <v>6.2</v>
      </c>
      <c r="E2078" s="118"/>
      <c r="F2078" s="118">
        <v>-13.02</v>
      </c>
    </row>
    <row r="2079" spans="2:6" x14ac:dyDescent="0.2">
      <c r="B2079" s="125" t="s">
        <v>3515</v>
      </c>
      <c r="C2079" s="118" t="s">
        <v>3516</v>
      </c>
      <c r="D2079" s="118">
        <v>1.97</v>
      </c>
      <c r="E2079" s="118">
        <v>5.47</v>
      </c>
      <c r="F2079" s="118">
        <v>21.03</v>
      </c>
    </row>
    <row r="2080" spans="2:6" x14ac:dyDescent="0.2">
      <c r="B2080" s="125" t="s">
        <v>3517</v>
      </c>
      <c r="C2080" s="118" t="s">
        <v>3518</v>
      </c>
      <c r="D2080" s="118">
        <v>1.38</v>
      </c>
      <c r="E2080" s="118">
        <v>0.73</v>
      </c>
      <c r="F2080" s="118">
        <v>9.7100000000000009</v>
      </c>
    </row>
    <row r="2081" spans="2:6" x14ac:dyDescent="0.2">
      <c r="B2081" s="125" t="s">
        <v>4455</v>
      </c>
      <c r="C2081" s="118" t="s">
        <v>4456</v>
      </c>
      <c r="D2081" s="118"/>
      <c r="E2081" s="118"/>
      <c r="F2081" s="118"/>
    </row>
    <row r="2082" spans="2:6" x14ac:dyDescent="0.2">
      <c r="B2082" s="125" t="s">
        <v>4457</v>
      </c>
      <c r="C2082" s="118" t="s">
        <v>4458</v>
      </c>
      <c r="D2082" s="118">
        <v>3.56</v>
      </c>
      <c r="E2082" s="118">
        <v>1.92</v>
      </c>
      <c r="F2082" s="118">
        <v>-5.12</v>
      </c>
    </row>
    <row r="2083" spans="2:6" x14ac:dyDescent="0.2">
      <c r="B2083" s="125" t="s">
        <v>3519</v>
      </c>
      <c r="C2083" s="118" t="s">
        <v>3520</v>
      </c>
      <c r="D2083" s="118">
        <v>3.11</v>
      </c>
      <c r="E2083" s="118">
        <v>5.95</v>
      </c>
      <c r="F2083" s="118">
        <v>11.27</v>
      </c>
    </row>
    <row r="2084" spans="2:6" x14ac:dyDescent="0.2">
      <c r="B2084" s="125" t="s">
        <v>3522</v>
      </c>
      <c r="C2084" s="118" t="s">
        <v>3523</v>
      </c>
      <c r="D2084" s="118">
        <v>3.7</v>
      </c>
      <c r="E2084" s="118">
        <v>2.4900000000000002</v>
      </c>
      <c r="F2084" s="118">
        <v>13.4</v>
      </c>
    </row>
    <row r="2085" spans="2:6" x14ac:dyDescent="0.2">
      <c r="B2085" s="125" t="s">
        <v>3524</v>
      </c>
      <c r="C2085" s="118" t="s">
        <v>3525</v>
      </c>
      <c r="D2085" s="118">
        <v>2.5099999999999998</v>
      </c>
      <c r="E2085" s="118">
        <v>7.07</v>
      </c>
      <c r="F2085" s="118">
        <v>43.6</v>
      </c>
    </row>
    <row r="2086" spans="2:6" x14ac:dyDescent="0.2">
      <c r="B2086" s="125" t="s">
        <v>3526</v>
      </c>
      <c r="C2086" s="118" t="s">
        <v>3527</v>
      </c>
      <c r="D2086" s="118">
        <v>12.23</v>
      </c>
      <c r="E2086" s="118">
        <v>19.88</v>
      </c>
      <c r="F2086" s="118">
        <v>-27.44</v>
      </c>
    </row>
    <row r="2087" spans="2:6" x14ac:dyDescent="0.2">
      <c r="B2087" s="125" t="s">
        <v>4457</v>
      </c>
      <c r="C2087" s="118" t="s">
        <v>4459</v>
      </c>
      <c r="D2087" s="118">
        <v>3.57</v>
      </c>
      <c r="E2087" s="118">
        <v>1.92</v>
      </c>
      <c r="F2087" s="118">
        <v>-5.12</v>
      </c>
    </row>
    <row r="2088" spans="2:6" x14ac:dyDescent="0.2">
      <c r="B2088" s="125" t="s">
        <v>3528</v>
      </c>
      <c r="C2088" s="118" t="s">
        <v>3529</v>
      </c>
      <c r="D2088" s="118">
        <v>2.4700000000000002</v>
      </c>
      <c r="E2088" s="118">
        <v>1.1599999999999999</v>
      </c>
      <c r="F2088" s="118">
        <v>12.26</v>
      </c>
    </row>
    <row r="2089" spans="2:6" x14ac:dyDescent="0.2">
      <c r="B2089" s="125" t="s">
        <v>4460</v>
      </c>
      <c r="C2089" s="118" t="s">
        <v>4461</v>
      </c>
      <c r="D2089" s="118">
        <v>1.68</v>
      </c>
      <c r="E2089" s="118">
        <v>6.32</v>
      </c>
      <c r="F2089" s="118">
        <v>3.27</v>
      </c>
    </row>
    <row r="2090" spans="2:6" x14ac:dyDescent="0.2">
      <c r="B2090" s="125" t="s">
        <v>4462</v>
      </c>
      <c r="C2090" s="118" t="s">
        <v>4463</v>
      </c>
      <c r="D2090" s="118"/>
      <c r="E2090" s="118">
        <v>30.27</v>
      </c>
      <c r="F2090" s="118"/>
    </row>
    <row r="2091" spans="2:6" x14ac:dyDescent="0.2">
      <c r="B2091" s="125" t="s">
        <v>3530</v>
      </c>
      <c r="C2091" s="118" t="s">
        <v>3531</v>
      </c>
      <c r="D2091" s="118">
        <v>5.5</v>
      </c>
      <c r="E2091" s="118">
        <v>3.36</v>
      </c>
      <c r="F2091" s="118">
        <v>-10.42</v>
      </c>
    </row>
    <row r="2092" spans="2:6" x14ac:dyDescent="0.2">
      <c r="B2092" s="125" t="s">
        <v>3532</v>
      </c>
      <c r="C2092" s="118" t="s">
        <v>3533</v>
      </c>
      <c r="D2092" s="118">
        <v>0.35</v>
      </c>
      <c r="E2092" s="118">
        <v>0.68</v>
      </c>
      <c r="F2092" s="118">
        <v>3.57</v>
      </c>
    </row>
    <row r="2093" spans="2:6" x14ac:dyDescent="0.2">
      <c r="B2093" s="125" t="s">
        <v>3534</v>
      </c>
      <c r="C2093" s="118" t="s">
        <v>3535</v>
      </c>
      <c r="D2093" s="118">
        <v>21.65</v>
      </c>
      <c r="E2093" s="118">
        <v>21.25</v>
      </c>
      <c r="F2093" s="118">
        <v>-9.4600000000000009</v>
      </c>
    </row>
    <row r="2094" spans="2:6" x14ac:dyDescent="0.2">
      <c r="B2094" s="125" t="s">
        <v>3536</v>
      </c>
      <c r="C2094" s="118" t="s">
        <v>3537</v>
      </c>
      <c r="D2094" s="118">
        <v>0.97</v>
      </c>
      <c r="E2094" s="118">
        <v>2.38</v>
      </c>
      <c r="F2094" s="118">
        <v>-2.2999999999999998</v>
      </c>
    </row>
    <row r="2095" spans="2:6" x14ac:dyDescent="0.2">
      <c r="B2095" s="125" t="s">
        <v>3538</v>
      </c>
      <c r="C2095" s="118" t="s">
        <v>3539</v>
      </c>
      <c r="D2095" s="118">
        <v>3.8</v>
      </c>
      <c r="E2095" s="118">
        <v>2.19</v>
      </c>
      <c r="F2095" s="118">
        <v>13.73</v>
      </c>
    </row>
    <row r="2096" spans="2:6" x14ac:dyDescent="0.2">
      <c r="B2096" s="125" t="s">
        <v>3540</v>
      </c>
      <c r="C2096" s="118" t="s">
        <v>3541</v>
      </c>
      <c r="D2096" s="118">
        <v>9.92</v>
      </c>
      <c r="E2096" s="118">
        <v>24.94</v>
      </c>
      <c r="F2096" s="118">
        <v>72.86</v>
      </c>
    </row>
    <row r="2097" spans="2:6" x14ac:dyDescent="0.2">
      <c r="B2097" s="125" t="s">
        <v>3542</v>
      </c>
      <c r="C2097" s="118" t="s">
        <v>3543</v>
      </c>
      <c r="D2097" s="118"/>
      <c r="E2097" s="118">
        <v>1.81</v>
      </c>
      <c r="F2097" s="118"/>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2"/>
  <dimension ref="B1:AE370"/>
  <sheetViews>
    <sheetView topLeftCell="A15" zoomScale="160" zoomScaleNormal="160" workbookViewId="0">
      <selection activeCell="J16" sqref="J16:J27"/>
    </sheetView>
  </sheetViews>
  <sheetFormatPr baseColWidth="10" defaultColWidth="9.1640625" defaultRowHeight="15" x14ac:dyDescent="0.2"/>
  <cols>
    <col min="1" max="1" width="9.1640625" style="2" customWidth="1"/>
    <col min="2" max="2" width="20.33203125" style="2" customWidth="1"/>
    <col min="3" max="8" width="16.83203125" style="2" customWidth="1"/>
    <col min="9" max="9" width="6.6640625" style="2" customWidth="1"/>
    <col min="10" max="10" width="15" style="2" customWidth="1"/>
    <col min="11" max="14" width="11.33203125" style="2" customWidth="1"/>
    <col min="15" max="15" width="12.83203125" style="2" customWidth="1"/>
    <col min="16" max="16" width="14.6640625" style="2" customWidth="1"/>
    <col min="17" max="17" width="16" style="2" customWidth="1"/>
    <col min="18" max="18" width="17.83203125" style="2" customWidth="1"/>
    <col min="19" max="19" width="13.33203125" style="2" customWidth="1"/>
    <col min="20" max="20" width="9.6640625" style="2" customWidth="1"/>
    <col min="21" max="21" width="9.1640625" style="2" customWidth="1"/>
    <col min="22" max="24" width="1.6640625" style="2" customWidth="1"/>
    <col min="25" max="25" width="9.1640625" style="2" customWidth="1"/>
    <col min="26" max="16384" width="9.1640625" style="2"/>
  </cols>
  <sheetData>
    <row r="1" spans="2:31" ht="16" customHeight="1" thickBot="1" x14ac:dyDescent="0.25"/>
    <row r="2" spans="2:31" ht="16" customHeight="1" thickBot="1" x14ac:dyDescent="0.25">
      <c r="B2" s="5" t="s">
        <v>2033</v>
      </c>
      <c r="G2" s="6" t="s">
        <v>2032</v>
      </c>
      <c r="H2" s="7"/>
    </row>
    <row r="3" spans="2:31" ht="16" customHeight="1" thickBot="1" x14ac:dyDescent="0.25"/>
    <row r="4" spans="2:31" x14ac:dyDescent="0.2">
      <c r="B4" s="8" t="s">
        <v>4479</v>
      </c>
      <c r="C4" s="9">
        <v>192.21</v>
      </c>
      <c r="D4" s="10"/>
      <c r="E4" s="11"/>
      <c r="F4" s="11"/>
      <c r="G4" s="11"/>
      <c r="H4" s="12"/>
      <c r="J4" s="13">
        <v>43703</v>
      </c>
      <c r="K4" s="11" t="s">
        <v>4480</v>
      </c>
      <c r="L4" s="11"/>
      <c r="M4" s="11"/>
      <c r="N4" s="12"/>
    </row>
    <row r="5" spans="2:31" ht="16" customHeight="1" thickBot="1" x14ac:dyDescent="0.25">
      <c r="B5" s="14"/>
      <c r="C5" s="3"/>
      <c r="D5" s="3"/>
      <c r="H5" s="15"/>
      <c r="J5" s="16">
        <v>43808</v>
      </c>
      <c r="K5" s="17" t="s">
        <v>4481</v>
      </c>
      <c r="L5" s="17"/>
      <c r="M5" s="17"/>
      <c r="N5" s="18"/>
    </row>
    <row r="6" spans="2:31" ht="16" customHeight="1" thickBot="1" x14ac:dyDescent="0.25">
      <c r="B6" s="19" t="s">
        <v>4482</v>
      </c>
      <c r="C6" s="20">
        <v>216.25999450683591</v>
      </c>
      <c r="D6" s="21">
        <f>(C4-C6)/C6</f>
        <v>-0.11120870765617119</v>
      </c>
      <c r="E6" s="22" t="s">
        <v>4483</v>
      </c>
      <c r="F6" s="23" t="str">
        <f>E25</f>
        <v>40,9x</v>
      </c>
      <c r="G6" s="22" t="s">
        <v>4484</v>
      </c>
      <c r="H6" s="24">
        <f>C4/F36</f>
        <v>15.626829268292683</v>
      </c>
      <c r="L6" s="25"/>
      <c r="M6" s="26"/>
    </row>
    <row r="7" spans="2:31" x14ac:dyDescent="0.2">
      <c r="B7" s="19" t="s">
        <v>4485</v>
      </c>
      <c r="C7" s="20">
        <v>153.1300048828125</v>
      </c>
      <c r="D7" s="21">
        <f>(C4-C7)/C7</f>
        <v>0.25520795318392819</v>
      </c>
      <c r="E7" s="22" t="s">
        <v>4486</v>
      </c>
      <c r="F7" s="3" t="str">
        <f>F25</f>
        <v>41,5x</v>
      </c>
      <c r="G7" s="22" t="s">
        <v>4487</v>
      </c>
      <c r="H7" s="27">
        <v>0.39400000000000002</v>
      </c>
      <c r="L7" s="28"/>
      <c r="M7" s="26"/>
      <c r="N7" s="136"/>
      <c r="R7" s="8" t="s">
        <v>4488</v>
      </c>
      <c r="S7" s="11"/>
      <c r="T7" s="29"/>
    </row>
    <row r="8" spans="2:31" x14ac:dyDescent="0.2">
      <c r="B8" s="19" t="s">
        <v>4489</v>
      </c>
      <c r="C8" s="30">
        <v>0.58050000000000002</v>
      </c>
      <c r="D8" s="31"/>
      <c r="E8" s="22" t="s">
        <v>2503</v>
      </c>
      <c r="F8" s="3"/>
      <c r="G8" s="22" t="s">
        <v>4490</v>
      </c>
      <c r="H8" s="15" t="str">
        <f>VLOOKUP(B2,[1]Database!L:S,5,)</f>
        <v>NASDAQ GS</v>
      </c>
      <c r="R8" s="32" t="s">
        <v>4491</v>
      </c>
      <c r="T8" s="33"/>
    </row>
    <row r="9" spans="2:31" x14ac:dyDescent="0.2">
      <c r="B9" s="19" t="s">
        <v>4492</v>
      </c>
      <c r="C9" s="4">
        <v>25040</v>
      </c>
      <c r="D9" s="3"/>
      <c r="E9" s="22" t="s">
        <v>4493</v>
      </c>
      <c r="F9" s="3" t="s">
        <v>4494</v>
      </c>
      <c r="G9" s="22" t="s">
        <v>27</v>
      </c>
      <c r="H9" s="15" t="str">
        <f>VLOOKUP(B2,[1]Database!L:S,6,)</f>
        <v>Consumer Discretionary</v>
      </c>
      <c r="R9" s="32" t="s">
        <v>4495</v>
      </c>
      <c r="T9" s="33"/>
    </row>
    <row r="10" spans="2:31" x14ac:dyDescent="0.2">
      <c r="B10" s="19" t="s">
        <v>1283</v>
      </c>
      <c r="C10" s="34">
        <v>23846</v>
      </c>
      <c r="D10" s="4">
        <f>C10-C9</f>
        <v>-1194</v>
      </c>
      <c r="E10" s="22" t="s">
        <v>4496</v>
      </c>
      <c r="F10" s="31" t="str">
        <f>IF(F9&lt;"-",F9/C4,"")</f>
        <v/>
      </c>
      <c r="G10" s="22" t="s">
        <v>28</v>
      </c>
      <c r="H10" s="15" t="str">
        <f>VLOOKUP(B2,[1]Database!L:S,7,)</f>
        <v>Textiles, Apparel &amp; Luxury Goo</v>
      </c>
      <c r="R10" s="32" t="s">
        <v>4497</v>
      </c>
      <c r="T10" s="33"/>
    </row>
    <row r="11" spans="2:31" ht="16" customHeight="1" thickBot="1" x14ac:dyDescent="0.25">
      <c r="B11" s="19" t="s">
        <v>4498</v>
      </c>
      <c r="C11" s="20">
        <v>1.4650000333786011</v>
      </c>
      <c r="D11" s="3"/>
      <c r="E11" s="22" t="s">
        <v>4499</v>
      </c>
      <c r="F11" s="20">
        <v>1.26</v>
      </c>
      <c r="G11" s="22" t="s">
        <v>4500</v>
      </c>
      <c r="H11" s="35" t="s">
        <v>4501</v>
      </c>
      <c r="R11" s="36" t="s">
        <v>4502</v>
      </c>
      <c r="S11" s="17"/>
      <c r="T11" s="37"/>
    </row>
    <row r="12" spans="2:31" ht="15.75" customHeight="1" thickBot="1" x14ac:dyDescent="0.25">
      <c r="B12" s="38" t="s">
        <v>4503</v>
      </c>
      <c r="C12" s="39">
        <v>194.9</v>
      </c>
      <c r="D12" s="40"/>
      <c r="E12" s="17"/>
      <c r="F12" s="17"/>
      <c r="G12" s="17"/>
      <c r="H12" s="18"/>
    </row>
    <row r="13" spans="2:31" ht="16" customHeight="1" thickBot="1" x14ac:dyDescent="0.25">
      <c r="D13" s="41"/>
      <c r="L13" s="28"/>
      <c r="M13" s="26"/>
    </row>
    <row r="14" spans="2:31" ht="16" customHeight="1" thickBot="1" x14ac:dyDescent="0.25">
      <c r="G14" s="42" t="s">
        <v>4504</v>
      </c>
      <c r="H14" s="43" t="s">
        <v>4505</v>
      </c>
    </row>
    <row r="15" spans="2:31" ht="16" customHeight="1" x14ac:dyDescent="0.2">
      <c r="B15" s="8"/>
      <c r="C15" s="44">
        <v>2017</v>
      </c>
      <c r="D15" s="44">
        <v>2018</v>
      </c>
      <c r="E15" s="44">
        <v>2019</v>
      </c>
      <c r="F15" s="44" t="s">
        <v>4506</v>
      </c>
      <c r="G15" s="44" t="s">
        <v>4507</v>
      </c>
      <c r="H15" s="45" t="s">
        <v>4508</v>
      </c>
      <c r="J15" s="46"/>
      <c r="K15" s="47" t="s">
        <v>4491</v>
      </c>
      <c r="L15" s="47" t="s">
        <v>4495</v>
      </c>
      <c r="M15" s="47" t="s">
        <v>4497</v>
      </c>
      <c r="N15" s="47" t="s">
        <v>4502</v>
      </c>
      <c r="O15" s="48" t="s">
        <v>4509</v>
      </c>
      <c r="AA15" s="2" t="s">
        <v>4479</v>
      </c>
      <c r="AB15" s="2">
        <v>383.3</v>
      </c>
      <c r="AC15" s="2">
        <v>88.27</v>
      </c>
      <c r="AD15" s="2">
        <v>27.19</v>
      </c>
      <c r="AE15" s="2">
        <v>38.64</v>
      </c>
    </row>
    <row r="16" spans="2:31" x14ac:dyDescent="0.2">
      <c r="B16" s="19" t="s">
        <v>4510</v>
      </c>
      <c r="C16" s="4">
        <v>2344</v>
      </c>
      <c r="D16" s="4">
        <v>2649</v>
      </c>
      <c r="E16" s="4">
        <v>3288</v>
      </c>
      <c r="F16" s="4">
        <v>3821</v>
      </c>
      <c r="G16" s="4">
        <v>4346</v>
      </c>
      <c r="H16" s="49">
        <v>4947</v>
      </c>
      <c r="J16" s="19" t="s">
        <v>4492</v>
      </c>
      <c r="K16" s="4">
        <f t="shared" ref="K16:M17" si="0">IF(AB16&lt;&gt;0,AB16,"")</f>
        <v>191403</v>
      </c>
      <c r="L16" s="4">
        <f t="shared" si="0"/>
        <v>35478</v>
      </c>
      <c r="M16" s="4">
        <f t="shared" si="0"/>
        <v>11620</v>
      </c>
      <c r="N16" s="4">
        <v>9790</v>
      </c>
      <c r="O16" s="49">
        <f t="shared" ref="O16:O27" si="1">AVERAGE(K16:N16)</f>
        <v>62072.75</v>
      </c>
      <c r="AA16" s="2" t="s">
        <v>4492</v>
      </c>
      <c r="AB16" s="2">
        <v>191403</v>
      </c>
      <c r="AC16" s="2">
        <v>35478</v>
      </c>
      <c r="AD16" s="2">
        <v>11620</v>
      </c>
      <c r="AE16" s="2" t="s">
        <v>4511</v>
      </c>
    </row>
    <row r="17" spans="2:31" ht="15" customHeight="1" x14ac:dyDescent="0.2">
      <c r="B17" s="19" t="s">
        <v>4512</v>
      </c>
      <c r="C17" s="3"/>
      <c r="D17" s="31">
        <f>(D16-C16)/C16</f>
        <v>0.13011945392491467</v>
      </c>
      <c r="E17" s="31">
        <f>(E16-D16)/D16</f>
        <v>0.24122310305775765</v>
      </c>
      <c r="F17" s="31">
        <f>(F16-E16)/E16</f>
        <v>0.16210462287104624</v>
      </c>
      <c r="G17" s="31">
        <f>(G16-F16)/F16</f>
        <v>0.13739858675739336</v>
      </c>
      <c r="H17" s="50">
        <f>(H16-G16)/G16</f>
        <v>0.13828808099401749</v>
      </c>
      <c r="J17" s="19" t="s">
        <v>1283</v>
      </c>
      <c r="K17" s="4">
        <f t="shared" si="0"/>
        <v>192879</v>
      </c>
      <c r="L17" s="4">
        <f t="shared" si="0"/>
        <v>37143</v>
      </c>
      <c r="M17" s="4">
        <f t="shared" si="0"/>
        <v>11760</v>
      </c>
      <c r="N17" s="4">
        <v>8920</v>
      </c>
      <c r="O17" s="49">
        <f t="shared" si="1"/>
        <v>62675.5</v>
      </c>
      <c r="AA17" s="2" t="s">
        <v>1283</v>
      </c>
      <c r="AB17" s="138">
        <v>192879</v>
      </c>
      <c r="AC17" s="2">
        <v>37143</v>
      </c>
      <c r="AD17" s="2">
        <v>11760</v>
      </c>
      <c r="AE17" s="2" t="s">
        <v>4513</v>
      </c>
    </row>
    <row r="18" spans="2:31" ht="15" customHeight="1" x14ac:dyDescent="0.2">
      <c r="B18" s="19" t="s">
        <v>4514</v>
      </c>
      <c r="C18" s="4">
        <v>509</v>
      </c>
      <c r="D18" s="4">
        <v>611</v>
      </c>
      <c r="E18" s="4">
        <v>828</v>
      </c>
      <c r="F18" s="4">
        <v>972</v>
      </c>
      <c r="G18" s="4">
        <v>1138</v>
      </c>
      <c r="H18" s="49">
        <v>1320</v>
      </c>
      <c r="J18" s="19" t="s">
        <v>4515</v>
      </c>
      <c r="K18" s="51">
        <f>IF(AB15&lt;&gt;0,AB15/AB18,"")</f>
        <v>23.956250000000001</v>
      </c>
      <c r="L18" s="51">
        <v>27.6</v>
      </c>
      <c r="M18" s="51">
        <f>IF(AD15&lt;&gt;0,AD15/AD18,"")</f>
        <v>55.489795918367349</v>
      </c>
      <c r="N18" s="51">
        <f>IF(AE15&lt;&gt;0,AE15/AE18,"")</f>
        <v>25.09090909090909</v>
      </c>
      <c r="O18" s="52">
        <f t="shared" si="1"/>
        <v>33.034238752319112</v>
      </c>
      <c r="AA18" s="2" t="s">
        <v>4516</v>
      </c>
      <c r="AB18" s="138">
        <v>16</v>
      </c>
      <c r="AD18" s="2">
        <v>0.49</v>
      </c>
      <c r="AE18" s="2">
        <v>1.54</v>
      </c>
    </row>
    <row r="19" spans="2:31" ht="15" customHeight="1" x14ac:dyDescent="0.2">
      <c r="B19" s="19" t="s">
        <v>4517</v>
      </c>
      <c r="C19" s="53">
        <f t="shared" ref="C19:H19" si="2">IF(C18&lt;"-",C18/C16,"")</f>
        <v>0.21715017064846417</v>
      </c>
      <c r="D19" s="53">
        <f t="shared" si="2"/>
        <v>0.23065307663269158</v>
      </c>
      <c r="E19" s="53">
        <f t="shared" si="2"/>
        <v>0.2518248175182482</v>
      </c>
      <c r="F19" s="53">
        <f t="shared" si="2"/>
        <v>0.25438366919654543</v>
      </c>
      <c r="G19" s="53">
        <f t="shared" si="2"/>
        <v>0.26184997699033596</v>
      </c>
      <c r="H19" s="54">
        <f t="shared" si="2"/>
        <v>0.26682838083687083</v>
      </c>
      <c r="J19" s="19" t="s">
        <v>4518</v>
      </c>
      <c r="K19" s="51">
        <v>14.2</v>
      </c>
      <c r="L19" s="51">
        <v>19.100000000000001</v>
      </c>
      <c r="M19" s="51">
        <v>27.7</v>
      </c>
      <c r="N19" s="51">
        <v>15.9</v>
      </c>
      <c r="O19" s="52">
        <f t="shared" si="1"/>
        <v>19.225000000000001</v>
      </c>
      <c r="AA19" s="2" t="s">
        <v>4519</v>
      </c>
      <c r="AB19" s="2">
        <v>13603</v>
      </c>
      <c r="AC19" s="138" t="s">
        <v>4520</v>
      </c>
      <c r="AD19" s="2">
        <v>425</v>
      </c>
      <c r="AE19" s="2">
        <v>576</v>
      </c>
    </row>
    <row r="20" spans="2:31" ht="15" customHeight="1" x14ac:dyDescent="0.2">
      <c r="B20" s="19" t="s">
        <v>4521</v>
      </c>
      <c r="C20" s="4">
        <v>421</v>
      </c>
      <c r="D20" s="4">
        <v>503</v>
      </c>
      <c r="E20" s="4">
        <v>706</v>
      </c>
      <c r="F20" s="4">
        <v>837</v>
      </c>
      <c r="G20" s="4">
        <v>982</v>
      </c>
      <c r="H20" s="49">
        <v>1141</v>
      </c>
      <c r="J20" s="19" t="s">
        <v>4522</v>
      </c>
      <c r="K20" s="51">
        <f>IF(AB17&lt;&gt;0,AB17/AB20,"")</f>
        <v>16.931091994382022</v>
      </c>
      <c r="L20" s="51">
        <v>22.7</v>
      </c>
      <c r="M20" s="51">
        <f>IF(AD17&lt;&gt;0,AD17/AD20,"")</f>
        <v>50.256410256410255</v>
      </c>
      <c r="N20" s="51">
        <v>18.5</v>
      </c>
      <c r="O20" s="52">
        <f t="shared" si="1"/>
        <v>27.096875562698067</v>
      </c>
      <c r="AA20" s="2" t="s">
        <v>4523</v>
      </c>
      <c r="AB20" s="2">
        <v>11392</v>
      </c>
      <c r="AD20" s="2">
        <v>234</v>
      </c>
      <c r="AE20" s="2">
        <v>495</v>
      </c>
    </row>
    <row r="21" spans="2:31" ht="15" customHeight="1" x14ac:dyDescent="0.2">
      <c r="B21" s="19" t="s">
        <v>4524</v>
      </c>
      <c r="C21" s="53">
        <f t="shared" ref="C21:H21" si="3">C20/C16</f>
        <v>0.17960750853242322</v>
      </c>
      <c r="D21" s="53">
        <f t="shared" si="3"/>
        <v>0.18988297470743676</v>
      </c>
      <c r="E21" s="53">
        <f t="shared" si="3"/>
        <v>0.21472019464720193</v>
      </c>
      <c r="F21" s="53">
        <f t="shared" si="3"/>
        <v>0.21905260403035853</v>
      </c>
      <c r="G21" s="53">
        <f t="shared" si="3"/>
        <v>0.22595490105844454</v>
      </c>
      <c r="H21" s="54">
        <f t="shared" si="3"/>
        <v>0.23064483525368912</v>
      </c>
      <c r="J21" s="19" t="s">
        <v>4525</v>
      </c>
      <c r="K21" s="51">
        <f>IF(AB17&lt;&gt;0,AB17/AB21,"")</f>
        <v>3.5964087934217153</v>
      </c>
      <c r="L21" s="51">
        <v>3.1</v>
      </c>
      <c r="M21" s="51">
        <f>IF(AD17&lt;&gt;0,AD17/AD21,"")</f>
        <v>2.186686500557828</v>
      </c>
      <c r="N21" s="51">
        <v>5.6</v>
      </c>
      <c r="O21" s="52">
        <f t="shared" si="1"/>
        <v>3.6207738234948859</v>
      </c>
      <c r="AA21" s="2" t="s">
        <v>4526</v>
      </c>
      <c r="AB21" s="2">
        <v>53631</v>
      </c>
      <c r="AC21" s="138" t="s">
        <v>4520</v>
      </c>
      <c r="AD21" s="2">
        <v>5378</v>
      </c>
      <c r="AE21" s="2">
        <v>1642</v>
      </c>
    </row>
    <row r="22" spans="2:31" ht="15" customHeight="1" x14ac:dyDescent="0.2">
      <c r="B22" s="19" t="s">
        <v>4527</v>
      </c>
      <c r="C22" s="4">
        <v>303</v>
      </c>
      <c r="D22" s="4">
        <v>259</v>
      </c>
      <c r="E22" s="4">
        <v>484</v>
      </c>
      <c r="F22" s="4">
        <v>605</v>
      </c>
      <c r="G22" s="4">
        <v>710</v>
      </c>
      <c r="H22" s="49">
        <v>830</v>
      </c>
      <c r="J22" s="19" t="s">
        <v>2479</v>
      </c>
      <c r="K22" s="20">
        <f>IF(AB15&lt;&gt;0,AB15/AB22,"")</f>
        <v>4.6404358353510897</v>
      </c>
      <c r="L22" s="20">
        <f>IF(AC15&lt;&gt;0,AC15/AC22,"")</f>
        <v>6.6871212121212125</v>
      </c>
      <c r="M22" s="20">
        <f>IF(AD15&lt;&gt;0,AD15/AD22,"")</f>
        <v>5.0445269016697596</v>
      </c>
      <c r="N22" s="20">
        <f>IF(AE15&lt;&gt;0,AE15/AE22,"")</f>
        <v>6.0280811232449301</v>
      </c>
      <c r="O22" s="52">
        <f t="shared" si="1"/>
        <v>5.6000412680967484</v>
      </c>
      <c r="AA22" s="2" t="s">
        <v>4528</v>
      </c>
      <c r="AB22" s="138">
        <v>82.6</v>
      </c>
      <c r="AC22" s="138">
        <v>13.2</v>
      </c>
      <c r="AD22" s="2">
        <v>5.39</v>
      </c>
      <c r="AE22" s="138">
        <v>6.41</v>
      </c>
    </row>
    <row r="23" spans="2:31" ht="15" customHeight="1" x14ac:dyDescent="0.2">
      <c r="B23" s="19" t="s">
        <v>4529</v>
      </c>
      <c r="C23" s="53">
        <f t="shared" ref="C23:H23" si="4">C22/C16</f>
        <v>0.12926621160409557</v>
      </c>
      <c r="D23" s="53">
        <f t="shared" si="4"/>
        <v>9.7772744431861083E-2</v>
      </c>
      <c r="E23" s="53">
        <f t="shared" si="4"/>
        <v>0.14720194647201945</v>
      </c>
      <c r="F23" s="53">
        <f t="shared" si="4"/>
        <v>0.15833551426328185</v>
      </c>
      <c r="G23" s="53">
        <f t="shared" si="4"/>
        <v>0.16336861481822365</v>
      </c>
      <c r="H23" s="54">
        <f t="shared" si="4"/>
        <v>0.16777845158682028</v>
      </c>
      <c r="J23" s="19" t="s">
        <v>4517</v>
      </c>
      <c r="K23" s="21">
        <f>IF(AB19&lt;&gt;0,AB19/AB21,"")</f>
        <v>0.25364061829911805</v>
      </c>
      <c r="L23" s="21">
        <v>0.16500000000000001</v>
      </c>
      <c r="M23" s="21">
        <f>IF(AD19&lt;&gt;0,AD19/AD21,"")</f>
        <v>7.9025660096690223E-2</v>
      </c>
      <c r="N23" s="21">
        <f>IF(AE19&lt;&gt;0,AE19/AE21,"")</f>
        <v>0.3507917174177832</v>
      </c>
      <c r="O23" s="55">
        <f t="shared" si="1"/>
        <v>0.21211449895339785</v>
      </c>
      <c r="AA23" s="2" t="s">
        <v>4530</v>
      </c>
      <c r="AB23" s="2">
        <f>IF(AB21&lt;&gt;0,AB19/AB21,"")</f>
        <v>0.25364061829911805</v>
      </c>
      <c r="AC23" s="2" t="e">
        <f>IF(AC21&lt;&gt;0,AC19/AC21,"")</f>
        <v>#VALUE!</v>
      </c>
      <c r="AD23" s="2">
        <f>IF(AD21&lt;&gt;0,AD19/AD21,"")</f>
        <v>7.9025660096690223E-2</v>
      </c>
      <c r="AE23" s="2">
        <f>IF(AE21&lt;&gt;0,AE19/AE21,"")</f>
        <v>0.3507917174177832</v>
      </c>
    </row>
    <row r="24" spans="2:31" ht="15" customHeight="1" x14ac:dyDescent="0.2">
      <c r="B24" s="19"/>
      <c r="C24" s="3"/>
      <c r="D24" s="56">
        <f>(D22-C22)/C22</f>
        <v>-0.14521452145214522</v>
      </c>
      <c r="E24" s="56">
        <f>(E22-D22)/D22</f>
        <v>0.86872586872586877</v>
      </c>
      <c r="F24" s="56">
        <f>(F22-E22)/E22</f>
        <v>0.25</v>
      </c>
      <c r="G24" s="56">
        <f>(G22-F22)/F22</f>
        <v>0.17355371900826447</v>
      </c>
      <c r="H24" s="57">
        <f>(H22-G22)/G22</f>
        <v>0.16901408450704225</v>
      </c>
      <c r="J24" s="19" t="s">
        <v>4524</v>
      </c>
      <c r="K24" s="21">
        <f>IF(AB20&lt;&gt;0,AB20/AB21,"")</f>
        <v>0.21241446178516157</v>
      </c>
      <c r="L24" s="21" t="str">
        <f>IF(AC20&lt;&gt;0,AC20/AC21,"")</f>
        <v/>
      </c>
      <c r="M24" s="21">
        <f>IF(AD20&lt;&gt;0,AD20/AD21,"")</f>
        <v>4.3510598735589441E-2</v>
      </c>
      <c r="N24" s="21">
        <f>IF(AE20&lt;&gt;0,AE20/AE21,"")</f>
        <v>0.30146163215590743</v>
      </c>
      <c r="O24" s="55">
        <f t="shared" si="1"/>
        <v>0.1857955642255528</v>
      </c>
      <c r="AA24" s="2" t="s">
        <v>4531</v>
      </c>
      <c r="AB24" s="2">
        <f>IF(AB21&lt;&gt;0,AB20/AB21,"")</f>
        <v>0.21241446178516157</v>
      </c>
      <c r="AC24" s="2" t="e">
        <f>IF(AC21&lt;&gt;0,AC20/AC21,"")</f>
        <v>#VALUE!</v>
      </c>
      <c r="AD24" s="2">
        <f>IF(AD21&lt;&gt;0,AD20/AD21,"")</f>
        <v>4.3510598735589441E-2</v>
      </c>
      <c r="AE24" s="2">
        <f>IF(AE21&lt;&gt;0,AE20/AE21,"")</f>
        <v>0.30146163215590743</v>
      </c>
    </row>
    <row r="25" spans="2:31" ht="15" customHeight="1" x14ac:dyDescent="0.2">
      <c r="B25" s="19" t="s">
        <v>4532</v>
      </c>
      <c r="C25" s="3" t="s">
        <v>4533</v>
      </c>
      <c r="D25" s="3" t="s">
        <v>4534</v>
      </c>
      <c r="E25" s="23" t="s">
        <v>4535</v>
      </c>
      <c r="F25" s="3" t="s">
        <v>4536</v>
      </c>
      <c r="G25" s="3" t="s">
        <v>4537</v>
      </c>
      <c r="H25" s="58" t="s">
        <v>4538</v>
      </c>
      <c r="J25" s="19" t="s">
        <v>4539</v>
      </c>
      <c r="K25" s="21">
        <f>IF(AB25&lt;&gt;0,AB25/AB21,"")</f>
        <v>0.15041673658891314</v>
      </c>
      <c r="L25" s="21">
        <v>0.112</v>
      </c>
      <c r="M25" s="21">
        <f>IF(AD25&lt;&gt;0,AD25/AD21,"")</f>
        <v>4.1279285979918187E-2</v>
      </c>
      <c r="N25" s="21">
        <f>IF(AE25&lt;&gt;0,AE25/AE21,"")</f>
        <v>0.23751522533495736</v>
      </c>
      <c r="O25" s="55">
        <f t="shared" si="1"/>
        <v>0.13530281197594718</v>
      </c>
      <c r="AA25" s="2" t="s">
        <v>4540</v>
      </c>
      <c r="AB25" s="2">
        <v>8067</v>
      </c>
      <c r="AC25" s="138" t="s">
        <v>4520</v>
      </c>
      <c r="AD25" s="2">
        <v>222</v>
      </c>
      <c r="AE25" s="2">
        <v>390</v>
      </c>
    </row>
    <row r="26" spans="2:31" ht="15" customHeight="1" x14ac:dyDescent="0.2">
      <c r="B26" s="19" t="s">
        <v>4541</v>
      </c>
      <c r="C26" s="3">
        <v>2.21</v>
      </c>
      <c r="D26" s="3">
        <v>1.9</v>
      </c>
      <c r="E26" s="20">
        <v>3.61</v>
      </c>
      <c r="F26" s="3">
        <v>4.63</v>
      </c>
      <c r="G26" s="3">
        <v>5.47</v>
      </c>
      <c r="H26" s="58">
        <v>6.48</v>
      </c>
      <c r="J26" s="19" t="s">
        <v>21</v>
      </c>
      <c r="K26" s="31">
        <f>IF(AB26&lt;&gt;0,AB26/AB15,"")</f>
        <v>1.987998956430994E-2</v>
      </c>
      <c r="L26" s="31">
        <f>IF(AC26&lt;&gt;0,AC26/AC15,"")</f>
        <v>2.4130508666591142E-2</v>
      </c>
      <c r="M26" s="31">
        <v>0</v>
      </c>
      <c r="N26" s="31">
        <f>IF(AE26&lt;&gt;0,AE26/AE15,"")</f>
        <v>1.3457556935817806E-2</v>
      </c>
      <c r="O26" s="50">
        <f t="shared" si="1"/>
        <v>1.4367013791679723E-2</v>
      </c>
      <c r="AA26" s="2" t="s">
        <v>4542</v>
      </c>
      <c r="AB26" s="2">
        <v>7.62</v>
      </c>
      <c r="AC26" s="2">
        <v>2.13</v>
      </c>
      <c r="AD26" s="2" t="s">
        <v>4494</v>
      </c>
      <c r="AE26" s="2">
        <v>0.52</v>
      </c>
    </row>
    <row r="27" spans="2:31" ht="15" customHeight="1" thickBot="1" x14ac:dyDescent="0.25">
      <c r="B27" s="19" t="s">
        <v>4512</v>
      </c>
      <c r="C27" s="3"/>
      <c r="D27" s="31">
        <f>(D26-C26)/ABS(C26)</f>
        <v>-0.14027149321266971</v>
      </c>
      <c r="E27" s="31">
        <f>IF(D26&gt;0,(E26-D26)/D26,"")</f>
        <v>0.9</v>
      </c>
      <c r="F27" s="31">
        <f>IF(E26&gt;0,(F26-E26)/E26,"")</f>
        <v>0.28254847645429365</v>
      </c>
      <c r="G27" s="31">
        <f>IF(F26&gt;0,(G26-F26)/F26,"")</f>
        <v>0.1814254859611231</v>
      </c>
      <c r="H27" s="50">
        <f>IF(G26&gt;0,(H26-G26)/G26,"")</f>
        <v>0.18464351005484475</v>
      </c>
      <c r="J27" s="38" t="s">
        <v>4487</v>
      </c>
      <c r="K27" s="40">
        <f>IF(AB27&lt;&gt;0,AB27,"")</f>
        <v>0.21</v>
      </c>
      <c r="L27" s="40">
        <f>IF(AC27&lt;&gt;0,AC27,"")</f>
        <v>0.29399999999999998</v>
      </c>
      <c r="M27" s="40">
        <f>IF(AD27&lt;&gt;0,AD27,"")</f>
        <v>7.3400000000000007E-2</v>
      </c>
      <c r="N27" s="40">
        <f>IF(AE27&lt;&gt;0,AE27,"")</f>
        <v>0.29499999999999998</v>
      </c>
      <c r="O27" s="59">
        <f t="shared" si="1"/>
        <v>0.21810000000000002</v>
      </c>
      <c r="AA27" s="2" t="s">
        <v>4487</v>
      </c>
      <c r="AB27" s="60">
        <v>0.21</v>
      </c>
      <c r="AC27" s="26">
        <v>0.29399999999999998</v>
      </c>
      <c r="AD27" s="26">
        <v>7.3400000000000007E-2</v>
      </c>
      <c r="AE27" s="26">
        <v>0.29499999999999998</v>
      </c>
    </row>
    <row r="28" spans="2:31" ht="15" customHeight="1" x14ac:dyDescent="0.2">
      <c r="B28" s="19" t="s">
        <v>4518</v>
      </c>
      <c r="C28" s="51">
        <f t="shared" ref="C28:H28" si="5">IF(C18&lt;"-",$C$10/C18,"")</f>
        <v>46.848722986247544</v>
      </c>
      <c r="D28" s="51">
        <f t="shared" si="5"/>
        <v>39.0278232405892</v>
      </c>
      <c r="E28" s="51">
        <f t="shared" si="5"/>
        <v>28.79951690821256</v>
      </c>
      <c r="F28" s="51">
        <f t="shared" si="5"/>
        <v>24.532921810699587</v>
      </c>
      <c r="G28" s="51">
        <f t="shared" si="5"/>
        <v>20.954305799648505</v>
      </c>
      <c r="H28" s="52">
        <f t="shared" si="5"/>
        <v>18.065151515151516</v>
      </c>
    </row>
    <row r="29" spans="2:31" ht="15" customHeight="1" x14ac:dyDescent="0.2">
      <c r="B29" s="19" t="s">
        <v>4522</v>
      </c>
      <c r="C29" s="51">
        <f t="shared" ref="C29:H29" si="6">$C$10/C20</f>
        <v>56.641330166270784</v>
      </c>
      <c r="D29" s="51">
        <f t="shared" si="6"/>
        <v>47.407554671968192</v>
      </c>
      <c r="E29" s="51">
        <f t="shared" si="6"/>
        <v>33.776203966005667</v>
      </c>
      <c r="F29" s="51">
        <f t="shared" si="6"/>
        <v>28.48984468339307</v>
      </c>
      <c r="G29" s="51">
        <f t="shared" si="6"/>
        <v>24.283095723014256</v>
      </c>
      <c r="H29" s="52">
        <f t="shared" si="6"/>
        <v>20.899211218229624</v>
      </c>
    </row>
    <row r="30" spans="2:31" ht="15" customHeight="1" thickBot="1" x14ac:dyDescent="0.25">
      <c r="B30" s="38" t="s">
        <v>4525</v>
      </c>
      <c r="C30" s="61">
        <f t="shared" ref="C30:H30" si="7">$C$10/C16</f>
        <v>10.17320819112628</v>
      </c>
      <c r="D30" s="61">
        <f t="shared" si="7"/>
        <v>9.001887504718761</v>
      </c>
      <c r="E30" s="61">
        <f t="shared" si="7"/>
        <v>7.252433090024331</v>
      </c>
      <c r="F30" s="61">
        <f t="shared" si="7"/>
        <v>6.2407746663177175</v>
      </c>
      <c r="G30" s="61">
        <f t="shared" si="7"/>
        <v>5.4868844914864239</v>
      </c>
      <c r="H30" s="62">
        <f t="shared" si="7"/>
        <v>4.8202951283606223</v>
      </c>
      <c r="J30" s="136" t="s">
        <v>4543</v>
      </c>
    </row>
    <row r="31" spans="2:31" ht="16" customHeight="1" thickBot="1" x14ac:dyDescent="0.25">
      <c r="J31" s="46"/>
      <c r="K31" s="63"/>
      <c r="L31" s="44" t="s">
        <v>4544</v>
      </c>
      <c r="M31" s="44" t="s">
        <v>4545</v>
      </c>
      <c r="N31" s="44" t="s">
        <v>4546</v>
      </c>
      <c r="O31" s="48" t="s">
        <v>4547</v>
      </c>
    </row>
    <row r="32" spans="2:31" x14ac:dyDescent="0.2">
      <c r="B32" s="8" t="s">
        <v>4548</v>
      </c>
      <c r="C32" s="64"/>
      <c r="D32" s="65"/>
      <c r="E32" s="65"/>
      <c r="F32" s="65"/>
      <c r="G32" s="65"/>
      <c r="H32" s="66"/>
      <c r="J32" s="19" t="s">
        <v>4549</v>
      </c>
      <c r="K32" s="22" t="s">
        <v>4510</v>
      </c>
      <c r="L32" s="4">
        <v>755.31</v>
      </c>
      <c r="M32" s="4">
        <v>782.32</v>
      </c>
      <c r="N32" s="4">
        <v>27.01</v>
      </c>
      <c r="O32" s="67">
        <v>3.58</v>
      </c>
    </row>
    <row r="33" spans="2:15" x14ac:dyDescent="0.2">
      <c r="B33" s="19" t="s">
        <v>4514</v>
      </c>
      <c r="C33" s="4">
        <f t="shared" ref="C33:H33" si="8">C18</f>
        <v>509</v>
      </c>
      <c r="D33" s="4">
        <f t="shared" si="8"/>
        <v>611</v>
      </c>
      <c r="E33" s="4">
        <f t="shared" si="8"/>
        <v>828</v>
      </c>
      <c r="F33" s="4">
        <f t="shared" si="8"/>
        <v>972</v>
      </c>
      <c r="G33" s="4">
        <f t="shared" si="8"/>
        <v>1138</v>
      </c>
      <c r="H33" s="49">
        <f t="shared" si="8"/>
        <v>1320</v>
      </c>
      <c r="J33" s="19"/>
      <c r="K33" s="22" t="s">
        <v>4550</v>
      </c>
      <c r="L33" s="3">
        <v>0.7</v>
      </c>
      <c r="M33" s="3">
        <v>0.74</v>
      </c>
      <c r="N33" s="3">
        <v>0.04</v>
      </c>
      <c r="O33" s="67">
        <v>5.32</v>
      </c>
    </row>
    <row r="34" spans="2:15" x14ac:dyDescent="0.2">
      <c r="B34" s="19" t="s">
        <v>4551</v>
      </c>
      <c r="C34" s="20" t="str">
        <f t="shared" ref="C34:H34" si="9">IF(C32&gt;0,C32/C33,"")</f>
        <v/>
      </c>
      <c r="D34" s="20" t="str">
        <f t="shared" si="9"/>
        <v/>
      </c>
      <c r="E34" s="20" t="str">
        <f t="shared" si="9"/>
        <v/>
      </c>
      <c r="F34" s="20" t="str">
        <f t="shared" si="9"/>
        <v/>
      </c>
      <c r="G34" s="20" t="str">
        <f t="shared" si="9"/>
        <v/>
      </c>
      <c r="H34" s="24" t="str">
        <f t="shared" si="9"/>
        <v/>
      </c>
      <c r="J34" s="19" t="s">
        <v>4552</v>
      </c>
      <c r="K34" s="22" t="s">
        <v>4510</v>
      </c>
      <c r="L34" s="4">
        <v>1150.72</v>
      </c>
      <c r="M34" s="4">
        <v>1167.46</v>
      </c>
      <c r="N34" s="4">
        <v>16.739999999999998</v>
      </c>
      <c r="O34" s="67">
        <v>1.45</v>
      </c>
    </row>
    <row r="35" spans="2:15" x14ac:dyDescent="0.2">
      <c r="B35" s="19" t="s">
        <v>4553</v>
      </c>
      <c r="C35" s="68">
        <v>2.8</v>
      </c>
      <c r="D35" s="68">
        <v>3.59</v>
      </c>
      <c r="E35" s="68">
        <v>5.54</v>
      </c>
      <c r="F35" s="68">
        <v>4.5</v>
      </c>
      <c r="G35" s="68">
        <v>5.98</v>
      </c>
      <c r="H35" s="69">
        <v>7.5</v>
      </c>
      <c r="J35" s="19"/>
      <c r="K35" s="22" t="s">
        <v>4550</v>
      </c>
      <c r="L35" s="3">
        <v>1.74</v>
      </c>
      <c r="M35" s="3">
        <v>1.85</v>
      </c>
      <c r="N35" s="3">
        <v>0.11</v>
      </c>
      <c r="O35" s="67">
        <v>6.14</v>
      </c>
    </row>
    <row r="36" spans="2:15" ht="16" customHeight="1" thickBot="1" x14ac:dyDescent="0.25">
      <c r="B36" s="38" t="s">
        <v>22</v>
      </c>
      <c r="C36" s="70">
        <v>9.92</v>
      </c>
      <c r="D36" s="70">
        <v>11.7</v>
      </c>
      <c r="E36" s="70">
        <v>10.8</v>
      </c>
      <c r="F36" s="70">
        <v>12.3</v>
      </c>
      <c r="G36" s="70">
        <v>15.4</v>
      </c>
      <c r="H36" s="71">
        <v>17</v>
      </c>
      <c r="J36" s="19" t="s">
        <v>4554</v>
      </c>
      <c r="K36" s="22" t="s">
        <v>4510</v>
      </c>
      <c r="L36" s="4">
        <v>737.45</v>
      </c>
      <c r="M36" s="4">
        <v>747.66</v>
      </c>
      <c r="N36" s="4">
        <v>10.199999999999999</v>
      </c>
      <c r="O36" s="67">
        <v>1.38</v>
      </c>
    </row>
    <row r="37" spans="2:15" ht="16" customHeight="1" thickBot="1" x14ac:dyDescent="0.25">
      <c r="J37" s="19"/>
      <c r="K37" s="22" t="s">
        <v>4550</v>
      </c>
      <c r="L37" s="3">
        <v>0.7</v>
      </c>
      <c r="M37" s="3">
        <v>0.75</v>
      </c>
      <c r="N37" s="3">
        <v>0.05</v>
      </c>
      <c r="O37" s="67">
        <v>7.88</v>
      </c>
    </row>
    <row r="38" spans="2:15" x14ac:dyDescent="0.2">
      <c r="B38" s="8" t="s">
        <v>4555</v>
      </c>
      <c r="C38" s="72">
        <v>1067781</v>
      </c>
      <c r="F38" s="8" t="s">
        <v>4556</v>
      </c>
      <c r="G38" s="73">
        <v>182.26</v>
      </c>
      <c r="H38" s="74">
        <f>(C4-G38)/G38</f>
        <v>5.4592340612312176E-2</v>
      </c>
      <c r="J38" s="19" t="s">
        <v>4557</v>
      </c>
      <c r="K38" s="22" t="s">
        <v>4510</v>
      </c>
      <c r="L38" s="4">
        <v>667.94</v>
      </c>
      <c r="M38" s="4">
        <v>723.5</v>
      </c>
      <c r="N38" s="4">
        <v>55.56</v>
      </c>
      <c r="O38" s="67">
        <v>8.32</v>
      </c>
    </row>
    <row r="39" spans="2:15" ht="16" customHeight="1" thickBot="1" x14ac:dyDescent="0.25">
      <c r="B39" s="19" t="s">
        <v>4558</v>
      </c>
      <c r="C39" s="49" t="s">
        <v>4559</v>
      </c>
      <c r="F39" s="38" t="s">
        <v>4560</v>
      </c>
      <c r="G39" s="75">
        <v>164.11</v>
      </c>
      <c r="H39" s="76">
        <f>(C4-G39)/G39</f>
        <v>0.17122661629394914</v>
      </c>
      <c r="J39" s="38"/>
      <c r="K39" s="77" t="s">
        <v>4550</v>
      </c>
      <c r="L39" s="78">
        <v>0.49</v>
      </c>
      <c r="M39" s="78">
        <v>0.71</v>
      </c>
      <c r="N39" s="78">
        <v>0.22</v>
      </c>
      <c r="O39" s="79">
        <v>43.87</v>
      </c>
    </row>
    <row r="40" spans="2:15" ht="16" customHeight="1" thickBot="1" x14ac:dyDescent="0.25">
      <c r="B40" s="38" t="s">
        <v>4561</v>
      </c>
      <c r="C40" s="80" t="s">
        <v>4562</v>
      </c>
    </row>
    <row r="41" spans="2:15" ht="16" customHeight="1" x14ac:dyDescent="0.2">
      <c r="F41" s="8" t="s">
        <v>4563</v>
      </c>
      <c r="G41" s="11"/>
      <c r="H41" s="81" t="s">
        <v>4564</v>
      </c>
    </row>
    <row r="42" spans="2:15" ht="16" customHeight="1" thickBot="1" x14ac:dyDescent="0.25">
      <c r="F42" s="38" t="s">
        <v>4565</v>
      </c>
      <c r="G42" s="17"/>
      <c r="H42" s="18"/>
    </row>
    <row r="43" spans="2:15" ht="19.5" customHeight="1" thickBot="1" x14ac:dyDescent="0.25"/>
    <row r="44" spans="2:15" ht="18" customHeight="1" x14ac:dyDescent="0.2">
      <c r="B44" s="8" t="s">
        <v>4566</v>
      </c>
      <c r="C44" s="82" t="s">
        <v>4567</v>
      </c>
      <c r="D44" s="29">
        <v>0.73599999999999999</v>
      </c>
      <c r="F44" s="8" t="s">
        <v>4568</v>
      </c>
      <c r="G44" s="82" t="s">
        <v>4569</v>
      </c>
      <c r="H44" s="29">
        <v>0.72699999999999998</v>
      </c>
      <c r="J44" s="149" t="s">
        <v>4570</v>
      </c>
      <c r="K44" s="150"/>
      <c r="L44" s="150"/>
      <c r="M44" s="150"/>
      <c r="N44" s="150"/>
      <c r="O44" s="151"/>
    </row>
    <row r="45" spans="2:15" x14ac:dyDescent="0.2">
      <c r="B45" s="83"/>
      <c r="C45" s="84" t="s">
        <v>4571</v>
      </c>
      <c r="D45" s="85">
        <v>0.191</v>
      </c>
      <c r="F45" s="83"/>
      <c r="G45" s="84" t="s">
        <v>4572</v>
      </c>
      <c r="H45" s="85">
        <v>0.193</v>
      </c>
      <c r="J45" s="152"/>
      <c r="K45" s="143"/>
      <c r="L45" s="143"/>
      <c r="M45" s="143"/>
      <c r="N45" s="143"/>
      <c r="O45" s="153"/>
    </row>
    <row r="46" spans="2:15" ht="32" customHeight="1" x14ac:dyDescent="0.2">
      <c r="B46" s="83"/>
      <c r="C46" s="86" t="s">
        <v>4573</v>
      </c>
      <c r="D46" s="85">
        <v>7.2999999999999995E-2</v>
      </c>
      <c r="F46" s="83"/>
      <c r="G46" s="86"/>
      <c r="H46" s="85"/>
      <c r="J46" s="152"/>
      <c r="K46" s="143"/>
      <c r="L46" s="143"/>
      <c r="M46" s="143"/>
      <c r="N46" s="143"/>
      <c r="O46" s="153"/>
    </row>
    <row r="47" spans="2:15" ht="25.5" customHeight="1" thickBot="1" x14ac:dyDescent="0.25">
      <c r="B47" s="87"/>
      <c r="C47" s="88"/>
      <c r="D47" s="89"/>
      <c r="F47" s="87"/>
      <c r="G47" s="90"/>
      <c r="H47" s="89"/>
      <c r="J47" s="154"/>
      <c r="K47" s="144"/>
      <c r="L47" s="144"/>
      <c r="M47" s="144"/>
      <c r="N47" s="144"/>
      <c r="O47" s="155"/>
    </row>
    <row r="53" spans="2:9" ht="16" customHeight="1" thickBot="1" x14ac:dyDescent="0.25"/>
    <row r="54" spans="2:9" x14ac:dyDescent="0.2">
      <c r="B54" s="8" t="s">
        <v>4479</v>
      </c>
      <c r="C54" s="9">
        <v>192.21</v>
      </c>
      <c r="D54" s="10"/>
      <c r="E54" s="11"/>
      <c r="F54" s="11"/>
      <c r="G54" s="11"/>
      <c r="H54" s="11"/>
      <c r="I54" s="12"/>
    </row>
    <row r="55" spans="2:9" x14ac:dyDescent="0.2">
      <c r="B55" s="14"/>
      <c r="C55" s="3"/>
      <c r="D55" s="3"/>
      <c r="I55" s="15"/>
    </row>
    <row r="56" spans="2:9" x14ac:dyDescent="0.2">
      <c r="B56" s="19" t="s">
        <v>4482</v>
      </c>
      <c r="C56" s="20">
        <v>216.25999450683591</v>
      </c>
      <c r="D56" s="21">
        <v>-0.1112087076561713</v>
      </c>
      <c r="E56" s="22" t="s">
        <v>4483</v>
      </c>
      <c r="F56" s="23" t="s">
        <v>4535</v>
      </c>
      <c r="G56" s="22" t="s">
        <v>4484</v>
      </c>
      <c r="H56" s="20">
        <v>15.626829268292679</v>
      </c>
      <c r="I56" s="15"/>
    </row>
    <row r="57" spans="2:9" x14ac:dyDescent="0.2">
      <c r="B57" s="19" t="s">
        <v>4485</v>
      </c>
      <c r="C57" s="20">
        <v>153.1300048828125</v>
      </c>
      <c r="D57" s="21">
        <v>0.25520795318392819</v>
      </c>
      <c r="E57" s="22" t="s">
        <v>4486</v>
      </c>
      <c r="F57" s="3" t="s">
        <v>4536</v>
      </c>
      <c r="G57" s="22" t="s">
        <v>4487</v>
      </c>
      <c r="H57" s="30">
        <v>0.39400000000000002</v>
      </c>
      <c r="I57" s="15"/>
    </row>
    <row r="58" spans="2:9" x14ac:dyDescent="0.2">
      <c r="B58" s="19" t="s">
        <v>4489</v>
      </c>
      <c r="C58" s="30">
        <v>0.58050000000000002</v>
      </c>
      <c r="D58" s="31"/>
      <c r="E58" s="22" t="s">
        <v>2503</v>
      </c>
      <c r="F58" s="3"/>
      <c r="G58" s="22" t="s">
        <v>4490</v>
      </c>
      <c r="H58" s="2" t="s">
        <v>4574</v>
      </c>
      <c r="I58" s="15"/>
    </row>
    <row r="59" spans="2:9" x14ac:dyDescent="0.2">
      <c r="B59" s="19" t="s">
        <v>4492</v>
      </c>
      <c r="C59" s="4">
        <v>25040</v>
      </c>
      <c r="D59" s="3"/>
      <c r="E59" s="22" t="s">
        <v>4493</v>
      </c>
      <c r="F59" s="3" t="s">
        <v>4494</v>
      </c>
      <c r="G59" s="22" t="s">
        <v>27</v>
      </c>
      <c r="H59" s="2" t="s">
        <v>115</v>
      </c>
      <c r="I59" s="15"/>
    </row>
    <row r="60" spans="2:9" x14ac:dyDescent="0.2">
      <c r="B60" s="19" t="s">
        <v>1283</v>
      </c>
      <c r="C60" s="34">
        <v>23846</v>
      </c>
      <c r="D60" s="4">
        <v>-1194</v>
      </c>
      <c r="E60" s="22" t="s">
        <v>4496</v>
      </c>
      <c r="F60" s="31"/>
      <c r="G60" s="22" t="s">
        <v>28</v>
      </c>
      <c r="H60" s="2" t="s">
        <v>4575</v>
      </c>
      <c r="I60" s="15"/>
    </row>
    <row r="61" spans="2:9" ht="16" customHeight="1" thickBot="1" x14ac:dyDescent="0.25">
      <c r="B61" s="38" t="s">
        <v>4498</v>
      </c>
      <c r="C61" s="91">
        <v>1.4650000333786011</v>
      </c>
      <c r="D61" s="78"/>
      <c r="E61" s="77" t="s">
        <v>4499</v>
      </c>
      <c r="F61" s="91">
        <v>1.2599999904632571</v>
      </c>
      <c r="G61" s="77" t="s">
        <v>4500</v>
      </c>
      <c r="H61" s="92" t="s">
        <v>4501</v>
      </c>
      <c r="I61" s="18"/>
    </row>
    <row r="370" spans="8:8" x14ac:dyDescent="0.2">
      <c r="H370" s="2">
        <v>36.79</v>
      </c>
    </row>
  </sheetData>
  <mergeCells count="1">
    <mergeCell ref="J44:O47"/>
  </mergeCells>
  <conditionalFormatting sqref="D17:H17">
    <cfRule type="colorScale" priority="7">
      <colorScale>
        <cfvo type="min"/>
        <cfvo type="percentile" val="50"/>
        <cfvo type="max"/>
        <color rgb="FFF8696B"/>
        <color rgb="FFFFEB84"/>
        <color rgb="FF63BE7B"/>
      </colorScale>
    </cfRule>
    <cfRule type="colorScale" priority="8">
      <colorScale>
        <cfvo type="min"/>
        <cfvo type="max"/>
        <color rgb="FFFCFCFF"/>
        <color rgb="FF63BE7B"/>
      </colorScale>
    </cfRule>
  </conditionalFormatting>
  <conditionalFormatting sqref="D27:H27">
    <cfRule type="colorScale" priority="5">
      <colorScale>
        <cfvo type="min"/>
        <cfvo type="percentile" val="50"/>
        <cfvo type="max"/>
        <color rgb="FFF8696B"/>
        <color rgb="FFFFEB84"/>
        <color rgb="FF63BE7B"/>
      </colorScale>
    </cfRule>
    <cfRule type="colorScale" priority="6">
      <colorScale>
        <cfvo type="min"/>
        <cfvo type="max"/>
        <color rgb="FFFCFCFF"/>
        <color rgb="FF63BE7B"/>
      </colorScale>
    </cfRule>
  </conditionalFormatting>
  <conditionalFormatting sqref="O32">
    <cfRule type="cellIs" dxfId="35" priority="3" operator="lessThan">
      <formula>0</formula>
    </cfRule>
    <cfRule type="cellIs" dxfId="34" priority="4" operator="greaterThan">
      <formula>0</formula>
    </cfRule>
  </conditionalFormatting>
  <conditionalFormatting sqref="O33:O39">
    <cfRule type="cellIs" dxfId="33" priority="1" operator="lessThan">
      <formula>0</formula>
    </cfRule>
    <cfRule type="cellIs" dxfId="32" priority="2" operator="greaterThan">
      <formula>0</formula>
    </cfRule>
  </conditionalFormatting>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4"/>
  <dimension ref="B1:AE370"/>
  <sheetViews>
    <sheetView topLeftCell="A26" zoomScale="140" zoomScaleNormal="140" workbookViewId="0">
      <selection activeCell="Z66" sqref="Z66"/>
    </sheetView>
  </sheetViews>
  <sheetFormatPr baseColWidth="10" defaultColWidth="9.1640625" defaultRowHeight="15" x14ac:dyDescent="0.2"/>
  <cols>
    <col min="1" max="1" width="9.1640625" style="2" customWidth="1"/>
    <col min="2" max="2" width="20.33203125" style="2" customWidth="1"/>
    <col min="3" max="8" width="16.83203125" style="2" customWidth="1"/>
    <col min="9" max="9" width="6.6640625" style="2" customWidth="1"/>
    <col min="10" max="10" width="15" style="2" customWidth="1"/>
    <col min="11" max="14" width="11.33203125" style="2" customWidth="1"/>
    <col min="15" max="15" width="12.83203125" style="2" customWidth="1"/>
    <col min="16" max="16" width="14.6640625" style="2" customWidth="1"/>
    <col min="17" max="17" width="16" style="2" customWidth="1"/>
    <col min="18" max="18" width="17.83203125" style="2" customWidth="1"/>
    <col min="19" max="19" width="13.33203125" style="2" customWidth="1"/>
    <col min="20" max="20" width="9.6640625" style="2" customWidth="1"/>
    <col min="21" max="21" width="9.1640625" style="2" customWidth="1"/>
    <col min="22" max="24" width="1.6640625" style="2" customWidth="1"/>
    <col min="25" max="25" width="9.1640625" style="2" customWidth="1"/>
    <col min="26" max="16384" width="9.1640625" style="2"/>
  </cols>
  <sheetData>
    <row r="1" spans="2:31" ht="16" customHeight="1" thickBot="1" x14ac:dyDescent="0.25"/>
    <row r="2" spans="2:31" ht="16" customHeight="1" thickBot="1" x14ac:dyDescent="0.25">
      <c r="B2" s="5" t="s">
        <v>1518</v>
      </c>
      <c r="G2" s="6" t="s">
        <v>4576</v>
      </c>
      <c r="H2" s="7"/>
    </row>
    <row r="3" spans="2:31" ht="16" customHeight="1" thickBot="1" x14ac:dyDescent="0.25"/>
    <row r="4" spans="2:31" x14ac:dyDescent="0.2">
      <c r="B4" s="8" t="s">
        <v>4479</v>
      </c>
      <c r="C4" s="9">
        <v>46.13</v>
      </c>
      <c r="D4" s="10"/>
      <c r="E4" s="11"/>
      <c r="F4" s="11"/>
      <c r="G4" s="11"/>
      <c r="H4" s="12"/>
      <c r="J4" s="13">
        <v>43682</v>
      </c>
      <c r="K4" s="11" t="s">
        <v>4577</v>
      </c>
      <c r="L4" s="11"/>
      <c r="M4" s="11"/>
      <c r="N4" s="12"/>
    </row>
    <row r="5" spans="2:31" ht="16" customHeight="1" thickBot="1" x14ac:dyDescent="0.25">
      <c r="B5" s="14"/>
      <c r="C5" s="3"/>
      <c r="D5" s="3"/>
      <c r="H5" s="15"/>
      <c r="J5" s="16" t="s">
        <v>4578</v>
      </c>
      <c r="K5" s="17" t="s">
        <v>4579</v>
      </c>
      <c r="L5" s="17"/>
      <c r="M5" s="17"/>
      <c r="N5" s="18"/>
    </row>
    <row r="6" spans="2:31" ht="16" customHeight="1" thickBot="1" x14ac:dyDescent="0.25">
      <c r="B6" s="19" t="s">
        <v>4482</v>
      </c>
      <c r="C6" s="20">
        <v>72.269996643066406</v>
      </c>
      <c r="D6" s="21">
        <v>-0.37332223462410902</v>
      </c>
      <c r="E6" s="22" t="s">
        <v>4483</v>
      </c>
      <c r="F6" s="23" t="s">
        <v>4580</v>
      </c>
      <c r="G6" s="22" t="s">
        <v>4484</v>
      </c>
      <c r="H6" s="24">
        <v>11.553571428571431</v>
      </c>
      <c r="L6" s="25"/>
      <c r="M6" s="26"/>
    </row>
    <row r="7" spans="2:31" x14ac:dyDescent="0.2">
      <c r="B7" s="19" t="s">
        <v>4485</v>
      </c>
      <c r="C7" s="20">
        <v>31.670000076293949</v>
      </c>
      <c r="D7" s="21">
        <v>0.43005999023981939</v>
      </c>
      <c r="E7" s="22" t="s">
        <v>4486</v>
      </c>
      <c r="F7" s="3" t="s">
        <v>4581</v>
      </c>
      <c r="G7" s="22" t="s">
        <v>4487</v>
      </c>
      <c r="H7" s="27">
        <v>0.40100000000000002</v>
      </c>
      <c r="L7" s="28"/>
      <c r="M7" s="26"/>
      <c r="N7" s="136"/>
      <c r="R7" s="8" t="s">
        <v>4488</v>
      </c>
      <c r="S7" s="11"/>
      <c r="T7" s="29"/>
    </row>
    <row r="8" spans="2:31" x14ac:dyDescent="0.2">
      <c r="B8" s="19" t="s">
        <v>4489</v>
      </c>
      <c r="C8" s="30">
        <v>3.5900000000000001E-2</v>
      </c>
      <c r="D8" s="31"/>
      <c r="E8" s="22" t="s">
        <v>2503</v>
      </c>
      <c r="F8" s="3"/>
      <c r="G8" s="22" t="s">
        <v>4490</v>
      </c>
      <c r="H8" s="15" t="s">
        <v>4582</v>
      </c>
      <c r="R8" s="32" t="s">
        <v>4491</v>
      </c>
      <c r="T8" s="33"/>
    </row>
    <row r="9" spans="2:31" x14ac:dyDescent="0.2">
      <c r="B9" s="19" t="s">
        <v>4492</v>
      </c>
      <c r="C9" s="4">
        <v>8629</v>
      </c>
      <c r="D9" s="3"/>
      <c r="E9" s="22" t="s">
        <v>4493</v>
      </c>
      <c r="F9" s="3" t="s">
        <v>4494</v>
      </c>
      <c r="G9" s="22" t="s">
        <v>27</v>
      </c>
      <c r="H9" s="15" t="s">
        <v>115</v>
      </c>
      <c r="R9" s="32" t="s">
        <v>4495</v>
      </c>
      <c r="T9" s="33"/>
    </row>
    <row r="10" spans="2:31" x14ac:dyDescent="0.2">
      <c r="B10" s="19" t="s">
        <v>1283</v>
      </c>
      <c r="C10" s="34">
        <v>8580</v>
      </c>
      <c r="D10" s="4">
        <v>-49</v>
      </c>
      <c r="E10" s="22" t="s">
        <v>4496</v>
      </c>
      <c r="F10" s="31"/>
      <c r="G10" s="22" t="s">
        <v>28</v>
      </c>
      <c r="H10" s="15" t="s">
        <v>4575</v>
      </c>
      <c r="R10" s="32" t="s">
        <v>4497</v>
      </c>
      <c r="T10" s="33"/>
    </row>
    <row r="11" spans="2:31" ht="16" customHeight="1" thickBot="1" x14ac:dyDescent="0.25">
      <c r="B11" s="19" t="s">
        <v>4498</v>
      </c>
      <c r="C11" s="20">
        <v>5.4285714285714288</v>
      </c>
      <c r="D11" s="3"/>
      <c r="E11" s="22" t="s">
        <v>4499</v>
      </c>
      <c r="F11" s="20">
        <v>3.3599998950958252</v>
      </c>
      <c r="G11" s="22" t="s">
        <v>4500</v>
      </c>
      <c r="H11" s="35"/>
      <c r="R11" s="36" t="s">
        <v>4502</v>
      </c>
      <c r="S11" s="17"/>
      <c r="T11" s="37"/>
    </row>
    <row r="12" spans="2:31" ht="15.75" customHeight="1" thickBot="1" x14ac:dyDescent="0.25">
      <c r="B12" s="38" t="s">
        <v>4503</v>
      </c>
      <c r="C12" s="39"/>
      <c r="D12" s="40"/>
      <c r="E12" s="17"/>
      <c r="F12" s="17"/>
      <c r="G12" s="17"/>
      <c r="H12" s="18"/>
    </row>
    <row r="13" spans="2:31" ht="16" customHeight="1" thickBot="1" x14ac:dyDescent="0.25">
      <c r="D13" s="41"/>
      <c r="L13" s="28"/>
      <c r="M13" s="26"/>
    </row>
    <row r="14" spans="2:31" ht="16" customHeight="1" thickBot="1" x14ac:dyDescent="0.25">
      <c r="G14" s="42" t="s">
        <v>4504</v>
      </c>
      <c r="H14" s="43" t="s">
        <v>4505</v>
      </c>
    </row>
    <row r="15" spans="2:31" ht="16" customHeight="1" x14ac:dyDescent="0.2">
      <c r="B15" s="8"/>
      <c r="C15" s="44">
        <v>2017</v>
      </c>
      <c r="D15" s="44">
        <v>2018</v>
      </c>
      <c r="E15" s="44">
        <v>2019</v>
      </c>
      <c r="F15" s="44" t="s">
        <v>4506</v>
      </c>
      <c r="G15" s="44" t="s">
        <v>4507</v>
      </c>
      <c r="H15" s="45" t="s">
        <v>4508</v>
      </c>
      <c r="J15" s="46"/>
      <c r="K15" s="47" t="s">
        <v>4491</v>
      </c>
      <c r="L15" s="47" t="s">
        <v>4495</v>
      </c>
      <c r="M15" s="47" t="s">
        <v>4497</v>
      </c>
      <c r="N15" s="47" t="s">
        <v>4583</v>
      </c>
      <c r="O15" s="48" t="s">
        <v>4509</v>
      </c>
      <c r="AA15" s="2" t="s">
        <v>4479</v>
      </c>
      <c r="AB15" s="2">
        <v>383.3</v>
      </c>
      <c r="AC15" s="2">
        <v>88.27</v>
      </c>
      <c r="AD15" s="2">
        <v>27.19</v>
      </c>
      <c r="AE15" s="2">
        <v>38.64</v>
      </c>
    </row>
    <row r="16" spans="2:31" x14ac:dyDescent="0.2">
      <c r="B16" s="19" t="s">
        <v>4510</v>
      </c>
      <c r="C16" s="4">
        <v>404</v>
      </c>
      <c r="D16" s="4">
        <v>591</v>
      </c>
      <c r="E16" s="4">
        <v>831</v>
      </c>
      <c r="F16" s="4">
        <v>1036</v>
      </c>
      <c r="G16" s="4">
        <v>1260</v>
      </c>
      <c r="H16" s="49">
        <v>1454</v>
      </c>
      <c r="J16" s="19" t="s">
        <v>4492</v>
      </c>
      <c r="K16" s="4">
        <f t="shared" ref="K16:M17" si="0">IF(AB16&lt;&gt;0,AB16,"")</f>
        <v>191403</v>
      </c>
      <c r="L16" s="4">
        <f t="shared" si="0"/>
        <v>35478</v>
      </c>
      <c r="M16" s="4">
        <f t="shared" si="0"/>
        <v>11620</v>
      </c>
      <c r="N16" s="4">
        <v>25040</v>
      </c>
      <c r="O16" s="49">
        <f t="shared" ref="O16:O27" si="1">AVERAGE(K16:N16)</f>
        <v>65885.25</v>
      </c>
      <c r="AA16" s="2" t="s">
        <v>4492</v>
      </c>
      <c r="AB16" s="2">
        <v>191403</v>
      </c>
      <c r="AC16" s="2">
        <v>35478</v>
      </c>
      <c r="AD16" s="2">
        <v>11620</v>
      </c>
      <c r="AE16" s="2" t="s">
        <v>4511</v>
      </c>
    </row>
    <row r="17" spans="2:31" ht="15" customHeight="1" x14ac:dyDescent="0.2">
      <c r="B17" s="19" t="s">
        <v>4512</v>
      </c>
      <c r="C17" s="3"/>
      <c r="D17" s="31">
        <v>0.46287128712871289</v>
      </c>
      <c r="E17" s="31">
        <v>0.40609137055837558</v>
      </c>
      <c r="F17" s="31">
        <v>0.24669073405535499</v>
      </c>
      <c r="G17" s="31">
        <v>0.2162162162162162</v>
      </c>
      <c r="H17" s="50">
        <v>0.153968253968254</v>
      </c>
      <c r="J17" s="19" t="s">
        <v>1283</v>
      </c>
      <c r="K17" s="4">
        <f t="shared" si="0"/>
        <v>192879</v>
      </c>
      <c r="L17" s="4">
        <f t="shared" si="0"/>
        <v>37143</v>
      </c>
      <c r="M17" s="4">
        <f t="shared" si="0"/>
        <v>11760</v>
      </c>
      <c r="N17" s="4">
        <v>23846</v>
      </c>
      <c r="O17" s="49">
        <f t="shared" si="1"/>
        <v>66407</v>
      </c>
      <c r="AA17" s="2" t="s">
        <v>1283</v>
      </c>
      <c r="AB17" s="138">
        <v>192879</v>
      </c>
      <c r="AC17" s="2">
        <v>37143</v>
      </c>
      <c r="AD17" s="2">
        <v>11760</v>
      </c>
      <c r="AE17" s="2" t="s">
        <v>4513</v>
      </c>
    </row>
    <row r="18" spans="2:31" ht="15" customHeight="1" x14ac:dyDescent="0.2">
      <c r="B18" s="19" t="s">
        <v>4514</v>
      </c>
      <c r="C18" s="4" t="s">
        <v>4584</v>
      </c>
      <c r="D18" s="4">
        <v>149</v>
      </c>
      <c r="E18" s="4">
        <v>230</v>
      </c>
      <c r="F18" s="4">
        <v>298</v>
      </c>
      <c r="G18" s="4">
        <v>371</v>
      </c>
      <c r="H18" s="49">
        <v>434</v>
      </c>
      <c r="J18" s="19" t="s">
        <v>4515</v>
      </c>
      <c r="K18" s="51">
        <f>IF(AB15&lt;&gt;0,AB15/AB18,"")</f>
        <v>23.956250000000001</v>
      </c>
      <c r="L18" s="51">
        <v>27.6</v>
      </c>
      <c r="M18" s="51">
        <f>IF(AD15&lt;&gt;0,AD15/AD18,"")</f>
        <v>55.489795918367349</v>
      </c>
      <c r="N18" s="51">
        <v>35.138939670932359</v>
      </c>
      <c r="O18" s="52">
        <f t="shared" si="1"/>
        <v>35.546246397324929</v>
      </c>
      <c r="AA18" s="2" t="s">
        <v>4516</v>
      </c>
      <c r="AB18" s="138">
        <v>16</v>
      </c>
      <c r="AD18" s="2">
        <v>0.49</v>
      </c>
      <c r="AE18" s="2">
        <v>1.54</v>
      </c>
    </row>
    <row r="19" spans="2:31" ht="15" customHeight="1" x14ac:dyDescent="0.2">
      <c r="B19" s="19" t="s">
        <v>4517</v>
      </c>
      <c r="C19" s="53"/>
      <c r="D19" s="53">
        <v>0.25211505922165822</v>
      </c>
      <c r="E19" s="53">
        <v>0.27677496991576411</v>
      </c>
      <c r="F19" s="53">
        <v>0.28764478764478763</v>
      </c>
      <c r="G19" s="53">
        <v>0.29444444444444451</v>
      </c>
      <c r="H19" s="54">
        <v>0.29848693259972492</v>
      </c>
      <c r="J19" s="19" t="s">
        <v>4518</v>
      </c>
      <c r="K19" s="51">
        <v>14.2</v>
      </c>
      <c r="L19" s="51">
        <v>19.100000000000001</v>
      </c>
      <c r="M19" s="51">
        <v>27.7</v>
      </c>
      <c r="N19" s="51">
        <v>24.532921810699591</v>
      </c>
      <c r="O19" s="52">
        <f t="shared" si="1"/>
        <v>21.383230452674898</v>
      </c>
      <c r="AA19" s="2" t="s">
        <v>4519</v>
      </c>
      <c r="AB19" s="2">
        <v>13603</v>
      </c>
      <c r="AC19" s="138" t="s">
        <v>4520</v>
      </c>
      <c r="AD19" s="2">
        <v>425</v>
      </c>
      <c r="AE19" s="2">
        <v>576</v>
      </c>
    </row>
    <row r="20" spans="2:31" ht="15" customHeight="1" x14ac:dyDescent="0.2">
      <c r="B20" s="19" t="s">
        <v>4521</v>
      </c>
      <c r="C20" s="4" t="s">
        <v>4585</v>
      </c>
      <c r="D20" s="4">
        <v>135</v>
      </c>
      <c r="E20" s="4">
        <v>212</v>
      </c>
      <c r="F20" s="4">
        <v>263</v>
      </c>
      <c r="G20" s="4">
        <v>329</v>
      </c>
      <c r="H20" s="49">
        <v>400</v>
      </c>
      <c r="J20" s="19" t="s">
        <v>4522</v>
      </c>
      <c r="K20" s="51">
        <f>IF(AB17&lt;&gt;0,AB17/AB20,"")</f>
        <v>16.931091994382022</v>
      </c>
      <c r="L20" s="51">
        <v>22.7</v>
      </c>
      <c r="M20" s="51">
        <f>IF(AD17&lt;&gt;0,AD17/AD20,"")</f>
        <v>50.256410256410255</v>
      </c>
      <c r="N20" s="51">
        <v>28.48984468339307</v>
      </c>
      <c r="O20" s="52">
        <f t="shared" si="1"/>
        <v>29.594336733546335</v>
      </c>
      <c r="AA20" s="2" t="s">
        <v>4523</v>
      </c>
      <c r="AB20" s="2">
        <v>11392</v>
      </c>
      <c r="AD20" s="2">
        <v>234</v>
      </c>
      <c r="AE20" s="2">
        <v>495</v>
      </c>
    </row>
    <row r="21" spans="2:31" ht="15" customHeight="1" x14ac:dyDescent="0.2">
      <c r="B21" s="19" t="s">
        <v>4524</v>
      </c>
      <c r="C21" s="53" t="e">
        <v>#VALUE!</v>
      </c>
      <c r="D21" s="53">
        <v>0.22842639593908631</v>
      </c>
      <c r="E21" s="53">
        <v>0.25511432009626961</v>
      </c>
      <c r="F21" s="53">
        <v>0.25386100386100391</v>
      </c>
      <c r="G21" s="53">
        <v>0.26111111111111113</v>
      </c>
      <c r="H21" s="54">
        <v>0.27510316368638238</v>
      </c>
      <c r="J21" s="19" t="s">
        <v>4525</v>
      </c>
      <c r="K21" s="51">
        <f>IF(AB17&lt;&gt;0,AB17/AB21,"")</f>
        <v>3.5964087934217153</v>
      </c>
      <c r="L21" s="51">
        <v>3.1</v>
      </c>
      <c r="M21" s="51">
        <f>IF(AD17&lt;&gt;0,AD17/AD21,"")</f>
        <v>2.186686500557828</v>
      </c>
      <c r="N21" s="51">
        <v>6.2407746663177166</v>
      </c>
      <c r="O21" s="52">
        <f t="shared" si="1"/>
        <v>3.7809674900743149</v>
      </c>
      <c r="AA21" s="2" t="s">
        <v>4526</v>
      </c>
      <c r="AB21" s="2">
        <v>53631</v>
      </c>
      <c r="AC21" s="138" t="s">
        <v>4520</v>
      </c>
      <c r="AD21" s="2">
        <v>5378</v>
      </c>
      <c r="AE21" s="2">
        <v>1642</v>
      </c>
    </row>
    <row r="22" spans="2:31" ht="15" customHeight="1" x14ac:dyDescent="0.2">
      <c r="B22" s="19" t="s">
        <v>4527</v>
      </c>
      <c r="C22" s="4">
        <v>21.6</v>
      </c>
      <c r="D22" s="4">
        <v>96.1</v>
      </c>
      <c r="E22" s="4">
        <v>144</v>
      </c>
      <c r="F22" s="4">
        <v>191</v>
      </c>
      <c r="G22" s="4">
        <v>243</v>
      </c>
      <c r="H22" s="49">
        <v>302</v>
      </c>
      <c r="J22" s="19" t="s">
        <v>2479</v>
      </c>
      <c r="K22" s="20">
        <f>IF(AB15&lt;&gt;0,AB15/AB22,"")</f>
        <v>4.6404358353510897</v>
      </c>
      <c r="L22" s="20">
        <f>IF(AC15&lt;&gt;0,AC15/AC22,"")</f>
        <v>6.6871212121212125</v>
      </c>
      <c r="M22" s="20">
        <f>IF(AD15&lt;&gt;0,AD15/AD22,"")</f>
        <v>5.0445269016697596</v>
      </c>
      <c r="N22" s="20">
        <v>12.48116883116883</v>
      </c>
      <c r="O22" s="52">
        <f t="shared" si="1"/>
        <v>7.2133131950777232</v>
      </c>
      <c r="AA22" s="2" t="s">
        <v>4528</v>
      </c>
      <c r="AB22" s="138">
        <v>82.6</v>
      </c>
      <c r="AC22" s="138">
        <v>13.2</v>
      </c>
      <c r="AD22" s="2">
        <v>5.39</v>
      </c>
      <c r="AE22" s="138">
        <v>6.41</v>
      </c>
    </row>
    <row r="23" spans="2:31" ht="15" customHeight="1" x14ac:dyDescent="0.2">
      <c r="B23" s="19" t="s">
        <v>4529</v>
      </c>
      <c r="C23" s="53">
        <v>5.3465346534653471E-2</v>
      </c>
      <c r="D23" s="53">
        <v>0.1626057529610829</v>
      </c>
      <c r="E23" s="53">
        <v>0.1732851985559567</v>
      </c>
      <c r="F23" s="53">
        <v>0.18436293436293441</v>
      </c>
      <c r="G23" s="53">
        <v>0.19285714285714289</v>
      </c>
      <c r="H23" s="54">
        <v>0.2077028885832187</v>
      </c>
      <c r="J23" s="19" t="s">
        <v>4517</v>
      </c>
      <c r="K23" s="21">
        <f>IF(AB19&lt;&gt;0,AB19/AB21,"")</f>
        <v>0.25364061829911805</v>
      </c>
      <c r="L23" s="21">
        <v>0.16500000000000001</v>
      </c>
      <c r="M23" s="21">
        <f>IF(AD19&lt;&gt;0,AD19/AD21,"")</f>
        <v>7.9025660096690223E-2</v>
      </c>
      <c r="N23" s="21">
        <v>0.25438366919654543</v>
      </c>
      <c r="O23" s="55">
        <f t="shared" si="1"/>
        <v>0.18801248689808842</v>
      </c>
      <c r="AA23" s="2" t="s">
        <v>4530</v>
      </c>
      <c r="AB23" s="2">
        <f>IF(AB21&lt;&gt;0,AB19/AB21,"")</f>
        <v>0.25364061829911805</v>
      </c>
      <c r="AC23" s="2" t="e">
        <f>IF(AC21&lt;&gt;0,AC19/AC21,"")</f>
        <v>#VALUE!</v>
      </c>
      <c r="AD23" s="2">
        <f>IF(AD21&lt;&gt;0,AD19/AD21,"")</f>
        <v>7.9025660096690223E-2</v>
      </c>
      <c r="AE23" s="2">
        <f>IF(AE21&lt;&gt;0,AE19/AE21,"")</f>
        <v>0.3507917174177832</v>
      </c>
    </row>
    <row r="24" spans="2:31" ht="15" customHeight="1" x14ac:dyDescent="0.2">
      <c r="B24" s="19"/>
      <c r="C24" s="3"/>
      <c r="D24" s="56">
        <v>3.449074074074074</v>
      </c>
      <c r="E24" s="56">
        <v>0.49843912591050998</v>
      </c>
      <c r="F24" s="56">
        <v>0.3263888888888889</v>
      </c>
      <c r="G24" s="56">
        <v>0.27225130890052363</v>
      </c>
      <c r="H24" s="57">
        <v>0.242798353909465</v>
      </c>
      <c r="J24" s="19" t="s">
        <v>4524</v>
      </c>
      <c r="K24" s="21">
        <f>IF(AB20&lt;&gt;0,AB20/AB21,"")</f>
        <v>0.21241446178516157</v>
      </c>
      <c r="L24" s="21" t="str">
        <f>IF(AC20&lt;&gt;0,AC20/AC21,"")</f>
        <v/>
      </c>
      <c r="M24" s="21">
        <f>IF(AD20&lt;&gt;0,AD20/AD21,"")</f>
        <v>4.3510598735589441E-2</v>
      </c>
      <c r="N24" s="21">
        <v>0.21905260403035851</v>
      </c>
      <c r="O24" s="55">
        <f t="shared" si="1"/>
        <v>0.15832588818370319</v>
      </c>
      <c r="AA24" s="2" t="s">
        <v>4531</v>
      </c>
      <c r="AB24" s="2">
        <f>IF(AB21&lt;&gt;0,AB20/AB21,"")</f>
        <v>0.21241446178516157</v>
      </c>
      <c r="AC24" s="2" t="e">
        <f>IF(AC21&lt;&gt;0,AC20/AC21,"")</f>
        <v>#VALUE!</v>
      </c>
      <c r="AD24" s="2">
        <f>IF(AD21&lt;&gt;0,AD20/AD21,"")</f>
        <v>4.3510598735589441E-2</v>
      </c>
      <c r="AE24" s="2">
        <f>IF(AE21&lt;&gt;0,AE20/AE21,"")</f>
        <v>0.30146163215590743</v>
      </c>
    </row>
    <row r="25" spans="2:31" ht="15" customHeight="1" x14ac:dyDescent="0.2">
      <c r="B25" s="19" t="s">
        <v>4532</v>
      </c>
      <c r="C25" s="3" t="s">
        <v>4586</v>
      </c>
      <c r="D25" s="3" t="s">
        <v>4587</v>
      </c>
      <c r="E25" s="23" t="s">
        <v>4580</v>
      </c>
      <c r="F25" s="3" t="s">
        <v>4581</v>
      </c>
      <c r="G25" s="3" t="s">
        <v>4588</v>
      </c>
      <c r="H25" s="58" t="s">
        <v>4589</v>
      </c>
      <c r="J25" s="19" t="s">
        <v>4539</v>
      </c>
      <c r="K25" s="21">
        <f>IF(AB25&lt;&gt;0,AB25/AB21,"")</f>
        <v>0.15041673658891314</v>
      </c>
      <c r="L25" s="21">
        <v>0.112</v>
      </c>
      <c r="M25" s="21">
        <f>IF(AD25&lt;&gt;0,AD25/AD21,"")</f>
        <v>4.1279285979918187E-2</v>
      </c>
      <c r="N25" s="21">
        <v>0.18581523161476049</v>
      </c>
      <c r="O25" s="55">
        <f t="shared" si="1"/>
        <v>0.12237781354589795</v>
      </c>
      <c r="AA25" s="2" t="s">
        <v>4540</v>
      </c>
      <c r="AB25" s="2">
        <v>8067</v>
      </c>
      <c r="AC25" s="138" t="s">
        <v>4520</v>
      </c>
      <c r="AD25" s="2">
        <v>222</v>
      </c>
      <c r="AE25" s="2">
        <v>390</v>
      </c>
    </row>
    <row r="26" spans="2:31" ht="15" customHeight="1" x14ac:dyDescent="0.2">
      <c r="B26" s="19" t="s">
        <v>4541</v>
      </c>
      <c r="C26" s="3">
        <v>0.16</v>
      </c>
      <c r="D26" s="3">
        <v>0.65</v>
      </c>
      <c r="E26" s="20">
        <v>0.95</v>
      </c>
      <c r="F26" s="3">
        <v>1.28</v>
      </c>
      <c r="G26" s="3">
        <v>1.61</v>
      </c>
      <c r="H26" s="58">
        <v>1.97</v>
      </c>
      <c r="J26" s="19" t="s">
        <v>21</v>
      </c>
      <c r="K26" s="31">
        <f>IF(AB26&lt;&gt;0,AB26/AB15,"")</f>
        <v>1.987998956430994E-2</v>
      </c>
      <c r="L26" s="31">
        <f>IF(AC26&lt;&gt;0,AC26/AC15,"")</f>
        <v>2.4130508666591142E-2</v>
      </c>
      <c r="M26" s="31">
        <v>0</v>
      </c>
      <c r="N26" s="31"/>
      <c r="O26" s="50">
        <f t="shared" si="1"/>
        <v>1.4670166076967028E-2</v>
      </c>
      <c r="AA26" s="2" t="s">
        <v>4542</v>
      </c>
      <c r="AB26" s="2">
        <v>7.62</v>
      </c>
      <c r="AC26" s="2">
        <v>2.13</v>
      </c>
      <c r="AD26" s="2" t="s">
        <v>4494</v>
      </c>
      <c r="AE26" s="2">
        <v>0.52</v>
      </c>
    </row>
    <row r="27" spans="2:31" ht="15" customHeight="1" thickBot="1" x14ac:dyDescent="0.25">
      <c r="B27" s="19" t="s">
        <v>4512</v>
      </c>
      <c r="C27" s="3"/>
      <c r="D27" s="31">
        <v>3.0625</v>
      </c>
      <c r="E27" s="31">
        <v>0.4615384615384614</v>
      </c>
      <c r="F27" s="31">
        <v>0.34736842105263172</v>
      </c>
      <c r="G27" s="31">
        <v>0.25781250000000011</v>
      </c>
      <c r="H27" s="50">
        <v>0.22360248447204961</v>
      </c>
      <c r="J27" s="38" t="s">
        <v>4487</v>
      </c>
      <c r="K27" s="40">
        <f>IF(AB27&lt;&gt;0,AB27,"")</f>
        <v>0.21</v>
      </c>
      <c r="L27" s="40">
        <f>IF(AC27&lt;&gt;0,AC27,"")</f>
        <v>0.29399999999999998</v>
      </c>
      <c r="M27" s="40">
        <f>IF(AD27&lt;&gt;0,AD27,"")</f>
        <v>7.3400000000000007E-2</v>
      </c>
      <c r="N27" s="40">
        <v>0.39400000000000002</v>
      </c>
      <c r="O27" s="59">
        <f t="shared" si="1"/>
        <v>0.24285000000000001</v>
      </c>
      <c r="AA27" s="2" t="s">
        <v>4487</v>
      </c>
      <c r="AB27" s="60">
        <v>0.21</v>
      </c>
      <c r="AC27" s="26">
        <v>0.29399999999999998</v>
      </c>
      <c r="AD27" s="26">
        <v>7.3400000000000007E-2</v>
      </c>
      <c r="AE27" s="26">
        <v>0.29499999999999998</v>
      </c>
    </row>
    <row r="28" spans="2:31" ht="15" customHeight="1" x14ac:dyDescent="0.2">
      <c r="B28" s="19" t="s">
        <v>4518</v>
      </c>
      <c r="C28" s="51"/>
      <c r="D28" s="51">
        <v>57.583892617449663</v>
      </c>
      <c r="E28" s="51">
        <v>37.304347826086953</v>
      </c>
      <c r="F28" s="51">
        <v>28.791946308724832</v>
      </c>
      <c r="G28" s="51">
        <v>23.1266846361186</v>
      </c>
      <c r="H28" s="52">
        <v>19.769585253456221</v>
      </c>
    </row>
    <row r="29" spans="2:31" ht="15" customHeight="1" x14ac:dyDescent="0.2">
      <c r="B29" s="19" t="s">
        <v>4522</v>
      </c>
      <c r="C29" s="51" t="e">
        <v>#VALUE!</v>
      </c>
      <c r="D29" s="51">
        <v>63.555555555555557</v>
      </c>
      <c r="E29" s="51">
        <v>40.471698113207538</v>
      </c>
      <c r="F29" s="51">
        <v>32.623574144486689</v>
      </c>
      <c r="G29" s="51">
        <v>26.079027355623101</v>
      </c>
      <c r="H29" s="52">
        <v>21.45</v>
      </c>
    </row>
    <row r="30" spans="2:31" ht="15" customHeight="1" thickBot="1" x14ac:dyDescent="0.25">
      <c r="B30" s="38" t="s">
        <v>4525</v>
      </c>
      <c r="C30" s="61">
        <v>21.237623762376241</v>
      </c>
      <c r="D30" s="61">
        <v>14.517766497461929</v>
      </c>
      <c r="E30" s="61">
        <v>10.32490974729242</v>
      </c>
      <c r="F30" s="61">
        <v>8.281853281853282</v>
      </c>
      <c r="G30" s="61">
        <v>6.8095238095238093</v>
      </c>
      <c r="H30" s="62">
        <v>5.9009628610729026</v>
      </c>
      <c r="J30" s="136" t="s">
        <v>4543</v>
      </c>
    </row>
    <row r="31" spans="2:31" ht="16" customHeight="1" thickBot="1" x14ac:dyDescent="0.25">
      <c r="J31" s="46"/>
      <c r="K31" s="63"/>
      <c r="L31" s="44" t="s">
        <v>4544</v>
      </c>
      <c r="M31" s="44" t="s">
        <v>4545</v>
      </c>
      <c r="N31" s="44" t="s">
        <v>4546</v>
      </c>
      <c r="O31" s="48" t="s">
        <v>4547</v>
      </c>
    </row>
    <row r="32" spans="2:31" x14ac:dyDescent="0.2">
      <c r="B32" s="8" t="s">
        <v>4548</v>
      </c>
      <c r="C32" s="64">
        <v>130</v>
      </c>
      <c r="D32" s="65">
        <v>41.8</v>
      </c>
      <c r="E32" s="65">
        <v>56.6</v>
      </c>
      <c r="F32" s="65"/>
      <c r="G32" s="65"/>
      <c r="H32" s="66"/>
      <c r="J32" s="19" t="s">
        <v>4549</v>
      </c>
      <c r="K32" s="22" t="s">
        <v>4510</v>
      </c>
      <c r="L32" s="4">
        <v>156.77000000000001</v>
      </c>
      <c r="M32" s="4">
        <v>156.19999999999999</v>
      </c>
      <c r="N32" s="4">
        <v>0.57999999999999996</v>
      </c>
      <c r="O32" s="67">
        <v>0.37</v>
      </c>
    </row>
    <row r="33" spans="2:15" x14ac:dyDescent="0.2">
      <c r="B33" s="19" t="s">
        <v>4514</v>
      </c>
      <c r="C33" s="4">
        <v>81</v>
      </c>
      <c r="D33" s="4">
        <v>149</v>
      </c>
      <c r="E33" s="4">
        <v>230</v>
      </c>
      <c r="F33" s="4">
        <v>298</v>
      </c>
      <c r="G33" s="4">
        <v>371</v>
      </c>
      <c r="H33" s="49">
        <v>434</v>
      </c>
      <c r="J33" s="19"/>
      <c r="K33" s="22" t="s">
        <v>4550</v>
      </c>
      <c r="L33" s="3">
        <v>0.06</v>
      </c>
      <c r="M33" s="3">
        <v>0.09</v>
      </c>
      <c r="N33" s="3">
        <v>0.03</v>
      </c>
      <c r="O33" s="67">
        <v>63.04</v>
      </c>
    </row>
    <row r="34" spans="2:15" x14ac:dyDescent="0.2">
      <c r="B34" s="19" t="s">
        <v>4551</v>
      </c>
      <c r="C34" s="20">
        <v>1.6049382716049381</v>
      </c>
      <c r="D34" s="20">
        <v>0.28053691275167791</v>
      </c>
      <c r="E34" s="20">
        <v>0.24608695652173909</v>
      </c>
      <c r="F34" s="20"/>
      <c r="G34" s="20"/>
      <c r="H34" s="24"/>
      <c r="J34" s="19" t="s">
        <v>4552</v>
      </c>
      <c r="K34" s="22" t="s">
        <v>4510</v>
      </c>
      <c r="L34" s="4">
        <v>358.44</v>
      </c>
      <c r="M34" s="4">
        <v>399.3</v>
      </c>
      <c r="N34" s="4">
        <v>40.86</v>
      </c>
      <c r="O34" s="67">
        <v>11.4</v>
      </c>
    </row>
    <row r="35" spans="2:15" x14ac:dyDescent="0.2">
      <c r="B35" s="19" t="s">
        <v>4553</v>
      </c>
      <c r="C35" s="68">
        <v>0.28999999999999998</v>
      </c>
      <c r="D35" s="68">
        <v>0.86</v>
      </c>
      <c r="E35" s="68">
        <v>0.49</v>
      </c>
      <c r="F35" s="68">
        <v>1.31</v>
      </c>
      <c r="G35" s="68">
        <v>1.7</v>
      </c>
      <c r="H35" s="69">
        <v>2.2000000000000002</v>
      </c>
      <c r="J35" s="19"/>
      <c r="K35" s="22" t="s">
        <v>4550</v>
      </c>
      <c r="L35" s="3">
        <v>0.81</v>
      </c>
      <c r="M35" s="3">
        <v>0.96</v>
      </c>
      <c r="N35" s="3">
        <v>0.15</v>
      </c>
      <c r="O35" s="67">
        <v>18.149999999999999</v>
      </c>
    </row>
    <row r="36" spans="2:15" ht="16" customHeight="1" thickBot="1" x14ac:dyDescent="0.25">
      <c r="B36" s="38" t="s">
        <v>22</v>
      </c>
      <c r="C36" s="70">
        <v>1.08</v>
      </c>
      <c r="D36" s="70">
        <v>1.66</v>
      </c>
      <c r="E36" s="70">
        <v>2.7</v>
      </c>
      <c r="F36" s="70">
        <v>3.92</v>
      </c>
      <c r="G36" s="70">
        <v>5.46</v>
      </c>
      <c r="H36" s="71">
        <v>8.02</v>
      </c>
      <c r="J36" s="19" t="s">
        <v>4554</v>
      </c>
      <c r="K36" s="22" t="s">
        <v>4510</v>
      </c>
      <c r="L36" s="4">
        <v>199.64</v>
      </c>
      <c r="M36" s="4">
        <v>230.3</v>
      </c>
      <c r="N36" s="4">
        <v>30.66</v>
      </c>
      <c r="O36" s="67">
        <v>15.36</v>
      </c>
    </row>
    <row r="37" spans="2:15" ht="16" customHeight="1" thickBot="1" x14ac:dyDescent="0.25">
      <c r="J37" s="19"/>
      <c r="K37" s="22" t="s">
        <v>4550</v>
      </c>
      <c r="L37" s="3">
        <v>0.26</v>
      </c>
      <c r="M37" s="3">
        <v>0.46</v>
      </c>
      <c r="N37" s="3">
        <v>0.2</v>
      </c>
      <c r="O37" s="67">
        <v>76.180000000000007</v>
      </c>
    </row>
    <row r="38" spans="2:15" x14ac:dyDescent="0.2">
      <c r="B38" s="8" t="s">
        <v>4555</v>
      </c>
      <c r="C38" s="72">
        <v>334183</v>
      </c>
      <c r="F38" s="8" t="s">
        <v>4556</v>
      </c>
      <c r="G38" s="73">
        <v>39.130000000000003</v>
      </c>
      <c r="H38" s="74">
        <v>0.17889087656529509</v>
      </c>
      <c r="J38" s="19" t="s">
        <v>4557</v>
      </c>
      <c r="K38" s="22" t="s">
        <v>4510</v>
      </c>
      <c r="L38" s="4">
        <v>36.24</v>
      </c>
      <c r="M38" s="4">
        <v>44.7</v>
      </c>
      <c r="N38" s="4">
        <v>8.4600000000000009</v>
      </c>
      <c r="O38" s="67">
        <v>23.33</v>
      </c>
    </row>
    <row r="39" spans="2:15" ht="16" customHeight="1" thickBot="1" x14ac:dyDescent="0.25">
      <c r="B39" s="19" t="s">
        <v>4558</v>
      </c>
      <c r="C39" s="49" t="s">
        <v>4590</v>
      </c>
      <c r="F39" s="38" t="s">
        <v>4560</v>
      </c>
      <c r="G39" s="75">
        <v>47.38</v>
      </c>
      <c r="H39" s="76">
        <v>-2.6382439848037141E-2</v>
      </c>
      <c r="J39" s="38"/>
      <c r="K39" s="77" t="s">
        <v>4550</v>
      </c>
      <c r="L39" s="78">
        <v>-0.21</v>
      </c>
      <c r="M39" s="78">
        <v>-0.16</v>
      </c>
      <c r="N39" s="78">
        <v>0.05</v>
      </c>
      <c r="O39" s="79">
        <v>-23.41</v>
      </c>
    </row>
    <row r="40" spans="2:15" ht="16" customHeight="1" thickBot="1" x14ac:dyDescent="0.25">
      <c r="B40" s="38" t="s">
        <v>4561</v>
      </c>
      <c r="C40" s="80" t="s">
        <v>4591</v>
      </c>
    </row>
    <row r="41" spans="2:15" x14ac:dyDescent="0.2">
      <c r="F41" s="8" t="s">
        <v>4563</v>
      </c>
      <c r="G41" s="11"/>
      <c r="H41" s="81"/>
    </row>
    <row r="42" spans="2:15" ht="16" customHeight="1" thickBot="1" x14ac:dyDescent="0.25">
      <c r="F42" s="38" t="s">
        <v>4565</v>
      </c>
      <c r="G42" s="17"/>
      <c r="H42" s="18"/>
    </row>
    <row r="43" spans="2:15" ht="19.5" customHeight="1" thickBot="1" x14ac:dyDescent="0.25"/>
    <row r="44" spans="2:15" ht="18" customHeight="1" x14ac:dyDescent="0.2">
      <c r="B44" s="8" t="s">
        <v>4566</v>
      </c>
      <c r="C44" s="82" t="s">
        <v>4571</v>
      </c>
      <c r="D44" s="29">
        <v>0.38400000000000001</v>
      </c>
      <c r="F44" s="8" t="s">
        <v>4568</v>
      </c>
      <c r="G44" s="82" t="s">
        <v>4592</v>
      </c>
      <c r="H44" s="29">
        <v>0.71499999999999997</v>
      </c>
      <c r="J44" s="149"/>
      <c r="K44" s="150"/>
      <c r="L44" s="150"/>
      <c r="M44" s="150"/>
      <c r="N44" s="150"/>
      <c r="O44" s="151"/>
    </row>
    <row r="45" spans="2:15" x14ac:dyDescent="0.2">
      <c r="B45" s="83"/>
      <c r="C45" s="84" t="s">
        <v>4567</v>
      </c>
      <c r="D45" s="85">
        <v>0.32700000000000001</v>
      </c>
      <c r="F45" s="83"/>
      <c r="G45" s="84" t="s">
        <v>4593</v>
      </c>
      <c r="H45" s="85">
        <v>0.28499999999999998</v>
      </c>
      <c r="J45" s="152"/>
      <c r="K45" s="143"/>
      <c r="L45" s="143"/>
      <c r="M45" s="143"/>
      <c r="N45" s="143"/>
      <c r="O45" s="153"/>
    </row>
    <row r="46" spans="2:15" ht="16" customHeight="1" x14ac:dyDescent="0.2">
      <c r="B46" s="83"/>
      <c r="C46" s="86" t="s">
        <v>4594</v>
      </c>
      <c r="D46" s="85">
        <v>0.28899999999999998</v>
      </c>
      <c r="F46" s="83"/>
      <c r="G46" s="86"/>
      <c r="H46" s="85"/>
      <c r="J46" s="152"/>
      <c r="K46" s="143"/>
      <c r="L46" s="143"/>
      <c r="M46" s="143"/>
      <c r="N46" s="143"/>
      <c r="O46" s="153"/>
    </row>
    <row r="47" spans="2:15" ht="25.5" customHeight="1" thickBot="1" x14ac:dyDescent="0.25">
      <c r="B47" s="87"/>
      <c r="C47" s="88"/>
      <c r="D47" s="89"/>
      <c r="F47" s="87"/>
      <c r="G47" s="90"/>
      <c r="H47" s="89"/>
      <c r="J47" s="154"/>
      <c r="K47" s="144"/>
      <c r="L47" s="144"/>
      <c r="M47" s="144"/>
      <c r="N47" s="144"/>
      <c r="O47" s="155"/>
    </row>
    <row r="53" spans="2:9" ht="16" customHeight="1" thickBot="1" x14ac:dyDescent="0.25"/>
    <row r="54" spans="2:9" x14ac:dyDescent="0.2">
      <c r="B54" s="8" t="s">
        <v>4479</v>
      </c>
      <c r="C54" s="9">
        <v>192.21</v>
      </c>
      <c r="D54" s="10"/>
      <c r="E54" s="11"/>
      <c r="F54" s="11"/>
      <c r="G54" s="11"/>
      <c r="H54" s="11"/>
      <c r="I54" s="12"/>
    </row>
    <row r="55" spans="2:9" x14ac:dyDescent="0.2">
      <c r="B55" s="14"/>
      <c r="C55" s="3"/>
      <c r="D55" s="3"/>
      <c r="I55" s="15"/>
    </row>
    <row r="56" spans="2:9" x14ac:dyDescent="0.2">
      <c r="B56" s="19" t="s">
        <v>4482</v>
      </c>
      <c r="C56" s="20">
        <v>216.25999450683591</v>
      </c>
      <c r="D56" s="21">
        <v>-0.1112087076561713</v>
      </c>
      <c r="E56" s="22" t="s">
        <v>4483</v>
      </c>
      <c r="F56" s="23" t="s">
        <v>4535</v>
      </c>
      <c r="G56" s="22" t="s">
        <v>4484</v>
      </c>
      <c r="H56" s="20">
        <v>15.626829268292679</v>
      </c>
      <c r="I56" s="15"/>
    </row>
    <row r="57" spans="2:9" x14ac:dyDescent="0.2">
      <c r="B57" s="19" t="s">
        <v>4485</v>
      </c>
      <c r="C57" s="20">
        <v>153.1300048828125</v>
      </c>
      <c r="D57" s="21">
        <v>0.25520795318392819</v>
      </c>
      <c r="E57" s="22" t="s">
        <v>4486</v>
      </c>
      <c r="F57" s="3" t="s">
        <v>4536</v>
      </c>
      <c r="G57" s="22" t="s">
        <v>4487</v>
      </c>
      <c r="H57" s="30">
        <v>0.39400000000000002</v>
      </c>
      <c r="I57" s="15"/>
    </row>
    <row r="58" spans="2:9" x14ac:dyDescent="0.2">
      <c r="B58" s="19" t="s">
        <v>4489</v>
      </c>
      <c r="C58" s="30">
        <v>0.58050000000000002</v>
      </c>
      <c r="D58" s="31"/>
      <c r="E58" s="22" t="s">
        <v>2503</v>
      </c>
      <c r="F58" s="3"/>
      <c r="G58" s="22" t="s">
        <v>4490</v>
      </c>
      <c r="H58" s="2" t="s">
        <v>4574</v>
      </c>
      <c r="I58" s="15"/>
    </row>
    <row r="59" spans="2:9" x14ac:dyDescent="0.2">
      <c r="B59" s="19" t="s">
        <v>4492</v>
      </c>
      <c r="C59" s="4">
        <v>25040</v>
      </c>
      <c r="D59" s="3"/>
      <c r="E59" s="22" t="s">
        <v>4493</v>
      </c>
      <c r="F59" s="3" t="s">
        <v>4494</v>
      </c>
      <c r="G59" s="22" t="s">
        <v>27</v>
      </c>
      <c r="H59" s="2" t="s">
        <v>115</v>
      </c>
      <c r="I59" s="15"/>
    </row>
    <row r="60" spans="2:9" x14ac:dyDescent="0.2">
      <c r="B60" s="19" t="s">
        <v>1283</v>
      </c>
      <c r="C60" s="34">
        <v>23846</v>
      </c>
      <c r="D60" s="4">
        <v>-1194</v>
      </c>
      <c r="E60" s="22" t="s">
        <v>4496</v>
      </c>
      <c r="F60" s="31"/>
      <c r="G60" s="22" t="s">
        <v>28</v>
      </c>
      <c r="H60" s="2" t="s">
        <v>4575</v>
      </c>
      <c r="I60" s="15"/>
    </row>
    <row r="61" spans="2:9" ht="16" customHeight="1" thickBot="1" x14ac:dyDescent="0.25">
      <c r="B61" s="38" t="s">
        <v>4498</v>
      </c>
      <c r="C61" s="91">
        <v>1.4650000333786011</v>
      </c>
      <c r="D61" s="78"/>
      <c r="E61" s="77" t="s">
        <v>4499</v>
      </c>
      <c r="F61" s="91">
        <v>1.2599999904632571</v>
      </c>
      <c r="G61" s="77" t="s">
        <v>4500</v>
      </c>
      <c r="H61" s="92" t="s">
        <v>4501</v>
      </c>
      <c r="I61" s="18"/>
    </row>
    <row r="370" spans="8:8" x14ac:dyDescent="0.2">
      <c r="H370" s="2">
        <v>36.79</v>
      </c>
    </row>
  </sheetData>
  <mergeCells count="1">
    <mergeCell ref="J44:O47"/>
  </mergeCells>
  <conditionalFormatting sqref="D17:H17">
    <cfRule type="colorScale" priority="7">
      <colorScale>
        <cfvo type="min"/>
        <cfvo type="percentile" val="50"/>
        <cfvo type="max"/>
        <color rgb="FFF8696B"/>
        <color rgb="FFFFEB84"/>
        <color rgb="FF63BE7B"/>
      </colorScale>
    </cfRule>
    <cfRule type="colorScale" priority="8">
      <colorScale>
        <cfvo type="min"/>
        <cfvo type="max"/>
        <color rgb="FFFCFCFF"/>
        <color rgb="FF63BE7B"/>
      </colorScale>
    </cfRule>
  </conditionalFormatting>
  <conditionalFormatting sqref="D27:H27">
    <cfRule type="colorScale" priority="5">
      <colorScale>
        <cfvo type="min"/>
        <cfvo type="percentile" val="50"/>
        <cfvo type="max"/>
        <color rgb="FFF8696B"/>
        <color rgb="FFFFEB84"/>
        <color rgb="FF63BE7B"/>
      </colorScale>
    </cfRule>
    <cfRule type="colorScale" priority="6">
      <colorScale>
        <cfvo type="min"/>
        <cfvo type="max"/>
        <color rgb="FFFCFCFF"/>
        <color rgb="FF63BE7B"/>
      </colorScale>
    </cfRule>
  </conditionalFormatting>
  <conditionalFormatting sqref="O32">
    <cfRule type="cellIs" dxfId="31" priority="3" operator="lessThan">
      <formula>0</formula>
    </cfRule>
    <cfRule type="cellIs" dxfId="30" priority="4" operator="greaterThan">
      <formula>0</formula>
    </cfRule>
  </conditionalFormatting>
  <conditionalFormatting sqref="O33:O39">
    <cfRule type="cellIs" dxfId="29" priority="1" operator="lessThan">
      <formula>0</formula>
    </cfRule>
    <cfRule type="cellIs" dxfId="28" priority="2" operator="greaterThan">
      <formula>0</formula>
    </cfRule>
  </conditionalFormatting>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5"/>
  <dimension ref="B1:AE370"/>
  <sheetViews>
    <sheetView workbookViewId="0">
      <selection activeCell="C21" sqref="C21"/>
    </sheetView>
  </sheetViews>
  <sheetFormatPr baseColWidth="10" defaultColWidth="9.1640625" defaultRowHeight="15" x14ac:dyDescent="0.2"/>
  <cols>
    <col min="1" max="1" width="9.1640625" style="2" customWidth="1"/>
    <col min="2" max="2" width="20.33203125" style="2" customWidth="1"/>
    <col min="3" max="8" width="16.83203125" style="2" customWidth="1"/>
    <col min="9" max="9" width="6.6640625" style="2" customWidth="1"/>
    <col min="10" max="10" width="15" style="2" customWidth="1"/>
    <col min="11" max="14" width="11.33203125" style="2" customWidth="1"/>
    <col min="15" max="15" width="12.83203125" style="2" customWidth="1"/>
    <col min="16" max="16" width="14.6640625" style="2" customWidth="1"/>
    <col min="17" max="17" width="16" style="2" customWidth="1"/>
    <col min="18" max="18" width="17.83203125" style="2" customWidth="1"/>
    <col min="19" max="19" width="13.33203125" style="2" customWidth="1"/>
    <col min="20" max="20" width="9.6640625" style="2" customWidth="1"/>
    <col min="21" max="21" width="9.1640625" style="2" customWidth="1"/>
    <col min="22" max="24" width="1.6640625" style="2" customWidth="1"/>
    <col min="25" max="25" width="9.1640625" style="2" customWidth="1"/>
    <col min="26" max="16384" width="9.1640625" style="2"/>
  </cols>
  <sheetData>
    <row r="1" spans="2:31" ht="16" customHeight="1" thickBot="1" x14ac:dyDescent="0.25"/>
    <row r="2" spans="2:31" ht="16" customHeight="1" thickBot="1" x14ac:dyDescent="0.25">
      <c r="B2" s="93" t="s">
        <v>2694</v>
      </c>
      <c r="G2" s="6" t="s">
        <v>4595</v>
      </c>
      <c r="H2" s="7"/>
    </row>
    <row r="3" spans="2:31" ht="16" customHeight="1" thickBot="1" x14ac:dyDescent="0.25"/>
    <row r="4" spans="2:31" x14ac:dyDescent="0.2">
      <c r="B4" s="8" t="s">
        <v>4479</v>
      </c>
      <c r="C4" s="9">
        <v>110.89</v>
      </c>
      <c r="D4" s="10"/>
      <c r="E4" s="11"/>
      <c r="F4" s="11"/>
      <c r="G4" s="11"/>
      <c r="H4" s="12"/>
      <c r="J4" s="13">
        <v>43682</v>
      </c>
      <c r="K4" s="11" t="s">
        <v>4577</v>
      </c>
      <c r="L4" s="11"/>
      <c r="M4" s="11"/>
      <c r="N4" s="12"/>
    </row>
    <row r="5" spans="2:31" ht="16" customHeight="1" thickBot="1" x14ac:dyDescent="0.25">
      <c r="B5" s="14"/>
      <c r="C5" s="3"/>
      <c r="D5" s="3"/>
      <c r="H5" s="15"/>
      <c r="J5" s="16" t="s">
        <v>4578</v>
      </c>
      <c r="K5" s="17" t="s">
        <v>4579</v>
      </c>
      <c r="L5" s="17"/>
      <c r="M5" s="17"/>
      <c r="N5" s="18"/>
    </row>
    <row r="6" spans="2:31" ht="16" customHeight="1" thickBot="1" x14ac:dyDescent="0.25">
      <c r="B6" s="19" t="s">
        <v>4482</v>
      </c>
      <c r="C6" s="20">
        <v>147.78999328613281</v>
      </c>
      <c r="D6" s="21">
        <v>-0.24967856392476839</v>
      </c>
      <c r="E6" s="22" t="s">
        <v>4483</v>
      </c>
      <c r="F6" s="23" t="s">
        <v>4596</v>
      </c>
      <c r="G6" s="22" t="s">
        <v>4484</v>
      </c>
      <c r="H6" s="24">
        <v>2.6915048543689322</v>
      </c>
      <c r="L6" s="25"/>
      <c r="M6" s="26"/>
    </row>
    <row r="7" spans="2:31" x14ac:dyDescent="0.2">
      <c r="B7" s="19" t="s">
        <v>4485</v>
      </c>
      <c r="C7" s="20">
        <v>95.629997253417969</v>
      </c>
      <c r="D7" s="21">
        <v>0.15957338894555509</v>
      </c>
      <c r="E7" s="22" t="s">
        <v>4486</v>
      </c>
      <c r="F7" s="3" t="s">
        <v>4597</v>
      </c>
      <c r="G7" s="22" t="s">
        <v>4487</v>
      </c>
      <c r="H7" s="27">
        <v>0.188</v>
      </c>
      <c r="L7" s="28"/>
      <c r="M7" s="26"/>
      <c r="N7" s="136"/>
      <c r="R7" s="8" t="s">
        <v>4488</v>
      </c>
      <c r="S7" s="11"/>
      <c r="T7" s="29"/>
    </row>
    <row r="8" spans="2:31" x14ac:dyDescent="0.2">
      <c r="B8" s="19" t="s">
        <v>4489</v>
      </c>
      <c r="C8" s="30">
        <v>6.0600000000000001E-2</v>
      </c>
      <c r="D8" s="31"/>
      <c r="E8" s="22" t="s">
        <v>2503</v>
      </c>
      <c r="F8" s="3"/>
      <c r="G8" s="22" t="s">
        <v>4490</v>
      </c>
      <c r="H8" s="15" t="s">
        <v>4582</v>
      </c>
      <c r="R8" s="32" t="s">
        <v>4491</v>
      </c>
      <c r="T8" s="33"/>
    </row>
    <row r="9" spans="2:31" x14ac:dyDescent="0.2">
      <c r="B9" s="19" t="s">
        <v>4492</v>
      </c>
      <c r="C9" s="4">
        <v>8480</v>
      </c>
      <c r="D9" s="3"/>
      <c r="E9" s="22" t="s">
        <v>4493</v>
      </c>
      <c r="F9" s="3">
        <v>3</v>
      </c>
      <c r="G9" s="22" t="s">
        <v>27</v>
      </c>
      <c r="H9" s="15" t="s">
        <v>115</v>
      </c>
      <c r="R9" s="32" t="s">
        <v>4495</v>
      </c>
      <c r="T9" s="33"/>
    </row>
    <row r="10" spans="2:31" x14ac:dyDescent="0.2">
      <c r="B10" s="19" t="s">
        <v>1283</v>
      </c>
      <c r="C10" s="34">
        <v>7467</v>
      </c>
      <c r="D10" s="4">
        <v>-1013</v>
      </c>
      <c r="E10" s="22" t="s">
        <v>4496</v>
      </c>
      <c r="F10" s="31">
        <v>2.7053837135900441E-2</v>
      </c>
      <c r="G10" s="22" t="s">
        <v>28</v>
      </c>
      <c r="H10" s="15" t="s">
        <v>4575</v>
      </c>
      <c r="R10" s="32" t="s">
        <v>4497</v>
      </c>
      <c r="T10" s="33"/>
    </row>
    <row r="11" spans="2:31" ht="16" customHeight="1" thickBot="1" x14ac:dyDescent="0.25">
      <c r="B11" s="19" t="s">
        <v>4498</v>
      </c>
      <c r="C11" s="20">
        <v>4.743119190802993</v>
      </c>
      <c r="D11" s="3"/>
      <c r="E11" s="22" t="s">
        <v>4499</v>
      </c>
      <c r="F11" s="20">
        <v>1.190000057220459</v>
      </c>
      <c r="G11" s="22" t="s">
        <v>4500</v>
      </c>
      <c r="H11" s="35"/>
      <c r="R11" s="36" t="s">
        <v>4502</v>
      </c>
      <c r="S11" s="17"/>
      <c r="T11" s="37"/>
    </row>
    <row r="12" spans="2:31" ht="15.75" customHeight="1" thickBot="1" x14ac:dyDescent="0.25">
      <c r="B12" s="38" t="s">
        <v>4503</v>
      </c>
      <c r="C12" s="39" t="s">
        <v>4598</v>
      </c>
      <c r="D12" s="40"/>
      <c r="E12" s="17"/>
      <c r="F12" s="17"/>
      <c r="G12" s="17"/>
      <c r="H12" s="18"/>
    </row>
    <row r="13" spans="2:31" ht="16" customHeight="1" thickBot="1" x14ac:dyDescent="0.25">
      <c r="D13" s="41"/>
      <c r="L13" s="28"/>
      <c r="M13" s="26"/>
    </row>
    <row r="14" spans="2:31" ht="16" customHeight="1" thickBot="1" x14ac:dyDescent="0.25">
      <c r="G14" s="42" t="s">
        <v>4504</v>
      </c>
      <c r="H14" s="43" t="s">
        <v>4505</v>
      </c>
    </row>
    <row r="15" spans="2:31" ht="16" customHeight="1" x14ac:dyDescent="0.2">
      <c r="B15" s="8"/>
      <c r="C15" s="44">
        <v>2017</v>
      </c>
      <c r="D15" s="44">
        <v>2018</v>
      </c>
      <c r="E15" s="44">
        <v>2019</v>
      </c>
      <c r="F15" s="44" t="s">
        <v>4506</v>
      </c>
      <c r="G15" s="44" t="s">
        <v>4507</v>
      </c>
      <c r="H15" s="45" t="s">
        <v>4508</v>
      </c>
      <c r="J15" s="46"/>
      <c r="K15" s="47" t="s">
        <v>4491</v>
      </c>
      <c r="L15" s="47" t="s">
        <v>4495</v>
      </c>
      <c r="M15" s="47" t="s">
        <v>4497</v>
      </c>
      <c r="N15" s="47" t="s">
        <v>4583</v>
      </c>
      <c r="O15" s="48" t="s">
        <v>4509</v>
      </c>
      <c r="AA15" s="2" t="s">
        <v>4479</v>
      </c>
      <c r="AB15" s="2">
        <v>383.3</v>
      </c>
      <c r="AC15" s="2">
        <v>88.27</v>
      </c>
      <c r="AD15" s="2">
        <v>27.19</v>
      </c>
      <c r="AE15" s="2">
        <v>38.64</v>
      </c>
    </row>
    <row r="16" spans="2:31" x14ac:dyDescent="0.2">
      <c r="B16" s="19" t="s">
        <v>4510</v>
      </c>
      <c r="C16" s="4">
        <v>6653</v>
      </c>
      <c r="D16" s="4">
        <v>6182</v>
      </c>
      <c r="E16" s="4">
        <v>6313</v>
      </c>
      <c r="F16" s="4">
        <v>6445</v>
      </c>
      <c r="G16" s="4">
        <v>6637</v>
      </c>
      <c r="H16" s="49">
        <v>6890</v>
      </c>
      <c r="J16" s="19" t="s">
        <v>4492</v>
      </c>
      <c r="K16" s="4">
        <f t="shared" ref="K16:M17" si="0">IF(AB16&lt;&gt;0,AB16,"")</f>
        <v>191403</v>
      </c>
      <c r="L16" s="4">
        <f t="shared" si="0"/>
        <v>35478</v>
      </c>
      <c r="M16" s="4">
        <f t="shared" si="0"/>
        <v>11620</v>
      </c>
      <c r="N16" s="4">
        <v>25040</v>
      </c>
      <c r="O16" s="49">
        <f t="shared" ref="O16:O27" si="1">AVERAGE(K16:N16)</f>
        <v>65885.25</v>
      </c>
      <c r="AA16" s="2" t="s">
        <v>4492</v>
      </c>
      <c r="AB16" s="2">
        <v>191403</v>
      </c>
      <c r="AC16" s="2">
        <v>35478</v>
      </c>
      <c r="AD16" s="2">
        <v>11620</v>
      </c>
      <c r="AE16" s="2" t="s">
        <v>4511</v>
      </c>
    </row>
    <row r="17" spans="2:31" ht="15" customHeight="1" x14ac:dyDescent="0.2">
      <c r="B17" s="19" t="s">
        <v>4512</v>
      </c>
      <c r="C17" s="3"/>
      <c r="D17" s="31">
        <v>-7.0795130016533897E-2</v>
      </c>
      <c r="E17" s="31">
        <v>2.1190553219022971E-2</v>
      </c>
      <c r="F17" s="31">
        <v>2.0909234912086169E-2</v>
      </c>
      <c r="G17" s="31">
        <v>2.9790535298681149E-2</v>
      </c>
      <c r="H17" s="50">
        <v>3.8119632364019891E-2</v>
      </c>
      <c r="J17" s="19" t="s">
        <v>1283</v>
      </c>
      <c r="K17" s="4">
        <f t="shared" si="0"/>
        <v>192879</v>
      </c>
      <c r="L17" s="4">
        <f t="shared" si="0"/>
        <v>37143</v>
      </c>
      <c r="M17" s="4">
        <f t="shared" si="0"/>
        <v>11760</v>
      </c>
      <c r="N17" s="4">
        <v>23846</v>
      </c>
      <c r="O17" s="49">
        <f t="shared" si="1"/>
        <v>66407</v>
      </c>
      <c r="AA17" s="2" t="s">
        <v>1283</v>
      </c>
      <c r="AB17" s="138">
        <v>192879</v>
      </c>
      <c r="AC17" s="2">
        <v>37143</v>
      </c>
      <c r="AD17" s="2">
        <v>11760</v>
      </c>
      <c r="AE17" s="2" t="s">
        <v>4513</v>
      </c>
    </row>
    <row r="18" spans="2:31" ht="15" customHeight="1" x14ac:dyDescent="0.2">
      <c r="B18" s="19" t="s">
        <v>4514</v>
      </c>
      <c r="C18" s="4">
        <v>983</v>
      </c>
      <c r="D18" s="4">
        <v>959</v>
      </c>
      <c r="E18" s="4">
        <v>1006</v>
      </c>
      <c r="F18" s="4">
        <v>1041</v>
      </c>
      <c r="G18" s="4">
        <v>1104</v>
      </c>
      <c r="H18" s="49">
        <v>1181</v>
      </c>
      <c r="J18" s="19" t="s">
        <v>4515</v>
      </c>
      <c r="K18" s="51">
        <f>IF(AB15&lt;&gt;0,AB15/AB18,"")</f>
        <v>23.956250000000001</v>
      </c>
      <c r="L18" s="51">
        <v>27.6</v>
      </c>
      <c r="M18" s="51">
        <f>IF(AD15&lt;&gt;0,AD15/AD18,"")</f>
        <v>55.489795918367349</v>
      </c>
      <c r="N18" s="51">
        <v>35.138939670932359</v>
      </c>
      <c r="O18" s="52">
        <f t="shared" si="1"/>
        <v>35.546246397324929</v>
      </c>
      <c r="AA18" s="2" t="s">
        <v>4516</v>
      </c>
      <c r="AB18" s="138">
        <v>16</v>
      </c>
      <c r="AD18" s="2">
        <v>0.49</v>
      </c>
      <c r="AE18" s="2">
        <v>1.54</v>
      </c>
    </row>
    <row r="19" spans="2:31" ht="15" customHeight="1" x14ac:dyDescent="0.2">
      <c r="B19" s="19" t="s">
        <v>4517</v>
      </c>
      <c r="C19" s="53">
        <v>0.14775289343153461</v>
      </c>
      <c r="D19" s="53">
        <v>0.15512779035910709</v>
      </c>
      <c r="E19" s="53">
        <v>0.1593537145572628</v>
      </c>
      <c r="F19" s="53">
        <v>0.16152055857253689</v>
      </c>
      <c r="G19" s="53">
        <v>0.16634021395208681</v>
      </c>
      <c r="H19" s="54">
        <v>0.17140783744557331</v>
      </c>
      <c r="J19" s="19" t="s">
        <v>4518</v>
      </c>
      <c r="K19" s="51">
        <v>14.2</v>
      </c>
      <c r="L19" s="51">
        <v>19.100000000000001</v>
      </c>
      <c r="M19" s="51">
        <v>27.7</v>
      </c>
      <c r="N19" s="51">
        <v>24.532921810699591</v>
      </c>
      <c r="O19" s="52">
        <f t="shared" si="1"/>
        <v>21.383230452674898</v>
      </c>
      <c r="AA19" s="2" t="s">
        <v>4519</v>
      </c>
      <c r="AB19" s="2">
        <v>13603</v>
      </c>
      <c r="AC19" s="138" t="s">
        <v>4520</v>
      </c>
      <c r="AD19" s="2">
        <v>425</v>
      </c>
      <c r="AE19" s="2">
        <v>576</v>
      </c>
    </row>
    <row r="20" spans="2:31" ht="15" customHeight="1" x14ac:dyDescent="0.2">
      <c r="B20" s="19" t="s">
        <v>4521</v>
      </c>
      <c r="C20" s="4">
        <v>676</v>
      </c>
      <c r="D20" s="4">
        <v>664</v>
      </c>
      <c r="E20" s="4">
        <v>725</v>
      </c>
      <c r="F20" s="4">
        <v>766</v>
      </c>
      <c r="G20" s="4">
        <v>825</v>
      </c>
      <c r="H20" s="49">
        <v>902</v>
      </c>
      <c r="J20" s="19" t="s">
        <v>4522</v>
      </c>
      <c r="K20" s="51">
        <f>IF(AB17&lt;&gt;0,AB17/AB20,"")</f>
        <v>16.931091994382022</v>
      </c>
      <c r="L20" s="51">
        <v>22.7</v>
      </c>
      <c r="M20" s="51">
        <f>IF(AD17&lt;&gt;0,AD17/AD20,"")</f>
        <v>50.256410256410255</v>
      </c>
      <c r="N20" s="51">
        <v>28.48984468339307</v>
      </c>
      <c r="O20" s="52">
        <f t="shared" si="1"/>
        <v>29.594336733546335</v>
      </c>
      <c r="AA20" s="2" t="s">
        <v>4523</v>
      </c>
      <c r="AB20" s="2">
        <v>11392</v>
      </c>
      <c r="AD20" s="2">
        <v>234</v>
      </c>
      <c r="AE20" s="2">
        <v>495</v>
      </c>
    </row>
    <row r="21" spans="2:31" ht="15" customHeight="1" x14ac:dyDescent="0.2">
      <c r="B21" s="19" t="s">
        <v>4524</v>
      </c>
      <c r="C21" s="53">
        <v>0.1016082970088682</v>
      </c>
      <c r="D21" s="53">
        <v>0.1074086056292462</v>
      </c>
      <c r="E21" s="53">
        <v>0.1148423887216854</v>
      </c>
      <c r="F21" s="53">
        <v>0.1188518231186967</v>
      </c>
      <c r="G21" s="53">
        <v>0.12430314901310829</v>
      </c>
      <c r="H21" s="54">
        <v>0.13091436865021769</v>
      </c>
      <c r="J21" s="19" t="s">
        <v>4525</v>
      </c>
      <c r="K21" s="51">
        <f>IF(AB17&lt;&gt;0,AB17/AB21,"")</f>
        <v>3.5964087934217153</v>
      </c>
      <c r="L21" s="51">
        <v>3.1</v>
      </c>
      <c r="M21" s="51">
        <f>IF(AD17&lt;&gt;0,AD17/AD21,"")</f>
        <v>2.186686500557828</v>
      </c>
      <c r="N21" s="51">
        <v>6.2407746663177166</v>
      </c>
      <c r="O21" s="52">
        <f t="shared" si="1"/>
        <v>3.7809674900743149</v>
      </c>
      <c r="AA21" s="2" t="s">
        <v>4526</v>
      </c>
      <c r="AB21" s="2">
        <v>53631</v>
      </c>
      <c r="AC21" s="138" t="s">
        <v>4520</v>
      </c>
      <c r="AD21" s="2">
        <v>5378</v>
      </c>
      <c r="AE21" s="2">
        <v>1642</v>
      </c>
    </row>
    <row r="22" spans="2:31" ht="15" customHeight="1" x14ac:dyDescent="0.2">
      <c r="B22" s="19" t="s">
        <v>4527</v>
      </c>
      <c r="C22" s="4">
        <v>-99.3</v>
      </c>
      <c r="D22" s="4">
        <v>163</v>
      </c>
      <c r="E22" s="4">
        <v>431</v>
      </c>
      <c r="F22" s="4">
        <v>600</v>
      </c>
      <c r="G22" s="4">
        <v>640</v>
      </c>
      <c r="H22" s="49">
        <v>698</v>
      </c>
      <c r="J22" s="19" t="s">
        <v>2479</v>
      </c>
      <c r="K22" s="20">
        <f>IF(AB15&lt;&gt;0,AB15/AB22,"")</f>
        <v>4.6404358353510897</v>
      </c>
      <c r="L22" s="20">
        <f>IF(AC15&lt;&gt;0,AC15/AC22,"")</f>
        <v>6.6871212121212125</v>
      </c>
      <c r="M22" s="20">
        <f>IF(AD15&lt;&gt;0,AD15/AD22,"")</f>
        <v>5.0445269016697596</v>
      </c>
      <c r="N22" s="20">
        <v>12.48116883116883</v>
      </c>
      <c r="O22" s="52">
        <f t="shared" si="1"/>
        <v>7.2133131950777232</v>
      </c>
      <c r="AA22" s="2" t="s">
        <v>4528</v>
      </c>
      <c r="AB22" s="138">
        <v>82.6</v>
      </c>
      <c r="AC22" s="138">
        <v>13.2</v>
      </c>
      <c r="AD22" s="2">
        <v>5.39</v>
      </c>
      <c r="AE22" s="138">
        <v>6.41</v>
      </c>
    </row>
    <row r="23" spans="2:31" ht="15" customHeight="1" x14ac:dyDescent="0.2">
      <c r="B23" s="19" t="s">
        <v>4529</v>
      </c>
      <c r="C23" s="53">
        <v>-1.4925597474823389E-2</v>
      </c>
      <c r="D23" s="53">
        <v>2.6366871562601101E-2</v>
      </c>
      <c r="E23" s="53">
        <v>6.8271820053857124E-2</v>
      </c>
      <c r="F23" s="53">
        <v>9.3095422808378583E-2</v>
      </c>
      <c r="G23" s="53">
        <v>9.6429109537441618E-2</v>
      </c>
      <c r="H23" s="54">
        <v>0.10130624092888239</v>
      </c>
      <c r="J23" s="19" t="s">
        <v>4517</v>
      </c>
      <c r="K23" s="21">
        <f>IF(AB19&lt;&gt;0,AB19/AB21,"")</f>
        <v>0.25364061829911805</v>
      </c>
      <c r="L23" s="21">
        <v>0.16500000000000001</v>
      </c>
      <c r="M23" s="21">
        <f>IF(AD19&lt;&gt;0,AD19/AD21,"")</f>
        <v>7.9025660096690223E-2</v>
      </c>
      <c r="N23" s="21">
        <v>0.25438366919654543</v>
      </c>
      <c r="O23" s="55">
        <f t="shared" si="1"/>
        <v>0.18801248689808842</v>
      </c>
      <c r="AA23" s="2" t="s">
        <v>4530</v>
      </c>
      <c r="AB23" s="2">
        <f>IF(AB21&lt;&gt;0,AB19/AB21,"")</f>
        <v>0.25364061829911805</v>
      </c>
      <c r="AC23" s="2" t="e">
        <f>IF(AC21&lt;&gt;0,AC19/AC21,"")</f>
        <v>#VALUE!</v>
      </c>
      <c r="AD23" s="2">
        <f>IF(AD21&lt;&gt;0,AD19/AD21,"")</f>
        <v>7.9025660096690223E-2</v>
      </c>
      <c r="AE23" s="2">
        <f>IF(AE21&lt;&gt;0,AE19/AE21,"")</f>
        <v>0.3507917174177832</v>
      </c>
    </row>
    <row r="24" spans="2:31" ht="15" customHeight="1" x14ac:dyDescent="0.2">
      <c r="B24" s="19"/>
      <c r="C24" s="3"/>
      <c r="D24" s="56">
        <v>-2.641490433031219</v>
      </c>
      <c r="E24" s="56">
        <v>1.6441717791411039</v>
      </c>
      <c r="F24" s="56">
        <v>0.39211136890951281</v>
      </c>
      <c r="G24" s="56">
        <v>6.6666666666666666E-2</v>
      </c>
      <c r="H24" s="57">
        <v>9.0624999999999997E-2</v>
      </c>
      <c r="J24" s="19" t="s">
        <v>4524</v>
      </c>
      <c r="K24" s="21">
        <f>IF(AB20&lt;&gt;0,AB20/AB21,"")</f>
        <v>0.21241446178516157</v>
      </c>
      <c r="L24" s="21" t="str">
        <f>IF(AC20&lt;&gt;0,AC20/AC21,"")</f>
        <v/>
      </c>
      <c r="M24" s="21">
        <f>IF(AD20&lt;&gt;0,AD20/AD21,"")</f>
        <v>4.3510598735589441E-2</v>
      </c>
      <c r="N24" s="21">
        <v>0.21905260403035851</v>
      </c>
      <c r="O24" s="55">
        <f t="shared" si="1"/>
        <v>0.15832588818370319</v>
      </c>
      <c r="AA24" s="2" t="s">
        <v>4531</v>
      </c>
      <c r="AB24" s="2">
        <f>IF(AB21&lt;&gt;0,AB20/AB21,"")</f>
        <v>0.21241446178516157</v>
      </c>
      <c r="AC24" s="2" t="e">
        <f>IF(AC21&lt;&gt;0,AC20/AC21,"")</f>
        <v>#VALUE!</v>
      </c>
      <c r="AD24" s="2">
        <f>IF(AD21&lt;&gt;0,AD20/AD21,"")</f>
        <v>4.3510598735589441E-2</v>
      </c>
      <c r="AE24" s="2">
        <f>IF(AE21&lt;&gt;0,AE20/AE21,"")</f>
        <v>0.30146163215590743</v>
      </c>
    </row>
    <row r="25" spans="2:31" ht="15" customHeight="1" x14ac:dyDescent="0.2">
      <c r="B25" s="19" t="s">
        <v>4532</v>
      </c>
      <c r="C25" s="3" t="s">
        <v>4599</v>
      </c>
      <c r="D25" s="3" t="s">
        <v>4600</v>
      </c>
      <c r="E25" s="23" t="s">
        <v>4596</v>
      </c>
      <c r="F25" s="3" t="s">
        <v>4597</v>
      </c>
      <c r="G25" s="3" t="s">
        <v>4601</v>
      </c>
      <c r="H25" s="58" t="s">
        <v>4602</v>
      </c>
      <c r="J25" s="19" t="s">
        <v>4539</v>
      </c>
      <c r="K25" s="21">
        <f>IF(AB25&lt;&gt;0,AB25/AB21,"")</f>
        <v>0.15041673658891314</v>
      </c>
      <c r="L25" s="21">
        <v>0.112</v>
      </c>
      <c r="M25" s="21">
        <f>IF(AD25&lt;&gt;0,AD25/AD21,"")</f>
        <v>4.1279285979918187E-2</v>
      </c>
      <c r="N25" s="21">
        <v>0.18581523161476049</v>
      </c>
      <c r="O25" s="55">
        <f t="shared" si="1"/>
        <v>0.12237781354589795</v>
      </c>
      <c r="AA25" s="2" t="s">
        <v>4540</v>
      </c>
      <c r="AB25" s="2">
        <v>8067</v>
      </c>
      <c r="AC25" s="138" t="s">
        <v>4520</v>
      </c>
      <c r="AD25" s="2">
        <v>222</v>
      </c>
      <c r="AE25" s="2">
        <v>390</v>
      </c>
    </row>
    <row r="26" spans="2:31" ht="15" customHeight="1" x14ac:dyDescent="0.2">
      <c r="B26" s="19" t="s">
        <v>4541</v>
      </c>
      <c r="C26" s="3">
        <v>-1.2</v>
      </c>
      <c r="D26" s="3">
        <v>1.97</v>
      </c>
      <c r="E26" s="20">
        <v>5.27</v>
      </c>
      <c r="F26" s="3">
        <v>7.59</v>
      </c>
      <c r="G26" s="3">
        <v>8.5399999999999991</v>
      </c>
      <c r="H26" s="58">
        <v>9.36</v>
      </c>
      <c r="J26" s="19" t="s">
        <v>21</v>
      </c>
      <c r="K26" s="31">
        <f>IF(AB26&lt;&gt;0,AB26/AB15,"")</f>
        <v>1.987998956430994E-2</v>
      </c>
      <c r="L26" s="31">
        <f>IF(AC26&lt;&gt;0,AC26/AC15,"")</f>
        <v>2.4130508666591142E-2</v>
      </c>
      <c r="M26" s="31">
        <v>0</v>
      </c>
      <c r="N26" s="31"/>
      <c r="O26" s="50">
        <f t="shared" si="1"/>
        <v>1.4670166076967028E-2</v>
      </c>
      <c r="AA26" s="2" t="s">
        <v>4542</v>
      </c>
      <c r="AB26" s="2">
        <v>7.62</v>
      </c>
      <c r="AC26" s="2">
        <v>2.13</v>
      </c>
      <c r="AD26" s="2" t="s">
        <v>4494</v>
      </c>
      <c r="AE26" s="2">
        <v>0.52</v>
      </c>
    </row>
    <row r="27" spans="2:31" ht="15" customHeight="1" thickBot="1" x14ac:dyDescent="0.25">
      <c r="B27" s="19" t="s">
        <v>4512</v>
      </c>
      <c r="C27" s="3"/>
      <c r="D27" s="31">
        <v>2.6416666666666671</v>
      </c>
      <c r="E27" s="31">
        <v>1.675126903553299</v>
      </c>
      <c r="F27" s="31">
        <v>0.44022770398481981</v>
      </c>
      <c r="G27" s="31">
        <v>0.12516469038208161</v>
      </c>
      <c r="H27" s="50">
        <v>9.6018735362997695E-2</v>
      </c>
      <c r="J27" s="38" t="s">
        <v>4487</v>
      </c>
      <c r="K27" s="40">
        <f>IF(AB27&lt;&gt;0,AB27,"")</f>
        <v>0.21</v>
      </c>
      <c r="L27" s="40">
        <f>IF(AC27&lt;&gt;0,AC27,"")</f>
        <v>0.29399999999999998</v>
      </c>
      <c r="M27" s="40">
        <f>IF(AD27&lt;&gt;0,AD27,"")</f>
        <v>7.3400000000000007E-2</v>
      </c>
      <c r="N27" s="40">
        <v>0.39400000000000002</v>
      </c>
      <c r="O27" s="59">
        <f t="shared" si="1"/>
        <v>0.24285000000000001</v>
      </c>
      <c r="AA27" s="2" t="s">
        <v>4487</v>
      </c>
      <c r="AB27" s="60">
        <v>0.21</v>
      </c>
      <c r="AC27" s="26">
        <v>0.29399999999999998</v>
      </c>
      <c r="AD27" s="26">
        <v>7.3400000000000007E-2</v>
      </c>
      <c r="AE27" s="26">
        <v>0.29499999999999998</v>
      </c>
    </row>
    <row r="28" spans="2:31" ht="15" customHeight="1" x14ac:dyDescent="0.2">
      <c r="B28" s="19" t="s">
        <v>4518</v>
      </c>
      <c r="C28" s="51">
        <v>7.5961342828077312</v>
      </c>
      <c r="D28" s="51">
        <v>7.7862356621480711</v>
      </c>
      <c r="E28" s="51">
        <v>7.4224652087475151</v>
      </c>
      <c r="F28" s="51">
        <v>7.1729106628242079</v>
      </c>
      <c r="G28" s="51">
        <v>6.7635869565217392</v>
      </c>
      <c r="H28" s="52">
        <v>6.3226079593564766</v>
      </c>
    </row>
    <row r="29" spans="2:31" ht="15" customHeight="1" x14ac:dyDescent="0.2">
      <c r="B29" s="19" t="s">
        <v>4522</v>
      </c>
      <c r="C29" s="51">
        <v>11.045857988165681</v>
      </c>
      <c r="D29" s="51">
        <v>11.24548192771084</v>
      </c>
      <c r="E29" s="51">
        <v>10.299310344827591</v>
      </c>
      <c r="F29" s="51">
        <v>9.7480417754569189</v>
      </c>
      <c r="G29" s="51">
        <v>9.0509090909090908</v>
      </c>
      <c r="H29" s="52">
        <v>8.2782705099778262</v>
      </c>
    </row>
    <row r="30" spans="2:31" ht="15" customHeight="1" thickBot="1" x14ac:dyDescent="0.25">
      <c r="B30" s="38" t="s">
        <v>4525</v>
      </c>
      <c r="C30" s="61">
        <v>1.1223508191793179</v>
      </c>
      <c r="D30" s="61">
        <v>1.207861533484309</v>
      </c>
      <c r="E30" s="61">
        <v>1.182797402185966</v>
      </c>
      <c r="F30" s="61">
        <v>1.158572536850272</v>
      </c>
      <c r="G30" s="61">
        <v>1.12505650143137</v>
      </c>
      <c r="H30" s="62">
        <v>1.0837445573294631</v>
      </c>
      <c r="J30" s="136" t="s">
        <v>4543</v>
      </c>
    </row>
    <row r="31" spans="2:31" ht="16" customHeight="1" thickBot="1" x14ac:dyDescent="0.25">
      <c r="J31" s="46"/>
      <c r="K31" s="63"/>
      <c r="L31" s="44" t="s">
        <v>4544</v>
      </c>
      <c r="M31" s="44" t="s">
        <v>4545</v>
      </c>
      <c r="N31" s="44" t="s">
        <v>4546</v>
      </c>
      <c r="O31" s="48" t="s">
        <v>4547</v>
      </c>
    </row>
    <row r="32" spans="2:31" x14ac:dyDescent="0.2">
      <c r="B32" s="8" t="s">
        <v>4548</v>
      </c>
      <c r="C32" s="64"/>
      <c r="D32" s="65"/>
      <c r="E32" s="65"/>
      <c r="F32" s="65"/>
      <c r="G32" s="65"/>
      <c r="H32" s="66"/>
      <c r="J32" s="19" t="s">
        <v>4549</v>
      </c>
      <c r="K32" s="22" t="s">
        <v>4510</v>
      </c>
      <c r="L32" s="4">
        <v>1474.56</v>
      </c>
      <c r="M32" s="4">
        <v>1505.7</v>
      </c>
      <c r="N32" s="4">
        <v>31.14</v>
      </c>
      <c r="O32" s="67">
        <v>2.11</v>
      </c>
    </row>
    <row r="33" spans="2:15" x14ac:dyDescent="0.2">
      <c r="B33" s="19" t="s">
        <v>4514</v>
      </c>
      <c r="C33" s="4">
        <v>81</v>
      </c>
      <c r="D33" s="4">
        <v>149</v>
      </c>
      <c r="E33" s="4">
        <v>1006</v>
      </c>
      <c r="F33" s="4">
        <v>1041</v>
      </c>
      <c r="G33" s="4">
        <v>1104</v>
      </c>
      <c r="H33" s="49">
        <v>1181</v>
      </c>
      <c r="J33" s="19"/>
      <c r="K33" s="22" t="s">
        <v>4550</v>
      </c>
      <c r="L33" s="3">
        <v>0.9</v>
      </c>
      <c r="M33" s="3">
        <v>1.07</v>
      </c>
      <c r="N33" s="3">
        <v>0.17</v>
      </c>
      <c r="O33" s="67">
        <v>19.38</v>
      </c>
    </row>
    <row r="34" spans="2:15" x14ac:dyDescent="0.2">
      <c r="B34" s="19" t="s">
        <v>4551</v>
      </c>
      <c r="C34" s="20"/>
      <c r="D34" s="20"/>
      <c r="E34" s="20"/>
      <c r="F34" s="20"/>
      <c r="G34" s="20"/>
      <c r="H34" s="24"/>
      <c r="J34" s="19" t="s">
        <v>4552</v>
      </c>
      <c r="K34" s="22" t="s">
        <v>4510</v>
      </c>
      <c r="L34" s="4">
        <v>1658.41</v>
      </c>
      <c r="M34" s="4">
        <v>1725.8</v>
      </c>
      <c r="N34" s="4">
        <v>67.39</v>
      </c>
      <c r="O34" s="67">
        <v>4.0599999999999996</v>
      </c>
    </row>
    <row r="35" spans="2:15" x14ac:dyDescent="0.2">
      <c r="B35" s="19" t="s">
        <v>4553</v>
      </c>
      <c r="C35" s="68">
        <v>11.5</v>
      </c>
      <c r="D35" s="68">
        <v>11.8</v>
      </c>
      <c r="E35" s="68">
        <v>9.59</v>
      </c>
      <c r="F35" s="68">
        <v>11.7</v>
      </c>
      <c r="G35" s="68">
        <v>12.8</v>
      </c>
      <c r="H35" s="69">
        <v>12.7</v>
      </c>
      <c r="J35" s="19"/>
      <c r="K35" s="22" t="s">
        <v>4550</v>
      </c>
      <c r="L35" s="3">
        <v>2.15</v>
      </c>
      <c r="M35" s="3">
        <v>2.3199999999999998</v>
      </c>
      <c r="N35" s="3">
        <v>0.17</v>
      </c>
      <c r="O35" s="67">
        <v>8.09</v>
      </c>
    </row>
    <row r="36" spans="2:15" ht="16" customHeight="1" thickBot="1" x14ac:dyDescent="0.25">
      <c r="B36" s="38" t="s">
        <v>22</v>
      </c>
      <c r="C36" s="70">
        <v>39.9</v>
      </c>
      <c r="D36" s="70">
        <v>41.9</v>
      </c>
      <c r="E36" s="70">
        <v>40.200000000000003</v>
      </c>
      <c r="F36" s="70">
        <v>41.2</v>
      </c>
      <c r="G36" s="70">
        <v>42.9</v>
      </c>
      <c r="H36" s="71">
        <v>43.3</v>
      </c>
      <c r="J36" s="19" t="s">
        <v>4554</v>
      </c>
      <c r="K36" s="22" t="s">
        <v>4510</v>
      </c>
      <c r="L36" s="4">
        <v>1651.72</v>
      </c>
      <c r="M36" s="4">
        <v>1690.9</v>
      </c>
      <c r="N36" s="4">
        <v>39.18</v>
      </c>
      <c r="O36" s="67">
        <v>2.37</v>
      </c>
    </row>
    <row r="37" spans="2:15" ht="16" customHeight="1" thickBot="1" x14ac:dyDescent="0.25">
      <c r="J37" s="19"/>
      <c r="K37" s="22" t="s">
        <v>4550</v>
      </c>
      <c r="L37" s="3">
        <v>2.16</v>
      </c>
      <c r="M37" s="3">
        <v>2.2599999999999998</v>
      </c>
      <c r="N37" s="3">
        <v>0.1</v>
      </c>
      <c r="O37" s="67">
        <v>4.82</v>
      </c>
    </row>
    <row r="38" spans="2:15" x14ac:dyDescent="0.2">
      <c r="B38" s="8" t="s">
        <v>4555</v>
      </c>
      <c r="C38" s="72">
        <v>245252</v>
      </c>
      <c r="F38" s="8" t="s">
        <v>4556</v>
      </c>
      <c r="G38" s="73">
        <v>112.13</v>
      </c>
      <c r="H38" s="74">
        <v>-1.1058592704896061E-2</v>
      </c>
      <c r="J38" s="19" t="s">
        <v>4557</v>
      </c>
      <c r="K38" s="22" t="s">
        <v>4510</v>
      </c>
      <c r="L38" s="4">
        <v>1360.82</v>
      </c>
      <c r="M38" s="4">
        <v>1390.6</v>
      </c>
      <c r="N38" s="4">
        <v>29.78</v>
      </c>
      <c r="O38" s="67">
        <v>2.19</v>
      </c>
    </row>
    <row r="39" spans="2:15" ht="16" customHeight="1" thickBot="1" x14ac:dyDescent="0.25">
      <c r="B39" s="19" t="s">
        <v>4558</v>
      </c>
      <c r="C39" s="49" t="s">
        <v>4603</v>
      </c>
      <c r="F39" s="38" t="s">
        <v>4560</v>
      </c>
      <c r="G39" s="75">
        <v>118.72</v>
      </c>
      <c r="H39" s="76">
        <v>-6.5953504043126665E-2</v>
      </c>
      <c r="J39" s="38"/>
      <c r="K39" s="77" t="s">
        <v>4550</v>
      </c>
      <c r="L39" s="78">
        <v>1.36</v>
      </c>
      <c r="M39" s="78">
        <v>1.54</v>
      </c>
      <c r="N39" s="78">
        <v>0.18</v>
      </c>
      <c r="O39" s="79">
        <v>12.86</v>
      </c>
    </row>
    <row r="40" spans="2:15" ht="16" customHeight="1" thickBot="1" x14ac:dyDescent="0.25">
      <c r="B40" s="38" t="s">
        <v>4561</v>
      </c>
      <c r="C40" s="80" t="s">
        <v>4604</v>
      </c>
    </row>
    <row r="41" spans="2:15" ht="16" customHeight="1" x14ac:dyDescent="0.2">
      <c r="F41" s="8" t="s">
        <v>4563</v>
      </c>
      <c r="G41" s="11"/>
      <c r="H41" s="81" t="s">
        <v>4605</v>
      </c>
    </row>
    <row r="42" spans="2:15" ht="16" customHeight="1" thickBot="1" x14ac:dyDescent="0.25">
      <c r="F42" s="38" t="s">
        <v>4565</v>
      </c>
      <c r="G42" s="17"/>
      <c r="H42" s="18" t="s">
        <v>4606</v>
      </c>
    </row>
    <row r="43" spans="2:15" ht="19.5" customHeight="1" thickBot="1" x14ac:dyDescent="0.25"/>
    <row r="44" spans="2:15" ht="18" customHeight="1" x14ac:dyDescent="0.2">
      <c r="B44" s="8" t="s">
        <v>4566</v>
      </c>
      <c r="C44" s="82" t="s">
        <v>4567</v>
      </c>
      <c r="D44" s="29">
        <v>0.6</v>
      </c>
      <c r="F44" s="8" t="s">
        <v>4568</v>
      </c>
      <c r="G44" s="82" t="s">
        <v>4607</v>
      </c>
      <c r="H44" s="29">
        <v>0.56999999999999995</v>
      </c>
      <c r="J44" s="149"/>
      <c r="K44" s="150"/>
      <c r="L44" s="150"/>
      <c r="M44" s="150"/>
      <c r="N44" s="150"/>
      <c r="O44" s="151"/>
    </row>
    <row r="45" spans="2:15" x14ac:dyDescent="0.2">
      <c r="B45" s="83"/>
      <c r="C45" s="84" t="s">
        <v>4608</v>
      </c>
      <c r="D45" s="85">
        <v>0.23400000000000001</v>
      </c>
      <c r="F45" s="83"/>
      <c r="G45" s="84" t="s">
        <v>4608</v>
      </c>
      <c r="H45" s="85">
        <v>0.23200000000000001</v>
      </c>
      <c r="J45" s="152"/>
      <c r="K45" s="143"/>
      <c r="L45" s="143"/>
      <c r="M45" s="143"/>
      <c r="N45" s="143"/>
      <c r="O45" s="153"/>
    </row>
    <row r="46" spans="2:15" ht="16" customHeight="1" x14ac:dyDescent="0.2">
      <c r="B46" s="83"/>
      <c r="C46" s="86" t="s">
        <v>4609</v>
      </c>
      <c r="D46" s="85">
        <v>0.13300000000000001</v>
      </c>
      <c r="F46" s="83"/>
      <c r="G46" s="86" t="s">
        <v>4609</v>
      </c>
      <c r="H46" s="85">
        <v>0.13300000000000001</v>
      </c>
      <c r="J46" s="152"/>
      <c r="K46" s="143"/>
      <c r="L46" s="143"/>
      <c r="M46" s="143"/>
      <c r="N46" s="143"/>
      <c r="O46" s="153"/>
    </row>
    <row r="47" spans="2:15" ht="25.5" customHeight="1" thickBot="1" x14ac:dyDescent="0.25">
      <c r="B47" s="87"/>
      <c r="C47" s="88" t="s">
        <v>4610</v>
      </c>
      <c r="D47" s="89">
        <v>3.4000000000000002E-2</v>
      </c>
      <c r="F47" s="87"/>
      <c r="G47" s="90" t="s">
        <v>4611</v>
      </c>
      <c r="H47" s="89">
        <v>6.5000000000000002E-2</v>
      </c>
      <c r="J47" s="154"/>
      <c r="K47" s="144"/>
      <c r="L47" s="144"/>
      <c r="M47" s="144"/>
      <c r="N47" s="144"/>
      <c r="O47" s="155"/>
    </row>
    <row r="53" spans="2:9" ht="16" customHeight="1" thickBot="1" x14ac:dyDescent="0.25"/>
    <row r="54" spans="2:9" x14ac:dyDescent="0.2">
      <c r="B54" s="8" t="s">
        <v>4479</v>
      </c>
      <c r="C54" s="9">
        <v>192.21</v>
      </c>
      <c r="D54" s="10"/>
      <c r="E54" s="11"/>
      <c r="F54" s="11"/>
      <c r="G54" s="11"/>
      <c r="H54" s="11"/>
      <c r="I54" s="12"/>
    </row>
    <row r="55" spans="2:9" x14ac:dyDescent="0.2">
      <c r="B55" s="14"/>
      <c r="C55" s="3"/>
      <c r="D55" s="3"/>
      <c r="I55" s="15"/>
    </row>
    <row r="56" spans="2:9" x14ac:dyDescent="0.2">
      <c r="B56" s="19" t="s">
        <v>4482</v>
      </c>
      <c r="C56" s="20">
        <v>216.25999450683591</v>
      </c>
      <c r="D56" s="21">
        <v>-0.1112087076561713</v>
      </c>
      <c r="E56" s="22" t="s">
        <v>4483</v>
      </c>
      <c r="F56" s="23" t="s">
        <v>4535</v>
      </c>
      <c r="G56" s="22" t="s">
        <v>4484</v>
      </c>
      <c r="H56" s="20">
        <v>15.626829268292679</v>
      </c>
      <c r="I56" s="15"/>
    </row>
    <row r="57" spans="2:9" x14ac:dyDescent="0.2">
      <c r="B57" s="19" t="s">
        <v>4485</v>
      </c>
      <c r="C57" s="20">
        <v>153.1300048828125</v>
      </c>
      <c r="D57" s="21">
        <v>0.25520795318392819</v>
      </c>
      <c r="E57" s="22" t="s">
        <v>4486</v>
      </c>
      <c r="F57" s="3" t="s">
        <v>4536</v>
      </c>
      <c r="G57" s="22" t="s">
        <v>4487</v>
      </c>
      <c r="H57" s="30">
        <v>0.39400000000000002</v>
      </c>
      <c r="I57" s="15"/>
    </row>
    <row r="58" spans="2:9" x14ac:dyDescent="0.2">
      <c r="B58" s="19" t="s">
        <v>4489</v>
      </c>
      <c r="C58" s="30">
        <v>0.58050000000000002</v>
      </c>
      <c r="D58" s="31"/>
      <c r="E58" s="22" t="s">
        <v>2503</v>
      </c>
      <c r="F58" s="3"/>
      <c r="G58" s="22" t="s">
        <v>4490</v>
      </c>
      <c r="H58" s="2" t="s">
        <v>4574</v>
      </c>
      <c r="I58" s="15"/>
    </row>
    <row r="59" spans="2:9" x14ac:dyDescent="0.2">
      <c r="B59" s="19" t="s">
        <v>4492</v>
      </c>
      <c r="C59" s="4">
        <v>25040</v>
      </c>
      <c r="D59" s="3"/>
      <c r="E59" s="22" t="s">
        <v>4493</v>
      </c>
      <c r="F59" s="3" t="s">
        <v>4494</v>
      </c>
      <c r="G59" s="22" t="s">
        <v>27</v>
      </c>
      <c r="H59" s="2" t="s">
        <v>115</v>
      </c>
      <c r="I59" s="15"/>
    </row>
    <row r="60" spans="2:9" x14ac:dyDescent="0.2">
      <c r="B60" s="19" t="s">
        <v>1283</v>
      </c>
      <c r="C60" s="34">
        <v>23846</v>
      </c>
      <c r="D60" s="4">
        <v>-1194</v>
      </c>
      <c r="E60" s="22" t="s">
        <v>4496</v>
      </c>
      <c r="F60" s="31"/>
      <c r="G60" s="22" t="s">
        <v>28</v>
      </c>
      <c r="H60" s="2" t="s">
        <v>4575</v>
      </c>
      <c r="I60" s="15"/>
    </row>
    <row r="61" spans="2:9" ht="16" customHeight="1" thickBot="1" x14ac:dyDescent="0.25">
      <c r="B61" s="38" t="s">
        <v>4498</v>
      </c>
      <c r="C61" s="91">
        <v>1.4650000333786011</v>
      </c>
      <c r="D61" s="78"/>
      <c r="E61" s="77" t="s">
        <v>4499</v>
      </c>
      <c r="F61" s="91">
        <v>1.2599999904632571</v>
      </c>
      <c r="G61" s="77" t="s">
        <v>4500</v>
      </c>
      <c r="H61" s="92" t="s">
        <v>4501</v>
      </c>
      <c r="I61" s="18"/>
    </row>
    <row r="370" spans="8:8" x14ac:dyDescent="0.2">
      <c r="H370" s="2">
        <v>36.79</v>
      </c>
    </row>
  </sheetData>
  <mergeCells count="1">
    <mergeCell ref="J44:O47"/>
  </mergeCells>
  <conditionalFormatting sqref="D17:H17">
    <cfRule type="colorScale" priority="7">
      <colorScale>
        <cfvo type="min"/>
        <cfvo type="percentile" val="50"/>
        <cfvo type="max"/>
        <color rgb="FFF8696B"/>
        <color rgb="FFFFEB84"/>
        <color rgb="FF63BE7B"/>
      </colorScale>
    </cfRule>
    <cfRule type="colorScale" priority="8">
      <colorScale>
        <cfvo type="min"/>
        <cfvo type="max"/>
        <color rgb="FFFCFCFF"/>
        <color rgb="FF63BE7B"/>
      </colorScale>
    </cfRule>
  </conditionalFormatting>
  <conditionalFormatting sqref="D27:H27">
    <cfRule type="colorScale" priority="5">
      <colorScale>
        <cfvo type="min"/>
        <cfvo type="percentile" val="50"/>
        <cfvo type="max"/>
        <color rgb="FFF8696B"/>
        <color rgb="FFFFEB84"/>
        <color rgb="FF63BE7B"/>
      </colorScale>
    </cfRule>
    <cfRule type="colorScale" priority="6">
      <colorScale>
        <cfvo type="min"/>
        <cfvo type="max"/>
        <color rgb="FFFCFCFF"/>
        <color rgb="FF63BE7B"/>
      </colorScale>
    </cfRule>
  </conditionalFormatting>
  <conditionalFormatting sqref="O32">
    <cfRule type="cellIs" dxfId="27" priority="3" operator="lessThan">
      <formula>0</formula>
    </cfRule>
    <cfRule type="cellIs" dxfId="26" priority="4" operator="greaterThan">
      <formula>0</formula>
    </cfRule>
  </conditionalFormatting>
  <conditionalFormatting sqref="O33:O39">
    <cfRule type="cellIs" dxfId="25" priority="1" operator="lessThan">
      <formula>0</formula>
    </cfRule>
    <cfRule type="cellIs" dxfId="24" priority="2" operator="greaterThan">
      <formula>0</formula>
    </cfRule>
  </conditionalFormatting>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6"/>
  <dimension ref="B1:AE370"/>
  <sheetViews>
    <sheetView zoomScaleNormal="100" workbookViewId="0">
      <selection activeCell="U60" sqref="U60"/>
    </sheetView>
  </sheetViews>
  <sheetFormatPr baseColWidth="10" defaultColWidth="9.1640625" defaultRowHeight="15" x14ac:dyDescent="0.2"/>
  <cols>
    <col min="1" max="1" width="9.1640625" style="2" customWidth="1"/>
    <col min="2" max="2" width="20.33203125" style="2" customWidth="1"/>
    <col min="3" max="8" width="16.83203125" style="2" customWidth="1"/>
    <col min="9" max="9" width="6.6640625" style="2" customWidth="1"/>
    <col min="10" max="10" width="15" style="2" customWidth="1"/>
    <col min="11" max="14" width="11.33203125" style="2" customWidth="1"/>
    <col min="15" max="15" width="12.83203125" style="2" customWidth="1"/>
    <col min="16" max="16" width="14.6640625" style="2" customWidth="1"/>
    <col min="17" max="17" width="16" style="2" customWidth="1"/>
    <col min="18" max="18" width="17.83203125" style="2" customWidth="1"/>
    <col min="19" max="19" width="13.33203125" style="2" customWidth="1"/>
    <col min="20" max="20" width="9.6640625" style="2" customWidth="1"/>
    <col min="21" max="21" width="9.1640625" style="2" customWidth="1"/>
    <col min="22" max="24" width="1.6640625" style="2" customWidth="1"/>
    <col min="25" max="25" width="9.1640625" style="2" customWidth="1"/>
    <col min="26" max="16384" width="9.1640625" style="2"/>
  </cols>
  <sheetData>
    <row r="1" spans="2:31" ht="16" customHeight="1" thickBot="1" x14ac:dyDescent="0.25"/>
    <row r="2" spans="2:31" ht="16" customHeight="1" thickBot="1" x14ac:dyDescent="0.25">
      <c r="B2" s="93" t="s">
        <v>280</v>
      </c>
      <c r="G2" s="6" t="s">
        <v>4612</v>
      </c>
      <c r="H2" s="7"/>
      <c r="Q2" s="2">
        <v>20</v>
      </c>
    </row>
    <row r="3" spans="2:31" ht="16" customHeight="1" thickBot="1" x14ac:dyDescent="0.25"/>
    <row r="4" spans="2:31" x14ac:dyDescent="0.2">
      <c r="B4" s="8" t="s">
        <v>4479</v>
      </c>
      <c r="C4" s="9">
        <v>1898.53</v>
      </c>
      <c r="D4" s="10"/>
      <c r="E4" s="11"/>
      <c r="F4" s="11"/>
      <c r="G4" s="11"/>
      <c r="H4" s="12"/>
      <c r="J4" s="13">
        <v>43760</v>
      </c>
      <c r="K4" s="11" t="s">
        <v>4613</v>
      </c>
      <c r="L4" s="11"/>
      <c r="M4" s="11"/>
      <c r="N4" s="12"/>
    </row>
    <row r="5" spans="2:31" ht="16" customHeight="1" thickBot="1" x14ac:dyDescent="0.25">
      <c r="B5" s="14"/>
      <c r="C5" s="3"/>
      <c r="D5" s="3"/>
      <c r="H5" s="15"/>
      <c r="J5" s="16">
        <v>43764</v>
      </c>
      <c r="K5" s="17" t="s">
        <v>4481</v>
      </c>
      <c r="L5" s="17"/>
      <c r="M5" s="17"/>
      <c r="N5" s="18"/>
    </row>
    <row r="6" spans="2:31" ht="16" customHeight="1" thickBot="1" x14ac:dyDescent="0.25">
      <c r="B6" s="19" t="s">
        <v>4482</v>
      </c>
      <c r="C6" s="20">
        <v>2050.5</v>
      </c>
      <c r="D6" s="21">
        <f>(C4-C6)/C6</f>
        <v>-7.4113630821750806E-2</v>
      </c>
      <c r="E6" s="22" t="s">
        <v>4483</v>
      </c>
      <c r="F6" s="23" t="s">
        <v>4614</v>
      </c>
      <c r="G6" s="22" t="s">
        <v>4484</v>
      </c>
      <c r="H6" s="24">
        <v>15.561721311475409</v>
      </c>
      <c r="L6" s="25"/>
      <c r="M6" s="26"/>
    </row>
    <row r="7" spans="2:31" x14ac:dyDescent="0.2">
      <c r="B7" s="19" t="s">
        <v>4485</v>
      </c>
      <c r="C7" s="20">
        <v>1307</v>
      </c>
      <c r="D7" s="21">
        <f>(C4-C7)/C7</f>
        <v>0.45258607498087222</v>
      </c>
      <c r="E7" s="22" t="s">
        <v>4486</v>
      </c>
      <c r="F7" s="3" t="s">
        <v>4615</v>
      </c>
      <c r="G7" s="22" t="s">
        <v>4487</v>
      </c>
      <c r="H7" s="27">
        <v>0.26600000000000001</v>
      </c>
      <c r="L7" s="28"/>
      <c r="M7" s="26"/>
      <c r="N7" s="136"/>
      <c r="R7" s="8" t="s">
        <v>4488</v>
      </c>
      <c r="S7" s="11"/>
      <c r="T7" s="29"/>
    </row>
    <row r="8" spans="2:31" x14ac:dyDescent="0.2">
      <c r="B8" s="19" t="s">
        <v>4489</v>
      </c>
      <c r="C8" s="30">
        <v>0.2429</v>
      </c>
      <c r="D8" s="31"/>
      <c r="E8" s="22" t="s">
        <v>2503</v>
      </c>
      <c r="F8" s="3"/>
      <c r="G8" s="22" t="s">
        <v>4490</v>
      </c>
      <c r="H8" s="15" t="s">
        <v>4574</v>
      </c>
      <c r="R8" s="32" t="s">
        <v>4491</v>
      </c>
      <c r="T8" s="33"/>
    </row>
    <row r="9" spans="2:31" x14ac:dyDescent="0.2">
      <c r="B9" s="19" t="s">
        <v>4492</v>
      </c>
      <c r="C9" s="4">
        <v>923414</v>
      </c>
      <c r="D9" s="3"/>
      <c r="E9" s="22" t="s">
        <v>4493</v>
      </c>
      <c r="F9" s="3" t="s">
        <v>4494</v>
      </c>
      <c r="G9" s="22" t="s">
        <v>27</v>
      </c>
      <c r="H9" s="15" t="s">
        <v>115</v>
      </c>
      <c r="R9" s="32" t="s">
        <v>4495</v>
      </c>
      <c r="T9" s="33"/>
    </row>
    <row r="10" spans="2:31" x14ac:dyDescent="0.2">
      <c r="B10" s="19" t="s">
        <v>1283</v>
      </c>
      <c r="C10" s="34">
        <v>870739</v>
      </c>
      <c r="D10" s="4">
        <v>-52675</v>
      </c>
      <c r="E10" s="22" t="s">
        <v>4496</v>
      </c>
      <c r="F10" s="31"/>
      <c r="G10" s="22" t="s">
        <v>28</v>
      </c>
      <c r="H10" s="15" t="s">
        <v>4616</v>
      </c>
      <c r="R10" s="32" t="s">
        <v>4497</v>
      </c>
      <c r="T10" s="33"/>
    </row>
    <row r="11" spans="2:31" ht="16" customHeight="1" thickBot="1" x14ac:dyDescent="0.25">
      <c r="B11" s="19" t="s">
        <v>4498</v>
      </c>
      <c r="C11" s="20">
        <v>0.87728458538572518</v>
      </c>
      <c r="D11" s="3"/>
      <c r="E11" s="22" t="s">
        <v>4499</v>
      </c>
      <c r="F11" s="20">
        <v>1.620000004768372</v>
      </c>
      <c r="G11" s="22" t="s">
        <v>4500</v>
      </c>
      <c r="H11" s="35" t="s">
        <v>4617</v>
      </c>
      <c r="R11" s="36" t="s">
        <v>4502</v>
      </c>
      <c r="S11" s="17"/>
      <c r="T11" s="37"/>
    </row>
    <row r="12" spans="2:31" ht="15.75" customHeight="1" thickBot="1" x14ac:dyDescent="0.25">
      <c r="B12" s="38" t="s">
        <v>4503</v>
      </c>
      <c r="C12" s="39">
        <v>2272.1999999999998</v>
      </c>
      <c r="D12" s="40"/>
      <c r="E12" s="17"/>
      <c r="F12" s="17"/>
      <c r="G12" s="17"/>
      <c r="H12" s="18"/>
    </row>
    <row r="13" spans="2:31" ht="16" customHeight="1" thickBot="1" x14ac:dyDescent="0.25">
      <c r="D13" s="41"/>
      <c r="L13" s="28"/>
      <c r="M13" s="26"/>
    </row>
    <row r="14" spans="2:31" ht="16" customHeight="1" thickBot="1" x14ac:dyDescent="0.25">
      <c r="G14" s="42" t="s">
        <v>4504</v>
      </c>
      <c r="H14" s="43" t="s">
        <v>4618</v>
      </c>
    </row>
    <row r="15" spans="2:31" ht="16" customHeight="1" x14ac:dyDescent="0.2">
      <c r="B15" s="8"/>
      <c r="C15" s="44">
        <v>2017</v>
      </c>
      <c r="D15" s="44">
        <v>2018</v>
      </c>
      <c r="E15" s="44">
        <v>2019</v>
      </c>
      <c r="F15" s="44" t="s">
        <v>4506</v>
      </c>
      <c r="G15" s="44" t="s">
        <v>4507</v>
      </c>
      <c r="H15" s="45" t="s">
        <v>4508</v>
      </c>
      <c r="J15" s="46"/>
      <c r="K15" s="47" t="s">
        <v>4619</v>
      </c>
      <c r="L15" s="47" t="s">
        <v>4620</v>
      </c>
      <c r="M15" s="47" t="s">
        <v>4621</v>
      </c>
      <c r="N15" s="47" t="s">
        <v>4622</v>
      </c>
      <c r="O15" s="48" t="s">
        <v>4509</v>
      </c>
      <c r="AA15" s="2" t="s">
        <v>4479</v>
      </c>
      <c r="AB15" s="2">
        <v>383.3</v>
      </c>
      <c r="AC15" s="2">
        <v>88.27</v>
      </c>
      <c r="AD15" s="2">
        <v>27.19</v>
      </c>
      <c r="AE15" s="2">
        <v>38.64</v>
      </c>
    </row>
    <row r="16" spans="2:31" x14ac:dyDescent="0.2">
      <c r="B16" s="19" t="s">
        <v>4510</v>
      </c>
      <c r="C16" s="4">
        <v>135987</v>
      </c>
      <c r="D16" s="4">
        <v>177866</v>
      </c>
      <c r="E16" s="4">
        <v>232887</v>
      </c>
      <c r="F16" s="4">
        <v>278956</v>
      </c>
      <c r="G16" s="4">
        <v>330986</v>
      </c>
      <c r="H16" s="49">
        <v>387905</v>
      </c>
      <c r="J16" s="19" t="s">
        <v>4492</v>
      </c>
      <c r="K16" s="4">
        <v>12019</v>
      </c>
      <c r="L16" s="4">
        <v>8055</v>
      </c>
      <c r="M16" s="4">
        <v>6076</v>
      </c>
      <c r="N16" s="4"/>
      <c r="O16" s="49">
        <f t="shared" ref="O16:O25" si="0">AVERAGE(K16:N16)</f>
        <v>8716.6666666666661</v>
      </c>
      <c r="AA16" s="2" t="s">
        <v>4492</v>
      </c>
      <c r="AB16" s="2">
        <v>191403</v>
      </c>
      <c r="AC16" s="2">
        <v>35478</v>
      </c>
      <c r="AD16" s="2">
        <v>11620</v>
      </c>
      <c r="AE16" s="2" t="s">
        <v>4511</v>
      </c>
    </row>
    <row r="17" spans="2:31" ht="15" customHeight="1" x14ac:dyDescent="0.2">
      <c r="B17" s="19" t="s">
        <v>4512</v>
      </c>
      <c r="C17" s="4"/>
      <c r="D17" s="94">
        <v>0.30796326119408468</v>
      </c>
      <c r="E17" s="94">
        <v>0.3093396152159491</v>
      </c>
      <c r="F17" s="94">
        <v>0.19781696702692719</v>
      </c>
      <c r="G17" s="94">
        <v>0.18651687004402129</v>
      </c>
      <c r="H17" s="95">
        <v>0.17196799864646839</v>
      </c>
      <c r="J17" s="19" t="s">
        <v>1283</v>
      </c>
      <c r="K17" s="4">
        <v>12294</v>
      </c>
      <c r="L17" s="4">
        <v>7582</v>
      </c>
      <c r="M17" s="4">
        <v>11601</v>
      </c>
      <c r="N17" s="4"/>
      <c r="O17" s="49">
        <f t="shared" si="0"/>
        <v>10492.333333333334</v>
      </c>
      <c r="AA17" s="2" t="s">
        <v>1283</v>
      </c>
      <c r="AB17" s="138">
        <v>192879</v>
      </c>
      <c r="AC17" s="2">
        <v>37143</v>
      </c>
      <c r="AD17" s="2">
        <v>11760</v>
      </c>
      <c r="AE17" s="2" t="s">
        <v>4513</v>
      </c>
    </row>
    <row r="18" spans="2:31" ht="15" customHeight="1" x14ac:dyDescent="0.2">
      <c r="B18" s="19" t="s">
        <v>4514</v>
      </c>
      <c r="C18" s="4">
        <v>15444</v>
      </c>
      <c r="D18" s="4">
        <v>20013</v>
      </c>
      <c r="E18" s="4">
        <v>33476</v>
      </c>
      <c r="F18" s="4">
        <v>41691</v>
      </c>
      <c r="G18" s="4">
        <v>52720</v>
      </c>
      <c r="H18" s="49">
        <v>65556</v>
      </c>
      <c r="J18" s="19" t="s">
        <v>4515</v>
      </c>
      <c r="K18" s="51">
        <v>-17.94715447154471</v>
      </c>
      <c r="L18" s="51">
        <v>62.962962962962962</v>
      </c>
      <c r="M18" s="51"/>
      <c r="N18" s="51"/>
      <c r="O18" s="52">
        <f t="shared" si="0"/>
        <v>22.507904245709128</v>
      </c>
      <c r="AA18" s="2" t="s">
        <v>4516</v>
      </c>
      <c r="AB18" s="138">
        <v>16</v>
      </c>
      <c r="AD18" s="2">
        <v>0.49</v>
      </c>
      <c r="AE18" s="2">
        <v>1.54</v>
      </c>
    </row>
    <row r="19" spans="2:31" ht="15" customHeight="1" x14ac:dyDescent="0.2">
      <c r="B19" s="19" t="s">
        <v>4517</v>
      </c>
      <c r="C19" s="21">
        <v>0.11356967945465379</v>
      </c>
      <c r="D19" s="21">
        <v>0.1125172882956833</v>
      </c>
      <c r="E19" s="21">
        <v>0.14374353227101561</v>
      </c>
      <c r="F19" s="21">
        <v>0.1494536772824388</v>
      </c>
      <c r="G19" s="21">
        <v>0.15928166146000131</v>
      </c>
      <c r="H19" s="55">
        <v>0.16900014178729331</v>
      </c>
      <c r="J19" s="19" t="s">
        <v>4518</v>
      </c>
      <c r="K19" s="51">
        <v>-37.367781155015187</v>
      </c>
      <c r="L19" s="51">
        <v>38.683673469387763</v>
      </c>
      <c r="M19" s="51"/>
      <c r="N19" s="51"/>
      <c r="O19" s="52">
        <f t="shared" si="0"/>
        <v>0.65794615718628791</v>
      </c>
      <c r="AA19" s="2" t="s">
        <v>4519</v>
      </c>
      <c r="AB19" s="2">
        <v>13603</v>
      </c>
      <c r="AC19" s="138" t="s">
        <v>4520</v>
      </c>
      <c r="AD19" s="2">
        <v>425</v>
      </c>
      <c r="AE19" s="2">
        <v>576</v>
      </c>
    </row>
    <row r="20" spans="2:31" ht="15" customHeight="1" x14ac:dyDescent="0.2">
      <c r="B20" s="19" t="s">
        <v>4521</v>
      </c>
      <c r="C20" s="4">
        <v>4186</v>
      </c>
      <c r="D20" s="4">
        <v>4106</v>
      </c>
      <c r="E20" s="4">
        <v>12421</v>
      </c>
      <c r="F20" s="4">
        <v>14923</v>
      </c>
      <c r="G20" s="4">
        <v>21797</v>
      </c>
      <c r="H20" s="49">
        <v>31263</v>
      </c>
      <c r="J20" s="19" t="s">
        <v>4522</v>
      </c>
      <c r="K20" s="51">
        <v>-24.0587084148728</v>
      </c>
      <c r="L20" s="51">
        <v>67.097345132743357</v>
      </c>
      <c r="M20" s="51"/>
      <c r="N20" s="51"/>
      <c r="O20" s="52">
        <f t="shared" si="0"/>
        <v>21.51931835893528</v>
      </c>
      <c r="AA20" s="2" t="s">
        <v>4523</v>
      </c>
      <c r="AB20" s="2">
        <v>11392</v>
      </c>
      <c r="AD20" s="2">
        <v>234</v>
      </c>
      <c r="AE20" s="2">
        <v>495</v>
      </c>
    </row>
    <row r="21" spans="2:31" ht="15" customHeight="1" x14ac:dyDescent="0.2">
      <c r="B21" s="19" t="s">
        <v>4524</v>
      </c>
      <c r="C21" s="21">
        <v>3.0782354195621638E-2</v>
      </c>
      <c r="D21" s="21">
        <v>2.3084794170892691E-2</v>
      </c>
      <c r="E21" s="21">
        <v>5.3334879147397672E-2</v>
      </c>
      <c r="F21" s="21">
        <v>5.3495891825234093E-2</v>
      </c>
      <c r="G21" s="21">
        <v>6.5854749143468297E-2</v>
      </c>
      <c r="H21" s="55">
        <v>8.0594475451463629E-2</v>
      </c>
      <c r="J21" s="19" t="s">
        <v>4525</v>
      </c>
      <c r="K21" s="51">
        <v>1.337321875339933</v>
      </c>
      <c r="L21" s="51">
        <v>9.5611601513240849</v>
      </c>
      <c r="M21" s="51"/>
      <c r="N21" s="51"/>
      <c r="O21" s="52">
        <f t="shared" si="0"/>
        <v>5.4492410133320091</v>
      </c>
      <c r="AA21" s="2" t="s">
        <v>4526</v>
      </c>
      <c r="AB21" s="2">
        <v>53631</v>
      </c>
      <c r="AC21" s="138" t="s">
        <v>4520</v>
      </c>
      <c r="AD21" s="2">
        <v>5378</v>
      </c>
      <c r="AE21" s="2">
        <v>1642</v>
      </c>
    </row>
    <row r="22" spans="2:31" ht="15" customHeight="1" x14ac:dyDescent="0.2">
      <c r="B22" s="19" t="s">
        <v>4527</v>
      </c>
      <c r="C22" s="4">
        <v>2371</v>
      </c>
      <c r="D22" s="4">
        <v>3033</v>
      </c>
      <c r="E22" s="4">
        <v>10073</v>
      </c>
      <c r="F22" s="4">
        <v>11852</v>
      </c>
      <c r="G22" s="4">
        <v>17091</v>
      </c>
      <c r="H22" s="49">
        <v>25703</v>
      </c>
      <c r="J22" s="19" t="s">
        <v>2479</v>
      </c>
      <c r="K22" s="20">
        <v>-12.495283018867919</v>
      </c>
      <c r="L22" s="20">
        <v>15.88785046728972</v>
      </c>
      <c r="M22" s="20"/>
      <c r="N22" s="20"/>
      <c r="O22" s="52">
        <f t="shared" si="0"/>
        <v>1.6962837242109003</v>
      </c>
      <c r="AA22" s="2" t="s">
        <v>4528</v>
      </c>
      <c r="AB22" s="138">
        <v>82.6</v>
      </c>
      <c r="AC22" s="138">
        <v>13.2</v>
      </c>
      <c r="AD22" s="2">
        <v>5.39</v>
      </c>
      <c r="AE22" s="138">
        <v>6.41</v>
      </c>
    </row>
    <row r="23" spans="2:31" ht="15" customHeight="1" x14ac:dyDescent="0.2">
      <c r="B23" s="19" t="s">
        <v>4529</v>
      </c>
      <c r="C23" s="21">
        <v>1.7435490157147369E-2</v>
      </c>
      <c r="D23" s="21">
        <v>1.7052162864178651E-2</v>
      </c>
      <c r="E23" s="21">
        <v>4.3252736305590261E-2</v>
      </c>
      <c r="F23" s="21">
        <v>4.2486987195113207E-2</v>
      </c>
      <c r="G23" s="21">
        <v>5.1636625114053161E-2</v>
      </c>
      <c r="H23" s="55">
        <v>6.6261069076191337E-2</v>
      </c>
      <c r="J23" s="19" t="s">
        <v>4517</v>
      </c>
      <c r="K23" s="21">
        <v>-3.5788099641031218E-2</v>
      </c>
      <c r="L23" s="21">
        <v>0.24716267339218159</v>
      </c>
      <c r="M23" s="21"/>
      <c r="N23" s="21"/>
      <c r="O23" s="55">
        <f t="shared" si="0"/>
        <v>0.10568728687557519</v>
      </c>
      <c r="AA23" s="2" t="s">
        <v>4530</v>
      </c>
      <c r="AB23" s="2">
        <v>0.25364061829911799</v>
      </c>
      <c r="AC23" s="2" t="e">
        <v>#VALUE!</v>
      </c>
      <c r="AD23" s="2">
        <v>7.9025660096690223E-2</v>
      </c>
      <c r="AE23" s="2">
        <v>0.3507917174177832</v>
      </c>
    </row>
    <row r="24" spans="2:31" ht="15" customHeight="1" x14ac:dyDescent="0.2">
      <c r="B24" s="19"/>
      <c r="C24" s="4"/>
      <c r="D24" s="96">
        <v>0.27920708561788282</v>
      </c>
      <c r="E24" s="96">
        <v>2.3211341905703922</v>
      </c>
      <c r="F24" s="96">
        <v>0.17661074158641921</v>
      </c>
      <c r="G24" s="96">
        <v>0.44203509956125547</v>
      </c>
      <c r="H24" s="97">
        <v>0.50389093675033647</v>
      </c>
      <c r="J24" s="19" t="s">
        <v>4524</v>
      </c>
      <c r="K24" s="21">
        <v>-5.5585771782878282E-2</v>
      </c>
      <c r="L24" s="21">
        <v>0.1424968474148802</v>
      </c>
      <c r="M24" s="21"/>
      <c r="N24" s="21"/>
      <c r="O24" s="55">
        <f t="shared" si="0"/>
        <v>4.3455537816000957E-2</v>
      </c>
      <c r="AA24" s="2" t="s">
        <v>4531</v>
      </c>
      <c r="AB24" s="2">
        <v>0.2124144617851616</v>
      </c>
      <c r="AC24" s="2" t="e">
        <v>#VALUE!</v>
      </c>
      <c r="AD24" s="2">
        <v>4.3510598735589441E-2</v>
      </c>
      <c r="AE24" s="2">
        <v>0.30146163215590738</v>
      </c>
    </row>
    <row r="25" spans="2:31" ht="15" customHeight="1" x14ac:dyDescent="0.2">
      <c r="B25" s="19" t="s">
        <v>4532</v>
      </c>
      <c r="C25" s="4" t="s">
        <v>4623</v>
      </c>
      <c r="D25" s="4" t="s">
        <v>4624</v>
      </c>
      <c r="E25" s="4" t="s">
        <v>4614</v>
      </c>
      <c r="F25" s="4" t="s">
        <v>4615</v>
      </c>
      <c r="G25" s="4" t="s">
        <v>4625</v>
      </c>
      <c r="H25" s="49" t="s">
        <v>4626</v>
      </c>
      <c r="J25" s="19" t="s">
        <v>4539</v>
      </c>
      <c r="K25" s="21">
        <v>-7.5383443924725332E-2</v>
      </c>
      <c r="L25" s="21">
        <v>0.18032786885245899</v>
      </c>
      <c r="M25" s="21"/>
      <c r="N25" s="21"/>
      <c r="O25" s="55">
        <f t="shared" si="0"/>
        <v>5.2472212463866831E-2</v>
      </c>
      <c r="AA25" s="2" t="s">
        <v>4540</v>
      </c>
      <c r="AB25" s="2">
        <v>8067</v>
      </c>
      <c r="AC25" s="138" t="s">
        <v>4520</v>
      </c>
      <c r="AD25" s="2">
        <v>222</v>
      </c>
      <c r="AE25" s="2">
        <v>390</v>
      </c>
    </row>
    <row r="26" spans="2:31" ht="15" customHeight="1" x14ac:dyDescent="0.2">
      <c r="B26" s="19" t="s">
        <v>4541</v>
      </c>
      <c r="C26" s="4">
        <v>4.9000000000000004</v>
      </c>
      <c r="D26" s="4">
        <v>6.15</v>
      </c>
      <c r="E26" s="4">
        <v>20.100000000000001</v>
      </c>
      <c r="F26" s="4">
        <v>23.7</v>
      </c>
      <c r="G26" s="4">
        <v>33.799999999999997</v>
      </c>
      <c r="H26" s="49">
        <v>48.6</v>
      </c>
      <c r="J26" s="19" t="s">
        <v>21</v>
      </c>
      <c r="K26" s="31"/>
      <c r="L26" s="31"/>
      <c r="M26" s="31"/>
      <c r="N26" s="31"/>
      <c r="O26" s="50"/>
      <c r="AA26" s="2" t="s">
        <v>4542</v>
      </c>
      <c r="AB26" s="2">
        <v>7.62</v>
      </c>
      <c r="AC26" s="2">
        <v>2.13</v>
      </c>
      <c r="AD26" s="2" t="s">
        <v>4494</v>
      </c>
      <c r="AE26" s="2">
        <v>0.52</v>
      </c>
    </row>
    <row r="27" spans="2:31" ht="15" customHeight="1" thickBot="1" x14ac:dyDescent="0.25">
      <c r="B27" s="19" t="s">
        <v>4512</v>
      </c>
      <c r="C27" s="4"/>
      <c r="D27" s="96">
        <v>0.25510204081632648</v>
      </c>
      <c r="E27" s="96">
        <v>2.26829268292683</v>
      </c>
      <c r="F27" s="96">
        <v>0.1791044776119402</v>
      </c>
      <c r="G27" s="96">
        <v>0.42616033755274252</v>
      </c>
      <c r="H27" s="97">
        <v>0.43786982248520728</v>
      </c>
      <c r="J27" s="38" t="s">
        <v>4487</v>
      </c>
      <c r="K27" s="40" t="s">
        <v>4627</v>
      </c>
      <c r="L27" s="40">
        <v>0.27700000000000002</v>
      </c>
      <c r="M27" s="40">
        <v>0.121</v>
      </c>
      <c r="N27" s="40">
        <v>7.3400000000000007E-2</v>
      </c>
      <c r="O27" s="59">
        <f>AVERAGE(K27:N27)</f>
        <v>0.15713333333333335</v>
      </c>
      <c r="AA27" s="2" t="s">
        <v>4487</v>
      </c>
      <c r="AB27" s="60">
        <v>0.21</v>
      </c>
      <c r="AC27" s="26">
        <v>0.29399999999999998</v>
      </c>
      <c r="AD27" s="26">
        <v>7.3400000000000007E-2</v>
      </c>
      <c r="AE27" s="26">
        <v>0.29499999999999998</v>
      </c>
    </row>
    <row r="28" spans="2:31" ht="15" customHeight="1" x14ac:dyDescent="0.2">
      <c r="B28" s="19" t="s">
        <v>4518</v>
      </c>
      <c r="C28" s="4">
        <v>56.380406630406632</v>
      </c>
      <c r="D28" s="4">
        <v>43.508669364912812</v>
      </c>
      <c r="E28" s="4">
        <v>26.010843589437211</v>
      </c>
      <c r="F28" s="4">
        <v>20.88553884531434</v>
      </c>
      <c r="G28" s="4">
        <v>16.516293626707132</v>
      </c>
      <c r="H28" s="49">
        <v>13.28236927207273</v>
      </c>
    </row>
    <row r="29" spans="2:31" ht="15" customHeight="1" x14ac:dyDescent="0.2">
      <c r="B29" s="19" t="s">
        <v>4522</v>
      </c>
      <c r="C29" s="4">
        <v>208.01218346870519</v>
      </c>
      <c r="D29" s="4">
        <v>212.06502679006331</v>
      </c>
      <c r="E29" s="4">
        <v>70.102165687142744</v>
      </c>
      <c r="F29" s="4">
        <v>58.348790457682767</v>
      </c>
      <c r="G29" s="4">
        <v>39.947653346790837</v>
      </c>
      <c r="H29" s="49">
        <v>27.85206154239836</v>
      </c>
    </row>
    <row r="30" spans="2:31" ht="15" customHeight="1" thickBot="1" x14ac:dyDescent="0.25">
      <c r="B30" s="38" t="s">
        <v>4525</v>
      </c>
      <c r="C30" s="61">
        <v>6.4031047085383159</v>
      </c>
      <c r="D30" s="61">
        <v>1.207861533484309</v>
      </c>
      <c r="E30" s="98">
        <v>3.738890534894606</v>
      </c>
      <c r="F30" s="98">
        <v>3.121420582457449</v>
      </c>
      <c r="G30" s="98">
        <v>2.6307426900231432</v>
      </c>
      <c r="H30" s="99">
        <v>2.2447222902514792</v>
      </c>
      <c r="J30" s="136" t="s">
        <v>4543</v>
      </c>
    </row>
    <row r="31" spans="2:31" ht="16" customHeight="1" thickBot="1" x14ac:dyDescent="0.25">
      <c r="J31" s="46"/>
      <c r="K31" s="63"/>
      <c r="L31" s="44" t="s">
        <v>4544</v>
      </c>
      <c r="M31" s="44" t="s">
        <v>4545</v>
      </c>
      <c r="N31" s="44" t="s">
        <v>4546</v>
      </c>
      <c r="O31" s="48" t="s">
        <v>4547</v>
      </c>
    </row>
    <row r="32" spans="2:31" x14ac:dyDescent="0.2">
      <c r="B32" s="8" t="s">
        <v>4548</v>
      </c>
      <c r="C32" s="64"/>
      <c r="D32" s="64"/>
      <c r="E32" s="64"/>
      <c r="F32" s="64"/>
      <c r="G32" s="64"/>
      <c r="H32" s="72"/>
      <c r="J32" s="19" t="s">
        <v>4549</v>
      </c>
      <c r="K32" s="22" t="s">
        <v>4510</v>
      </c>
      <c r="L32" s="4">
        <v>62451.199999999997</v>
      </c>
      <c r="M32" s="4">
        <v>63404</v>
      </c>
      <c r="N32" s="4">
        <v>952.8</v>
      </c>
      <c r="O32" s="100">
        <v>1.5256712441074041E-2</v>
      </c>
    </row>
    <row r="33" spans="2:15" x14ac:dyDescent="0.2">
      <c r="B33" s="19" t="s">
        <v>4514</v>
      </c>
      <c r="C33" s="4">
        <v>81</v>
      </c>
      <c r="D33" s="4">
        <v>149</v>
      </c>
      <c r="E33" s="4">
        <v>33476</v>
      </c>
      <c r="F33" s="4">
        <v>41691</v>
      </c>
      <c r="G33" s="4">
        <v>52720</v>
      </c>
      <c r="H33" s="49">
        <v>65556</v>
      </c>
      <c r="J33" s="19"/>
      <c r="K33" s="22" t="s">
        <v>4550</v>
      </c>
      <c r="L33" s="3">
        <v>5.56</v>
      </c>
      <c r="M33" s="3">
        <v>5.22</v>
      </c>
      <c r="N33" s="3">
        <v>0.34</v>
      </c>
      <c r="O33" s="100">
        <v>-6.1151079136690628E-2</v>
      </c>
    </row>
    <row r="34" spans="2:15" x14ac:dyDescent="0.2">
      <c r="B34" s="19" t="s">
        <v>4551</v>
      </c>
      <c r="C34" s="20"/>
      <c r="D34" s="20"/>
      <c r="E34" s="20"/>
      <c r="F34" s="20"/>
      <c r="G34" s="20"/>
      <c r="H34" s="24"/>
      <c r="J34" s="19" t="s">
        <v>4552</v>
      </c>
      <c r="K34" s="22" t="s">
        <v>4510</v>
      </c>
      <c r="L34" s="4">
        <v>59686.8</v>
      </c>
      <c r="M34" s="4">
        <v>59700</v>
      </c>
      <c r="N34" s="4">
        <v>13.18</v>
      </c>
      <c r="O34" s="100">
        <v>2.2115442610421549E-4</v>
      </c>
    </row>
    <row r="35" spans="2:15" x14ac:dyDescent="0.2">
      <c r="B35" s="19" t="s">
        <v>4553</v>
      </c>
      <c r="C35" s="68">
        <v>34</v>
      </c>
      <c r="D35" s="68">
        <v>37.4</v>
      </c>
      <c r="E35" s="68">
        <v>61.4</v>
      </c>
      <c r="F35" s="68">
        <v>94.5</v>
      </c>
      <c r="G35" s="68">
        <v>108</v>
      </c>
      <c r="H35" s="69">
        <v>130</v>
      </c>
      <c r="J35" s="19"/>
      <c r="K35" s="22" t="s">
        <v>4550</v>
      </c>
      <c r="L35" s="3">
        <v>4.72</v>
      </c>
      <c r="M35" s="3">
        <v>7.09</v>
      </c>
      <c r="N35" s="3">
        <v>2.37</v>
      </c>
      <c r="O35" s="100">
        <v>0.5021186440677966</v>
      </c>
    </row>
    <row r="36" spans="2:15" ht="16" customHeight="1" thickBot="1" x14ac:dyDescent="0.25">
      <c r="B36" s="38" t="s">
        <v>22</v>
      </c>
      <c r="C36" s="70">
        <v>40.4</v>
      </c>
      <c r="D36" s="70">
        <v>57.3</v>
      </c>
      <c r="E36" s="70">
        <v>88.7</v>
      </c>
      <c r="F36" s="70">
        <v>122</v>
      </c>
      <c r="G36" s="70">
        <v>167</v>
      </c>
      <c r="H36" s="71">
        <v>232</v>
      </c>
      <c r="J36" s="19" t="s">
        <v>4554</v>
      </c>
      <c r="K36" s="22" t="s">
        <v>4510</v>
      </c>
      <c r="L36" s="4">
        <v>71872.899999999994</v>
      </c>
      <c r="M36" s="4">
        <v>72383</v>
      </c>
      <c r="N36" s="4">
        <v>510.14</v>
      </c>
      <c r="O36" s="100">
        <v>7.0972508414159701E-3</v>
      </c>
    </row>
    <row r="37" spans="2:15" ht="16" customHeight="1" thickBot="1" x14ac:dyDescent="0.25">
      <c r="J37" s="19"/>
      <c r="K37" s="22" t="s">
        <v>4550</v>
      </c>
      <c r="L37" s="3">
        <v>5.64</v>
      </c>
      <c r="M37" s="3">
        <v>6.04</v>
      </c>
      <c r="N37" s="3">
        <v>0.4</v>
      </c>
      <c r="O37" s="100">
        <v>7.0921985815602898E-2</v>
      </c>
    </row>
    <row r="38" spans="2:15" x14ac:dyDescent="0.2">
      <c r="B38" s="8" t="s">
        <v>4555</v>
      </c>
      <c r="C38" s="72">
        <v>4470727</v>
      </c>
      <c r="F38" s="8" t="s">
        <v>4556</v>
      </c>
      <c r="G38" s="64">
        <v>1938.72</v>
      </c>
      <c r="H38" s="101">
        <v>-2.0730172484938539E-2</v>
      </c>
      <c r="J38" s="19" t="s">
        <v>4557</v>
      </c>
      <c r="K38" s="22" t="s">
        <v>4510</v>
      </c>
      <c r="L38" s="4">
        <v>57057.2</v>
      </c>
      <c r="M38" s="4">
        <v>56576</v>
      </c>
      <c r="N38" s="4">
        <v>481.24</v>
      </c>
      <c r="O38" s="100">
        <v>-8.4336420294020224E-3</v>
      </c>
    </row>
    <row r="39" spans="2:15" ht="16" customHeight="1" thickBot="1" x14ac:dyDescent="0.25">
      <c r="B39" s="19" t="s">
        <v>4558</v>
      </c>
      <c r="C39" s="49" t="s">
        <v>4628</v>
      </c>
      <c r="F39" s="38" t="s">
        <v>4560</v>
      </c>
      <c r="G39" s="98">
        <v>1805.98</v>
      </c>
      <c r="H39" s="59">
        <v>5.1246414688977712E-2</v>
      </c>
      <c r="J39" s="38"/>
      <c r="K39" s="77" t="s">
        <v>4550</v>
      </c>
      <c r="L39" s="78">
        <v>3.12</v>
      </c>
      <c r="M39" s="78">
        <v>5.75</v>
      </c>
      <c r="N39" s="78">
        <v>2.63</v>
      </c>
      <c r="O39" s="102">
        <v>0.84294871794871784</v>
      </c>
    </row>
    <row r="40" spans="2:15" ht="16" customHeight="1" thickBot="1" x14ac:dyDescent="0.25">
      <c r="B40" s="38" t="s">
        <v>4561</v>
      </c>
      <c r="C40" s="99" t="s">
        <v>4629</v>
      </c>
    </row>
    <row r="41" spans="2:15" x14ac:dyDescent="0.2">
      <c r="F41" s="8" t="s">
        <v>4563</v>
      </c>
      <c r="G41" s="11"/>
      <c r="H41" s="72">
        <v>0</v>
      </c>
    </row>
    <row r="42" spans="2:15" ht="16" customHeight="1" thickBot="1" x14ac:dyDescent="0.25">
      <c r="F42" s="38" t="s">
        <v>4565</v>
      </c>
      <c r="G42" s="17"/>
      <c r="H42" s="99">
        <v>0</v>
      </c>
    </row>
    <row r="43" spans="2:15" ht="19.5" customHeight="1" thickBot="1" x14ac:dyDescent="0.25"/>
    <row r="44" spans="2:15" ht="18" customHeight="1" x14ac:dyDescent="0.2">
      <c r="B44" s="8" t="s">
        <v>4566</v>
      </c>
      <c r="C44" s="64" t="s">
        <v>4607</v>
      </c>
      <c r="D44" s="103">
        <v>0.59699999999999998</v>
      </c>
      <c r="F44" s="8" t="s">
        <v>4568</v>
      </c>
      <c r="G44" s="64" t="s">
        <v>4630</v>
      </c>
      <c r="H44" s="101">
        <v>0.60899999999999999</v>
      </c>
      <c r="J44" s="149" t="s">
        <v>4631</v>
      </c>
      <c r="K44" s="150"/>
      <c r="L44" s="150"/>
      <c r="M44" s="150"/>
      <c r="N44" s="150"/>
      <c r="O44" s="151"/>
    </row>
    <row r="45" spans="2:15" x14ac:dyDescent="0.2">
      <c r="B45" s="83"/>
      <c r="C45" s="4" t="s">
        <v>4632</v>
      </c>
      <c r="D45" s="95">
        <v>0.40300000000000002</v>
      </c>
      <c r="F45" s="83"/>
      <c r="G45" s="4" t="s">
        <v>4633</v>
      </c>
      <c r="H45" s="50">
        <v>0.17899999999999999</v>
      </c>
      <c r="J45" s="152"/>
      <c r="K45" s="143"/>
      <c r="L45" s="143"/>
      <c r="M45" s="143"/>
      <c r="N45" s="143"/>
      <c r="O45" s="153"/>
    </row>
    <row r="46" spans="2:15" x14ac:dyDescent="0.2">
      <c r="B46" s="83"/>
      <c r="C46" s="4"/>
      <c r="D46" s="49" t="s">
        <v>4634</v>
      </c>
      <c r="F46" s="83"/>
      <c r="G46" s="4" t="s">
        <v>4635</v>
      </c>
      <c r="H46" s="50">
        <v>9.8000000000000004E-2</v>
      </c>
      <c r="J46" s="152"/>
      <c r="K46" s="143"/>
      <c r="L46" s="143"/>
      <c r="M46" s="143"/>
      <c r="N46" s="143"/>
      <c r="O46" s="153"/>
    </row>
    <row r="47" spans="2:15" ht="25.5" customHeight="1" thickBot="1" x14ac:dyDescent="0.25">
      <c r="B47" s="87"/>
      <c r="C47" s="98"/>
      <c r="D47" s="99" t="s">
        <v>4636</v>
      </c>
      <c r="F47" s="87"/>
      <c r="G47" s="98" t="s">
        <v>4637</v>
      </c>
      <c r="H47" s="59">
        <v>5.5E-2</v>
      </c>
      <c r="J47" s="154"/>
      <c r="K47" s="144"/>
      <c r="L47" s="144"/>
      <c r="M47" s="144"/>
      <c r="N47" s="144"/>
      <c r="O47" s="155"/>
    </row>
    <row r="53" spans="2:9" ht="16" customHeight="1" thickBot="1" x14ac:dyDescent="0.25"/>
    <row r="54" spans="2:9" x14ac:dyDescent="0.2">
      <c r="B54" s="8" t="s">
        <v>4479</v>
      </c>
      <c r="C54" s="9">
        <v>192.21</v>
      </c>
      <c r="D54" s="10"/>
      <c r="E54" s="11"/>
      <c r="F54" s="11"/>
      <c r="G54" s="11"/>
      <c r="H54" s="11"/>
      <c r="I54" s="12"/>
    </row>
    <row r="55" spans="2:9" x14ac:dyDescent="0.2">
      <c r="B55" s="14"/>
      <c r="C55" s="3"/>
      <c r="D55" s="3"/>
      <c r="I55" s="15"/>
    </row>
    <row r="56" spans="2:9" x14ac:dyDescent="0.2">
      <c r="B56" s="19" t="s">
        <v>4482</v>
      </c>
      <c r="C56" s="20">
        <v>216.25999450683591</v>
      </c>
      <c r="D56" s="21">
        <v>-0.1112087076561713</v>
      </c>
      <c r="E56" s="22" t="s">
        <v>4483</v>
      </c>
      <c r="F56" s="23" t="s">
        <v>4535</v>
      </c>
      <c r="G56" s="22" t="s">
        <v>4484</v>
      </c>
      <c r="H56" s="20">
        <v>15.626829268292679</v>
      </c>
      <c r="I56" s="15"/>
    </row>
    <row r="57" spans="2:9" x14ac:dyDescent="0.2">
      <c r="B57" s="19" t="s">
        <v>4485</v>
      </c>
      <c r="C57" s="20">
        <v>153.1300048828125</v>
      </c>
      <c r="D57" s="21">
        <v>0.25520795318392819</v>
      </c>
      <c r="E57" s="22" t="s">
        <v>4486</v>
      </c>
      <c r="F57" s="3" t="s">
        <v>4536</v>
      </c>
      <c r="G57" s="22" t="s">
        <v>4487</v>
      </c>
      <c r="H57" s="30">
        <v>0.39400000000000002</v>
      </c>
      <c r="I57" s="15"/>
    </row>
    <row r="58" spans="2:9" x14ac:dyDescent="0.2">
      <c r="B58" s="19" t="s">
        <v>4489</v>
      </c>
      <c r="C58" s="30">
        <v>0.58050000000000002</v>
      </c>
      <c r="D58" s="31"/>
      <c r="E58" s="22" t="s">
        <v>2503</v>
      </c>
      <c r="F58" s="3"/>
      <c r="G58" s="22" t="s">
        <v>4490</v>
      </c>
      <c r="H58" s="2" t="s">
        <v>4574</v>
      </c>
      <c r="I58" s="15"/>
    </row>
    <row r="59" spans="2:9" x14ac:dyDescent="0.2">
      <c r="B59" s="19" t="s">
        <v>4492</v>
      </c>
      <c r="C59" s="4">
        <v>25040</v>
      </c>
      <c r="D59" s="3"/>
      <c r="E59" s="22" t="s">
        <v>4493</v>
      </c>
      <c r="F59" s="3" t="s">
        <v>4494</v>
      </c>
      <c r="G59" s="22" t="s">
        <v>27</v>
      </c>
      <c r="H59" s="2" t="s">
        <v>115</v>
      </c>
      <c r="I59" s="15"/>
    </row>
    <row r="60" spans="2:9" x14ac:dyDescent="0.2">
      <c r="B60" s="19" t="s">
        <v>1283</v>
      </c>
      <c r="C60" s="34">
        <v>23846</v>
      </c>
      <c r="D60" s="4">
        <v>-1194</v>
      </c>
      <c r="E60" s="22" t="s">
        <v>4496</v>
      </c>
      <c r="F60" s="31"/>
      <c r="G60" s="22" t="s">
        <v>28</v>
      </c>
      <c r="H60" s="2" t="s">
        <v>4575</v>
      </c>
      <c r="I60" s="15"/>
    </row>
    <row r="61" spans="2:9" ht="16" customHeight="1" thickBot="1" x14ac:dyDescent="0.25">
      <c r="B61" s="38" t="s">
        <v>4498</v>
      </c>
      <c r="C61" s="91">
        <v>1.4650000333786011</v>
      </c>
      <c r="D61" s="78"/>
      <c r="E61" s="77" t="s">
        <v>4499</v>
      </c>
      <c r="F61" s="91">
        <v>1.2599999904632571</v>
      </c>
      <c r="G61" s="77" t="s">
        <v>4500</v>
      </c>
      <c r="H61" s="92" t="s">
        <v>4501</v>
      </c>
      <c r="I61" s="18"/>
    </row>
    <row r="370" spans="8:8" x14ac:dyDescent="0.2">
      <c r="H370" s="2">
        <v>36.79</v>
      </c>
    </row>
  </sheetData>
  <mergeCells count="1">
    <mergeCell ref="J44:O47"/>
  </mergeCells>
  <conditionalFormatting sqref="D17:H17">
    <cfRule type="colorScale" priority="6">
      <colorScale>
        <cfvo type="min"/>
        <cfvo type="percentile" val="50"/>
        <cfvo type="max"/>
        <color rgb="FFF8696B"/>
        <color rgb="FFFFEB84"/>
        <color rgb="FF63BE7B"/>
      </colorScale>
    </cfRule>
  </conditionalFormatting>
  <conditionalFormatting sqref="D27:H27">
    <cfRule type="colorScale" priority="5">
      <colorScale>
        <cfvo type="min"/>
        <cfvo type="percentile" val="50"/>
        <cfvo type="max"/>
        <color rgb="FFF8696B"/>
        <color rgb="FFFFEB84"/>
        <color rgb="FF63BE7B"/>
      </colorScale>
    </cfRule>
  </conditionalFormatting>
  <conditionalFormatting sqref="O32:O38">
    <cfRule type="cellIs" dxfId="23" priority="3" operator="lessThan">
      <formula>0</formula>
    </cfRule>
    <cfRule type="cellIs" dxfId="22" priority="4" operator="greaterThan">
      <formula>0</formula>
    </cfRule>
  </conditionalFormatting>
  <conditionalFormatting sqref="O39">
    <cfRule type="cellIs" dxfId="21" priority="1" operator="lessThan">
      <formula>0</formula>
    </cfRule>
    <cfRule type="cellIs" dxfId="20" priority="2" operator="greaterThan">
      <formula>0</formula>
    </cfRule>
  </conditionalFormatting>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7"/>
  <dimension ref="B1:AE370"/>
  <sheetViews>
    <sheetView zoomScale="85" zoomScaleNormal="85" workbookViewId="0">
      <selection activeCell="AE68" sqref="AE68"/>
    </sheetView>
  </sheetViews>
  <sheetFormatPr baseColWidth="10" defaultColWidth="9.1640625" defaultRowHeight="15" x14ac:dyDescent="0.2"/>
  <cols>
    <col min="1" max="1" width="9.1640625" style="2" customWidth="1"/>
    <col min="2" max="2" width="20.33203125" style="2" customWidth="1"/>
    <col min="3" max="8" width="16.83203125" style="2" customWidth="1"/>
    <col min="9" max="9" width="6.6640625" style="2" customWidth="1"/>
    <col min="10" max="10" width="15" style="2" customWidth="1"/>
    <col min="11" max="14" width="11.33203125" style="2" customWidth="1"/>
    <col min="15" max="15" width="12.83203125" style="2" customWidth="1"/>
    <col min="16" max="16" width="14.6640625" style="2" customWidth="1"/>
    <col min="17" max="17" width="16" style="2" customWidth="1"/>
    <col min="18" max="18" width="17.83203125" style="2" customWidth="1"/>
    <col min="19" max="19" width="13.33203125" style="2" customWidth="1"/>
    <col min="20" max="20" width="9.6640625" style="2" customWidth="1"/>
    <col min="21" max="21" width="9.1640625" style="2" customWidth="1"/>
    <col min="22" max="24" width="1.6640625" style="2" customWidth="1"/>
    <col min="25" max="25" width="9.1640625" style="2" customWidth="1"/>
    <col min="26" max="16384" width="9.1640625" style="2"/>
  </cols>
  <sheetData>
    <row r="1" spans="2:31" ht="16" customHeight="1" thickBot="1" x14ac:dyDescent="0.25"/>
    <row r="2" spans="2:31" ht="16" customHeight="1" thickBot="1" x14ac:dyDescent="0.25">
      <c r="B2" s="93" t="s">
        <v>2423</v>
      </c>
      <c r="G2" s="6" t="s">
        <v>4638</v>
      </c>
      <c r="H2" s="7"/>
      <c r="Q2" s="2">
        <v>20</v>
      </c>
    </row>
    <row r="3" spans="2:31" ht="16" customHeight="1" thickBot="1" x14ac:dyDescent="0.25"/>
    <row r="4" spans="2:31" x14ac:dyDescent="0.2">
      <c r="B4" s="8" t="s">
        <v>4479</v>
      </c>
      <c r="C4" s="9">
        <v>79.25</v>
      </c>
      <c r="D4" s="10"/>
      <c r="E4" s="11"/>
      <c r="F4" s="11"/>
      <c r="G4" s="11"/>
      <c r="H4" s="12"/>
      <c r="J4" s="13">
        <v>43727</v>
      </c>
      <c r="K4" s="11" t="s">
        <v>4639</v>
      </c>
      <c r="L4" s="11"/>
      <c r="M4" s="11"/>
      <c r="N4" s="12"/>
    </row>
    <row r="5" spans="2:31" ht="16" customHeight="1" thickBot="1" x14ac:dyDescent="0.25">
      <c r="B5" s="14"/>
      <c r="C5" s="3"/>
      <c r="D5" s="3"/>
      <c r="H5" s="15"/>
      <c r="J5" s="16">
        <v>43752</v>
      </c>
      <c r="K5" s="17" t="s">
        <v>4481</v>
      </c>
      <c r="L5" s="17"/>
      <c r="M5" s="17"/>
      <c r="N5" s="18"/>
    </row>
    <row r="6" spans="2:31" ht="16" customHeight="1" thickBot="1" x14ac:dyDescent="0.25">
      <c r="B6" s="19" t="s">
        <v>4482</v>
      </c>
      <c r="C6" s="20">
        <v>85.050003051757812</v>
      </c>
      <c r="D6" s="21">
        <v>-6.8195212741240907E-2</v>
      </c>
      <c r="E6" s="22" t="s">
        <v>4483</v>
      </c>
      <c r="F6" s="23" t="s">
        <v>4640</v>
      </c>
      <c r="G6" s="22" t="s">
        <v>4484</v>
      </c>
      <c r="H6" s="24">
        <v>6.4430894308943083</v>
      </c>
      <c r="L6" s="25"/>
      <c r="M6" s="26"/>
    </row>
    <row r="7" spans="2:31" x14ac:dyDescent="0.2">
      <c r="B7" s="19" t="s">
        <v>4485</v>
      </c>
      <c r="C7" s="20">
        <v>65.849998474121094</v>
      </c>
      <c r="D7" s="21">
        <v>0.20349281452367959</v>
      </c>
      <c r="E7" s="22" t="s">
        <v>4486</v>
      </c>
      <c r="F7" s="3" t="s">
        <v>4641</v>
      </c>
      <c r="G7" s="22" t="s">
        <v>4487</v>
      </c>
      <c r="H7" s="27">
        <v>0.46899999999999997</v>
      </c>
      <c r="L7" s="28"/>
      <c r="M7" s="26"/>
      <c r="N7" s="136"/>
      <c r="R7" s="8" t="s">
        <v>4488</v>
      </c>
      <c r="S7" s="11"/>
      <c r="T7" s="29"/>
    </row>
    <row r="8" spans="2:31" x14ac:dyDescent="0.2">
      <c r="B8" s="19" t="s">
        <v>4489</v>
      </c>
      <c r="C8" s="30">
        <v>8.2100000000000006E-2</v>
      </c>
      <c r="D8" s="31"/>
      <c r="E8" s="22" t="s">
        <v>2503</v>
      </c>
      <c r="F8" s="3"/>
      <c r="G8" s="22" t="s">
        <v>4490</v>
      </c>
      <c r="H8" s="15" t="s">
        <v>4582</v>
      </c>
      <c r="R8" s="32" t="s">
        <v>4491</v>
      </c>
      <c r="T8" s="33"/>
    </row>
    <row r="9" spans="2:31" x14ac:dyDescent="0.2">
      <c r="B9" s="19" t="s">
        <v>4492</v>
      </c>
      <c r="C9" s="4">
        <v>17239</v>
      </c>
      <c r="D9" s="3"/>
      <c r="E9" s="22" t="s">
        <v>4493</v>
      </c>
      <c r="F9" s="3">
        <v>2.69</v>
      </c>
      <c r="G9" s="22" t="s">
        <v>27</v>
      </c>
      <c r="H9" s="15" t="s">
        <v>115</v>
      </c>
      <c r="R9" s="32" t="s">
        <v>4495</v>
      </c>
      <c r="T9" s="33"/>
    </row>
    <row r="10" spans="2:31" x14ac:dyDescent="0.2">
      <c r="B10" s="19" t="s">
        <v>1283</v>
      </c>
      <c r="C10" s="34">
        <v>18141</v>
      </c>
      <c r="D10" s="4">
        <v>902</v>
      </c>
      <c r="E10" s="22" t="s">
        <v>4496</v>
      </c>
      <c r="F10" s="31">
        <v>3.3943217665615137E-2</v>
      </c>
      <c r="G10" s="22" t="s">
        <v>28</v>
      </c>
      <c r="H10" s="15" t="s">
        <v>4642</v>
      </c>
      <c r="R10" s="32" t="s">
        <v>4497</v>
      </c>
      <c r="T10" s="33"/>
    </row>
    <row r="11" spans="2:31" ht="16" customHeight="1" thickBot="1" x14ac:dyDescent="0.25">
      <c r="B11" s="19" t="s">
        <v>4498</v>
      </c>
      <c r="C11" s="20">
        <v>13.79787265949521</v>
      </c>
      <c r="D11" s="3"/>
      <c r="E11" s="22" t="s">
        <v>4499</v>
      </c>
      <c r="F11" s="20">
        <v>0.34000000357627869</v>
      </c>
      <c r="G11" s="22" t="s">
        <v>4500</v>
      </c>
      <c r="H11" s="35" t="s">
        <v>4643</v>
      </c>
      <c r="R11" s="36" t="s">
        <v>4502</v>
      </c>
      <c r="S11" s="17"/>
      <c r="T11" s="37"/>
    </row>
    <row r="12" spans="2:31" ht="15.75" customHeight="1" thickBot="1" x14ac:dyDescent="0.25">
      <c r="B12" s="38" t="s">
        <v>4503</v>
      </c>
      <c r="C12" s="39" t="s">
        <v>4644</v>
      </c>
      <c r="D12" s="40"/>
      <c r="E12" s="17"/>
      <c r="F12" s="17"/>
      <c r="G12" s="17"/>
      <c r="H12" s="18"/>
    </row>
    <row r="13" spans="2:31" ht="16" customHeight="1" thickBot="1" x14ac:dyDescent="0.25">
      <c r="D13" s="41"/>
      <c r="L13" s="28"/>
      <c r="M13" s="26"/>
    </row>
    <row r="14" spans="2:31" ht="16" customHeight="1" thickBot="1" x14ac:dyDescent="0.25">
      <c r="G14" s="42" t="s">
        <v>4504</v>
      </c>
      <c r="H14" s="43" t="s">
        <v>4618</v>
      </c>
    </row>
    <row r="15" spans="2:31" ht="16" customHeight="1" x14ac:dyDescent="0.2">
      <c r="B15" s="8"/>
      <c r="C15" s="44">
        <v>2017</v>
      </c>
      <c r="D15" s="44">
        <v>2018</v>
      </c>
      <c r="E15" s="44">
        <v>2019</v>
      </c>
      <c r="F15" s="44" t="s">
        <v>4506</v>
      </c>
      <c r="G15" s="44" t="s">
        <v>4507</v>
      </c>
      <c r="H15" s="45" t="s">
        <v>4508</v>
      </c>
      <c r="J15" s="46"/>
      <c r="K15" s="47" t="s">
        <v>4645</v>
      </c>
      <c r="L15" s="47" t="s">
        <v>4646</v>
      </c>
      <c r="M15" s="47" t="s">
        <v>4647</v>
      </c>
      <c r="N15" s="47" t="s">
        <v>4648</v>
      </c>
      <c r="O15" s="48" t="s">
        <v>4509</v>
      </c>
      <c r="AA15" s="2" t="s">
        <v>4479</v>
      </c>
      <c r="AB15" s="2">
        <v>383.3</v>
      </c>
      <c r="AC15" s="2">
        <v>88.27</v>
      </c>
      <c r="AD15" s="2">
        <v>27.19</v>
      </c>
      <c r="AE15" s="2">
        <v>38.64</v>
      </c>
    </row>
    <row r="16" spans="2:31" x14ac:dyDescent="0.2">
      <c r="B16" s="19" t="s">
        <v>4510</v>
      </c>
      <c r="C16" s="4">
        <v>15417</v>
      </c>
      <c r="D16" s="4">
        <v>15274</v>
      </c>
      <c r="E16" s="4">
        <v>15290</v>
      </c>
      <c r="F16" s="4">
        <v>14938</v>
      </c>
      <c r="G16" s="4">
        <v>15271</v>
      </c>
      <c r="H16" s="49">
        <v>15805</v>
      </c>
      <c r="J16" s="19" t="s">
        <v>4492</v>
      </c>
      <c r="K16" s="4">
        <v>12311</v>
      </c>
      <c r="L16" s="4">
        <v>10520</v>
      </c>
      <c r="M16" s="4">
        <v>8616</v>
      </c>
      <c r="N16" s="4">
        <v>5540</v>
      </c>
      <c r="O16" s="49">
        <v>9246.75</v>
      </c>
      <c r="AA16" s="2" t="s">
        <v>4492</v>
      </c>
      <c r="AB16" s="2">
        <v>191403</v>
      </c>
      <c r="AC16" s="2">
        <v>35478</v>
      </c>
      <c r="AD16" s="2">
        <v>11620</v>
      </c>
      <c r="AE16" s="2" t="s">
        <v>4511</v>
      </c>
    </row>
    <row r="17" spans="2:31" ht="15" customHeight="1" x14ac:dyDescent="0.2">
      <c r="B17" s="19" t="s">
        <v>4512</v>
      </c>
      <c r="C17" s="4"/>
      <c r="D17" s="94">
        <v>-9.2754751248621658E-3</v>
      </c>
      <c r="E17" s="94">
        <v>1.0475317533062719E-3</v>
      </c>
      <c r="F17" s="94">
        <v>-2.302158273381295E-2</v>
      </c>
      <c r="G17" s="94">
        <v>2.2292140848841881E-2</v>
      </c>
      <c r="H17" s="95">
        <v>3.4968240455765832E-2</v>
      </c>
      <c r="J17" s="19" t="s">
        <v>1283</v>
      </c>
      <c r="K17" s="4">
        <v>16954</v>
      </c>
      <c r="L17" s="4">
        <v>11744</v>
      </c>
      <c r="M17" s="4">
        <v>10802</v>
      </c>
      <c r="N17" s="4">
        <v>6429</v>
      </c>
      <c r="O17" s="49">
        <v>11482.25</v>
      </c>
      <c r="AA17" s="2" t="s">
        <v>1283</v>
      </c>
      <c r="AB17" s="138">
        <v>192879</v>
      </c>
      <c r="AC17" s="2">
        <v>37143</v>
      </c>
      <c r="AD17" s="2">
        <v>11760</v>
      </c>
      <c r="AE17" s="2" t="s">
        <v>4513</v>
      </c>
    </row>
    <row r="18" spans="2:31" ht="15" customHeight="1" x14ac:dyDescent="0.2">
      <c r="B18" s="19" t="s">
        <v>4514</v>
      </c>
      <c r="C18" s="4">
        <v>2302</v>
      </c>
      <c r="D18" s="4">
        <v>2342</v>
      </c>
      <c r="E18" s="4">
        <v>2369</v>
      </c>
      <c r="F18" s="4">
        <v>2377</v>
      </c>
      <c r="G18" s="4">
        <v>2428</v>
      </c>
      <c r="H18" s="49">
        <v>2515</v>
      </c>
      <c r="J18" s="19" t="s">
        <v>4515</v>
      </c>
      <c r="K18" s="51">
        <v>11.69156626506024</v>
      </c>
      <c r="L18" s="51">
        <v>8.9599198396793582</v>
      </c>
      <c r="M18" s="4">
        <v>12.32258064516129</v>
      </c>
      <c r="N18" s="51">
        <v>18.26573426573427</v>
      </c>
      <c r="O18" s="52">
        <v>12.80995025390879</v>
      </c>
      <c r="AA18" s="2" t="s">
        <v>4516</v>
      </c>
      <c r="AB18" s="138">
        <v>16</v>
      </c>
      <c r="AC18" s="2">
        <v>0</v>
      </c>
      <c r="AD18" s="2">
        <v>0.49</v>
      </c>
      <c r="AE18" s="2">
        <v>1.54</v>
      </c>
    </row>
    <row r="19" spans="2:31" ht="15" customHeight="1" x14ac:dyDescent="0.2">
      <c r="B19" s="19" t="s">
        <v>4517</v>
      </c>
      <c r="C19" s="21">
        <v>0.14931569047155741</v>
      </c>
      <c r="D19" s="21">
        <v>0.15333246039020559</v>
      </c>
      <c r="E19" s="21">
        <v>0.15493786788750821</v>
      </c>
      <c r="F19" s="21">
        <v>0.15912438077386529</v>
      </c>
      <c r="G19" s="21">
        <v>0.15899417195992399</v>
      </c>
      <c r="H19" s="55">
        <v>0.15912685858905409</v>
      </c>
      <c r="J19" s="19" t="s">
        <v>4518</v>
      </c>
      <c r="K19" s="51">
        <v>7.599282832810399</v>
      </c>
      <c r="L19" s="51">
        <v>5.117211328976035</v>
      </c>
      <c r="M19" s="51">
        <v>7.7267525035765381</v>
      </c>
      <c r="N19" s="51">
        <v>8.9415855354659257</v>
      </c>
      <c r="O19" s="52">
        <v>7.346208050207224</v>
      </c>
      <c r="AA19" s="2" t="s">
        <v>4519</v>
      </c>
      <c r="AB19" s="2">
        <v>13603</v>
      </c>
      <c r="AC19" s="138" t="s">
        <v>4520</v>
      </c>
      <c r="AD19" s="2">
        <v>425</v>
      </c>
      <c r="AE19" s="2">
        <v>576</v>
      </c>
    </row>
    <row r="20" spans="2:31" ht="15" customHeight="1" x14ac:dyDescent="0.2">
      <c r="B20" s="19" t="s">
        <v>4521</v>
      </c>
      <c r="C20" s="4">
        <v>2009</v>
      </c>
      <c r="D20" s="4">
        <v>2060</v>
      </c>
      <c r="E20" s="4">
        <v>2105</v>
      </c>
      <c r="F20" s="4">
        <v>2131</v>
      </c>
      <c r="G20" s="4">
        <v>2193</v>
      </c>
      <c r="H20" s="49">
        <v>2268</v>
      </c>
      <c r="J20" s="19" t="s">
        <v>4522</v>
      </c>
      <c r="K20" s="51">
        <v>8.8486430062630479</v>
      </c>
      <c r="L20" s="51">
        <v>7.078963230861965</v>
      </c>
      <c r="M20" s="51">
        <v>9.4920913884007021</v>
      </c>
      <c r="N20" s="51">
        <v>16.655440414507769</v>
      </c>
      <c r="O20" s="52">
        <v>10.51878451000837</v>
      </c>
      <c r="AA20" s="2" t="s">
        <v>4523</v>
      </c>
      <c r="AB20" s="2">
        <v>11392</v>
      </c>
      <c r="AD20" s="2">
        <v>234</v>
      </c>
      <c r="AE20" s="2">
        <v>495</v>
      </c>
    </row>
    <row r="21" spans="2:31" ht="15" customHeight="1" x14ac:dyDescent="0.2">
      <c r="B21" s="19" t="s">
        <v>4524</v>
      </c>
      <c r="C21" s="21">
        <v>0.13031069598495171</v>
      </c>
      <c r="D21" s="21">
        <v>0.1348697132381825</v>
      </c>
      <c r="E21" s="21">
        <v>0.13767168083714851</v>
      </c>
      <c r="F21" s="21">
        <v>0.14265631275940549</v>
      </c>
      <c r="G21" s="21">
        <v>0.14360552681553271</v>
      </c>
      <c r="H21" s="55">
        <v>0.1434988927554571</v>
      </c>
      <c r="J21" s="19" t="s">
        <v>4525</v>
      </c>
      <c r="K21" s="51">
        <v>1.08477829675603</v>
      </c>
      <c r="L21" s="51">
        <v>1.189025007593399</v>
      </c>
      <c r="M21" s="51">
        <v>1.2413238336014709</v>
      </c>
      <c r="N21" s="51">
        <v>1.6193954659949621</v>
      </c>
      <c r="O21" s="52">
        <v>1.2836306509864659</v>
      </c>
      <c r="AA21" s="2" t="s">
        <v>4526</v>
      </c>
      <c r="AB21" s="2">
        <v>53631</v>
      </c>
      <c r="AC21" s="138" t="s">
        <v>4520</v>
      </c>
      <c r="AD21" s="2">
        <v>5378</v>
      </c>
      <c r="AE21" s="2">
        <v>1642</v>
      </c>
    </row>
    <row r="22" spans="2:31" ht="15" customHeight="1" x14ac:dyDescent="0.2">
      <c r="B22" s="19" t="s">
        <v>4527</v>
      </c>
      <c r="C22" s="4">
        <v>1142</v>
      </c>
      <c r="D22" s="4">
        <v>1087</v>
      </c>
      <c r="E22" s="4">
        <v>1326</v>
      </c>
      <c r="F22" s="4">
        <v>1327</v>
      </c>
      <c r="G22" s="4">
        <v>1376</v>
      </c>
      <c r="H22" s="49">
        <v>1466</v>
      </c>
      <c r="J22" s="19" t="s">
        <v>2479</v>
      </c>
      <c r="K22" s="20">
        <v>1.244102564102564</v>
      </c>
      <c r="L22" s="20">
        <v>1.288472622478386</v>
      </c>
      <c r="M22" s="20">
        <v>2.9160305343511448</v>
      </c>
      <c r="N22" s="20">
        <v>2.0406249999999999</v>
      </c>
      <c r="O22" s="52">
        <v>1.8723076802330241</v>
      </c>
      <c r="AA22" s="2" t="s">
        <v>4528</v>
      </c>
      <c r="AB22" s="138">
        <v>82.6</v>
      </c>
      <c r="AC22" s="138">
        <v>13.2</v>
      </c>
      <c r="AD22" s="2">
        <v>5.39</v>
      </c>
      <c r="AE22" s="138">
        <v>6.41</v>
      </c>
    </row>
    <row r="23" spans="2:31" ht="15" customHeight="1" x14ac:dyDescent="0.2">
      <c r="B23" s="19" t="s">
        <v>4529</v>
      </c>
      <c r="C23" s="21">
        <v>7.407407407407407E-2</v>
      </c>
      <c r="D23" s="21">
        <v>7.1166688490244864E-2</v>
      </c>
      <c r="E23" s="21">
        <v>8.6723348593852195E-2</v>
      </c>
      <c r="F23" s="21">
        <v>8.8833846565805327E-2</v>
      </c>
      <c r="G23" s="21">
        <v>9.0105428590138176E-2</v>
      </c>
      <c r="H23" s="55">
        <v>9.2755457133818414E-2</v>
      </c>
      <c r="J23" s="19" t="s">
        <v>4517</v>
      </c>
      <c r="K23" s="21">
        <v>0.14274745665109731</v>
      </c>
      <c r="L23" s="21">
        <v>0.23235800344234081</v>
      </c>
      <c r="M23" s="21">
        <v>0.16065272351183629</v>
      </c>
      <c r="N23" s="21">
        <v>0.1811083123425693</v>
      </c>
      <c r="O23" s="55">
        <v>0.17921662398696089</v>
      </c>
      <c r="AA23" s="2" t="s">
        <v>4530</v>
      </c>
      <c r="AB23" s="2">
        <v>0.25364061829911799</v>
      </c>
      <c r="AC23" s="2" t="e">
        <v>#VALUE!</v>
      </c>
      <c r="AD23" s="2">
        <v>7.9025660096690223E-2</v>
      </c>
      <c r="AE23" s="2">
        <v>0.3507917174177832</v>
      </c>
    </row>
    <row r="24" spans="2:31" ht="15" customHeight="1" x14ac:dyDescent="0.2">
      <c r="B24" s="19"/>
      <c r="C24" s="4"/>
      <c r="D24" s="96">
        <v>-4.816112084063047E-2</v>
      </c>
      <c r="E24" s="96">
        <v>0.2198712051517939</v>
      </c>
      <c r="F24" s="96">
        <v>7.5414781297134241E-4</v>
      </c>
      <c r="G24" s="96">
        <v>3.6925395629238883E-2</v>
      </c>
      <c r="H24" s="97">
        <v>6.5406976744186052E-2</v>
      </c>
      <c r="J24" s="19" t="s">
        <v>4524</v>
      </c>
      <c r="K24" s="21">
        <v>0.1225926162902297</v>
      </c>
      <c r="L24" s="21">
        <v>0.16796598157335221</v>
      </c>
      <c r="M24" s="21">
        <v>0.1307745345897495</v>
      </c>
      <c r="N24" s="21">
        <v>9.7229219143576823E-2</v>
      </c>
      <c r="O24" s="55">
        <v>0.12964058789922711</v>
      </c>
      <c r="AA24" s="2" t="s">
        <v>4531</v>
      </c>
      <c r="AB24" s="2">
        <v>0.2124144617851616</v>
      </c>
      <c r="AC24" s="2" t="e">
        <v>#VALUE!</v>
      </c>
      <c r="AD24" s="2">
        <v>4.3510598735589441E-2</v>
      </c>
      <c r="AE24" s="2">
        <v>0.30146163215590738</v>
      </c>
    </row>
    <row r="25" spans="2:31" ht="15" customHeight="1" x14ac:dyDescent="0.2">
      <c r="B25" s="19" t="s">
        <v>4532</v>
      </c>
      <c r="C25" s="4" t="s">
        <v>4649</v>
      </c>
      <c r="D25" s="4" t="s">
        <v>4650</v>
      </c>
      <c r="E25" s="4" t="s">
        <v>4640</v>
      </c>
      <c r="F25" s="4" t="s">
        <v>4641</v>
      </c>
      <c r="G25" s="4" t="s">
        <v>4651</v>
      </c>
      <c r="H25" s="49" t="s">
        <v>4652</v>
      </c>
      <c r="J25" s="19" t="s">
        <v>4539</v>
      </c>
      <c r="K25" s="21">
        <v>7.1533687376031732E-2</v>
      </c>
      <c r="L25" s="21">
        <v>0.1171408322365091</v>
      </c>
      <c r="M25" s="21">
        <v>8.3429096759365662E-2</v>
      </c>
      <c r="N25" s="21">
        <v>7.8337531486146098E-2</v>
      </c>
      <c r="O25" s="97">
        <v>8.7610286964513132E-2</v>
      </c>
      <c r="AA25" s="2" t="s">
        <v>4540</v>
      </c>
      <c r="AB25" s="2">
        <v>8067</v>
      </c>
      <c r="AC25" s="138" t="s">
        <v>4520</v>
      </c>
      <c r="AD25" s="2">
        <v>222</v>
      </c>
      <c r="AE25" s="2">
        <v>390</v>
      </c>
    </row>
    <row r="26" spans="2:31" ht="15" customHeight="1" x14ac:dyDescent="0.2">
      <c r="B26" s="19" t="s">
        <v>4541</v>
      </c>
      <c r="C26" s="4">
        <v>4.78</v>
      </c>
      <c r="D26" s="4">
        <v>4.6500000000000004</v>
      </c>
      <c r="E26" s="4">
        <v>5.83</v>
      </c>
      <c r="F26" s="4">
        <v>5.98</v>
      </c>
      <c r="G26" s="4">
        <v>6.35</v>
      </c>
      <c r="H26" s="49">
        <v>6.98</v>
      </c>
      <c r="J26" s="19" t="s">
        <v>21</v>
      </c>
      <c r="K26" s="31">
        <v>6.1933223413025561E-2</v>
      </c>
      <c r="L26" s="31">
        <v>5.4350257213151433E-2</v>
      </c>
      <c r="M26" s="31">
        <v>4.4066317626527053E-2</v>
      </c>
      <c r="N26" s="31">
        <v>2.6033690658499239E-2</v>
      </c>
      <c r="O26" s="50">
        <v>4.6595872227800823E-2</v>
      </c>
      <c r="AA26" s="2" t="s">
        <v>4542</v>
      </c>
      <c r="AB26" s="2">
        <v>7.62</v>
      </c>
      <c r="AC26" s="2">
        <v>2.13</v>
      </c>
      <c r="AD26" s="2" t="s">
        <v>4494</v>
      </c>
      <c r="AE26" s="2">
        <v>0.52</v>
      </c>
    </row>
    <row r="27" spans="2:31" ht="15" customHeight="1" thickBot="1" x14ac:dyDescent="0.25">
      <c r="B27" s="19" t="s">
        <v>4512</v>
      </c>
      <c r="C27" s="4"/>
      <c r="D27" s="96">
        <v>-2.7196652719665249E-2</v>
      </c>
      <c r="E27" s="96">
        <v>0.25376344086021502</v>
      </c>
      <c r="F27" s="96">
        <v>2.5728987993139E-2</v>
      </c>
      <c r="G27" s="96">
        <v>6.1872909698996517E-2</v>
      </c>
      <c r="H27" s="97">
        <v>9.9212598425196974E-2</v>
      </c>
      <c r="J27" s="38" t="s">
        <v>4487</v>
      </c>
      <c r="K27" s="40">
        <v>0.11799999999999999</v>
      </c>
      <c r="L27" s="40">
        <v>0.157</v>
      </c>
      <c r="M27" s="40">
        <v>0.28499999999999998</v>
      </c>
      <c r="N27" s="40">
        <v>0.109</v>
      </c>
      <c r="O27" s="59">
        <v>0.16725000000000001</v>
      </c>
      <c r="AA27" s="2" t="s">
        <v>4487</v>
      </c>
      <c r="AB27" s="60">
        <v>0.21</v>
      </c>
      <c r="AC27" s="26">
        <v>0.29399999999999998</v>
      </c>
      <c r="AD27" s="26">
        <v>7.3400000000000007E-2</v>
      </c>
      <c r="AE27" s="26">
        <v>0.29499999999999998</v>
      </c>
    </row>
    <row r="28" spans="2:31" ht="15" customHeight="1" x14ac:dyDescent="0.2">
      <c r="B28" s="19" t="s">
        <v>4518</v>
      </c>
      <c r="C28" s="4">
        <v>7.8805386620330147</v>
      </c>
      <c r="D28" s="4">
        <v>7.7459436379163096</v>
      </c>
      <c r="E28" s="4">
        <v>7.6576614605318696</v>
      </c>
      <c r="F28" s="4">
        <v>7.6318889356331514</v>
      </c>
      <c r="G28" s="4">
        <v>7.4715815485996702</v>
      </c>
      <c r="H28" s="49">
        <v>7.2131212723658056</v>
      </c>
    </row>
    <row r="29" spans="2:31" ht="15" customHeight="1" x14ac:dyDescent="0.2">
      <c r="B29" s="19" t="s">
        <v>4522</v>
      </c>
      <c r="C29" s="4">
        <v>9.0298656047784966</v>
      </c>
      <c r="D29" s="4">
        <v>8.8063106796116504</v>
      </c>
      <c r="E29" s="4">
        <v>8.6180522565320672</v>
      </c>
      <c r="F29" s="4">
        <v>8.512904739558893</v>
      </c>
      <c r="G29" s="4">
        <v>8.2722298221614228</v>
      </c>
      <c r="H29" s="49">
        <v>7.9986772486772484</v>
      </c>
    </row>
    <row r="30" spans="2:31" ht="15" customHeight="1" thickBot="1" x14ac:dyDescent="0.25">
      <c r="B30" s="38" t="s">
        <v>4525</v>
      </c>
      <c r="C30" s="61">
        <v>1.176688071609262</v>
      </c>
      <c r="D30" s="61">
        <v>1.207861533484309</v>
      </c>
      <c r="E30" s="98">
        <v>1.1864617396991499</v>
      </c>
      <c r="F30" s="98">
        <v>1.214419601017539</v>
      </c>
      <c r="G30" s="98">
        <v>1.187937921550652</v>
      </c>
      <c r="H30" s="99">
        <v>1.147801328693451</v>
      </c>
      <c r="J30" s="136" t="s">
        <v>4543</v>
      </c>
    </row>
    <row r="31" spans="2:31" ht="16" customHeight="1" thickBot="1" x14ac:dyDescent="0.25">
      <c r="J31" s="46"/>
      <c r="K31" s="63"/>
      <c r="L31" s="44" t="s">
        <v>4544</v>
      </c>
      <c r="M31" s="44" t="s">
        <v>4545</v>
      </c>
      <c r="N31" s="44" t="s">
        <v>4546</v>
      </c>
      <c r="O31" s="48" t="s">
        <v>4547</v>
      </c>
    </row>
    <row r="32" spans="2:31" x14ac:dyDescent="0.2">
      <c r="B32" s="8" t="s">
        <v>4548</v>
      </c>
      <c r="C32" s="64">
        <v>1927</v>
      </c>
      <c r="D32" s="64">
        <v>1128</v>
      </c>
      <c r="E32" s="64">
        <v>1234</v>
      </c>
      <c r="F32" s="64">
        <v>1135</v>
      </c>
      <c r="G32" s="64">
        <v>902</v>
      </c>
      <c r="H32" s="72">
        <v>686</v>
      </c>
      <c r="J32" s="19" t="s">
        <v>4549</v>
      </c>
      <c r="K32" s="22" t="s">
        <v>4510</v>
      </c>
      <c r="L32" s="4">
        <v>3716.11</v>
      </c>
      <c r="M32" s="4">
        <v>3719.8</v>
      </c>
      <c r="N32" s="4">
        <v>3.69</v>
      </c>
      <c r="O32" s="104">
        <v>9.9297383554309594E-4</v>
      </c>
    </row>
    <row r="33" spans="2:15" x14ac:dyDescent="0.2">
      <c r="B33" s="19" t="s">
        <v>4514</v>
      </c>
      <c r="C33" s="4">
        <v>81</v>
      </c>
      <c r="D33" s="4">
        <v>149</v>
      </c>
      <c r="E33" s="4">
        <v>2369</v>
      </c>
      <c r="F33" s="4">
        <v>2377</v>
      </c>
      <c r="G33" s="4">
        <v>2428</v>
      </c>
      <c r="H33" s="49">
        <v>2515</v>
      </c>
      <c r="J33" s="19"/>
      <c r="K33" s="22" t="s">
        <v>4550</v>
      </c>
      <c r="L33" s="3">
        <v>1.61</v>
      </c>
      <c r="M33" s="3">
        <v>1.68</v>
      </c>
      <c r="N33" s="3">
        <v>7.0000000000000007E-2</v>
      </c>
      <c r="O33" s="104">
        <v>4.3478260869565112E-2</v>
      </c>
    </row>
    <row r="34" spans="2:15" x14ac:dyDescent="0.2">
      <c r="B34" s="19" t="s">
        <v>4551</v>
      </c>
      <c r="C34" s="20">
        <v>23.79012345679012</v>
      </c>
      <c r="D34" s="20">
        <v>7.5704697986577179</v>
      </c>
      <c r="E34" s="20">
        <v>0.52089489235964537</v>
      </c>
      <c r="F34" s="20">
        <v>0.47749263777871259</v>
      </c>
      <c r="G34" s="20">
        <v>0.37149917627677098</v>
      </c>
      <c r="H34" s="24">
        <v>0.2727634194831014</v>
      </c>
      <c r="J34" s="19" t="s">
        <v>4552</v>
      </c>
      <c r="K34" s="22" t="s">
        <v>4510</v>
      </c>
      <c r="L34" s="4">
        <v>3495.17</v>
      </c>
      <c r="M34" s="4">
        <v>3468.9</v>
      </c>
      <c r="N34" s="4">
        <v>26.27</v>
      </c>
      <c r="O34" s="104">
        <v>-7.516086485063668E-3</v>
      </c>
    </row>
    <row r="35" spans="2:15" x14ac:dyDescent="0.2">
      <c r="B35" s="19" t="s">
        <v>4553</v>
      </c>
      <c r="C35" s="68">
        <v>6.72</v>
      </c>
      <c r="D35" s="68">
        <v>7.16</v>
      </c>
      <c r="E35" s="68">
        <v>7.21</v>
      </c>
      <c r="F35" s="68">
        <v>7.34</v>
      </c>
      <c r="G35" s="68">
        <v>7.63</v>
      </c>
      <c r="H35" s="69">
        <v>8.07</v>
      </c>
      <c r="J35" s="19"/>
      <c r="K35" s="22" t="s">
        <v>4550</v>
      </c>
      <c r="L35" s="3">
        <v>1.0900000000000001</v>
      </c>
      <c r="M35" s="3">
        <v>1.17</v>
      </c>
      <c r="N35" s="3">
        <v>0.08</v>
      </c>
      <c r="O35" s="104">
        <v>7.3394495412843888E-2</v>
      </c>
    </row>
    <row r="36" spans="2:15" ht="16" customHeight="1" thickBot="1" x14ac:dyDescent="0.25">
      <c r="B36" s="38" t="s">
        <v>22</v>
      </c>
      <c r="C36" s="70">
        <v>9.2100000000000009</v>
      </c>
      <c r="D36" s="70">
        <v>11.4</v>
      </c>
      <c r="E36" s="70">
        <v>11.4</v>
      </c>
      <c r="F36" s="70">
        <v>12.3</v>
      </c>
      <c r="G36" s="70">
        <v>13.3</v>
      </c>
      <c r="H36" s="71">
        <v>14.6</v>
      </c>
      <c r="J36" s="19" t="s">
        <v>4554</v>
      </c>
      <c r="K36" s="22" t="s">
        <v>4510</v>
      </c>
      <c r="L36" s="4">
        <v>4070.82</v>
      </c>
      <c r="M36" s="4">
        <v>4086.7</v>
      </c>
      <c r="N36" s="4">
        <v>15.88</v>
      </c>
      <c r="O36" s="104">
        <v>3.900933964164383E-3</v>
      </c>
    </row>
    <row r="37" spans="2:15" ht="16" customHeight="1" thickBot="1" x14ac:dyDescent="0.25">
      <c r="J37" s="19"/>
      <c r="K37" s="22" t="s">
        <v>4550</v>
      </c>
      <c r="L37" s="3">
        <v>1.66</v>
      </c>
      <c r="M37" s="3">
        <v>1.77</v>
      </c>
      <c r="N37" s="3">
        <v>0.11</v>
      </c>
      <c r="O37" s="104">
        <v>6.6265060240963916E-2</v>
      </c>
    </row>
    <row r="38" spans="2:15" x14ac:dyDescent="0.2">
      <c r="B38" s="8" t="s">
        <v>4555</v>
      </c>
      <c r="C38" s="72">
        <v>1492005</v>
      </c>
      <c r="F38" s="8" t="s">
        <v>4556</v>
      </c>
      <c r="G38" s="64">
        <v>81.81</v>
      </c>
      <c r="H38" s="101">
        <v>-3.1292018090697989E-2</v>
      </c>
      <c r="J38" s="19" t="s">
        <v>4557</v>
      </c>
      <c r="K38" s="22" t="s">
        <v>4510</v>
      </c>
      <c r="L38" s="4">
        <v>3695.98</v>
      </c>
      <c r="M38" s="4">
        <v>3714.3</v>
      </c>
      <c r="N38" s="4">
        <v>18.32</v>
      </c>
      <c r="O38" s="104">
        <v>4.9567367788787182E-3</v>
      </c>
    </row>
    <row r="39" spans="2:15" ht="16" customHeight="1" thickBot="1" x14ac:dyDescent="0.25">
      <c r="B39" s="19" t="s">
        <v>4558</v>
      </c>
      <c r="C39" s="49" t="s">
        <v>4653</v>
      </c>
      <c r="F39" s="38" t="s">
        <v>4560</v>
      </c>
      <c r="G39" s="98">
        <v>78.069999999999993</v>
      </c>
      <c r="H39" s="59">
        <v>1.5114640707057861E-2</v>
      </c>
      <c r="J39" s="38"/>
      <c r="K39" s="77" t="s">
        <v>4550</v>
      </c>
      <c r="L39" s="78">
        <v>1.21</v>
      </c>
      <c r="M39" s="78">
        <v>1.24</v>
      </c>
      <c r="N39" s="78">
        <v>0.03</v>
      </c>
      <c r="O39" s="105">
        <v>2.4793388429752091E-2</v>
      </c>
    </row>
    <row r="40" spans="2:15" ht="16" customHeight="1" thickBot="1" x14ac:dyDescent="0.25">
      <c r="B40" s="38" t="s">
        <v>4561</v>
      </c>
      <c r="C40" s="99" t="s">
        <v>4654</v>
      </c>
    </row>
    <row r="41" spans="2:15" x14ac:dyDescent="0.2">
      <c r="F41" s="8" t="s">
        <v>4563</v>
      </c>
      <c r="G41" s="11"/>
      <c r="H41" s="72" t="s">
        <v>4655</v>
      </c>
    </row>
    <row r="42" spans="2:15" ht="16" customHeight="1" thickBot="1" x14ac:dyDescent="0.25">
      <c r="F42" s="38" t="s">
        <v>4565</v>
      </c>
      <c r="G42" s="17"/>
      <c r="H42" s="99" t="s">
        <v>4656</v>
      </c>
    </row>
    <row r="43" spans="2:15" ht="19.5" customHeight="1" thickBot="1" x14ac:dyDescent="0.25"/>
    <row r="44" spans="2:15" ht="18" customHeight="1" x14ac:dyDescent="0.2">
      <c r="B44" s="8" t="s">
        <v>4566</v>
      </c>
      <c r="C44" s="64" t="s">
        <v>4567</v>
      </c>
      <c r="D44" s="103">
        <v>0.56000000000000005</v>
      </c>
      <c r="F44" s="8" t="s">
        <v>4568</v>
      </c>
      <c r="G44" s="64" t="s">
        <v>4657</v>
      </c>
      <c r="H44" s="101">
        <v>0.53200000000000003</v>
      </c>
      <c r="J44" s="149" t="s">
        <v>4658</v>
      </c>
      <c r="K44" s="150"/>
      <c r="L44" s="150"/>
      <c r="M44" s="150"/>
      <c r="N44" s="150"/>
      <c r="O44" s="151"/>
    </row>
    <row r="45" spans="2:15" x14ac:dyDescent="0.2">
      <c r="B45" s="83"/>
      <c r="C45" s="4" t="s">
        <v>4608</v>
      </c>
      <c r="D45" s="95">
        <v>0.16200000000000001</v>
      </c>
      <c r="F45" s="83"/>
      <c r="G45" s="4" t="s">
        <v>4659</v>
      </c>
      <c r="H45" s="50">
        <v>0.307</v>
      </c>
      <c r="J45" s="152"/>
      <c r="K45" s="143"/>
      <c r="L45" s="143"/>
      <c r="M45" s="143"/>
      <c r="N45" s="143"/>
      <c r="O45" s="153"/>
    </row>
    <row r="46" spans="2:15" x14ac:dyDescent="0.2">
      <c r="B46" s="83"/>
      <c r="C46" s="4" t="s">
        <v>4660</v>
      </c>
      <c r="D46" s="106">
        <v>0.106</v>
      </c>
      <c r="F46" s="83"/>
      <c r="G46" s="4">
        <v>1375</v>
      </c>
      <c r="H46" s="50">
        <v>0</v>
      </c>
      <c r="J46" s="152"/>
      <c r="K46" s="143"/>
      <c r="L46" s="143"/>
      <c r="M46" s="143"/>
      <c r="N46" s="143"/>
      <c r="O46" s="153"/>
    </row>
    <row r="47" spans="2:15" ht="25.5" customHeight="1" thickBot="1" x14ac:dyDescent="0.25">
      <c r="B47" s="87"/>
      <c r="C47" s="98" t="s">
        <v>4661</v>
      </c>
      <c r="D47" s="76">
        <v>9.0999999999999998E-2</v>
      </c>
      <c r="F47" s="87"/>
      <c r="G47" s="98">
        <v>1109</v>
      </c>
      <c r="H47" s="59">
        <v>0</v>
      </c>
      <c r="J47" s="154"/>
      <c r="K47" s="144"/>
      <c r="L47" s="144"/>
      <c r="M47" s="144"/>
      <c r="N47" s="144"/>
      <c r="O47" s="155"/>
    </row>
    <row r="53" spans="2:9" ht="16" customHeight="1" thickBot="1" x14ac:dyDescent="0.25"/>
    <row r="54" spans="2:9" x14ac:dyDescent="0.2">
      <c r="B54" s="8" t="s">
        <v>4479</v>
      </c>
      <c r="C54" s="9">
        <v>192.21</v>
      </c>
      <c r="D54" s="10"/>
      <c r="E54" s="11"/>
      <c r="F54" s="11"/>
      <c r="G54" s="11"/>
      <c r="H54" s="11"/>
      <c r="I54" s="12"/>
    </row>
    <row r="55" spans="2:9" x14ac:dyDescent="0.2">
      <c r="B55" s="14"/>
      <c r="C55" s="3"/>
      <c r="D55" s="3"/>
      <c r="I55" s="15"/>
    </row>
    <row r="56" spans="2:9" x14ac:dyDescent="0.2">
      <c r="B56" s="19" t="s">
        <v>4482</v>
      </c>
      <c r="C56" s="20">
        <v>216.25999450683591</v>
      </c>
      <c r="D56" s="21">
        <v>-0.1112087076561713</v>
      </c>
      <c r="E56" s="22" t="s">
        <v>4483</v>
      </c>
      <c r="F56" s="23" t="s">
        <v>4535</v>
      </c>
      <c r="G56" s="22" t="s">
        <v>4484</v>
      </c>
      <c r="H56" s="20">
        <v>15.626829268292679</v>
      </c>
      <c r="I56" s="15"/>
    </row>
    <row r="57" spans="2:9" x14ac:dyDescent="0.2">
      <c r="B57" s="19" t="s">
        <v>4485</v>
      </c>
      <c r="C57" s="20">
        <v>153.1300048828125</v>
      </c>
      <c r="D57" s="21">
        <v>0.25520795318392819</v>
      </c>
      <c r="E57" s="22" t="s">
        <v>4486</v>
      </c>
      <c r="F57" s="3" t="s">
        <v>4536</v>
      </c>
      <c r="G57" s="22" t="s">
        <v>4487</v>
      </c>
      <c r="H57" s="30">
        <v>0.39400000000000002</v>
      </c>
      <c r="I57" s="15"/>
    </row>
    <row r="58" spans="2:9" x14ac:dyDescent="0.2">
      <c r="B58" s="19" t="s">
        <v>4489</v>
      </c>
      <c r="C58" s="30">
        <v>0.58050000000000002</v>
      </c>
      <c r="D58" s="31"/>
      <c r="E58" s="22" t="s">
        <v>2503</v>
      </c>
      <c r="F58" s="3"/>
      <c r="G58" s="22" t="s">
        <v>4490</v>
      </c>
      <c r="H58" s="2" t="s">
        <v>4574</v>
      </c>
      <c r="I58" s="15"/>
    </row>
    <row r="59" spans="2:9" x14ac:dyDescent="0.2">
      <c r="B59" s="19" t="s">
        <v>4492</v>
      </c>
      <c r="C59" s="4">
        <v>25040</v>
      </c>
      <c r="D59" s="3"/>
      <c r="E59" s="22" t="s">
        <v>4493</v>
      </c>
      <c r="F59" s="3" t="s">
        <v>4494</v>
      </c>
      <c r="G59" s="22" t="s">
        <v>27</v>
      </c>
      <c r="H59" s="2" t="s">
        <v>115</v>
      </c>
      <c r="I59" s="15"/>
    </row>
    <row r="60" spans="2:9" x14ac:dyDescent="0.2">
      <c r="B60" s="19" t="s">
        <v>1283</v>
      </c>
      <c r="C60" s="34">
        <v>23846</v>
      </c>
      <c r="D60" s="4">
        <v>-1194</v>
      </c>
      <c r="E60" s="22" t="s">
        <v>4496</v>
      </c>
      <c r="F60" s="31"/>
      <c r="G60" s="22" t="s">
        <v>28</v>
      </c>
      <c r="H60" s="2" t="s">
        <v>4575</v>
      </c>
      <c r="I60" s="15"/>
    </row>
    <row r="61" spans="2:9" ht="16" customHeight="1" thickBot="1" x14ac:dyDescent="0.25">
      <c r="B61" s="38" t="s">
        <v>4498</v>
      </c>
      <c r="C61" s="91">
        <v>1.4650000333786011</v>
      </c>
      <c r="D61" s="78"/>
      <c r="E61" s="77" t="s">
        <v>4499</v>
      </c>
      <c r="F61" s="91">
        <v>1.2599999904632571</v>
      </c>
      <c r="G61" s="77" t="s">
        <v>4500</v>
      </c>
      <c r="H61" s="92" t="s">
        <v>4501</v>
      </c>
      <c r="I61" s="18"/>
    </row>
    <row r="370" spans="8:8" x14ac:dyDescent="0.2">
      <c r="H370" s="2">
        <v>36.79</v>
      </c>
    </row>
  </sheetData>
  <mergeCells count="1">
    <mergeCell ref="J44:O47"/>
  </mergeCells>
  <conditionalFormatting sqref="O32">
    <cfRule type="cellIs" dxfId="19" priority="5" operator="lessThan">
      <formula>0</formula>
    </cfRule>
    <cfRule type="cellIs" dxfId="18" priority="6" operator="greaterThan">
      <formula>0</formula>
    </cfRule>
  </conditionalFormatting>
  <conditionalFormatting sqref="O33:O39">
    <cfRule type="cellIs" dxfId="17" priority="3" operator="lessThan">
      <formula>0</formula>
    </cfRule>
    <cfRule type="cellIs" dxfId="16" priority="4" operator="greaterThan">
      <formula>0</formula>
    </cfRule>
  </conditionalFormatting>
  <conditionalFormatting sqref="D17:H17">
    <cfRule type="colorScale" priority="2">
      <colorScale>
        <cfvo type="min"/>
        <cfvo type="percentile" val="50"/>
        <cfvo type="max"/>
        <color rgb="FFF8696B"/>
        <color rgb="FFFFEB84"/>
        <color rgb="FF63BE7B"/>
      </colorScale>
    </cfRule>
  </conditionalFormatting>
  <conditionalFormatting sqref="D27:H27">
    <cfRule type="colorScale" priority="1">
      <colorScale>
        <cfvo type="min"/>
        <cfvo type="percentile" val="50"/>
        <cfvo type="max"/>
        <color rgb="FFF8696B"/>
        <color rgb="FFFFEB84"/>
        <color rgb="FF63BE7B"/>
      </colorScale>
    </cfRule>
  </conditionalFormatting>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dimension ref="B1:AE370"/>
  <sheetViews>
    <sheetView zoomScaleNormal="100" workbookViewId="0">
      <selection activeCell="Y62" sqref="Y62"/>
    </sheetView>
  </sheetViews>
  <sheetFormatPr baseColWidth="10" defaultColWidth="9.1640625" defaultRowHeight="15" x14ac:dyDescent="0.2"/>
  <cols>
    <col min="1" max="1" width="9.1640625" style="2" customWidth="1"/>
    <col min="2" max="2" width="20.33203125" style="2" customWidth="1"/>
    <col min="3" max="8" width="16.83203125" style="2" customWidth="1"/>
    <col min="9" max="9" width="6.6640625" style="2" customWidth="1"/>
    <col min="10" max="10" width="15" style="2" customWidth="1"/>
    <col min="11" max="14" width="11.33203125" style="2" customWidth="1"/>
    <col min="15" max="15" width="12.83203125" style="2" customWidth="1"/>
    <col min="16" max="16" width="14.6640625" style="2" customWidth="1"/>
    <col min="17" max="17" width="16" style="2" customWidth="1"/>
    <col min="18" max="18" width="17.83203125" style="2" customWidth="1"/>
    <col min="19" max="19" width="13.33203125" style="2" customWidth="1"/>
    <col min="20" max="20" width="9.6640625" style="2" customWidth="1"/>
    <col min="21" max="21" width="9.1640625" style="2" customWidth="1"/>
    <col min="22" max="24" width="1.6640625" style="2" customWidth="1"/>
    <col min="25" max="25" width="9.1640625" style="2" customWidth="1"/>
    <col min="26" max="16384" width="9.1640625" style="2"/>
  </cols>
  <sheetData>
    <row r="1" spans="2:31" ht="16" customHeight="1" thickBot="1" x14ac:dyDescent="0.25"/>
    <row r="2" spans="2:31" ht="16" customHeight="1" thickBot="1" x14ac:dyDescent="0.25">
      <c r="B2" s="93" t="s">
        <v>1919</v>
      </c>
      <c r="G2" s="6" t="s">
        <v>4662</v>
      </c>
      <c r="H2" s="7"/>
      <c r="Q2" s="2">
        <f>LEN([1]Summary!$C$1)</f>
        <v>27</v>
      </c>
    </row>
    <row r="3" spans="2:31" ht="16" customHeight="1" thickBot="1" x14ac:dyDescent="0.25"/>
    <row r="4" spans="2:31" x14ac:dyDescent="0.2">
      <c r="B4" s="8" t="s">
        <v>4479</v>
      </c>
      <c r="C4" s="9">
        <v>21.16</v>
      </c>
      <c r="D4" s="10"/>
      <c r="E4" s="11"/>
      <c r="F4" s="11"/>
      <c r="G4" s="11"/>
      <c r="H4" s="12"/>
      <c r="J4" s="13">
        <v>43691</v>
      </c>
      <c r="K4" s="11" t="s">
        <v>4639</v>
      </c>
      <c r="L4" s="11"/>
      <c r="M4" s="11"/>
      <c r="N4" s="12"/>
    </row>
    <row r="5" spans="2:31" ht="16" customHeight="1" thickBot="1" x14ac:dyDescent="0.25">
      <c r="B5" s="14"/>
      <c r="C5" s="3"/>
      <c r="D5" s="3"/>
      <c r="H5" s="15"/>
      <c r="J5" s="16">
        <v>43721</v>
      </c>
      <c r="K5" s="17" t="s">
        <v>4480</v>
      </c>
      <c r="L5" s="17"/>
      <c r="M5" s="17"/>
      <c r="N5" s="18"/>
    </row>
    <row r="6" spans="2:31" ht="16" customHeight="1" thickBot="1" x14ac:dyDescent="0.25">
      <c r="B6" s="19" t="s">
        <v>4482</v>
      </c>
      <c r="C6" s="20">
        <v>32.740001678466797</v>
      </c>
      <c r="D6" s="21">
        <v>-0.35369581810629541</v>
      </c>
      <c r="E6" s="22" t="s">
        <v>4483</v>
      </c>
      <c r="F6" s="23" t="s">
        <v>4663</v>
      </c>
      <c r="G6" s="22" t="s">
        <v>4484</v>
      </c>
      <c r="H6" s="24">
        <v>1.824137931034483</v>
      </c>
      <c r="L6" s="25"/>
      <c r="M6" s="26"/>
    </row>
    <row r="7" spans="2:31" x14ac:dyDescent="0.2">
      <c r="B7" s="19" t="s">
        <v>4485</v>
      </c>
      <c r="C7" s="20">
        <v>20.70000076293945</v>
      </c>
      <c r="D7" s="21">
        <v>2.2222184546201239E-2</v>
      </c>
      <c r="E7" s="22" t="s">
        <v>4486</v>
      </c>
      <c r="F7" s="3" t="s">
        <v>4664</v>
      </c>
      <c r="G7" s="22" t="s">
        <v>4487</v>
      </c>
      <c r="H7" s="27">
        <v>0.21199999999999999</v>
      </c>
      <c r="L7" s="28"/>
      <c r="M7" s="26"/>
      <c r="N7" s="136"/>
      <c r="R7" s="8" t="s">
        <v>4488</v>
      </c>
      <c r="S7" s="11"/>
      <c r="T7" s="29"/>
    </row>
    <row r="8" spans="2:31" x14ac:dyDescent="0.2">
      <c r="B8" s="19" t="s">
        <v>4489</v>
      </c>
      <c r="C8" s="30">
        <v>-0.23050000000000001</v>
      </c>
      <c r="D8" s="31"/>
      <c r="E8" s="22" t="s">
        <v>2503</v>
      </c>
      <c r="F8" s="3"/>
      <c r="G8" s="22" t="s">
        <v>4490</v>
      </c>
      <c r="H8" s="15" t="s">
        <v>4582</v>
      </c>
      <c r="R8" s="32" t="s">
        <v>4491</v>
      </c>
      <c r="T8" s="33"/>
    </row>
    <row r="9" spans="2:31" x14ac:dyDescent="0.2">
      <c r="B9" s="19" t="s">
        <v>4492</v>
      </c>
      <c r="C9" s="4">
        <v>16903</v>
      </c>
      <c r="D9" s="3"/>
      <c r="E9" s="22" t="s">
        <v>4493</v>
      </c>
      <c r="F9" s="3">
        <v>0.62</v>
      </c>
      <c r="G9" s="22" t="s">
        <v>27</v>
      </c>
      <c r="H9" s="15" t="s">
        <v>78</v>
      </c>
      <c r="R9" s="32" t="s">
        <v>4495</v>
      </c>
      <c r="T9" s="33"/>
    </row>
    <row r="10" spans="2:31" x14ac:dyDescent="0.2">
      <c r="B10" s="19" t="s">
        <v>1283</v>
      </c>
      <c r="C10" s="34">
        <v>29730</v>
      </c>
      <c r="D10" s="4">
        <v>12827</v>
      </c>
      <c r="E10" s="22" t="s">
        <v>4496</v>
      </c>
      <c r="F10" s="31">
        <v>2.9300567107750471E-2</v>
      </c>
      <c r="G10" s="22" t="s">
        <v>28</v>
      </c>
      <c r="H10" s="15" t="s">
        <v>4665</v>
      </c>
      <c r="R10" s="32" t="s">
        <v>4497</v>
      </c>
      <c r="T10" s="33"/>
    </row>
    <row r="11" spans="2:31" ht="16" customHeight="1" thickBot="1" x14ac:dyDescent="0.25">
      <c r="B11" s="19" t="s">
        <v>4498</v>
      </c>
      <c r="C11" s="20">
        <v>5.0975337255372386</v>
      </c>
      <c r="D11" s="3"/>
      <c r="E11" s="22" t="s">
        <v>4499</v>
      </c>
      <c r="F11" s="20">
        <v>0.8399999737739563</v>
      </c>
      <c r="G11" s="22" t="s">
        <v>4500</v>
      </c>
      <c r="H11" s="35" t="s">
        <v>4666</v>
      </c>
      <c r="R11" s="36" t="s">
        <v>4502</v>
      </c>
      <c r="S11" s="17"/>
      <c r="T11" s="37"/>
    </row>
    <row r="12" spans="2:31" ht="15.75" customHeight="1" thickBot="1" x14ac:dyDescent="0.25">
      <c r="B12" s="38" t="s">
        <v>4503</v>
      </c>
      <c r="C12" s="39" t="s">
        <v>4667</v>
      </c>
      <c r="D12" s="40"/>
      <c r="E12" s="17"/>
      <c r="F12" s="17"/>
      <c r="G12" s="17"/>
      <c r="H12" s="18"/>
    </row>
    <row r="13" spans="2:31" ht="16" customHeight="1" thickBot="1" x14ac:dyDescent="0.25">
      <c r="D13" s="41"/>
      <c r="L13" s="28"/>
      <c r="M13" s="26"/>
    </row>
    <row r="14" spans="2:31" ht="16" customHeight="1" thickBot="1" x14ac:dyDescent="0.25">
      <c r="G14" s="42" t="s">
        <v>4504</v>
      </c>
      <c r="H14" s="43" t="s">
        <v>4505</v>
      </c>
    </row>
    <row r="15" spans="2:31" ht="16" customHeight="1" x14ac:dyDescent="0.2">
      <c r="B15" s="8"/>
      <c r="C15" s="44">
        <v>2017</v>
      </c>
      <c r="D15" s="44">
        <v>2018</v>
      </c>
      <c r="E15" s="44">
        <v>2019</v>
      </c>
      <c r="F15" s="44" t="s">
        <v>4506</v>
      </c>
      <c r="G15" s="44" t="s">
        <v>4507</v>
      </c>
      <c r="H15" s="45" t="s">
        <v>4508</v>
      </c>
      <c r="J15" s="46"/>
      <c r="K15" s="47" t="s">
        <v>4668</v>
      </c>
      <c r="L15" s="47" t="s">
        <v>4669</v>
      </c>
      <c r="M15" s="47" t="s">
        <v>4670</v>
      </c>
      <c r="N15" s="47" t="s">
        <v>4671</v>
      </c>
      <c r="O15" s="48" t="s">
        <v>4509</v>
      </c>
      <c r="AA15" s="2" t="s">
        <v>4479</v>
      </c>
      <c r="AB15" s="2">
        <v>383.3</v>
      </c>
      <c r="AC15" s="2">
        <v>88.27</v>
      </c>
      <c r="AD15" s="2">
        <v>27.19</v>
      </c>
      <c r="AE15" s="2">
        <v>38.64</v>
      </c>
    </row>
    <row r="16" spans="2:31" x14ac:dyDescent="0.2">
      <c r="B16" s="19" t="s">
        <v>4510</v>
      </c>
      <c r="C16" s="4">
        <v>115337</v>
      </c>
      <c r="D16" s="4">
        <v>122662</v>
      </c>
      <c r="E16" s="4">
        <v>121162</v>
      </c>
      <c r="F16" s="4">
        <v>123008</v>
      </c>
      <c r="G16" s="4">
        <v>126176</v>
      </c>
      <c r="H16" s="49">
        <v>130035</v>
      </c>
      <c r="J16" s="19" t="s">
        <v>4492</v>
      </c>
      <c r="K16" s="4">
        <v>12019</v>
      </c>
      <c r="L16" s="4">
        <v>8055</v>
      </c>
      <c r="M16" s="4">
        <v>6076</v>
      </c>
      <c r="N16" s="4"/>
      <c r="O16" s="49">
        <v>9442.5</v>
      </c>
      <c r="AA16" s="2" t="s">
        <v>4492</v>
      </c>
      <c r="AB16" s="2">
        <v>191403</v>
      </c>
      <c r="AC16" s="2">
        <v>35478</v>
      </c>
      <c r="AD16" s="2">
        <v>11620</v>
      </c>
      <c r="AE16" s="2" t="s">
        <v>4511</v>
      </c>
    </row>
    <row r="17" spans="2:31" ht="15" customHeight="1" x14ac:dyDescent="0.2">
      <c r="B17" s="19" t="s">
        <v>4512</v>
      </c>
      <c r="C17" s="4"/>
      <c r="D17" s="94">
        <v>6.3509541604168648E-2</v>
      </c>
      <c r="E17" s="94">
        <v>-1.2228726092840489E-2</v>
      </c>
      <c r="F17" s="94">
        <v>1.523580000330137E-2</v>
      </c>
      <c r="G17" s="94">
        <v>2.5754422476586891E-2</v>
      </c>
      <c r="H17" s="95">
        <v>3.058426325133147E-2</v>
      </c>
      <c r="J17" s="19" t="s">
        <v>1283</v>
      </c>
      <c r="K17" s="4">
        <v>12294</v>
      </c>
      <c r="L17" s="4">
        <v>7582</v>
      </c>
      <c r="M17" s="4">
        <v>11601</v>
      </c>
      <c r="N17" s="4"/>
      <c r="O17" s="49">
        <v>10809.25</v>
      </c>
      <c r="AA17" s="2" t="s">
        <v>1283</v>
      </c>
      <c r="AB17" s="138">
        <v>192879</v>
      </c>
      <c r="AC17" s="2">
        <v>37143</v>
      </c>
      <c r="AD17" s="2">
        <v>11760</v>
      </c>
      <c r="AE17" s="2" t="s">
        <v>4513</v>
      </c>
    </row>
    <row r="18" spans="2:31" ht="15" customHeight="1" x14ac:dyDescent="0.2">
      <c r="B18" s="19" t="s">
        <v>4514</v>
      </c>
      <c r="C18" s="4">
        <v>5887</v>
      </c>
      <c r="D18" s="4">
        <v>5867</v>
      </c>
      <c r="E18" s="4">
        <v>5079</v>
      </c>
      <c r="F18" s="4">
        <v>5394</v>
      </c>
      <c r="G18" s="4">
        <v>5524</v>
      </c>
      <c r="H18" s="49">
        <v>5596</v>
      </c>
      <c r="J18" s="19" t="s">
        <v>4515</v>
      </c>
      <c r="K18" s="51">
        <v>-17.94715447154471</v>
      </c>
      <c r="L18" s="51">
        <v>62.962962962962962</v>
      </c>
      <c r="M18" s="51"/>
      <c r="N18" s="51"/>
      <c r="O18" s="52">
        <f t="shared" ref="O18:O25" si="0">AVERAGE(K18:N18)</f>
        <v>22.507904245709128</v>
      </c>
      <c r="AA18" s="2" t="s">
        <v>4516</v>
      </c>
      <c r="AB18" s="138">
        <v>16</v>
      </c>
      <c r="AD18" s="2">
        <v>0.49</v>
      </c>
      <c r="AE18" s="2">
        <v>1.54</v>
      </c>
    </row>
    <row r="19" spans="2:31" ht="15" customHeight="1" x14ac:dyDescent="0.2">
      <c r="B19" s="19" t="s">
        <v>4517</v>
      </c>
      <c r="C19" s="21">
        <v>5.104172988720012E-2</v>
      </c>
      <c r="D19" s="21">
        <v>4.7830623991130097E-2</v>
      </c>
      <c r="E19" s="21">
        <v>4.1919083541044219E-2</v>
      </c>
      <c r="F19" s="21">
        <v>4.3850806451612913E-2</v>
      </c>
      <c r="G19" s="21">
        <v>4.3780116662439757E-2</v>
      </c>
      <c r="H19" s="55">
        <v>4.3034567616410967E-2</v>
      </c>
      <c r="J19" s="19" t="s">
        <v>4518</v>
      </c>
      <c r="K19" s="51">
        <v>-37.367781155015187</v>
      </c>
      <c r="L19" s="51">
        <v>38.683673469387763</v>
      </c>
      <c r="M19" s="51"/>
      <c r="N19" s="51"/>
      <c r="O19" s="52">
        <f t="shared" si="0"/>
        <v>0.65794615718628791</v>
      </c>
      <c r="AA19" s="2" t="s">
        <v>4519</v>
      </c>
      <c r="AB19" s="2">
        <v>13603</v>
      </c>
      <c r="AC19" s="138" t="s">
        <v>4520</v>
      </c>
      <c r="AD19" s="2">
        <v>425</v>
      </c>
      <c r="AE19" s="2">
        <v>576</v>
      </c>
    </row>
    <row r="20" spans="2:31" ht="15" customHeight="1" x14ac:dyDescent="0.2">
      <c r="B20" s="19" t="s">
        <v>4521</v>
      </c>
      <c r="C20" s="4">
        <v>3547</v>
      </c>
      <c r="D20" s="4">
        <v>3412</v>
      </c>
      <c r="E20" s="4">
        <v>2614</v>
      </c>
      <c r="F20" s="4">
        <v>2821</v>
      </c>
      <c r="G20" s="4">
        <v>2920</v>
      </c>
      <c r="H20" s="49">
        <v>2946</v>
      </c>
      <c r="J20" s="19" t="s">
        <v>4522</v>
      </c>
      <c r="K20" s="51">
        <v>-24.0587084148728</v>
      </c>
      <c r="L20" s="51">
        <v>67.097345132743357</v>
      </c>
      <c r="M20" s="51"/>
      <c r="N20" s="51"/>
      <c r="O20" s="52">
        <f t="shared" si="0"/>
        <v>21.51931835893528</v>
      </c>
      <c r="AA20" s="2" t="s">
        <v>4523</v>
      </c>
      <c r="AB20" s="2">
        <v>11392</v>
      </c>
      <c r="AD20" s="2">
        <v>234</v>
      </c>
      <c r="AE20" s="2">
        <v>495</v>
      </c>
    </row>
    <row r="21" spans="2:31" ht="15" customHeight="1" x14ac:dyDescent="0.2">
      <c r="B21" s="19" t="s">
        <v>4524</v>
      </c>
      <c r="C21" s="21">
        <v>3.0753357552216549E-2</v>
      </c>
      <c r="D21" s="21">
        <v>2.781627561918117E-2</v>
      </c>
      <c r="E21" s="21">
        <v>2.1574421023093052E-2</v>
      </c>
      <c r="F21" s="21">
        <v>2.2933467741935481E-2</v>
      </c>
      <c r="G21" s="21">
        <v>2.314227745371545E-2</v>
      </c>
      <c r="H21" s="55">
        <v>2.2655438920290691E-2</v>
      </c>
      <c r="J21" s="19" t="s">
        <v>4525</v>
      </c>
      <c r="K21" s="51">
        <v>1.337321875339933</v>
      </c>
      <c r="L21" s="51">
        <v>9.5611601513240849</v>
      </c>
      <c r="M21" s="51"/>
      <c r="N21" s="51"/>
      <c r="O21" s="52">
        <f t="shared" si="0"/>
        <v>5.4492410133320091</v>
      </c>
      <c r="AA21" s="2" t="s">
        <v>4526</v>
      </c>
      <c r="AB21" s="2">
        <v>53631</v>
      </c>
      <c r="AC21" s="138" t="s">
        <v>4520</v>
      </c>
      <c r="AD21" s="2">
        <v>5378</v>
      </c>
      <c r="AE21" s="2">
        <v>1642</v>
      </c>
    </row>
    <row r="22" spans="2:31" ht="15" customHeight="1" x14ac:dyDescent="0.2">
      <c r="B22" s="19" t="s">
        <v>4527</v>
      </c>
      <c r="C22" s="4">
        <v>1975</v>
      </c>
      <c r="D22" s="4">
        <v>1907</v>
      </c>
      <c r="E22" s="4">
        <v>3110</v>
      </c>
      <c r="F22" s="4">
        <v>1823</v>
      </c>
      <c r="G22" s="4">
        <v>1830</v>
      </c>
      <c r="H22" s="49">
        <v>1844</v>
      </c>
      <c r="J22" s="19" t="s">
        <v>2479</v>
      </c>
      <c r="K22" s="20">
        <v>-12.495283018867919</v>
      </c>
      <c r="L22" s="20">
        <v>15.88785046728972</v>
      </c>
      <c r="M22" s="20"/>
      <c r="N22" s="20"/>
      <c r="O22" s="52">
        <f t="shared" si="0"/>
        <v>1.6962837242109003</v>
      </c>
      <c r="AA22" s="2" t="s">
        <v>4528</v>
      </c>
      <c r="AB22" s="138">
        <v>82.6</v>
      </c>
      <c r="AC22" s="138">
        <v>13.2</v>
      </c>
      <c r="AD22" s="2">
        <v>5.39</v>
      </c>
      <c r="AE22" s="138">
        <v>6.41</v>
      </c>
    </row>
    <row r="23" spans="2:31" ht="15" customHeight="1" x14ac:dyDescent="0.2">
      <c r="B23" s="19" t="s">
        <v>4529</v>
      </c>
      <c r="C23" s="21">
        <v>1.7123733060509641E-2</v>
      </c>
      <c r="D23" s="21">
        <v>1.5546787106031209E-2</v>
      </c>
      <c r="E23" s="21">
        <v>2.5668113765041849E-2</v>
      </c>
      <c r="F23" s="21">
        <v>1.482017429760666E-2</v>
      </c>
      <c r="G23" s="21">
        <v>1.45035505959929E-2</v>
      </c>
      <c r="H23" s="55">
        <v>1.418079747760218E-2</v>
      </c>
      <c r="J23" s="19" t="s">
        <v>4517</v>
      </c>
      <c r="K23" s="21">
        <v>-3.5788099641031218E-2</v>
      </c>
      <c r="L23" s="21">
        <v>0.24716267339218159</v>
      </c>
      <c r="M23" s="21"/>
      <c r="N23" s="21"/>
      <c r="O23" s="55">
        <f t="shared" si="0"/>
        <v>0.10568728687557519</v>
      </c>
      <c r="AA23" s="2" t="s">
        <v>4530</v>
      </c>
      <c r="AB23" s="2">
        <f>IF(AB21&lt;&gt;0,AB19/AB21,"")</f>
        <v>0.25364061829911805</v>
      </c>
      <c r="AC23" s="2" t="e">
        <f>IF(AC21&lt;&gt;0,AC19/AC21,"")</f>
        <v>#VALUE!</v>
      </c>
      <c r="AD23" s="2">
        <f>IF(AD21&lt;&gt;0,AD19/AD21,"")</f>
        <v>7.9025660096690223E-2</v>
      </c>
      <c r="AE23" s="2">
        <f>IF(AE21&lt;&gt;0,AE19/AE21,"")</f>
        <v>0.3507917174177832</v>
      </c>
    </row>
    <row r="24" spans="2:31" ht="15" customHeight="1" x14ac:dyDescent="0.2">
      <c r="B24" s="19"/>
      <c r="C24" s="4"/>
      <c r="D24" s="96">
        <v>-3.4430379746835438E-2</v>
      </c>
      <c r="E24" s="96">
        <v>0.6308337703198742</v>
      </c>
      <c r="F24" s="96">
        <v>-0.41382636655948551</v>
      </c>
      <c r="G24" s="96">
        <v>3.8398244651673069E-3</v>
      </c>
      <c r="H24" s="97">
        <v>7.6502732240437158E-3</v>
      </c>
      <c r="J24" s="19" t="s">
        <v>4524</v>
      </c>
      <c r="K24" s="21">
        <v>-5.5585771782878282E-2</v>
      </c>
      <c r="L24" s="21">
        <v>0.1424968474148802</v>
      </c>
      <c r="M24" s="21"/>
      <c r="N24" s="21"/>
      <c r="O24" s="55">
        <f t="shared" si="0"/>
        <v>4.3455537816000957E-2</v>
      </c>
      <c r="AA24" s="2" t="s">
        <v>4531</v>
      </c>
      <c r="AB24" s="2">
        <f>IF(AB21&lt;&gt;0,AB20/AB21,"")</f>
        <v>0.21241446178516157</v>
      </c>
      <c r="AC24" s="2" t="e">
        <f>IF(AC21&lt;&gt;0,AC20/AC21,"")</f>
        <v>#VALUE!</v>
      </c>
      <c r="AD24" s="2">
        <f>IF(AD21&lt;&gt;0,AD20/AD21,"")</f>
        <v>4.3510598735589441E-2</v>
      </c>
      <c r="AE24" s="2">
        <f>IF(AE21&lt;&gt;0,AE20/AE21,"")</f>
        <v>0.30146163215590743</v>
      </c>
    </row>
    <row r="25" spans="2:31" ht="15" customHeight="1" x14ac:dyDescent="0.2">
      <c r="B25" s="19" t="s">
        <v>4532</v>
      </c>
      <c r="C25" s="4" t="s">
        <v>4672</v>
      </c>
      <c r="D25" s="4" t="s">
        <v>4597</v>
      </c>
      <c r="E25" s="4" t="s">
        <v>4663</v>
      </c>
      <c r="F25" s="4" t="s">
        <v>4664</v>
      </c>
      <c r="G25" s="4" t="s">
        <v>4673</v>
      </c>
      <c r="H25" s="49" t="s">
        <v>4674</v>
      </c>
      <c r="J25" s="19" t="s">
        <v>4539</v>
      </c>
      <c r="K25" s="21">
        <v>-7.5383443924725332E-2</v>
      </c>
      <c r="L25" s="21">
        <v>0.18032786885245899</v>
      </c>
      <c r="M25" s="21"/>
      <c r="N25" s="21"/>
      <c r="O25" s="55">
        <f t="shared" si="0"/>
        <v>5.2472212463866831E-2</v>
      </c>
      <c r="AA25" s="2" t="s">
        <v>4540</v>
      </c>
      <c r="AB25" s="2">
        <v>8067</v>
      </c>
      <c r="AC25" s="138" t="s">
        <v>4520</v>
      </c>
      <c r="AD25" s="2">
        <v>222</v>
      </c>
      <c r="AE25" s="2">
        <v>390</v>
      </c>
    </row>
    <row r="26" spans="2:31" ht="15" customHeight="1" x14ac:dyDescent="0.2">
      <c r="B26" s="19" t="s">
        <v>4541</v>
      </c>
      <c r="C26" s="4">
        <v>2.0499999999999998</v>
      </c>
      <c r="D26" s="4">
        <v>2.09</v>
      </c>
      <c r="E26" s="4">
        <v>3.76</v>
      </c>
      <c r="F26" s="4">
        <v>2.31</v>
      </c>
      <c r="G26" s="4">
        <v>2.35</v>
      </c>
      <c r="H26" s="49">
        <v>2.7</v>
      </c>
      <c r="J26" s="19" t="s">
        <v>21</v>
      </c>
      <c r="K26" s="31"/>
      <c r="L26" s="31"/>
      <c r="M26" s="31"/>
      <c r="N26" s="31"/>
      <c r="O26" s="50"/>
      <c r="AA26" s="2" t="s">
        <v>4542</v>
      </c>
      <c r="AB26" s="2">
        <v>7.62</v>
      </c>
      <c r="AC26" s="2">
        <v>2.13</v>
      </c>
      <c r="AD26" s="2" t="s">
        <v>4494</v>
      </c>
      <c r="AE26" s="2">
        <v>0.52</v>
      </c>
    </row>
    <row r="27" spans="2:31" ht="15" customHeight="1" thickBot="1" x14ac:dyDescent="0.25">
      <c r="B27" s="19" t="s">
        <v>4512</v>
      </c>
      <c r="C27" s="4"/>
      <c r="D27" s="96">
        <v>1.951219512195124E-2</v>
      </c>
      <c r="E27" s="96">
        <v>0.799043062200957</v>
      </c>
      <c r="F27" s="96">
        <v>-0.38563829787234039</v>
      </c>
      <c r="G27" s="96">
        <v>1.731601731601733E-2</v>
      </c>
      <c r="H27" s="97">
        <v>0.14893617021276601</v>
      </c>
      <c r="J27" s="38" t="s">
        <v>4487</v>
      </c>
      <c r="K27" s="40" t="s">
        <v>4627</v>
      </c>
      <c r="L27" s="40">
        <v>0.27700000000000002</v>
      </c>
      <c r="M27" s="40">
        <v>0.121</v>
      </c>
      <c r="N27" s="40"/>
      <c r="O27" s="59">
        <v>0.15713333333333329</v>
      </c>
      <c r="AA27" s="2" t="s">
        <v>4487</v>
      </c>
      <c r="AB27" s="60">
        <v>0.21</v>
      </c>
      <c r="AC27" s="26">
        <v>0.29399999999999998</v>
      </c>
      <c r="AD27" s="26">
        <v>7.3400000000000007E-2</v>
      </c>
      <c r="AE27" s="26">
        <v>0.29499999999999998</v>
      </c>
    </row>
    <row r="28" spans="2:31" ht="15" customHeight="1" x14ac:dyDescent="0.2">
      <c r="B28" s="19" t="s">
        <v>4518</v>
      </c>
      <c r="C28" s="4">
        <v>5.0501104127739076</v>
      </c>
      <c r="D28" s="4">
        <v>5.0673257201295394</v>
      </c>
      <c r="E28" s="4">
        <v>5.8535144713526286</v>
      </c>
      <c r="F28" s="4">
        <v>5.5116796440489431</v>
      </c>
      <c r="G28" s="4">
        <v>5.3819695872556119</v>
      </c>
      <c r="H28" s="49">
        <v>5.3127233738384563</v>
      </c>
    </row>
    <row r="29" spans="2:31" ht="15" customHeight="1" x14ac:dyDescent="0.2">
      <c r="B29" s="19" t="s">
        <v>4522</v>
      </c>
      <c r="C29" s="4">
        <v>8.3817310403157599</v>
      </c>
      <c r="D29" s="4">
        <v>8.7133645955451353</v>
      </c>
      <c r="E29" s="4">
        <v>11.37337413925019</v>
      </c>
      <c r="F29" s="4">
        <v>10.538816022686991</v>
      </c>
      <c r="G29" s="4">
        <v>10.18150684931507</v>
      </c>
      <c r="H29" s="49">
        <v>10.091649694501021</v>
      </c>
    </row>
    <row r="30" spans="2:31" ht="15" customHeight="1" thickBot="1" x14ac:dyDescent="0.25">
      <c r="B30" s="38" t="s">
        <v>4525</v>
      </c>
      <c r="C30" s="61">
        <v>0.25776637158934251</v>
      </c>
      <c r="D30" s="61">
        <v>1.207861533484309</v>
      </c>
      <c r="E30" s="98">
        <v>0.24537396213334209</v>
      </c>
      <c r="F30" s="98">
        <v>0.24169159729448489</v>
      </c>
      <c r="G30" s="98">
        <v>0.23562325640375351</v>
      </c>
      <c r="H30" s="99">
        <v>0.228630753258738</v>
      </c>
      <c r="J30" s="136" t="s">
        <v>4543</v>
      </c>
    </row>
    <row r="31" spans="2:31" ht="16" customHeight="1" thickBot="1" x14ac:dyDescent="0.25">
      <c r="J31" s="46"/>
      <c r="K31" s="63"/>
      <c r="L31" s="44" t="s">
        <v>4544</v>
      </c>
      <c r="M31" s="44" t="s">
        <v>4545</v>
      </c>
      <c r="N31" s="44" t="s">
        <v>4546</v>
      </c>
      <c r="O31" s="48" t="s">
        <v>4547</v>
      </c>
    </row>
    <row r="32" spans="2:31" x14ac:dyDescent="0.2">
      <c r="B32" s="8" t="s">
        <v>4548</v>
      </c>
      <c r="C32" s="64">
        <v>13755</v>
      </c>
      <c r="D32" s="64">
        <v>15242</v>
      </c>
      <c r="E32" s="64">
        <v>14800</v>
      </c>
      <c r="F32" s="64">
        <v>13158</v>
      </c>
      <c r="G32" s="64">
        <v>12828</v>
      </c>
      <c r="H32" s="72">
        <v>12874</v>
      </c>
      <c r="J32" s="19" t="s">
        <v>4549</v>
      </c>
      <c r="K32" s="22" t="s">
        <v>4510</v>
      </c>
      <c r="L32" s="4">
        <v>37207.4</v>
      </c>
      <c r="M32" s="4">
        <v>37251</v>
      </c>
      <c r="N32" s="4">
        <v>43.62</v>
      </c>
      <c r="O32" s="67">
        <v>0.12</v>
      </c>
    </row>
    <row r="33" spans="2:15" x14ac:dyDescent="0.2">
      <c r="B33" s="19" t="s">
        <v>4514</v>
      </c>
      <c r="C33" s="4">
        <v>81</v>
      </c>
      <c r="D33" s="4">
        <v>149</v>
      </c>
      <c r="E33" s="4">
        <v>5079</v>
      </c>
      <c r="F33" s="4">
        <v>5394</v>
      </c>
      <c r="G33" s="4">
        <v>5524</v>
      </c>
      <c r="H33" s="49">
        <v>5596</v>
      </c>
      <c r="J33" s="19"/>
      <c r="K33" s="22" t="s">
        <v>4550</v>
      </c>
      <c r="L33" s="3">
        <v>0.71</v>
      </c>
      <c r="M33" s="3">
        <v>0.72</v>
      </c>
      <c r="N33" s="3">
        <v>0.01</v>
      </c>
      <c r="O33" s="67">
        <v>1.02</v>
      </c>
    </row>
    <row r="34" spans="2:15" x14ac:dyDescent="0.2">
      <c r="B34" s="19" t="s">
        <v>4551</v>
      </c>
      <c r="C34" s="20">
        <v>169.81481481481481</v>
      </c>
      <c r="D34" s="20">
        <v>102.2953020134228</v>
      </c>
      <c r="E34" s="20">
        <v>2.9139594408348102</v>
      </c>
      <c r="F34" s="20">
        <v>2.4393770856507229</v>
      </c>
      <c r="G34" s="20">
        <v>2.3222302679217961</v>
      </c>
      <c r="H34" s="24">
        <v>2.300571837026447</v>
      </c>
      <c r="J34" s="19" t="s">
        <v>4552</v>
      </c>
      <c r="K34" s="22" t="s">
        <v>4510</v>
      </c>
      <c r="L34" s="4">
        <v>28380.1</v>
      </c>
      <c r="M34" s="4">
        <v>28091</v>
      </c>
      <c r="N34" s="4">
        <v>289.05</v>
      </c>
      <c r="O34" s="67">
        <v>1.02</v>
      </c>
    </row>
    <row r="35" spans="2:15" x14ac:dyDescent="0.2">
      <c r="B35" s="19" t="s">
        <v>4553</v>
      </c>
      <c r="C35" s="68">
        <v>4.46</v>
      </c>
      <c r="D35" s="68">
        <v>3.78</v>
      </c>
      <c r="E35" s="68">
        <v>5.09</v>
      </c>
      <c r="F35" s="68">
        <v>5.56</v>
      </c>
      <c r="G35" s="68">
        <v>5.94</v>
      </c>
      <c r="H35" s="69">
        <v>6.03</v>
      </c>
      <c r="J35" s="19"/>
      <c r="K35" s="22" t="s">
        <v>4550</v>
      </c>
      <c r="L35" s="3">
        <v>0.52</v>
      </c>
      <c r="M35" s="3">
        <v>0.48</v>
      </c>
      <c r="N35" s="3">
        <v>0.04</v>
      </c>
      <c r="O35" s="67">
        <v>8.36</v>
      </c>
    </row>
    <row r="36" spans="2:15" ht="16" customHeight="1" thickBot="1" x14ac:dyDescent="0.25">
      <c r="B36" s="38" t="s">
        <v>22</v>
      </c>
      <c r="C36" s="70">
        <v>7.3</v>
      </c>
      <c r="D36" s="70">
        <v>7.94</v>
      </c>
      <c r="E36" s="70">
        <v>9.82</v>
      </c>
      <c r="F36" s="70">
        <v>11.6</v>
      </c>
      <c r="G36" s="70">
        <v>13.1</v>
      </c>
      <c r="H36" s="71">
        <v>14.9</v>
      </c>
      <c r="J36" s="19" t="s">
        <v>4554</v>
      </c>
      <c r="K36" s="22" t="s">
        <v>4510</v>
      </c>
      <c r="L36" s="4">
        <v>27655.1</v>
      </c>
      <c r="M36" s="4">
        <v>27672</v>
      </c>
      <c r="N36" s="4">
        <v>16.87</v>
      </c>
      <c r="O36" s="67">
        <v>0.06</v>
      </c>
    </row>
    <row r="37" spans="2:15" ht="16" customHeight="1" thickBot="1" x14ac:dyDescent="0.25">
      <c r="J37" s="19"/>
      <c r="K37" s="22" t="s">
        <v>4550</v>
      </c>
      <c r="L37" s="3">
        <v>0.43</v>
      </c>
      <c r="M37" s="3">
        <v>0.48</v>
      </c>
      <c r="N37" s="3">
        <v>0.05</v>
      </c>
      <c r="O37" s="67">
        <v>11.19</v>
      </c>
    </row>
    <row r="38" spans="2:15" x14ac:dyDescent="0.2">
      <c r="B38" s="8" t="s">
        <v>4555</v>
      </c>
      <c r="C38" s="72">
        <v>10411302</v>
      </c>
      <c r="F38" s="8" t="s">
        <v>4556</v>
      </c>
      <c r="G38" s="64">
        <v>22.19</v>
      </c>
      <c r="H38" s="101">
        <v>-4.6417305092384002E-2</v>
      </c>
      <c r="J38" s="19" t="s">
        <v>4557</v>
      </c>
      <c r="K38" s="22" t="s">
        <v>4510</v>
      </c>
      <c r="L38" s="4">
        <v>27952.9</v>
      </c>
      <c r="M38" s="4">
        <v>27869</v>
      </c>
      <c r="N38" s="4">
        <v>83.89</v>
      </c>
      <c r="O38" s="67">
        <v>0.3</v>
      </c>
    </row>
    <row r="39" spans="2:15" ht="16" customHeight="1" thickBot="1" x14ac:dyDescent="0.25">
      <c r="B39" s="19" t="s">
        <v>4558</v>
      </c>
      <c r="C39" s="49" t="s">
        <v>4675</v>
      </c>
      <c r="F39" s="38" t="s">
        <v>4560</v>
      </c>
      <c r="G39" s="98">
        <v>25.05</v>
      </c>
      <c r="H39" s="59">
        <v>-0.15528942115768471</v>
      </c>
      <c r="J39" s="38"/>
      <c r="K39" s="77" t="s">
        <v>4550</v>
      </c>
      <c r="L39" s="78">
        <v>0.38</v>
      </c>
      <c r="M39" s="78">
        <v>0.41</v>
      </c>
      <c r="N39" s="78">
        <v>0.03</v>
      </c>
      <c r="O39" s="79">
        <v>8.52</v>
      </c>
    </row>
    <row r="40" spans="2:15" ht="16" customHeight="1" thickBot="1" x14ac:dyDescent="0.25">
      <c r="B40" s="38" t="s">
        <v>4561</v>
      </c>
      <c r="C40" s="99" t="s">
        <v>4676</v>
      </c>
    </row>
    <row r="41" spans="2:15" x14ac:dyDescent="0.2">
      <c r="F41" s="8" t="s">
        <v>4563</v>
      </c>
      <c r="G41" s="11"/>
      <c r="H41" s="72" t="s">
        <v>4677</v>
      </c>
    </row>
    <row r="42" spans="2:15" ht="16" customHeight="1" thickBot="1" x14ac:dyDescent="0.25">
      <c r="F42" s="38" t="s">
        <v>4565</v>
      </c>
      <c r="G42" s="17"/>
      <c r="H42" s="99" t="s">
        <v>4678</v>
      </c>
    </row>
    <row r="43" spans="2:15" ht="19.5" customHeight="1" thickBot="1" x14ac:dyDescent="0.25"/>
    <row r="44" spans="2:15" ht="18" customHeight="1" x14ac:dyDescent="0.2">
      <c r="B44" s="8" t="s">
        <v>4566</v>
      </c>
      <c r="C44" s="64" t="s">
        <v>4567</v>
      </c>
      <c r="D44" s="103">
        <v>1</v>
      </c>
      <c r="F44" s="8" t="s">
        <v>4568</v>
      </c>
      <c r="G44" s="64" t="s">
        <v>4679</v>
      </c>
      <c r="H44" s="101">
        <v>0.52200000000000002</v>
      </c>
      <c r="J44" s="149" t="s">
        <v>4680</v>
      </c>
      <c r="K44" s="150"/>
      <c r="L44" s="150"/>
      <c r="M44" s="150"/>
      <c r="N44" s="150"/>
      <c r="O44" s="151"/>
    </row>
    <row r="45" spans="2:15" x14ac:dyDescent="0.2">
      <c r="B45" s="83"/>
      <c r="C45" s="4"/>
      <c r="D45" s="95"/>
      <c r="F45" s="83"/>
      <c r="G45" s="4" t="s">
        <v>4681</v>
      </c>
      <c r="H45" s="50">
        <v>0.24</v>
      </c>
      <c r="J45" s="152"/>
      <c r="K45" s="143"/>
      <c r="L45" s="143"/>
      <c r="M45" s="143"/>
      <c r="N45" s="143"/>
      <c r="O45" s="153"/>
    </row>
    <row r="46" spans="2:15" x14ac:dyDescent="0.2">
      <c r="B46" s="83"/>
      <c r="C46" s="4"/>
      <c r="D46" s="49"/>
      <c r="F46" s="83"/>
      <c r="G46" s="4" t="s">
        <v>4682</v>
      </c>
      <c r="H46" s="50">
        <v>0.121</v>
      </c>
      <c r="J46" s="152"/>
      <c r="K46" s="143"/>
      <c r="L46" s="143"/>
      <c r="M46" s="143"/>
      <c r="N46" s="143"/>
      <c r="O46" s="153"/>
    </row>
    <row r="47" spans="2:15" ht="25.5" customHeight="1" thickBot="1" x14ac:dyDescent="0.25">
      <c r="B47" s="87"/>
      <c r="C47" s="98"/>
      <c r="D47" s="99"/>
      <c r="F47" s="87"/>
      <c r="G47" s="98" t="s">
        <v>4683</v>
      </c>
      <c r="H47" s="59">
        <v>0.09</v>
      </c>
      <c r="J47" s="154"/>
      <c r="K47" s="144"/>
      <c r="L47" s="144"/>
      <c r="M47" s="144"/>
      <c r="N47" s="144"/>
      <c r="O47" s="155"/>
    </row>
    <row r="53" spans="2:9" ht="16" customHeight="1" thickBot="1" x14ac:dyDescent="0.25"/>
    <row r="54" spans="2:9" x14ac:dyDescent="0.2">
      <c r="B54" s="8" t="s">
        <v>4479</v>
      </c>
      <c r="C54" s="9">
        <v>192.21</v>
      </c>
      <c r="D54" s="10"/>
      <c r="E54" s="11"/>
      <c r="F54" s="11"/>
      <c r="G54" s="11"/>
      <c r="H54" s="11"/>
      <c r="I54" s="12"/>
    </row>
    <row r="55" spans="2:9" x14ac:dyDescent="0.2">
      <c r="B55" s="14"/>
      <c r="C55" s="3"/>
      <c r="D55" s="3"/>
      <c r="I55" s="15"/>
    </row>
    <row r="56" spans="2:9" x14ac:dyDescent="0.2">
      <c r="B56" s="19" t="s">
        <v>4482</v>
      </c>
      <c r="C56" s="20">
        <v>216.25999450683591</v>
      </c>
      <c r="D56" s="21">
        <v>-0.1112087076561713</v>
      </c>
      <c r="E56" s="22" t="s">
        <v>4483</v>
      </c>
      <c r="F56" s="23" t="s">
        <v>4535</v>
      </c>
      <c r="G56" s="22" t="s">
        <v>4484</v>
      </c>
      <c r="H56" s="20">
        <v>15.626829268292679</v>
      </c>
      <c r="I56" s="15"/>
    </row>
    <row r="57" spans="2:9" x14ac:dyDescent="0.2">
      <c r="B57" s="19" t="s">
        <v>4485</v>
      </c>
      <c r="C57" s="20">
        <v>153.1300048828125</v>
      </c>
      <c r="D57" s="21">
        <v>0.25520795318392819</v>
      </c>
      <c r="E57" s="22" t="s">
        <v>4486</v>
      </c>
      <c r="F57" s="3" t="s">
        <v>4536</v>
      </c>
      <c r="G57" s="22" t="s">
        <v>4487</v>
      </c>
      <c r="H57" s="30">
        <v>0.39400000000000002</v>
      </c>
      <c r="I57" s="15"/>
    </row>
    <row r="58" spans="2:9" x14ac:dyDescent="0.2">
      <c r="B58" s="19" t="s">
        <v>4489</v>
      </c>
      <c r="C58" s="30">
        <v>0.58050000000000002</v>
      </c>
      <c r="D58" s="31"/>
      <c r="E58" s="22" t="s">
        <v>2503</v>
      </c>
      <c r="F58" s="3"/>
      <c r="G58" s="22" t="s">
        <v>4490</v>
      </c>
      <c r="H58" s="2" t="s">
        <v>4574</v>
      </c>
      <c r="I58" s="15"/>
    </row>
    <row r="59" spans="2:9" x14ac:dyDescent="0.2">
      <c r="B59" s="19" t="s">
        <v>4492</v>
      </c>
      <c r="C59" s="4">
        <v>25040</v>
      </c>
      <c r="D59" s="3"/>
      <c r="E59" s="22" t="s">
        <v>4493</v>
      </c>
      <c r="F59" s="3" t="s">
        <v>4494</v>
      </c>
      <c r="G59" s="22" t="s">
        <v>27</v>
      </c>
      <c r="H59" s="2" t="s">
        <v>115</v>
      </c>
      <c r="I59" s="15"/>
    </row>
    <row r="60" spans="2:9" x14ac:dyDescent="0.2">
      <c r="B60" s="19" t="s">
        <v>1283</v>
      </c>
      <c r="C60" s="34">
        <v>23846</v>
      </c>
      <c r="D60" s="4">
        <v>-1194</v>
      </c>
      <c r="E60" s="22" t="s">
        <v>4496</v>
      </c>
      <c r="F60" s="31"/>
      <c r="G60" s="22" t="s">
        <v>28</v>
      </c>
      <c r="H60" s="2" t="s">
        <v>4575</v>
      </c>
      <c r="I60" s="15"/>
    </row>
    <row r="61" spans="2:9" ht="16" customHeight="1" thickBot="1" x14ac:dyDescent="0.25">
      <c r="B61" s="38" t="s">
        <v>4498</v>
      </c>
      <c r="C61" s="91">
        <v>1.4650000333786011</v>
      </c>
      <c r="D61" s="78"/>
      <c r="E61" s="77" t="s">
        <v>4499</v>
      </c>
      <c r="F61" s="91">
        <v>1.2599999904632571</v>
      </c>
      <c r="G61" s="77" t="s">
        <v>4500</v>
      </c>
      <c r="H61" s="92" t="s">
        <v>4501</v>
      </c>
      <c r="I61" s="18"/>
    </row>
    <row r="370" spans="8:8" x14ac:dyDescent="0.2">
      <c r="H370" s="2">
        <v>36.79</v>
      </c>
    </row>
  </sheetData>
  <mergeCells count="1">
    <mergeCell ref="J44:O47"/>
  </mergeCells>
  <conditionalFormatting sqref="O32">
    <cfRule type="cellIs" dxfId="15" priority="5" operator="lessThan">
      <formula>0</formula>
    </cfRule>
    <cfRule type="cellIs" dxfId="14" priority="6" operator="greaterThan">
      <formula>0</formula>
    </cfRule>
  </conditionalFormatting>
  <conditionalFormatting sqref="O33:O39">
    <cfRule type="cellIs" dxfId="13" priority="3" operator="lessThan">
      <formula>0</formula>
    </cfRule>
    <cfRule type="cellIs" dxfId="12" priority="4" operator="greaterThan">
      <formula>0</formula>
    </cfRule>
  </conditionalFormatting>
  <conditionalFormatting sqref="D17:H17">
    <cfRule type="colorScale" priority="2">
      <colorScale>
        <cfvo type="min"/>
        <cfvo type="percentile" val="50"/>
        <cfvo type="max"/>
        <color rgb="FFF8696B"/>
        <color rgb="FFFFEB84"/>
        <color rgb="FF63BE7B"/>
      </colorScale>
    </cfRule>
  </conditionalFormatting>
  <conditionalFormatting sqref="D27:H27">
    <cfRule type="colorScale" priority="1">
      <colorScale>
        <cfvo type="min"/>
        <cfvo type="percentile" val="50"/>
        <cfvo type="max"/>
        <color rgb="FFF8696B"/>
        <color rgb="FFFFEB84"/>
        <color rgb="FF63BE7B"/>
      </colorScale>
    </cfRule>
  </conditionalFormatting>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9"/>
  <dimension ref="B1:AE370"/>
  <sheetViews>
    <sheetView zoomScaleNormal="100" workbookViewId="0">
      <selection activeCell="S62" sqref="S62"/>
    </sheetView>
  </sheetViews>
  <sheetFormatPr baseColWidth="10" defaultColWidth="9.1640625" defaultRowHeight="15" x14ac:dyDescent="0.2"/>
  <cols>
    <col min="1" max="1" width="9.1640625" style="2" customWidth="1"/>
    <col min="2" max="2" width="20.33203125" style="2" customWidth="1"/>
    <col min="3" max="8" width="16.83203125" style="2" customWidth="1"/>
    <col min="9" max="9" width="6.6640625" style="2" customWidth="1"/>
    <col min="10" max="10" width="15" style="2" customWidth="1"/>
    <col min="11" max="14" width="11.33203125" style="2" customWidth="1"/>
    <col min="15" max="15" width="12.83203125" style="2" customWidth="1"/>
    <col min="16" max="16" width="14.6640625" style="2" customWidth="1"/>
    <col min="17" max="17" width="16" style="2" customWidth="1"/>
    <col min="18" max="18" width="17.83203125" style="2" customWidth="1"/>
    <col min="19" max="19" width="13.33203125" style="2" customWidth="1"/>
    <col min="20" max="20" width="9.6640625" style="2" customWidth="1"/>
    <col min="21" max="21" width="9.1640625" style="2" customWidth="1"/>
    <col min="22" max="24" width="1.6640625" style="2" customWidth="1"/>
    <col min="25" max="25" width="9.1640625" style="2" customWidth="1"/>
    <col min="26" max="16384" width="9.1640625" style="2"/>
  </cols>
  <sheetData>
    <row r="1" spans="2:31" ht="16" customHeight="1" thickBot="1" x14ac:dyDescent="0.25"/>
    <row r="2" spans="2:31" ht="16" customHeight="1" thickBot="1" x14ac:dyDescent="0.25">
      <c r="B2" s="93" t="s">
        <v>3441</v>
      </c>
      <c r="G2" s="6" t="s">
        <v>4684</v>
      </c>
      <c r="H2" s="7"/>
      <c r="Q2" s="2">
        <f>LEN([1]Summary!$C$1)</f>
        <v>27</v>
      </c>
    </row>
    <row r="3" spans="2:31" ht="16" customHeight="1" thickBot="1" x14ac:dyDescent="0.25"/>
    <row r="4" spans="2:31" x14ac:dyDescent="0.2">
      <c r="B4" s="8" t="s">
        <v>4479</v>
      </c>
      <c r="C4" s="9">
        <v>110.38</v>
      </c>
      <c r="D4" s="10"/>
      <c r="E4" s="11"/>
      <c r="F4" s="11"/>
      <c r="G4" s="11"/>
      <c r="H4" s="12"/>
      <c r="J4" s="13">
        <v>43685</v>
      </c>
      <c r="K4" s="11" t="s">
        <v>4639</v>
      </c>
      <c r="L4" s="11"/>
      <c r="M4" s="11"/>
      <c r="N4" s="12"/>
    </row>
    <row r="5" spans="2:31" ht="16" customHeight="1" thickBot="1" x14ac:dyDescent="0.25">
      <c r="B5" s="14"/>
      <c r="C5" s="3"/>
      <c r="D5" s="3"/>
      <c r="H5" s="15"/>
      <c r="J5" s="16">
        <v>43692</v>
      </c>
      <c r="K5" s="17" t="s">
        <v>4685</v>
      </c>
      <c r="L5" s="17"/>
      <c r="M5" s="17"/>
      <c r="N5" s="18"/>
    </row>
    <row r="6" spans="2:31" ht="16" customHeight="1" thickBot="1" x14ac:dyDescent="0.25">
      <c r="B6" s="19" t="s">
        <v>4482</v>
      </c>
      <c r="C6" s="20">
        <v>115.4899978637695</v>
      </c>
      <c r="D6" s="21">
        <v>-4.4246237408344408E-2</v>
      </c>
      <c r="E6" s="22" t="s">
        <v>4483</v>
      </c>
      <c r="F6" s="23" t="s">
        <v>4686</v>
      </c>
      <c r="G6" s="22" t="s">
        <v>4484</v>
      </c>
      <c r="H6" s="24">
        <v>4.3456692913385826</v>
      </c>
      <c r="L6" s="25"/>
      <c r="M6" s="26"/>
    </row>
    <row r="7" spans="2:31" x14ac:dyDescent="0.2">
      <c r="B7" s="19" t="s">
        <v>4485</v>
      </c>
      <c r="C7" s="20">
        <v>85.779998779296875</v>
      </c>
      <c r="D7" s="21">
        <v>0.28678015354134467</v>
      </c>
      <c r="E7" s="22" t="s">
        <v>4486</v>
      </c>
      <c r="F7" s="3" t="s">
        <v>4687</v>
      </c>
      <c r="G7" s="22" t="s">
        <v>4487</v>
      </c>
      <c r="H7" s="27">
        <v>0.183</v>
      </c>
      <c r="L7" s="28"/>
      <c r="M7" s="26"/>
      <c r="N7" s="136"/>
      <c r="R7" s="8" t="s">
        <v>4488</v>
      </c>
      <c r="S7" s="11"/>
      <c r="T7" s="29"/>
    </row>
    <row r="8" spans="2:31" x14ac:dyDescent="0.2">
      <c r="B8" s="19" t="s">
        <v>4489</v>
      </c>
      <c r="C8" s="30">
        <v>0.185</v>
      </c>
      <c r="D8" s="31"/>
      <c r="E8" s="22" t="s">
        <v>2503</v>
      </c>
      <c r="F8" s="3"/>
      <c r="G8" s="22" t="s">
        <v>4490</v>
      </c>
      <c r="H8" s="15" t="s">
        <v>4582</v>
      </c>
      <c r="R8" s="32" t="s">
        <v>4491</v>
      </c>
      <c r="T8" s="33"/>
    </row>
    <row r="9" spans="2:31" x14ac:dyDescent="0.2">
      <c r="B9" s="19" t="s">
        <v>4492</v>
      </c>
      <c r="C9" s="4">
        <v>315104</v>
      </c>
      <c r="D9" s="3"/>
      <c r="E9" s="22" t="s">
        <v>4493</v>
      </c>
      <c r="F9" s="3">
        <v>2.21</v>
      </c>
      <c r="G9" s="22" t="s">
        <v>27</v>
      </c>
      <c r="H9" s="15" t="s">
        <v>78</v>
      </c>
      <c r="R9" s="32" t="s">
        <v>4495</v>
      </c>
      <c r="T9" s="33"/>
    </row>
    <row r="10" spans="2:31" x14ac:dyDescent="0.2">
      <c r="B10" s="19" t="s">
        <v>1283</v>
      </c>
      <c r="C10" s="34">
        <v>369636</v>
      </c>
      <c r="D10" s="4">
        <v>54532</v>
      </c>
      <c r="E10" s="22" t="s">
        <v>4496</v>
      </c>
      <c r="F10" s="31">
        <v>2.0021743069396629E-2</v>
      </c>
      <c r="G10" s="22" t="s">
        <v>28</v>
      </c>
      <c r="H10" s="15" t="s">
        <v>4665</v>
      </c>
      <c r="R10" s="32" t="s">
        <v>4497</v>
      </c>
      <c r="T10" s="33"/>
    </row>
    <row r="11" spans="2:31" ht="16" customHeight="1" thickBot="1" x14ac:dyDescent="0.25">
      <c r="B11" s="19" t="s">
        <v>4498</v>
      </c>
      <c r="C11" s="20">
        <v>2.9218748706496469</v>
      </c>
      <c r="D11" s="3"/>
      <c r="E11" s="22" t="s">
        <v>4499</v>
      </c>
      <c r="F11" s="20">
        <v>0.6600000262260437</v>
      </c>
      <c r="G11" s="22" t="s">
        <v>4500</v>
      </c>
      <c r="H11" s="35" t="s">
        <v>4688</v>
      </c>
      <c r="R11" s="36" t="s">
        <v>4502</v>
      </c>
      <c r="S11" s="17"/>
      <c r="T11" s="37"/>
    </row>
    <row r="12" spans="2:31" ht="15.75" customHeight="1" thickBot="1" x14ac:dyDescent="0.25">
      <c r="B12" s="38" t="s">
        <v>4503</v>
      </c>
      <c r="C12" s="39" t="s">
        <v>4689</v>
      </c>
      <c r="D12" s="40"/>
      <c r="E12" s="17"/>
      <c r="F12" s="17"/>
      <c r="G12" s="17"/>
      <c r="H12" s="18"/>
    </row>
    <row r="13" spans="2:31" ht="16" customHeight="1" thickBot="1" x14ac:dyDescent="0.25">
      <c r="D13" s="41"/>
      <c r="L13" s="28"/>
      <c r="M13" s="26"/>
    </row>
    <row r="14" spans="2:31" ht="16" customHeight="1" thickBot="1" x14ac:dyDescent="0.25">
      <c r="G14" s="42" t="s">
        <v>4504</v>
      </c>
      <c r="H14" s="43" t="s">
        <v>4505</v>
      </c>
    </row>
    <row r="15" spans="2:31" ht="16" customHeight="1" x14ac:dyDescent="0.2">
      <c r="B15" s="8"/>
      <c r="C15" s="44">
        <v>2017</v>
      </c>
      <c r="D15" s="44">
        <v>2018</v>
      </c>
      <c r="E15" s="44">
        <v>2019</v>
      </c>
      <c r="F15" s="44" t="s">
        <v>4506</v>
      </c>
      <c r="G15" s="44" t="s">
        <v>4507</v>
      </c>
      <c r="H15" s="45" t="s">
        <v>4508</v>
      </c>
      <c r="J15" s="46"/>
      <c r="K15" s="47" t="s">
        <v>4690</v>
      </c>
      <c r="L15" s="47" t="s">
        <v>4691</v>
      </c>
      <c r="M15" s="47" t="s">
        <v>4692</v>
      </c>
      <c r="N15" s="47" t="s">
        <v>4693</v>
      </c>
      <c r="O15" s="48" t="s">
        <v>4509</v>
      </c>
      <c r="AA15" s="2" t="s">
        <v>4479</v>
      </c>
      <c r="AB15" s="2">
        <v>383.3</v>
      </c>
      <c r="AC15" s="2">
        <v>88.27</v>
      </c>
      <c r="AD15" s="2">
        <v>27.19</v>
      </c>
      <c r="AE15" s="2">
        <v>38.64</v>
      </c>
    </row>
    <row r="16" spans="2:31" x14ac:dyDescent="0.2">
      <c r="B16" s="19" t="s">
        <v>4510</v>
      </c>
      <c r="C16" s="4">
        <v>481317</v>
      </c>
      <c r="D16" s="4">
        <v>495761</v>
      </c>
      <c r="E16" s="4">
        <v>510329</v>
      </c>
      <c r="F16" s="4">
        <v>523957</v>
      </c>
      <c r="G16" s="4">
        <v>541774</v>
      </c>
      <c r="H16" s="49">
        <v>557065</v>
      </c>
      <c r="J16" s="19" t="s">
        <v>4492</v>
      </c>
      <c r="K16" s="4">
        <v>121219</v>
      </c>
      <c r="L16" s="4">
        <v>16903</v>
      </c>
      <c r="M16" s="4">
        <v>13870</v>
      </c>
      <c r="N16" s="4">
        <v>44266</v>
      </c>
      <c r="O16" s="49">
        <v>49064.5</v>
      </c>
      <c r="AA16" s="2" t="s">
        <v>4492</v>
      </c>
      <c r="AB16" s="2">
        <v>191403</v>
      </c>
      <c r="AC16" s="2">
        <v>35478</v>
      </c>
      <c r="AD16" s="2">
        <v>11620</v>
      </c>
      <c r="AE16" s="2" t="s">
        <v>4511</v>
      </c>
    </row>
    <row r="17" spans="2:31" ht="15" customHeight="1" x14ac:dyDescent="0.2">
      <c r="B17" s="19" t="s">
        <v>4512</v>
      </c>
      <c r="C17" s="4"/>
      <c r="D17" s="94">
        <v>3.0009328571398888E-2</v>
      </c>
      <c r="E17" s="94">
        <v>2.938512710761839E-2</v>
      </c>
      <c r="F17" s="94">
        <v>2.6704341708975971E-2</v>
      </c>
      <c r="G17" s="94">
        <v>3.4004698858875818E-2</v>
      </c>
      <c r="H17" s="95">
        <v>2.8223945778128891E-2</v>
      </c>
      <c r="J17" s="19" t="s">
        <v>1283</v>
      </c>
      <c r="K17" s="4">
        <v>118876</v>
      </c>
      <c r="L17" s="4">
        <v>29730</v>
      </c>
      <c r="M17" s="4">
        <v>16457</v>
      </c>
      <c r="N17" s="4">
        <v>55436</v>
      </c>
      <c r="O17" s="49">
        <v>55124.75</v>
      </c>
      <c r="AA17" s="2" t="s">
        <v>1283</v>
      </c>
      <c r="AB17" s="138">
        <v>192879</v>
      </c>
      <c r="AC17" s="2">
        <v>37143</v>
      </c>
      <c r="AD17" s="2">
        <v>11760</v>
      </c>
      <c r="AE17" s="2" t="s">
        <v>4513</v>
      </c>
    </row>
    <row r="18" spans="2:31" ht="15" customHeight="1" x14ac:dyDescent="0.2">
      <c r="B18" s="19" t="s">
        <v>4514</v>
      </c>
      <c r="C18" s="4">
        <v>32678</v>
      </c>
      <c r="D18" s="4">
        <v>33043</v>
      </c>
      <c r="E18" s="4">
        <v>32635</v>
      </c>
      <c r="F18" s="4">
        <v>32589</v>
      </c>
      <c r="G18" s="4">
        <v>33323</v>
      </c>
      <c r="H18" s="49">
        <v>34350</v>
      </c>
      <c r="J18" s="19" t="s">
        <v>4515</v>
      </c>
      <c r="K18" s="51">
        <v>32.53783469150175</v>
      </c>
      <c r="L18" s="51">
        <v>9.1191489361702125</v>
      </c>
      <c r="M18" s="51">
        <v>14.036290322580649</v>
      </c>
      <c r="N18" s="51">
        <v>13.8343949044586</v>
      </c>
      <c r="O18" s="52">
        <v>17.381917213677799</v>
      </c>
      <c r="AA18" s="2" t="s">
        <v>4516</v>
      </c>
      <c r="AB18" s="138">
        <v>16</v>
      </c>
      <c r="AD18" s="2">
        <v>0.49</v>
      </c>
      <c r="AE18" s="2">
        <v>1.54</v>
      </c>
    </row>
    <row r="19" spans="2:31" ht="15" customHeight="1" x14ac:dyDescent="0.2">
      <c r="B19" s="19" t="s">
        <v>4517</v>
      </c>
      <c r="C19" s="21">
        <v>6.7892885561906188E-2</v>
      </c>
      <c r="D19" s="21">
        <v>6.6651067752404883E-2</v>
      </c>
      <c r="E19" s="21">
        <v>6.3948942740859327E-2</v>
      </c>
      <c r="F19" s="21">
        <v>6.2197852113818501E-2</v>
      </c>
      <c r="G19" s="21">
        <v>6.1507196727786873E-2</v>
      </c>
      <c r="H19" s="55">
        <v>6.166246308779047E-2</v>
      </c>
      <c r="J19" s="19" t="s">
        <v>4518</v>
      </c>
      <c r="K19" s="51">
        <v>18.71768225476303</v>
      </c>
      <c r="L19" s="51">
        <v>5.5116796440489431</v>
      </c>
      <c r="M19" s="51">
        <v>4.6766126740551286</v>
      </c>
      <c r="N19" s="51">
        <v>8.2346999405822938</v>
      </c>
      <c r="O19" s="52">
        <v>9.2851686283623494</v>
      </c>
      <c r="AA19" s="2" t="s">
        <v>4519</v>
      </c>
      <c r="AB19" s="2">
        <v>13603</v>
      </c>
      <c r="AC19" s="138" t="s">
        <v>4520</v>
      </c>
      <c r="AD19" s="2">
        <v>425</v>
      </c>
      <c r="AE19" s="2">
        <v>576</v>
      </c>
    </row>
    <row r="20" spans="2:31" ht="15" customHeight="1" x14ac:dyDescent="0.2">
      <c r="B20" s="19" t="s">
        <v>4521</v>
      </c>
      <c r="C20" s="4">
        <v>22608</v>
      </c>
      <c r="D20" s="4">
        <v>22514</v>
      </c>
      <c r="E20" s="4">
        <v>21957</v>
      </c>
      <c r="F20" s="4">
        <v>21642</v>
      </c>
      <c r="G20" s="4">
        <v>22197</v>
      </c>
      <c r="H20" s="49">
        <v>22997</v>
      </c>
      <c r="J20" s="19" t="s">
        <v>4522</v>
      </c>
      <c r="K20" s="51">
        <v>24.52568599133485</v>
      </c>
      <c r="L20" s="51">
        <v>10.538816022686991</v>
      </c>
      <c r="M20" s="51">
        <v>7.9579303675048356</v>
      </c>
      <c r="N20" s="51">
        <v>12.56767172976649</v>
      </c>
      <c r="O20" s="52">
        <v>13.897526027823289</v>
      </c>
      <c r="AA20" s="2" t="s">
        <v>4523</v>
      </c>
      <c r="AB20" s="2">
        <v>11392</v>
      </c>
      <c r="AD20" s="2">
        <v>234</v>
      </c>
      <c r="AE20" s="2">
        <v>495</v>
      </c>
    </row>
    <row r="21" spans="2:31" ht="15" customHeight="1" x14ac:dyDescent="0.2">
      <c r="B21" s="19" t="s">
        <v>4524</v>
      </c>
      <c r="C21" s="21">
        <v>4.6971122981320002E-2</v>
      </c>
      <c r="D21" s="21">
        <v>4.5413011511595297E-2</v>
      </c>
      <c r="E21" s="21">
        <v>4.3025185713529902E-2</v>
      </c>
      <c r="F21" s="21">
        <v>4.1304916243126821E-2</v>
      </c>
      <c r="G21" s="21">
        <v>4.0970958370095283E-2</v>
      </c>
      <c r="H21" s="55">
        <v>4.1282435622413897E-2</v>
      </c>
      <c r="J21" s="19" t="s">
        <v>4525</v>
      </c>
      <c r="K21" s="51">
        <v>0.7778366671246949</v>
      </c>
      <c r="L21" s="51">
        <v>0.24169159729448489</v>
      </c>
      <c r="M21" s="51">
        <v>0.22466587486860251</v>
      </c>
      <c r="N21" s="51">
        <v>0.70990792557210358</v>
      </c>
      <c r="O21" s="52">
        <v>0.48852551621497148</v>
      </c>
      <c r="AA21" s="2" t="s">
        <v>4526</v>
      </c>
      <c r="AB21" s="2">
        <v>53631</v>
      </c>
      <c r="AC21" s="138" t="s">
        <v>4520</v>
      </c>
      <c r="AD21" s="2">
        <v>5378</v>
      </c>
      <c r="AE21" s="2">
        <v>1642</v>
      </c>
    </row>
    <row r="22" spans="2:31" ht="15" customHeight="1" x14ac:dyDescent="0.2">
      <c r="B22" s="19" t="s">
        <v>4527</v>
      </c>
      <c r="C22" s="4">
        <v>13643</v>
      </c>
      <c r="D22" s="4">
        <v>9862</v>
      </c>
      <c r="E22" s="4">
        <v>6670</v>
      </c>
      <c r="F22" s="4">
        <v>14239</v>
      </c>
      <c r="G22" s="4">
        <v>14087</v>
      </c>
      <c r="H22" s="49">
        <v>14920</v>
      </c>
      <c r="J22" s="19" t="s">
        <v>2479</v>
      </c>
      <c r="K22" s="20">
        <v>7.3941798941798949</v>
      </c>
      <c r="L22" s="20">
        <v>1.63587786259542</v>
      </c>
      <c r="M22" s="20">
        <v>1.2892592592592591</v>
      </c>
      <c r="N22" s="20">
        <v>3.62</v>
      </c>
      <c r="O22" s="52">
        <v>3.484829254008643</v>
      </c>
      <c r="AA22" s="2" t="s">
        <v>4528</v>
      </c>
      <c r="AB22" s="138">
        <v>82.6</v>
      </c>
      <c r="AC22" s="138">
        <v>13.2</v>
      </c>
      <c r="AD22" s="2">
        <v>5.39</v>
      </c>
      <c r="AE22" s="138">
        <v>6.41</v>
      </c>
    </row>
    <row r="23" spans="2:31" ht="15" customHeight="1" x14ac:dyDescent="0.2">
      <c r="B23" s="19" t="s">
        <v>4529</v>
      </c>
      <c r="C23" s="21">
        <v>2.8345144675962001E-2</v>
      </c>
      <c r="D23" s="21">
        <v>1.989264988573123E-2</v>
      </c>
      <c r="E23" s="21">
        <v>1.306999994121439E-2</v>
      </c>
      <c r="F23" s="21">
        <v>2.7175894205058809E-2</v>
      </c>
      <c r="G23" s="21">
        <v>2.600161691037222E-2</v>
      </c>
      <c r="H23" s="55">
        <v>2.6783229964187302E-2</v>
      </c>
      <c r="J23" s="19" t="s">
        <v>4517</v>
      </c>
      <c r="K23" s="21">
        <v>4.1556249141197023E-2</v>
      </c>
      <c r="L23" s="21">
        <v>4.3850806451612913E-2</v>
      </c>
      <c r="M23" s="21">
        <v>4.8040299791129129E-2</v>
      </c>
      <c r="N23" s="21">
        <v>8.6209325257078459E-2</v>
      </c>
      <c r="O23" s="55">
        <v>5.4914170160254377E-2</v>
      </c>
      <c r="AA23" s="2" t="s">
        <v>4530</v>
      </c>
      <c r="AB23" s="2">
        <f>IF(AB21&lt;&gt;0,AB19/AB21,"")</f>
        <v>0.25364061829911805</v>
      </c>
      <c r="AC23" s="2" t="e">
        <f>IF(AC21&lt;&gt;0,AC19/AC21,"")</f>
        <v>#VALUE!</v>
      </c>
      <c r="AD23" s="2">
        <f>IF(AD21&lt;&gt;0,AD19/AD21,"")</f>
        <v>7.9025660096690223E-2</v>
      </c>
      <c r="AE23" s="2">
        <f>IF(AE21&lt;&gt;0,AE19/AE21,"")</f>
        <v>0.3507917174177832</v>
      </c>
    </row>
    <row r="24" spans="2:31" ht="15" customHeight="1" x14ac:dyDescent="0.2">
      <c r="B24" s="19"/>
      <c r="C24" s="4"/>
      <c r="D24" s="96">
        <v>-0.27713845928314879</v>
      </c>
      <c r="E24" s="96">
        <v>-0.32366659906712641</v>
      </c>
      <c r="F24" s="96">
        <v>1.1347826086956521</v>
      </c>
      <c r="G24" s="96">
        <v>-1.067490694571248E-2</v>
      </c>
      <c r="H24" s="97">
        <v>5.9132533541563143E-2</v>
      </c>
      <c r="J24" s="19" t="s">
        <v>4524</v>
      </c>
      <c r="K24" s="21">
        <v>3.1715184945265623E-2</v>
      </c>
      <c r="L24" s="21">
        <v>2.2933467741935481E-2</v>
      </c>
      <c r="M24" s="21">
        <v>2.823169649561098E-2</v>
      </c>
      <c r="N24" s="21">
        <v>5.6486829130863503E-2</v>
      </c>
      <c r="O24" s="55">
        <v>3.4841794578418898E-2</v>
      </c>
      <c r="AA24" s="2" t="s">
        <v>4531</v>
      </c>
      <c r="AB24" s="2">
        <f>IF(AB21&lt;&gt;0,AB20/AB21,"")</f>
        <v>0.21241446178516157</v>
      </c>
      <c r="AC24" s="2" t="e">
        <f>IF(AC21&lt;&gt;0,AC20/AC21,"")</f>
        <v>#VALUE!</v>
      </c>
      <c r="AD24" s="2">
        <f>IF(AD21&lt;&gt;0,AD20/AD21,"")</f>
        <v>4.3510598735589441E-2</v>
      </c>
      <c r="AE24" s="2">
        <f>IF(AE21&lt;&gt;0,AE20/AE21,"")</f>
        <v>0.30146163215590743</v>
      </c>
    </row>
    <row r="25" spans="2:31" ht="15" customHeight="1" x14ac:dyDescent="0.2">
      <c r="B25" s="19" t="s">
        <v>4532</v>
      </c>
      <c r="C25" s="4" t="s">
        <v>4694</v>
      </c>
      <c r="D25" s="4" t="s">
        <v>4695</v>
      </c>
      <c r="E25" s="4" t="s">
        <v>4686</v>
      </c>
      <c r="F25" s="4" t="s">
        <v>4687</v>
      </c>
      <c r="G25" s="4" t="s">
        <v>4696</v>
      </c>
      <c r="H25" s="49" t="s">
        <v>4697</v>
      </c>
      <c r="J25" s="19" t="s">
        <v>4539</v>
      </c>
      <c r="K25" s="21">
        <v>2.456994418598564E-2</v>
      </c>
      <c r="L25" s="21">
        <v>1.487708116545265E-2</v>
      </c>
      <c r="M25" s="21">
        <v>1.402028641247218E-2</v>
      </c>
      <c r="N25" s="21">
        <v>4.0108081804095329E-2</v>
      </c>
      <c r="O25" s="55">
        <v>2.339384839200145E-2</v>
      </c>
      <c r="AA25" s="2" t="s">
        <v>4540</v>
      </c>
      <c r="AB25" s="2">
        <v>8067</v>
      </c>
      <c r="AC25" s="138" t="s">
        <v>4520</v>
      </c>
      <c r="AD25" s="2">
        <v>222</v>
      </c>
      <c r="AE25" s="2">
        <v>390</v>
      </c>
    </row>
    <row r="26" spans="2:31" ht="15" customHeight="1" x14ac:dyDescent="0.2">
      <c r="B26" s="19" t="s">
        <v>4541</v>
      </c>
      <c r="C26" s="4">
        <v>4.38</v>
      </c>
      <c r="D26" s="4">
        <v>3.28</v>
      </c>
      <c r="E26" s="4">
        <v>2.2599999999999998</v>
      </c>
      <c r="F26" s="4">
        <v>5.01</v>
      </c>
      <c r="G26" s="4">
        <v>5.05</v>
      </c>
      <c r="H26" s="49">
        <v>5.28</v>
      </c>
      <c r="J26" s="19" t="s">
        <v>21</v>
      </c>
      <c r="K26" s="31">
        <v>9.6243291592128799E-3</v>
      </c>
      <c r="L26" s="31">
        <v>2.8931404573028469E-2</v>
      </c>
      <c r="M26" s="31">
        <v>3.3323757540936513E-2</v>
      </c>
      <c r="N26" s="31">
        <v>3.1307550644567222E-2</v>
      </c>
      <c r="O26" s="50">
        <v>2.579676047943627E-2</v>
      </c>
      <c r="AA26" s="2" t="s">
        <v>4542</v>
      </c>
      <c r="AB26" s="2">
        <v>7.62</v>
      </c>
      <c r="AC26" s="2">
        <v>2.13</v>
      </c>
      <c r="AD26" s="2" t="s">
        <v>4494</v>
      </c>
      <c r="AE26" s="2">
        <v>0.52</v>
      </c>
    </row>
    <row r="27" spans="2:31" ht="15" customHeight="1" thickBot="1" x14ac:dyDescent="0.25">
      <c r="B27" s="19" t="s">
        <v>4512</v>
      </c>
      <c r="C27" s="4"/>
      <c r="D27" s="96">
        <v>-0.25114155251141562</v>
      </c>
      <c r="E27" s="96">
        <v>-0.31097560975609762</v>
      </c>
      <c r="F27" s="96">
        <v>1.216814159292035</v>
      </c>
      <c r="G27" s="96">
        <v>7.9840319361277525E-3</v>
      </c>
      <c r="H27" s="97">
        <v>4.5544554455445627E-2</v>
      </c>
      <c r="J27" s="38" t="s">
        <v>4487</v>
      </c>
      <c r="K27" s="40">
        <v>0.26300000000000001</v>
      </c>
      <c r="L27" s="40">
        <v>0.21199999999999999</v>
      </c>
      <c r="M27" s="40">
        <v>0.10199999999999999</v>
      </c>
      <c r="N27" s="40">
        <v>0.26600000000000001</v>
      </c>
      <c r="O27" s="59">
        <v>0.21074999999999999</v>
      </c>
      <c r="AA27" s="2" t="s">
        <v>4487</v>
      </c>
      <c r="AB27" s="60">
        <v>0.21</v>
      </c>
      <c r="AC27" s="26">
        <v>0.29399999999999998</v>
      </c>
      <c r="AD27" s="26">
        <v>7.3400000000000007E-2</v>
      </c>
      <c r="AE27" s="26">
        <v>0.29499999999999998</v>
      </c>
    </row>
    <row r="28" spans="2:31" ht="15" customHeight="1" x14ac:dyDescent="0.2">
      <c r="B28" s="19" t="s">
        <v>4518</v>
      </c>
      <c r="C28" s="4">
        <v>11.31146336985128</v>
      </c>
      <c r="D28" s="4">
        <v>11.186514541657839</v>
      </c>
      <c r="E28" s="4">
        <v>11.32636739696645</v>
      </c>
      <c r="F28" s="4">
        <v>11.342354782288499</v>
      </c>
      <c r="G28" s="4">
        <v>11.09251868079104</v>
      </c>
      <c r="H28" s="49">
        <v>10.760873362445411</v>
      </c>
    </row>
    <row r="29" spans="2:31" ht="15" customHeight="1" x14ac:dyDescent="0.2">
      <c r="B29" s="19" t="s">
        <v>4522</v>
      </c>
      <c r="C29" s="4">
        <v>16.349787685774949</v>
      </c>
      <c r="D29" s="4">
        <v>16.418050990494802</v>
      </c>
      <c r="E29" s="4">
        <v>16.8345402377374</v>
      </c>
      <c r="F29" s="4">
        <v>17.079567507624059</v>
      </c>
      <c r="G29" s="4">
        <v>16.652520610893369</v>
      </c>
      <c r="H29" s="49">
        <v>16.073226942644691</v>
      </c>
    </row>
    <row r="30" spans="2:31" ht="15" customHeight="1" thickBot="1" x14ac:dyDescent="0.25">
      <c r="B30" s="38" t="s">
        <v>4525</v>
      </c>
      <c r="C30" s="61">
        <v>0.76796788810700645</v>
      </c>
      <c r="D30" s="61">
        <v>1.207861533484309</v>
      </c>
      <c r="E30" s="98">
        <v>0.72430922013054322</v>
      </c>
      <c r="F30" s="98">
        <v>0.70547010537124233</v>
      </c>
      <c r="G30" s="98">
        <v>0.68226972870606561</v>
      </c>
      <c r="H30" s="99">
        <v>0.66354195650417813</v>
      </c>
      <c r="J30" s="136" t="s">
        <v>4543</v>
      </c>
    </row>
    <row r="31" spans="2:31" ht="16" customHeight="1" thickBot="1" x14ac:dyDescent="0.25">
      <c r="J31" s="46"/>
      <c r="K31" s="63"/>
      <c r="L31" s="44" t="s">
        <v>4544</v>
      </c>
      <c r="M31" s="44" t="s">
        <v>4545</v>
      </c>
      <c r="N31" s="44" t="s">
        <v>4546</v>
      </c>
      <c r="O31" s="48" t="s">
        <v>4547</v>
      </c>
    </row>
    <row r="32" spans="2:31" x14ac:dyDescent="0.2">
      <c r="B32" s="8" t="s">
        <v>4548</v>
      </c>
      <c r="C32" s="64">
        <v>39071</v>
      </c>
      <c r="D32" s="64">
        <v>39731</v>
      </c>
      <c r="E32" s="64">
        <v>50311</v>
      </c>
      <c r="F32" s="64">
        <v>56056</v>
      </c>
      <c r="G32" s="64">
        <v>54532</v>
      </c>
      <c r="H32" s="72">
        <v>53450</v>
      </c>
      <c r="J32" s="19" t="s">
        <v>4549</v>
      </c>
      <c r="K32" s="22" t="s">
        <v>4510</v>
      </c>
      <c r="L32" s="4">
        <v>125033</v>
      </c>
      <c r="M32" s="4">
        <v>123925</v>
      </c>
      <c r="N32" s="4">
        <v>1108.01</v>
      </c>
      <c r="O32" s="67">
        <v>0.89</v>
      </c>
    </row>
    <row r="33" spans="2:15" x14ac:dyDescent="0.2">
      <c r="B33" s="19" t="s">
        <v>4514</v>
      </c>
      <c r="C33" s="4">
        <v>81</v>
      </c>
      <c r="D33" s="4">
        <v>149</v>
      </c>
      <c r="E33" s="4">
        <v>32635</v>
      </c>
      <c r="F33" s="4">
        <v>32589</v>
      </c>
      <c r="G33" s="4">
        <v>33323</v>
      </c>
      <c r="H33" s="49">
        <v>34350</v>
      </c>
      <c r="J33" s="19"/>
      <c r="K33" s="22" t="s">
        <v>4550</v>
      </c>
      <c r="L33" s="3">
        <v>1.02</v>
      </c>
      <c r="M33" s="3">
        <v>1.1299999999999999</v>
      </c>
      <c r="N33" s="3">
        <v>0.11</v>
      </c>
      <c r="O33" s="67">
        <v>10.82</v>
      </c>
    </row>
    <row r="34" spans="2:15" x14ac:dyDescent="0.2">
      <c r="B34" s="19" t="s">
        <v>4551</v>
      </c>
      <c r="C34" s="20">
        <v>482.35802469135803</v>
      </c>
      <c r="D34" s="20">
        <v>266.65100671140942</v>
      </c>
      <c r="E34" s="20">
        <v>1.541627087482764</v>
      </c>
      <c r="F34" s="20">
        <v>1.7200896007855411</v>
      </c>
      <c r="G34" s="20">
        <v>1.636467304864508</v>
      </c>
      <c r="H34" s="24">
        <v>1.556040756914119</v>
      </c>
      <c r="J34" s="19" t="s">
        <v>4552</v>
      </c>
      <c r="K34" s="22" t="s">
        <v>4510</v>
      </c>
      <c r="L34" s="4">
        <v>138654</v>
      </c>
      <c r="M34" s="4">
        <v>138793</v>
      </c>
      <c r="N34" s="4">
        <v>138.75</v>
      </c>
      <c r="O34" s="67">
        <v>0.1</v>
      </c>
    </row>
    <row r="35" spans="2:15" x14ac:dyDescent="0.2">
      <c r="B35" s="19" t="s">
        <v>4553</v>
      </c>
      <c r="C35" s="68">
        <v>10.1</v>
      </c>
      <c r="D35" s="68">
        <v>9.41</v>
      </c>
      <c r="E35" s="68">
        <v>9.42</v>
      </c>
      <c r="F35" s="68">
        <v>8.64</v>
      </c>
      <c r="G35" s="68">
        <v>9.2799999999999994</v>
      </c>
      <c r="H35" s="69">
        <v>10</v>
      </c>
      <c r="J35" s="19"/>
      <c r="K35" s="22" t="s">
        <v>4550</v>
      </c>
      <c r="L35" s="3">
        <v>1.33</v>
      </c>
      <c r="M35" s="3">
        <v>1.41</v>
      </c>
      <c r="N35" s="3">
        <v>0.08</v>
      </c>
      <c r="O35" s="67">
        <v>5.71</v>
      </c>
    </row>
    <row r="36" spans="2:15" ht="16" customHeight="1" thickBot="1" x14ac:dyDescent="0.25">
      <c r="B36" s="38" t="s">
        <v>22</v>
      </c>
      <c r="C36" s="70">
        <v>25.1</v>
      </c>
      <c r="D36" s="70">
        <v>26.4</v>
      </c>
      <c r="E36" s="70">
        <v>24.6</v>
      </c>
      <c r="F36" s="70">
        <v>25.4</v>
      </c>
      <c r="G36" s="70">
        <v>24.5</v>
      </c>
      <c r="H36" s="71">
        <v>25.7</v>
      </c>
      <c r="J36" s="19" t="s">
        <v>4554</v>
      </c>
      <c r="K36" s="22" t="s">
        <v>4510</v>
      </c>
      <c r="L36" s="4">
        <v>125501</v>
      </c>
      <c r="M36" s="4">
        <v>124894</v>
      </c>
      <c r="N36" s="4">
        <v>607.49</v>
      </c>
      <c r="O36" s="67">
        <v>0.48</v>
      </c>
    </row>
    <row r="37" spans="2:15" ht="16" customHeight="1" thickBot="1" x14ac:dyDescent="0.25">
      <c r="J37" s="19"/>
      <c r="K37" s="22" t="s">
        <v>4550</v>
      </c>
      <c r="L37" s="3">
        <v>1.01</v>
      </c>
      <c r="M37" s="3">
        <v>1.08</v>
      </c>
      <c r="N37" s="3">
        <v>7.0000000000000007E-2</v>
      </c>
      <c r="O37" s="67">
        <v>6.69</v>
      </c>
    </row>
    <row r="38" spans="2:15" x14ac:dyDescent="0.2">
      <c r="B38" s="8" t="s">
        <v>4555</v>
      </c>
      <c r="C38" s="72">
        <v>5660069</v>
      </c>
      <c r="F38" s="8" t="s">
        <v>4556</v>
      </c>
      <c r="G38" s="64">
        <v>111.79</v>
      </c>
      <c r="H38" s="101">
        <v>-1.261293496734959E-2</v>
      </c>
      <c r="J38" s="19" t="s">
        <v>4557</v>
      </c>
      <c r="K38" s="22" t="s">
        <v>4510</v>
      </c>
      <c r="L38" s="4">
        <v>125973</v>
      </c>
      <c r="M38" s="4">
        <v>128028</v>
      </c>
      <c r="N38" s="4">
        <v>2055.0500000000002</v>
      </c>
      <c r="O38" s="67">
        <v>1.63</v>
      </c>
    </row>
    <row r="39" spans="2:15" ht="16" customHeight="1" thickBot="1" x14ac:dyDescent="0.25">
      <c r="B39" s="19" t="s">
        <v>4558</v>
      </c>
      <c r="C39" s="49" t="s">
        <v>4698</v>
      </c>
      <c r="F39" s="38" t="s">
        <v>4560</v>
      </c>
      <c r="G39" s="98">
        <v>102.73</v>
      </c>
      <c r="H39" s="59">
        <v>7.446704954735707E-2</v>
      </c>
      <c r="J39" s="38"/>
      <c r="K39" s="77" t="s">
        <v>4550</v>
      </c>
      <c r="L39" s="78">
        <v>1.22</v>
      </c>
      <c r="M39" s="78">
        <v>1.29</v>
      </c>
      <c r="N39" s="78">
        <v>7.0000000000000007E-2</v>
      </c>
      <c r="O39" s="79">
        <v>5.96</v>
      </c>
    </row>
    <row r="40" spans="2:15" ht="16" customHeight="1" thickBot="1" x14ac:dyDescent="0.25">
      <c r="B40" s="38" t="s">
        <v>4561</v>
      </c>
      <c r="C40" s="99" t="s">
        <v>4699</v>
      </c>
    </row>
    <row r="41" spans="2:15" x14ac:dyDescent="0.2">
      <c r="F41" s="8" t="s">
        <v>4563</v>
      </c>
      <c r="G41" s="11"/>
      <c r="H41" s="72" t="s">
        <v>4700</v>
      </c>
    </row>
    <row r="42" spans="2:15" ht="16" customHeight="1" thickBot="1" x14ac:dyDescent="0.25">
      <c r="F42" s="38" t="s">
        <v>4565</v>
      </c>
      <c r="G42" s="17"/>
      <c r="H42" s="99" t="s">
        <v>4701</v>
      </c>
    </row>
    <row r="43" spans="2:15" ht="19.5" customHeight="1" thickBot="1" x14ac:dyDescent="0.25"/>
    <row r="44" spans="2:15" ht="18" customHeight="1" x14ac:dyDescent="0.2">
      <c r="B44" s="8" t="s">
        <v>4566</v>
      </c>
      <c r="C44" s="64" t="str">
        <f>[1]Summary!C43</f>
        <v>United States</v>
      </c>
      <c r="D44" s="103">
        <f>[1]Summary!D43</f>
        <v>1</v>
      </c>
      <c r="F44" s="8" t="s">
        <v>4568</v>
      </c>
      <c r="G44" s="64" t="str">
        <f>[1]Summary!G43</f>
        <v>Sales Cloud</v>
      </c>
      <c r="H44" s="101">
        <f>[1]Summary!H43</f>
        <v>0.36499999999999999</v>
      </c>
      <c r="J44" s="149">
        <f>[1]Summary!$J$43</f>
        <v>0</v>
      </c>
      <c r="K44" s="150"/>
      <c r="L44" s="150"/>
      <c r="M44" s="150"/>
      <c r="N44" s="150"/>
      <c r="O44" s="151"/>
    </row>
    <row r="45" spans="2:15" x14ac:dyDescent="0.2">
      <c r="B45" s="83"/>
      <c r="C45" s="4">
        <f>[1]Summary!C44</f>
        <v>0</v>
      </c>
      <c r="D45" s="95" t="str">
        <f>[1]Summary!D44</f>
        <v xml:space="preserve">
	</v>
      </c>
      <c r="F45" s="83"/>
      <c r="G45" s="4" t="str">
        <f>[1]Summary!G44</f>
        <v>Service Cloud</v>
      </c>
      <c r="H45" s="50">
        <f>[1]Summary!H44</f>
        <v>0.27700000000000002</v>
      </c>
      <c r="J45" s="152"/>
      <c r="K45" s="143"/>
      <c r="L45" s="143"/>
      <c r="M45" s="143"/>
      <c r="N45" s="143"/>
      <c r="O45" s="153"/>
    </row>
    <row r="46" spans="2:15" x14ac:dyDescent="0.2">
      <c r="B46" s="83"/>
      <c r="C46" s="4">
        <f>[1]Summary!C45</f>
        <v>0</v>
      </c>
      <c r="D46" s="106" t="str">
        <f>[1]Summary!D45</f>
        <v xml:space="preserve">_x000D_
</v>
      </c>
      <c r="F46" s="83"/>
      <c r="G46" s="4" t="str">
        <f>[1]Summary!G45</f>
        <v>Sales Force Platform and Other</v>
      </c>
      <c r="H46" s="50">
        <f>[1]Summary!H45</f>
        <v>0.17199999999999999</v>
      </c>
      <c r="J46" s="152"/>
      <c r="K46" s="143"/>
      <c r="L46" s="143"/>
      <c r="M46" s="143"/>
      <c r="N46" s="143"/>
      <c r="O46" s="153"/>
    </row>
    <row r="47" spans="2:15" ht="25.5" customHeight="1" thickBot="1" x14ac:dyDescent="0.25">
      <c r="B47" s="87"/>
      <c r="C47" s="98" t="str">
        <f>[1]Summary!C46</f>
        <v>Thomas Kingsbury</v>
      </c>
      <c r="D47" s="76">
        <f>[1]Summary!D46</f>
        <v>2008</v>
      </c>
      <c r="F47" s="87"/>
      <c r="G47" s="98" t="str">
        <f>[1]Summary!G46</f>
        <v>Marketing and Commerce Cloud</v>
      </c>
      <c r="H47" s="59">
        <f>[1]Summary!H46</f>
        <v>0.111</v>
      </c>
      <c r="J47" s="154"/>
      <c r="K47" s="144"/>
      <c r="L47" s="144"/>
      <c r="M47" s="144"/>
      <c r="N47" s="144"/>
      <c r="O47" s="155"/>
    </row>
    <row r="53" spans="2:9" ht="16" customHeight="1" thickBot="1" x14ac:dyDescent="0.25"/>
    <row r="54" spans="2:9" x14ac:dyDescent="0.2">
      <c r="B54" s="8" t="s">
        <v>4479</v>
      </c>
      <c r="C54" s="9">
        <v>192.21</v>
      </c>
      <c r="D54" s="10"/>
      <c r="E54" s="11"/>
      <c r="F54" s="11"/>
      <c r="G54" s="11"/>
      <c r="H54" s="11"/>
      <c r="I54" s="12"/>
    </row>
    <row r="55" spans="2:9" x14ac:dyDescent="0.2">
      <c r="B55" s="14"/>
      <c r="C55" s="3"/>
      <c r="D55" s="3"/>
      <c r="I55" s="15"/>
    </row>
    <row r="56" spans="2:9" x14ac:dyDescent="0.2">
      <c r="B56" s="19" t="s">
        <v>4482</v>
      </c>
      <c r="C56" s="20">
        <v>216.25999450683591</v>
      </c>
      <c r="D56" s="21">
        <v>-0.1112087076561713</v>
      </c>
      <c r="E56" s="22" t="s">
        <v>4483</v>
      </c>
      <c r="F56" s="23" t="s">
        <v>4535</v>
      </c>
      <c r="G56" s="22" t="s">
        <v>4484</v>
      </c>
      <c r="H56" s="20">
        <v>15.626829268292679</v>
      </c>
      <c r="I56" s="15"/>
    </row>
    <row r="57" spans="2:9" x14ac:dyDescent="0.2">
      <c r="B57" s="19" t="s">
        <v>4485</v>
      </c>
      <c r="C57" s="20">
        <v>153.1300048828125</v>
      </c>
      <c r="D57" s="21">
        <v>0.25520795318392819</v>
      </c>
      <c r="E57" s="22" t="s">
        <v>4486</v>
      </c>
      <c r="F57" s="3" t="s">
        <v>4536</v>
      </c>
      <c r="G57" s="22" t="s">
        <v>4487</v>
      </c>
      <c r="H57" s="30">
        <v>0.39400000000000002</v>
      </c>
      <c r="I57" s="15"/>
    </row>
    <row r="58" spans="2:9" x14ac:dyDescent="0.2">
      <c r="B58" s="19" t="s">
        <v>4489</v>
      </c>
      <c r="C58" s="30">
        <v>0.58050000000000002</v>
      </c>
      <c r="D58" s="31"/>
      <c r="E58" s="22" t="s">
        <v>2503</v>
      </c>
      <c r="F58" s="3"/>
      <c r="G58" s="22" t="s">
        <v>4490</v>
      </c>
      <c r="H58" s="2" t="s">
        <v>4574</v>
      </c>
      <c r="I58" s="15"/>
    </row>
    <row r="59" spans="2:9" x14ac:dyDescent="0.2">
      <c r="B59" s="19" t="s">
        <v>4492</v>
      </c>
      <c r="C59" s="4">
        <v>25040</v>
      </c>
      <c r="D59" s="3"/>
      <c r="E59" s="22" t="s">
        <v>4493</v>
      </c>
      <c r="F59" s="3" t="s">
        <v>4494</v>
      </c>
      <c r="G59" s="22" t="s">
        <v>27</v>
      </c>
      <c r="H59" s="2" t="s">
        <v>115</v>
      </c>
      <c r="I59" s="15"/>
    </row>
    <row r="60" spans="2:9" x14ac:dyDescent="0.2">
      <c r="B60" s="19" t="s">
        <v>1283</v>
      </c>
      <c r="C60" s="34">
        <v>23846</v>
      </c>
      <c r="D60" s="4">
        <v>-1194</v>
      </c>
      <c r="E60" s="22" t="s">
        <v>4496</v>
      </c>
      <c r="F60" s="31"/>
      <c r="G60" s="22" t="s">
        <v>28</v>
      </c>
      <c r="H60" s="2" t="s">
        <v>4575</v>
      </c>
      <c r="I60" s="15"/>
    </row>
    <row r="61" spans="2:9" ht="16" customHeight="1" thickBot="1" x14ac:dyDescent="0.25">
      <c r="B61" s="38" t="s">
        <v>4498</v>
      </c>
      <c r="C61" s="91">
        <v>1.4650000333786011</v>
      </c>
      <c r="D61" s="78"/>
      <c r="E61" s="77" t="s">
        <v>4499</v>
      </c>
      <c r="F61" s="91">
        <v>1.2599999904632571</v>
      </c>
      <c r="G61" s="77" t="s">
        <v>4500</v>
      </c>
      <c r="H61" s="92" t="s">
        <v>4501</v>
      </c>
      <c r="I61" s="18"/>
    </row>
    <row r="370" spans="8:8" x14ac:dyDescent="0.2">
      <c r="H370" s="2">
        <v>36.79</v>
      </c>
    </row>
  </sheetData>
  <mergeCells count="1">
    <mergeCell ref="J44:O47"/>
  </mergeCells>
  <conditionalFormatting sqref="O32">
    <cfRule type="cellIs" dxfId="11" priority="5" operator="lessThan">
      <formula>0</formula>
    </cfRule>
    <cfRule type="cellIs" dxfId="10" priority="6" operator="greaterThan">
      <formula>0</formula>
    </cfRule>
  </conditionalFormatting>
  <conditionalFormatting sqref="O33:O39">
    <cfRule type="cellIs" dxfId="9" priority="3" operator="lessThan">
      <formula>0</formula>
    </cfRule>
    <cfRule type="cellIs" dxfId="8" priority="4" operator="greaterThan">
      <formula>0</formula>
    </cfRule>
  </conditionalFormatting>
  <conditionalFormatting sqref="D17:H17">
    <cfRule type="colorScale" priority="2">
      <colorScale>
        <cfvo type="min"/>
        <cfvo type="percentile" val="50"/>
        <cfvo type="max"/>
        <color rgb="FFF8696B"/>
        <color rgb="FFFFEB84"/>
        <color rgb="FF63BE7B"/>
      </colorScale>
    </cfRule>
  </conditionalFormatting>
  <conditionalFormatting sqref="D27:H27">
    <cfRule type="colorScale" priority="1">
      <colorScale>
        <cfvo type="min"/>
        <cfvo type="percentile" val="50"/>
        <cfvo type="max"/>
        <color rgb="FFF8696B"/>
        <color rgb="FFFFEB84"/>
        <color rgb="FF63BE7B"/>
      </colorScale>
    </cfRule>
  </conditionalFormatting>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0"/>
  <dimension ref="B1:AE370"/>
  <sheetViews>
    <sheetView workbookViewId="0">
      <selection activeCell="M21" sqref="M21"/>
    </sheetView>
  </sheetViews>
  <sheetFormatPr baseColWidth="10" defaultColWidth="9.1640625" defaultRowHeight="15" x14ac:dyDescent="0.2"/>
  <cols>
    <col min="1" max="1" width="9.1640625" style="2" customWidth="1"/>
    <col min="2" max="2" width="20.33203125" style="2" customWidth="1"/>
    <col min="3" max="8" width="16.83203125" style="2" customWidth="1"/>
    <col min="9" max="9" width="6.6640625" style="2" customWidth="1"/>
    <col min="10" max="10" width="15" style="2" customWidth="1"/>
    <col min="11" max="14" width="11.33203125" style="2" customWidth="1"/>
    <col min="15" max="15" width="12.83203125" style="2" customWidth="1"/>
    <col min="16" max="16" width="14.6640625" style="2" customWidth="1"/>
    <col min="17" max="17" width="16" style="2" customWidth="1"/>
    <col min="18" max="18" width="17.83203125" style="2" customWidth="1"/>
    <col min="19" max="19" width="13.33203125" style="2" customWidth="1"/>
    <col min="20" max="20" width="9.6640625" style="2" customWidth="1"/>
    <col min="21" max="21" width="9.1640625" style="2" customWidth="1"/>
    <col min="22" max="24" width="1.6640625" style="2" customWidth="1"/>
    <col min="25" max="25" width="9.1640625" style="2" customWidth="1"/>
    <col min="26" max="16384" width="9.1640625" style="2"/>
  </cols>
  <sheetData>
    <row r="1" spans="2:31" ht="16" customHeight="1" thickBot="1" x14ac:dyDescent="0.25"/>
    <row r="2" spans="2:31" ht="16" customHeight="1" thickBot="1" x14ac:dyDescent="0.25">
      <c r="B2" s="93" t="s">
        <v>3494</v>
      </c>
      <c r="G2" s="6" t="s">
        <v>4702</v>
      </c>
      <c r="H2" s="7"/>
      <c r="Q2" s="2">
        <f>LEN([1]Summary!$C$1)</f>
        <v>27</v>
      </c>
    </row>
    <row r="3" spans="2:31" ht="16" customHeight="1" thickBot="1" x14ac:dyDescent="0.25"/>
    <row r="4" spans="2:31" x14ac:dyDescent="0.2">
      <c r="B4" s="8" t="s">
        <v>4479</v>
      </c>
      <c r="C4" s="9">
        <v>74.36</v>
      </c>
      <c r="D4" s="10"/>
      <c r="E4" s="11"/>
      <c r="F4" s="11"/>
      <c r="G4" s="11"/>
      <c r="H4" s="12"/>
      <c r="J4" s="13">
        <v>43504</v>
      </c>
      <c r="K4" s="11" t="s">
        <v>4703</v>
      </c>
      <c r="L4" s="11"/>
      <c r="M4" s="11"/>
      <c r="N4" s="12"/>
    </row>
    <row r="5" spans="2:31" ht="16" customHeight="1" thickBot="1" x14ac:dyDescent="0.25">
      <c r="B5" s="14"/>
      <c r="C5" s="3"/>
      <c r="D5" s="3"/>
      <c r="H5" s="15"/>
      <c r="J5" s="16">
        <v>43504</v>
      </c>
      <c r="K5" s="17" t="s">
        <v>4704</v>
      </c>
      <c r="L5" s="17"/>
      <c r="M5" s="17"/>
      <c r="N5" s="18"/>
    </row>
    <row r="6" spans="2:31" ht="16" customHeight="1" thickBot="1" x14ac:dyDescent="0.25">
      <c r="B6" s="19" t="s">
        <v>4482</v>
      </c>
      <c r="C6" s="20">
        <v>87.360000610351562</v>
      </c>
      <c r="D6" s="21">
        <v>-0.14880952975647249</v>
      </c>
      <c r="E6" s="22" t="s">
        <v>4483</v>
      </c>
      <c r="F6" s="23" t="s">
        <v>4705</v>
      </c>
      <c r="G6" s="22" t="s">
        <v>4484</v>
      </c>
      <c r="H6" s="24">
        <v>1.6378854625550661</v>
      </c>
      <c r="L6" s="25"/>
      <c r="M6" s="26"/>
    </row>
    <row r="7" spans="2:31" x14ac:dyDescent="0.2">
      <c r="B7" s="19" t="s">
        <v>4485</v>
      </c>
      <c r="C7" s="20">
        <v>64.650001525878906</v>
      </c>
      <c r="D7" s="21">
        <v>0.15019332165420371</v>
      </c>
      <c r="E7" s="22" t="s">
        <v>4486</v>
      </c>
      <c r="F7" s="3" t="s">
        <v>4706</v>
      </c>
      <c r="G7" s="22" t="s">
        <v>4487</v>
      </c>
      <c r="H7" s="27">
        <v>8.0600000000000005E-2</v>
      </c>
      <c r="L7" s="28"/>
      <c r="M7" s="26"/>
      <c r="N7" s="136"/>
      <c r="R7" s="8" t="s">
        <v>4488</v>
      </c>
      <c r="S7" s="11"/>
      <c r="T7" s="29"/>
    </row>
    <row r="8" spans="2:31" x14ac:dyDescent="0.2">
      <c r="B8" s="19" t="s">
        <v>4489</v>
      </c>
      <c r="C8" s="30">
        <v>9.0499999999999997E-2</v>
      </c>
      <c r="D8" s="31"/>
      <c r="E8" s="22" t="s">
        <v>2503</v>
      </c>
      <c r="F8" s="3"/>
      <c r="G8" s="22" t="s">
        <v>4490</v>
      </c>
      <c r="H8" s="15" t="s">
        <v>4582</v>
      </c>
      <c r="R8" s="32" t="s">
        <v>4491</v>
      </c>
      <c r="T8" s="33"/>
    </row>
    <row r="9" spans="2:31" x14ac:dyDescent="0.2">
      <c r="B9" s="19" t="s">
        <v>4492</v>
      </c>
      <c r="C9" s="4">
        <v>314624</v>
      </c>
      <c r="D9" s="3"/>
      <c r="E9" s="22" t="s">
        <v>4493</v>
      </c>
      <c r="F9" s="3">
        <v>3.55</v>
      </c>
      <c r="G9" s="22" t="s">
        <v>27</v>
      </c>
      <c r="H9" s="15" t="s">
        <v>4707</v>
      </c>
      <c r="R9" s="32" t="s">
        <v>4495</v>
      </c>
      <c r="T9" s="33"/>
    </row>
    <row r="10" spans="2:31" x14ac:dyDescent="0.2">
      <c r="B10" s="19" t="s">
        <v>1283</v>
      </c>
      <c r="C10" s="34">
        <v>357012</v>
      </c>
      <c r="D10" s="4">
        <v>42388</v>
      </c>
      <c r="E10" s="22" t="s">
        <v>4496</v>
      </c>
      <c r="F10" s="31">
        <v>4.774072081764389E-2</v>
      </c>
      <c r="G10" s="22" t="s">
        <v>28</v>
      </c>
      <c r="H10" s="15" t="s">
        <v>4708</v>
      </c>
      <c r="R10" s="32" t="s">
        <v>4497</v>
      </c>
      <c r="T10" s="33"/>
    </row>
    <row r="11" spans="2:31" ht="16" customHeight="1" thickBot="1" x14ac:dyDescent="0.25">
      <c r="B11" s="19" t="s">
        <v>4498</v>
      </c>
      <c r="C11" s="20">
        <v>3.4697853489230259</v>
      </c>
      <c r="D11" s="3"/>
      <c r="E11" s="22" t="s">
        <v>4499</v>
      </c>
      <c r="F11" s="20">
        <v>1.1499999761581421</v>
      </c>
      <c r="G11" s="22" t="s">
        <v>4500</v>
      </c>
      <c r="H11" s="35" t="s">
        <v>4709</v>
      </c>
      <c r="R11" s="36" t="s">
        <v>4502</v>
      </c>
      <c r="S11" s="17"/>
      <c r="T11" s="37"/>
    </row>
    <row r="12" spans="2:31" ht="15.75" customHeight="1" thickBot="1" x14ac:dyDescent="0.25">
      <c r="B12" s="38" t="s">
        <v>4503</v>
      </c>
      <c r="C12" s="39" t="s">
        <v>4710</v>
      </c>
      <c r="D12" s="40"/>
      <c r="E12" s="17"/>
      <c r="F12" s="17"/>
      <c r="G12" s="17"/>
      <c r="H12" s="18"/>
    </row>
    <row r="13" spans="2:31" ht="16" customHeight="1" thickBot="1" x14ac:dyDescent="0.25">
      <c r="D13" s="41"/>
      <c r="L13" s="28"/>
      <c r="M13" s="26"/>
    </row>
    <row r="14" spans="2:31" ht="16" customHeight="1" thickBot="1" x14ac:dyDescent="0.25">
      <c r="G14" s="42" t="s">
        <v>4504</v>
      </c>
      <c r="H14" s="43" t="s">
        <v>4618</v>
      </c>
    </row>
    <row r="15" spans="2:31" ht="16" customHeight="1" x14ac:dyDescent="0.2">
      <c r="B15" s="8"/>
      <c r="C15" s="44">
        <v>2017</v>
      </c>
      <c r="D15" s="44">
        <v>2018</v>
      </c>
      <c r="E15" s="44">
        <v>2019</v>
      </c>
      <c r="F15" s="44" t="s">
        <v>4506</v>
      </c>
      <c r="G15" s="44" t="s">
        <v>4507</v>
      </c>
      <c r="H15" s="45" t="s">
        <v>4508</v>
      </c>
      <c r="J15" s="46"/>
      <c r="K15" s="47" t="s">
        <v>4711</v>
      </c>
      <c r="L15" s="47" t="s">
        <v>4712</v>
      </c>
      <c r="M15" s="47" t="s">
        <v>4713</v>
      </c>
      <c r="N15" s="47" t="s">
        <v>4714</v>
      </c>
      <c r="O15" s="48" t="s">
        <v>4509</v>
      </c>
      <c r="AA15" s="2" t="s">
        <v>4479</v>
      </c>
      <c r="AB15" s="2">
        <v>383.3</v>
      </c>
      <c r="AC15" s="2">
        <v>88.27</v>
      </c>
      <c r="AD15" s="2">
        <v>27.19</v>
      </c>
      <c r="AE15" s="2">
        <v>38.64</v>
      </c>
    </row>
    <row r="16" spans="2:31" x14ac:dyDescent="0.2">
      <c r="B16" s="19" t="s">
        <v>4510</v>
      </c>
      <c r="C16" s="4">
        <v>226094</v>
      </c>
      <c r="D16" s="4">
        <v>244363</v>
      </c>
      <c r="E16" s="4">
        <v>290212</v>
      </c>
      <c r="F16" s="4">
        <v>268604</v>
      </c>
      <c r="G16" s="4">
        <v>289506</v>
      </c>
      <c r="H16" s="49">
        <v>273156</v>
      </c>
      <c r="J16" s="19" t="s">
        <v>4492</v>
      </c>
      <c r="K16" s="4">
        <v>134123</v>
      </c>
      <c r="L16" s="4">
        <v>6911505</v>
      </c>
      <c r="M16" s="4">
        <v>475926235</v>
      </c>
      <c r="N16" s="4" t="s">
        <v>4715</v>
      </c>
      <c r="O16" s="49"/>
      <c r="AA16" s="2" t="s">
        <v>4492</v>
      </c>
      <c r="AB16" s="2">
        <v>191403</v>
      </c>
      <c r="AC16" s="2">
        <v>35478</v>
      </c>
      <c r="AD16" s="2">
        <v>11620</v>
      </c>
      <c r="AE16" s="2" t="s">
        <v>4511</v>
      </c>
    </row>
    <row r="17" spans="2:31" ht="15" customHeight="1" x14ac:dyDescent="0.2">
      <c r="B17" s="19" t="s">
        <v>4512</v>
      </c>
      <c r="C17" s="4"/>
      <c r="D17" s="94">
        <v>8.0802674993586732E-2</v>
      </c>
      <c r="E17" s="94">
        <v>0.1876266046823783</v>
      </c>
      <c r="F17" s="94">
        <v>-7.4455914986285884E-2</v>
      </c>
      <c r="G17" s="94">
        <v>7.7817158344626283E-2</v>
      </c>
      <c r="H17" s="95">
        <v>-5.6475513460860917E-2</v>
      </c>
      <c r="J17" s="19" t="s">
        <v>1283</v>
      </c>
      <c r="K17" s="4">
        <v>173322</v>
      </c>
      <c r="L17" s="4">
        <v>9454236</v>
      </c>
      <c r="M17" s="4">
        <v>478468965</v>
      </c>
      <c r="N17" s="4" t="s">
        <v>4716</v>
      </c>
      <c r="O17" s="49"/>
      <c r="AA17" s="2" t="s">
        <v>1283</v>
      </c>
      <c r="AB17" s="138">
        <v>192879</v>
      </c>
      <c r="AC17" s="2">
        <v>37143</v>
      </c>
      <c r="AD17" s="2">
        <v>11760</v>
      </c>
      <c r="AE17" s="2" t="s">
        <v>4513</v>
      </c>
    </row>
    <row r="18" spans="2:31" ht="15" customHeight="1" x14ac:dyDescent="0.2">
      <c r="B18" s="19" t="s">
        <v>4514</v>
      </c>
      <c r="C18" s="4">
        <v>32757</v>
      </c>
      <c r="D18" s="4">
        <v>40689</v>
      </c>
      <c r="E18" s="4">
        <v>51171</v>
      </c>
      <c r="F18" s="4">
        <v>44414</v>
      </c>
      <c r="G18" s="4">
        <v>51340</v>
      </c>
      <c r="H18" s="49">
        <v>53716</v>
      </c>
      <c r="J18" s="19" t="s">
        <v>4515</v>
      </c>
      <c r="K18" s="51">
        <v>852.65625</v>
      </c>
      <c r="L18" s="51">
        <v>13.04861878453039</v>
      </c>
      <c r="M18" s="51"/>
      <c r="N18" s="51">
        <v>10.13461538461538</v>
      </c>
      <c r="O18" s="52"/>
      <c r="AA18" s="2" t="s">
        <v>4516</v>
      </c>
      <c r="AB18" s="138">
        <v>16</v>
      </c>
      <c r="AD18" s="2">
        <v>0.49</v>
      </c>
      <c r="AE18" s="2">
        <v>1.54</v>
      </c>
    </row>
    <row r="19" spans="2:31" ht="15" customHeight="1" x14ac:dyDescent="0.2">
      <c r="B19" s="19" t="s">
        <v>4517</v>
      </c>
      <c r="C19" s="21">
        <v>0.1448822171309278</v>
      </c>
      <c r="D19" s="21">
        <v>0.16651047826389431</v>
      </c>
      <c r="E19" s="21">
        <v>0.176322826071975</v>
      </c>
      <c r="F19" s="21">
        <v>0.16535122336227309</v>
      </c>
      <c r="G19" s="21">
        <v>0.17733656642694801</v>
      </c>
      <c r="H19" s="55">
        <v>0.19664953359984769</v>
      </c>
      <c r="J19" s="19" t="s">
        <v>4518</v>
      </c>
      <c r="K19" s="51">
        <v>4.457182533559636</v>
      </c>
      <c r="L19" s="51">
        <v>9.9562185848284663</v>
      </c>
      <c r="M19" s="51">
        <v>503.87377696057519</v>
      </c>
      <c r="N19" s="51"/>
      <c r="O19" s="52"/>
      <c r="AA19" s="2" t="s">
        <v>4519</v>
      </c>
      <c r="AB19" s="2">
        <v>13603</v>
      </c>
      <c r="AC19" s="138" t="s">
        <v>4520</v>
      </c>
      <c r="AD19" s="2">
        <v>425</v>
      </c>
      <c r="AE19" s="2">
        <v>576</v>
      </c>
    </row>
    <row r="20" spans="2:31" ht="15" customHeight="1" x14ac:dyDescent="0.2">
      <c r="B20" s="19" t="s">
        <v>4521</v>
      </c>
      <c r="C20" s="4">
        <v>10449</v>
      </c>
      <c r="D20" s="4">
        <v>20796</v>
      </c>
      <c r="E20" s="4">
        <v>32426</v>
      </c>
      <c r="F20" s="4">
        <v>26063</v>
      </c>
      <c r="G20" s="4">
        <v>36804</v>
      </c>
      <c r="H20" s="49">
        <v>35044</v>
      </c>
      <c r="J20" s="19" t="s">
        <v>4522</v>
      </c>
      <c r="K20" s="51">
        <v>8.2334330910645583</v>
      </c>
      <c r="L20" s="51">
        <v>13.172743384533071</v>
      </c>
      <c r="M20" s="51">
        <v>666.65872244019886</v>
      </c>
      <c r="N20" s="51"/>
      <c r="O20" s="52"/>
      <c r="AA20" s="2" t="s">
        <v>4523</v>
      </c>
      <c r="AB20" s="2">
        <v>11392</v>
      </c>
      <c r="AD20" s="2">
        <v>234</v>
      </c>
      <c r="AE20" s="2">
        <v>495</v>
      </c>
    </row>
    <row r="21" spans="2:31" ht="15" customHeight="1" x14ac:dyDescent="0.2">
      <c r="B21" s="19" t="s">
        <v>4524</v>
      </c>
      <c r="C21" s="21">
        <v>4.6215290985165462E-2</v>
      </c>
      <c r="D21" s="21">
        <v>8.5102900193564493E-2</v>
      </c>
      <c r="E21" s="21">
        <v>0.1117321130759583</v>
      </c>
      <c r="F21" s="21">
        <v>9.7031317478518564E-2</v>
      </c>
      <c r="G21" s="21">
        <v>0.12712689892437459</v>
      </c>
      <c r="H21" s="55">
        <v>0.12829299008625111</v>
      </c>
      <c r="J21" s="19" t="s">
        <v>4525</v>
      </c>
      <c r="K21" s="51">
        <v>0.61257943436371221</v>
      </c>
      <c r="L21" s="51">
        <v>1.5827018057651161</v>
      </c>
      <c r="M21" s="51">
        <v>80.098877890087167</v>
      </c>
      <c r="N21" s="51"/>
      <c r="O21" s="52"/>
      <c r="AA21" s="2" t="s">
        <v>4526</v>
      </c>
      <c r="AB21" s="2">
        <v>53631</v>
      </c>
      <c r="AC21" s="138" t="s">
        <v>4520</v>
      </c>
      <c r="AD21" s="2">
        <v>5378</v>
      </c>
      <c r="AE21" s="2">
        <v>1642</v>
      </c>
    </row>
    <row r="22" spans="2:31" ht="15" customHeight="1" x14ac:dyDescent="0.2">
      <c r="B22" s="19" t="s">
        <v>4527</v>
      </c>
      <c r="C22" s="4">
        <v>7840</v>
      </c>
      <c r="D22" s="4">
        <v>19710</v>
      </c>
      <c r="E22" s="4">
        <v>20840</v>
      </c>
      <c r="F22" s="4">
        <v>15298</v>
      </c>
      <c r="G22" s="4">
        <v>19999</v>
      </c>
      <c r="H22" s="49">
        <v>19992</v>
      </c>
      <c r="J22" s="19" t="s">
        <v>2479</v>
      </c>
      <c r="K22" s="20">
        <v>106.7906066536204</v>
      </c>
      <c r="L22" s="20">
        <v>1.527684346701164</v>
      </c>
      <c r="M22" s="20"/>
      <c r="N22" s="20"/>
      <c r="O22" s="52"/>
      <c r="AA22" s="2" t="s">
        <v>4528</v>
      </c>
      <c r="AB22" s="138">
        <v>82.6</v>
      </c>
      <c r="AC22" s="138">
        <v>13.2</v>
      </c>
      <c r="AD22" s="2">
        <v>5.39</v>
      </c>
      <c r="AE22" s="138">
        <v>6.41</v>
      </c>
    </row>
    <row r="23" spans="2:31" ht="15" customHeight="1" x14ac:dyDescent="0.2">
      <c r="B23" s="19" t="s">
        <v>4529</v>
      </c>
      <c r="C23" s="21">
        <v>3.4675842791051507E-2</v>
      </c>
      <c r="D23" s="21">
        <v>8.0658692191534723E-2</v>
      </c>
      <c r="E23" s="21">
        <v>7.180957369095696E-2</v>
      </c>
      <c r="F23" s="21">
        <v>5.6953731143244327E-2</v>
      </c>
      <c r="G23" s="21">
        <v>6.9079742734174762E-2</v>
      </c>
      <c r="H23" s="55">
        <v>7.3188946975354746E-2</v>
      </c>
      <c r="J23" s="19" t="s">
        <v>4517</v>
      </c>
      <c r="K23" s="21">
        <v>0.13743647018074631</v>
      </c>
      <c r="L23" s="21">
        <v>0.1589661569078924</v>
      </c>
      <c r="M23" s="21">
        <v>0.1589661569078924</v>
      </c>
      <c r="N23" s="21">
        <v>7.297017142149885E-2</v>
      </c>
      <c r="O23" s="55">
        <v>0.1320847388545075</v>
      </c>
      <c r="AA23" s="2" t="s">
        <v>4530</v>
      </c>
      <c r="AB23" s="2">
        <f>IF(AB21&lt;&gt;0,AB19/AB21,"")</f>
        <v>0.25364061829911805</v>
      </c>
      <c r="AC23" s="2" t="e">
        <f>IF(AC21&lt;&gt;0,AC19/AC21,"")</f>
        <v>#VALUE!</v>
      </c>
      <c r="AD23" s="2">
        <f>IF(AD21&lt;&gt;0,AD19/AD21,"")</f>
        <v>7.9025660096690223E-2</v>
      </c>
      <c r="AE23" s="2">
        <f>IF(AE21&lt;&gt;0,AE19/AE21,"")</f>
        <v>0.3507917174177832</v>
      </c>
    </row>
    <row r="24" spans="2:31" ht="15" customHeight="1" x14ac:dyDescent="0.2">
      <c r="B24" s="19"/>
      <c r="C24" s="4"/>
      <c r="D24" s="96">
        <v>1.5140306122448981</v>
      </c>
      <c r="E24" s="96">
        <v>5.7331303906646369E-2</v>
      </c>
      <c r="F24" s="96">
        <v>-0.26593090211132442</v>
      </c>
      <c r="G24" s="96">
        <v>0.30729507125114391</v>
      </c>
      <c r="H24" s="97">
        <v>-3.5001750087504369E-4</v>
      </c>
      <c r="J24" s="19" t="s">
        <v>4524</v>
      </c>
      <c r="K24" s="21">
        <v>7.4401458976878332E-2</v>
      </c>
      <c r="L24" s="21">
        <v>0.12014974858034989</v>
      </c>
      <c r="M24" s="21">
        <v>0.12014974858034989</v>
      </c>
      <c r="N24" s="21">
        <v>3.3471355675699997E-2</v>
      </c>
      <c r="O24" s="55">
        <v>8.7043077953319531E-2</v>
      </c>
      <c r="AA24" s="2" t="s">
        <v>4531</v>
      </c>
      <c r="AB24" s="2">
        <f>IF(AB21&lt;&gt;0,AB20/AB21,"")</f>
        <v>0.21241446178516157</v>
      </c>
      <c r="AC24" s="2" t="e">
        <f>IF(AC21&lt;&gt;0,AC20/AC21,"")</f>
        <v>#VALUE!</v>
      </c>
      <c r="AD24" s="2">
        <f>IF(AD21&lt;&gt;0,AD20/AD21,"")</f>
        <v>4.3510598735589441E-2</v>
      </c>
      <c r="AE24" s="2">
        <f>IF(AE21&lt;&gt;0,AE20/AE21,"")</f>
        <v>0.30146163215590743</v>
      </c>
    </row>
    <row r="25" spans="2:31" ht="15" customHeight="1" x14ac:dyDescent="0.2">
      <c r="B25" s="19" t="s">
        <v>4532</v>
      </c>
      <c r="C25" s="4" t="s">
        <v>4717</v>
      </c>
      <c r="D25" s="4" t="s">
        <v>4718</v>
      </c>
      <c r="E25" s="4" t="s">
        <v>4705</v>
      </c>
      <c r="F25" s="4" t="s">
        <v>4706</v>
      </c>
      <c r="G25" s="4" t="s">
        <v>4719</v>
      </c>
      <c r="H25" s="49" t="s">
        <v>4720</v>
      </c>
      <c r="J25" s="19" t="s">
        <v>4539</v>
      </c>
      <c r="K25" s="21">
        <v>4.6671002127674617E-2</v>
      </c>
      <c r="L25" s="21">
        <v>9.2169404127812285E-2</v>
      </c>
      <c r="M25" s="21">
        <v>9.2169404127812285E-2</v>
      </c>
      <c r="N25" s="21">
        <v>2.302825894941744E-2</v>
      </c>
      <c r="O25" s="55">
        <v>6.3509517333179166E-2</v>
      </c>
      <c r="AA25" s="2" t="s">
        <v>4540</v>
      </c>
      <c r="AB25" s="2">
        <v>8067</v>
      </c>
      <c r="AC25" s="138" t="s">
        <v>4520</v>
      </c>
      <c r="AD25" s="2">
        <v>222</v>
      </c>
      <c r="AE25" s="2">
        <v>390</v>
      </c>
    </row>
    <row r="26" spans="2:31" ht="15" customHeight="1" x14ac:dyDescent="0.2">
      <c r="B26" s="19" t="s">
        <v>4541</v>
      </c>
      <c r="C26" s="4">
        <v>1.88</v>
      </c>
      <c r="D26" s="4">
        <v>4.63</v>
      </c>
      <c r="E26" s="4">
        <v>4.88</v>
      </c>
      <c r="F26" s="4">
        <v>3.59</v>
      </c>
      <c r="G26" s="4">
        <v>5.05</v>
      </c>
      <c r="H26" s="49">
        <v>5.24</v>
      </c>
      <c r="J26" s="19" t="s">
        <v>21</v>
      </c>
      <c r="K26" s="31">
        <v>7.5132856881070177E-4</v>
      </c>
      <c r="L26" s="31">
        <v>6.9438563807265631E-3</v>
      </c>
      <c r="M26" s="31">
        <v>4.4576523031203564E-3</v>
      </c>
      <c r="N26" s="31">
        <v>5.3130929791271347E-2</v>
      </c>
      <c r="O26" s="50">
        <v>1.6320941760982241E-2</v>
      </c>
      <c r="AA26" s="2" t="s">
        <v>4542</v>
      </c>
      <c r="AB26" s="2">
        <v>7.62</v>
      </c>
      <c r="AC26" s="2">
        <v>2.13</v>
      </c>
      <c r="AD26" s="2" t="s">
        <v>4494</v>
      </c>
      <c r="AE26" s="2">
        <v>0.52</v>
      </c>
    </row>
    <row r="27" spans="2:31" ht="15" customHeight="1" thickBot="1" x14ac:dyDescent="0.25">
      <c r="B27" s="19" t="s">
        <v>4512</v>
      </c>
      <c r="C27" s="4"/>
      <c r="D27" s="96">
        <v>1.462765957446809</v>
      </c>
      <c r="E27" s="96">
        <v>5.3995680345572353E-2</v>
      </c>
      <c r="F27" s="96">
        <v>-0.26434426229508201</v>
      </c>
      <c r="G27" s="96">
        <v>0.40668523676880219</v>
      </c>
      <c r="H27" s="97">
        <v>3.7623762376237713E-2</v>
      </c>
      <c r="J27" s="38" t="s">
        <v>4487</v>
      </c>
      <c r="K27" s="40">
        <v>9.9400000000000002E-2</v>
      </c>
      <c r="L27" s="40">
        <v>0.112</v>
      </c>
      <c r="M27" s="40">
        <v>0.112</v>
      </c>
      <c r="N27" s="40">
        <v>8.8300000000000003E-2</v>
      </c>
      <c r="O27" s="59">
        <v>0.102925</v>
      </c>
      <c r="AA27" s="2" t="s">
        <v>4487</v>
      </c>
      <c r="AB27" s="60">
        <v>0.21</v>
      </c>
      <c r="AC27" s="26">
        <v>0.29399999999999998</v>
      </c>
      <c r="AD27" s="26">
        <v>7.3400000000000007E-2</v>
      </c>
      <c r="AE27" s="26">
        <v>0.29499999999999998</v>
      </c>
    </row>
    <row r="28" spans="2:31" ht="15" customHeight="1" x14ac:dyDescent="0.2">
      <c r="B28" s="19" t="s">
        <v>4518</v>
      </c>
      <c r="C28" s="4">
        <v>10.89880025643374</v>
      </c>
      <c r="D28" s="4">
        <v>8.7741650077416509</v>
      </c>
      <c r="E28" s="4">
        <v>6.9768423521135006</v>
      </c>
      <c r="F28" s="4">
        <v>8.0382762192101591</v>
      </c>
      <c r="G28" s="4">
        <v>6.9538761199844172</v>
      </c>
      <c r="H28" s="49">
        <v>6.6462878844292206</v>
      </c>
    </row>
    <row r="29" spans="2:31" ht="15" customHeight="1" x14ac:dyDescent="0.2">
      <c r="B29" s="19" t="s">
        <v>4522</v>
      </c>
      <c r="C29" s="4">
        <v>34.16709732988803</v>
      </c>
      <c r="D29" s="4">
        <v>17.167339873052509</v>
      </c>
      <c r="E29" s="4">
        <v>11.01005366064269</v>
      </c>
      <c r="F29" s="4">
        <v>13.698039366151249</v>
      </c>
      <c r="G29" s="4">
        <v>9.7003586566677527</v>
      </c>
      <c r="H29" s="49">
        <v>10.187535669444131</v>
      </c>
    </row>
    <row r="30" spans="2:31" ht="15" customHeight="1" thickBot="1" x14ac:dyDescent="0.25">
      <c r="B30" s="38" t="s">
        <v>4525</v>
      </c>
      <c r="C30" s="61">
        <v>1.579042345219245</v>
      </c>
      <c r="D30" s="61">
        <v>1.207861533484309</v>
      </c>
      <c r="E30" s="98">
        <v>1.2301765605832979</v>
      </c>
      <c r="F30" s="98">
        <v>1.329138806570267</v>
      </c>
      <c r="G30" s="98">
        <v>1.233176514476384</v>
      </c>
      <c r="H30" s="99">
        <v>1.306989412643325</v>
      </c>
      <c r="J30" s="136" t="s">
        <v>4543</v>
      </c>
    </row>
    <row r="31" spans="2:31" ht="16" customHeight="1" thickBot="1" x14ac:dyDescent="0.25">
      <c r="J31" s="46"/>
      <c r="K31" s="63"/>
      <c r="L31" s="44" t="s">
        <v>4544</v>
      </c>
      <c r="M31" s="44" t="s">
        <v>4545</v>
      </c>
      <c r="N31" s="44" t="s">
        <v>4546</v>
      </c>
      <c r="O31" s="48" t="s">
        <v>4547</v>
      </c>
    </row>
    <row r="32" spans="2:31" x14ac:dyDescent="0.2">
      <c r="B32" s="8" t="s">
        <v>4548</v>
      </c>
      <c r="C32" s="64">
        <v>39105</v>
      </c>
      <c r="D32" s="64">
        <v>39159</v>
      </c>
      <c r="E32" s="64">
        <v>34754</v>
      </c>
      <c r="F32" s="64">
        <v>39269</v>
      </c>
      <c r="G32" s="64">
        <v>42388</v>
      </c>
      <c r="H32" s="72">
        <v>43119</v>
      </c>
      <c r="J32" s="19" t="s">
        <v>4549</v>
      </c>
      <c r="K32" s="22" t="s">
        <v>4510</v>
      </c>
      <c r="L32" s="4">
        <v>64816.5</v>
      </c>
      <c r="M32" s="4">
        <v>63625</v>
      </c>
      <c r="N32" s="4">
        <v>1191.48</v>
      </c>
      <c r="O32" s="67">
        <v>1.84</v>
      </c>
    </row>
    <row r="33" spans="2:15" x14ac:dyDescent="0.2">
      <c r="B33" s="19" t="s">
        <v>4514</v>
      </c>
      <c r="C33" s="4">
        <v>81</v>
      </c>
      <c r="D33" s="4">
        <v>149</v>
      </c>
      <c r="E33" s="4">
        <v>51171</v>
      </c>
      <c r="F33" s="4">
        <v>44414</v>
      </c>
      <c r="G33" s="4">
        <v>51340</v>
      </c>
      <c r="H33" s="49">
        <v>53716</v>
      </c>
      <c r="J33" s="19"/>
      <c r="K33" s="22" t="s">
        <v>4550</v>
      </c>
      <c r="L33" s="3">
        <v>0.7</v>
      </c>
      <c r="M33" s="3">
        <v>0.55000000000000004</v>
      </c>
      <c r="N33" s="3">
        <v>0.15</v>
      </c>
      <c r="O33" s="67">
        <v>21.48</v>
      </c>
    </row>
    <row r="34" spans="2:15" x14ac:dyDescent="0.2">
      <c r="B34" s="19" t="s">
        <v>4551</v>
      </c>
      <c r="C34" s="20">
        <v>482.77777777777783</v>
      </c>
      <c r="D34" s="20">
        <v>262.81208053691267</v>
      </c>
      <c r="E34" s="20">
        <v>0.67917375075726483</v>
      </c>
      <c r="F34" s="20">
        <v>0.88415814833160711</v>
      </c>
      <c r="G34" s="20">
        <v>0.82563303467082194</v>
      </c>
      <c r="H34" s="24">
        <v>0.80272172164718147</v>
      </c>
      <c r="J34" s="19" t="s">
        <v>4552</v>
      </c>
      <c r="K34" s="22" t="s">
        <v>4510</v>
      </c>
      <c r="L34" s="4">
        <v>77276.800000000003</v>
      </c>
      <c r="M34" s="4">
        <v>71895</v>
      </c>
      <c r="N34" s="4">
        <v>5381.77</v>
      </c>
      <c r="O34" s="67">
        <v>6.96</v>
      </c>
    </row>
    <row r="35" spans="2:15" x14ac:dyDescent="0.2">
      <c r="B35" s="19" t="s">
        <v>4553</v>
      </c>
      <c r="C35" s="68">
        <v>5.29</v>
      </c>
      <c r="D35" s="68">
        <v>7.22</v>
      </c>
      <c r="E35" s="68">
        <v>8.1199999999999992</v>
      </c>
      <c r="F35" s="68">
        <v>8.0299999999999994</v>
      </c>
      <c r="G35" s="68">
        <v>10.1</v>
      </c>
      <c r="H35" s="69">
        <v>10.3</v>
      </c>
      <c r="J35" s="19"/>
      <c r="K35" s="22" t="s">
        <v>4550</v>
      </c>
      <c r="L35" s="3">
        <v>1.08</v>
      </c>
      <c r="M35" s="3">
        <v>1.41</v>
      </c>
      <c r="N35" s="3">
        <v>0.33</v>
      </c>
      <c r="O35" s="67">
        <v>30.89</v>
      </c>
    </row>
    <row r="36" spans="2:15" ht="16" customHeight="1" thickBot="1" x14ac:dyDescent="0.25">
      <c r="B36" s="38" t="s">
        <v>22</v>
      </c>
      <c r="C36" s="70">
        <v>40.4</v>
      </c>
      <c r="D36" s="70">
        <v>44.3</v>
      </c>
      <c r="E36" s="70">
        <v>45.3</v>
      </c>
      <c r="F36" s="70">
        <v>45.4</v>
      </c>
      <c r="G36" s="70">
        <v>46.3</v>
      </c>
      <c r="H36" s="71">
        <v>47</v>
      </c>
      <c r="J36" s="19" t="s">
        <v>4554</v>
      </c>
      <c r="K36" s="22" t="s">
        <v>4510</v>
      </c>
      <c r="L36" s="4">
        <v>73546.8</v>
      </c>
      <c r="M36" s="4">
        <v>76605</v>
      </c>
      <c r="N36" s="4">
        <v>3058.23</v>
      </c>
      <c r="O36" s="67">
        <v>4.16</v>
      </c>
    </row>
    <row r="37" spans="2:15" ht="16" customHeight="1" thickBot="1" x14ac:dyDescent="0.25">
      <c r="J37" s="19"/>
      <c r="K37" s="22" t="s">
        <v>4550</v>
      </c>
      <c r="L37" s="3">
        <v>1.23</v>
      </c>
      <c r="M37" s="3">
        <v>1.46</v>
      </c>
      <c r="N37" s="3">
        <v>0.23</v>
      </c>
      <c r="O37" s="67">
        <v>18.350000000000001</v>
      </c>
    </row>
    <row r="38" spans="2:15" x14ac:dyDescent="0.2">
      <c r="B38" s="8" t="s">
        <v>4555</v>
      </c>
      <c r="C38" s="72">
        <v>12104856</v>
      </c>
      <c r="F38" s="8" t="s">
        <v>4556</v>
      </c>
      <c r="G38" s="64">
        <v>75.88</v>
      </c>
      <c r="H38" s="101">
        <v>-2.0031628887717399E-2</v>
      </c>
      <c r="J38" s="19" t="s">
        <v>4557</v>
      </c>
      <c r="K38" s="22" t="s">
        <v>4510</v>
      </c>
      <c r="L38" s="4">
        <v>72584.600000000006</v>
      </c>
      <c r="M38" s="4">
        <v>73501</v>
      </c>
      <c r="N38" s="4">
        <v>916.4</v>
      </c>
      <c r="O38" s="67">
        <v>1.26</v>
      </c>
    </row>
    <row r="39" spans="2:15" ht="16" customHeight="1" thickBot="1" x14ac:dyDescent="0.25">
      <c r="B39" s="19" t="s">
        <v>4558</v>
      </c>
      <c r="C39" s="49" t="s">
        <v>4721</v>
      </c>
      <c r="F39" s="38" t="s">
        <v>4560</v>
      </c>
      <c r="G39" s="98">
        <v>77.03</v>
      </c>
      <c r="H39" s="59">
        <v>-3.4661820070102579E-2</v>
      </c>
      <c r="J39" s="38"/>
      <c r="K39" s="77" t="s">
        <v>4550</v>
      </c>
      <c r="L39" s="78">
        <v>1.27</v>
      </c>
      <c r="M39" s="78">
        <v>0.92</v>
      </c>
      <c r="N39" s="78">
        <v>0.35</v>
      </c>
      <c r="O39" s="79">
        <v>27.55</v>
      </c>
    </row>
    <row r="40" spans="2:15" ht="16" customHeight="1" thickBot="1" x14ac:dyDescent="0.25">
      <c r="B40" s="38" t="s">
        <v>4561</v>
      </c>
      <c r="C40" s="99" t="s">
        <v>4722</v>
      </c>
    </row>
    <row r="41" spans="2:15" x14ac:dyDescent="0.2">
      <c r="F41" s="8" t="s">
        <v>4563</v>
      </c>
      <c r="G41" s="11"/>
      <c r="H41" s="72" t="s">
        <v>4723</v>
      </c>
    </row>
    <row r="42" spans="2:15" ht="16" customHeight="1" thickBot="1" x14ac:dyDescent="0.25">
      <c r="F42" s="38" t="s">
        <v>4565</v>
      </c>
      <c r="G42" s="17"/>
      <c r="H42" s="99" t="s">
        <v>4724</v>
      </c>
    </row>
    <row r="43" spans="2:15" ht="19.5" customHeight="1" thickBot="1" x14ac:dyDescent="0.25"/>
    <row r="44" spans="2:15" ht="18" customHeight="1" x14ac:dyDescent="0.2">
      <c r="B44" s="8" t="s">
        <v>4566</v>
      </c>
      <c r="C44" s="64" t="s">
        <v>4567</v>
      </c>
      <c r="D44" s="103">
        <v>0.372</v>
      </c>
      <c r="F44" s="8" t="s">
        <v>4568</v>
      </c>
      <c r="G44" s="64" t="s">
        <v>4725</v>
      </c>
      <c r="H44" s="101">
        <v>0.873</v>
      </c>
      <c r="J44" s="149" t="s">
        <v>4726</v>
      </c>
      <c r="K44" s="150"/>
      <c r="L44" s="150"/>
      <c r="M44" s="150"/>
      <c r="N44" s="150"/>
      <c r="O44" s="151"/>
    </row>
    <row r="45" spans="2:15" x14ac:dyDescent="0.2">
      <c r="B45" s="83"/>
      <c r="C45" s="4" t="s">
        <v>4727</v>
      </c>
      <c r="D45" s="95">
        <v>0.26600000000000001</v>
      </c>
      <c r="F45" s="83"/>
      <c r="G45" s="4" t="s">
        <v>4728</v>
      </c>
      <c r="H45" s="50">
        <v>0.13200000000000001</v>
      </c>
      <c r="J45" s="152"/>
      <c r="K45" s="143"/>
      <c r="L45" s="143"/>
      <c r="M45" s="143"/>
      <c r="N45" s="143"/>
      <c r="O45" s="153"/>
    </row>
    <row r="46" spans="2:15" x14ac:dyDescent="0.2">
      <c r="B46" s="83"/>
      <c r="C46" s="4" t="s">
        <v>4571</v>
      </c>
      <c r="D46" s="95">
        <v>0.107</v>
      </c>
      <c r="F46" s="83"/>
      <c r="G46" s="4" t="s">
        <v>4729</v>
      </c>
      <c r="H46" s="50">
        <v>0.10199999999999999</v>
      </c>
      <c r="J46" s="152"/>
      <c r="K46" s="143"/>
      <c r="L46" s="143"/>
      <c r="M46" s="143"/>
      <c r="N46" s="143"/>
      <c r="O46" s="153"/>
    </row>
    <row r="47" spans="2:15" ht="25.5" customHeight="1" thickBot="1" x14ac:dyDescent="0.25">
      <c r="B47" s="87"/>
      <c r="C47" s="98" t="s">
        <v>4661</v>
      </c>
      <c r="D47" s="107">
        <v>9.0999999999999998E-2</v>
      </c>
      <c r="F47" s="87"/>
      <c r="G47" s="98" t="s">
        <v>4730</v>
      </c>
      <c r="H47" s="59">
        <v>0</v>
      </c>
      <c r="J47" s="154"/>
      <c r="K47" s="144"/>
      <c r="L47" s="144"/>
      <c r="M47" s="144"/>
      <c r="N47" s="144"/>
      <c r="O47" s="155"/>
    </row>
    <row r="53" spans="2:9" ht="16" customHeight="1" thickBot="1" x14ac:dyDescent="0.25"/>
    <row r="54" spans="2:9" x14ac:dyDescent="0.2">
      <c r="B54" s="8" t="s">
        <v>4479</v>
      </c>
      <c r="C54" s="9">
        <v>192.21</v>
      </c>
      <c r="D54" s="10"/>
      <c r="E54" s="11"/>
      <c r="F54" s="11"/>
      <c r="G54" s="11"/>
      <c r="H54" s="11"/>
      <c r="I54" s="12"/>
    </row>
    <row r="55" spans="2:9" x14ac:dyDescent="0.2">
      <c r="B55" s="14"/>
      <c r="C55" s="3"/>
      <c r="D55" s="3"/>
      <c r="I55" s="15"/>
    </row>
    <row r="56" spans="2:9" x14ac:dyDescent="0.2">
      <c r="B56" s="19" t="s">
        <v>4482</v>
      </c>
      <c r="C56" s="20">
        <v>216.25999450683591</v>
      </c>
      <c r="D56" s="21">
        <v>-0.1112087076561713</v>
      </c>
      <c r="E56" s="22" t="s">
        <v>4483</v>
      </c>
      <c r="F56" s="23" t="s">
        <v>4535</v>
      </c>
      <c r="G56" s="22" t="s">
        <v>4484</v>
      </c>
      <c r="H56" s="20">
        <v>15.626829268292679</v>
      </c>
      <c r="I56" s="15"/>
    </row>
    <row r="57" spans="2:9" x14ac:dyDescent="0.2">
      <c r="B57" s="19" t="s">
        <v>4485</v>
      </c>
      <c r="C57" s="20">
        <v>153.1300048828125</v>
      </c>
      <c r="D57" s="21">
        <v>0.25520795318392819</v>
      </c>
      <c r="E57" s="22" t="s">
        <v>4486</v>
      </c>
      <c r="F57" s="3" t="s">
        <v>4536</v>
      </c>
      <c r="G57" s="22" t="s">
        <v>4487</v>
      </c>
      <c r="H57" s="30">
        <v>0.39400000000000002</v>
      </c>
      <c r="I57" s="15"/>
    </row>
    <row r="58" spans="2:9" x14ac:dyDescent="0.2">
      <c r="B58" s="19" t="s">
        <v>4489</v>
      </c>
      <c r="C58" s="30">
        <v>0.58050000000000002</v>
      </c>
      <c r="D58" s="31"/>
      <c r="E58" s="22" t="s">
        <v>2503</v>
      </c>
      <c r="F58" s="3"/>
      <c r="G58" s="22" t="s">
        <v>4490</v>
      </c>
      <c r="H58" s="2" t="s">
        <v>4574</v>
      </c>
      <c r="I58" s="15"/>
    </row>
    <row r="59" spans="2:9" x14ac:dyDescent="0.2">
      <c r="B59" s="19" t="s">
        <v>4492</v>
      </c>
      <c r="C59" s="4">
        <v>25040</v>
      </c>
      <c r="D59" s="3"/>
      <c r="E59" s="22" t="s">
        <v>4493</v>
      </c>
      <c r="F59" s="3" t="s">
        <v>4494</v>
      </c>
      <c r="G59" s="22" t="s">
        <v>27</v>
      </c>
      <c r="H59" s="2" t="s">
        <v>115</v>
      </c>
      <c r="I59" s="15"/>
    </row>
    <row r="60" spans="2:9" x14ac:dyDescent="0.2">
      <c r="B60" s="19" t="s">
        <v>1283</v>
      </c>
      <c r="C60" s="34">
        <v>23846</v>
      </c>
      <c r="D60" s="4">
        <v>-1194</v>
      </c>
      <c r="E60" s="22" t="s">
        <v>4496</v>
      </c>
      <c r="F60" s="31"/>
      <c r="G60" s="22" t="s">
        <v>28</v>
      </c>
      <c r="H60" s="2" t="s">
        <v>4575</v>
      </c>
      <c r="I60" s="15"/>
    </row>
    <row r="61" spans="2:9" ht="16" customHeight="1" thickBot="1" x14ac:dyDescent="0.25">
      <c r="B61" s="38" t="s">
        <v>4498</v>
      </c>
      <c r="C61" s="91">
        <v>1.4650000333786011</v>
      </c>
      <c r="D61" s="78"/>
      <c r="E61" s="77" t="s">
        <v>4499</v>
      </c>
      <c r="F61" s="91">
        <v>1.2599999904632571</v>
      </c>
      <c r="G61" s="77" t="s">
        <v>4500</v>
      </c>
      <c r="H61" s="92" t="s">
        <v>4501</v>
      </c>
      <c r="I61" s="18"/>
    </row>
    <row r="370" spans="8:8" x14ac:dyDescent="0.2">
      <c r="H370" s="2">
        <v>36.79</v>
      </c>
    </row>
  </sheetData>
  <mergeCells count="1">
    <mergeCell ref="J44:O47"/>
  </mergeCells>
  <conditionalFormatting sqref="O32">
    <cfRule type="cellIs" dxfId="7" priority="5" operator="lessThan">
      <formula>0</formula>
    </cfRule>
    <cfRule type="cellIs" dxfId="6" priority="6" operator="greaterThan">
      <formula>0</formula>
    </cfRule>
  </conditionalFormatting>
  <conditionalFormatting sqref="O33:O39">
    <cfRule type="cellIs" dxfId="5" priority="3" operator="lessThan">
      <formula>0</formula>
    </cfRule>
    <cfRule type="cellIs" dxfId="4" priority="4" operator="greaterThan">
      <formula>0</formula>
    </cfRule>
  </conditionalFormatting>
  <conditionalFormatting sqref="D17:H17">
    <cfRule type="colorScale" priority="2">
      <colorScale>
        <cfvo type="min"/>
        <cfvo type="percentile" val="50"/>
        <cfvo type="max"/>
        <color rgb="FFF8696B"/>
        <color rgb="FFFFEB84"/>
        <color rgb="FF63BE7B"/>
      </colorScale>
    </cfRule>
  </conditionalFormatting>
  <conditionalFormatting sqref="D27:H27">
    <cfRule type="colorScale" priority="1">
      <colorScale>
        <cfvo type="min"/>
        <cfvo type="percentile" val="50"/>
        <cfvo type="max"/>
        <color rgb="FFF8696B"/>
        <color rgb="FFFFEB84"/>
        <color rgb="FF63BE7B"/>
      </colorScale>
    </cfRule>
  </conditionalFormatting>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1"/>
  <dimension ref="B1:AE370"/>
  <sheetViews>
    <sheetView zoomScaleNormal="100" workbookViewId="0">
      <selection sqref="A1:XFD1048576"/>
    </sheetView>
  </sheetViews>
  <sheetFormatPr baseColWidth="10" defaultColWidth="9.1640625" defaultRowHeight="15" x14ac:dyDescent="0.2"/>
  <cols>
    <col min="1" max="1" width="9.1640625" style="2" customWidth="1"/>
    <col min="2" max="2" width="20.33203125" style="2" customWidth="1"/>
    <col min="3" max="8" width="16.83203125" style="2" customWidth="1"/>
    <col min="9" max="9" width="6.6640625" style="2" customWidth="1"/>
    <col min="10" max="10" width="15" style="2" customWidth="1"/>
    <col min="11" max="14" width="11.33203125" style="2" customWidth="1"/>
    <col min="15" max="15" width="12.83203125" style="2" customWidth="1"/>
    <col min="16" max="16" width="14.6640625" style="2" customWidth="1"/>
    <col min="17" max="17" width="16" style="2" customWidth="1"/>
    <col min="18" max="18" width="17.83203125" style="2" customWidth="1"/>
    <col min="19" max="19" width="13.33203125" style="2" customWidth="1"/>
    <col min="20" max="20" width="9.6640625" style="2" customWidth="1"/>
    <col min="21" max="21" width="9.1640625" style="2" customWidth="1"/>
    <col min="22" max="24" width="1.6640625" style="2" customWidth="1"/>
    <col min="25" max="25" width="9.1640625" style="2" customWidth="1"/>
    <col min="26" max="16384" width="9.1640625" style="2"/>
  </cols>
  <sheetData>
    <row r="1" spans="2:31" ht="16" customHeight="1" thickBot="1" x14ac:dyDescent="0.25"/>
    <row r="2" spans="2:31" ht="16" customHeight="1" thickBot="1" x14ac:dyDescent="0.25">
      <c r="B2" s="93" t="s">
        <v>1454</v>
      </c>
      <c r="G2" s="6" t="s">
        <v>4731</v>
      </c>
      <c r="H2" s="7"/>
      <c r="Q2" s="2">
        <v>30</v>
      </c>
    </row>
    <row r="3" spans="2:31" ht="16" customHeight="1" thickBot="1" x14ac:dyDescent="0.25"/>
    <row r="4" spans="2:31" x14ac:dyDescent="0.2">
      <c r="B4" s="8" t="s">
        <v>4479</v>
      </c>
      <c r="C4" s="9">
        <v>10.08</v>
      </c>
      <c r="D4" s="10"/>
      <c r="E4" s="11"/>
      <c r="F4" s="11"/>
      <c r="G4" s="11"/>
      <c r="H4" s="12"/>
      <c r="J4" s="13">
        <v>43758</v>
      </c>
      <c r="K4" s="11" t="s">
        <v>4481</v>
      </c>
      <c r="L4" s="11"/>
      <c r="M4" s="11"/>
      <c r="N4" s="12"/>
    </row>
    <row r="5" spans="2:31" ht="16" customHeight="1" thickBot="1" x14ac:dyDescent="0.25">
      <c r="B5" s="14"/>
      <c r="C5" s="3"/>
      <c r="D5" s="3"/>
      <c r="H5" s="15"/>
      <c r="J5" s="16">
        <v>43849</v>
      </c>
      <c r="K5" s="17" t="s">
        <v>4732</v>
      </c>
      <c r="L5" s="17"/>
      <c r="M5" s="17"/>
      <c r="N5" s="18"/>
    </row>
    <row r="6" spans="2:31" ht="16" customHeight="1" thickBot="1" x14ac:dyDescent="0.25">
      <c r="B6" s="19" t="s">
        <v>4482</v>
      </c>
      <c r="C6" s="20">
        <v>13.25</v>
      </c>
      <c r="D6" s="21">
        <v>-0.23924528301886791</v>
      </c>
      <c r="E6" s="22" t="s">
        <v>4483</v>
      </c>
      <c r="F6" s="23" t="s">
        <v>4733</v>
      </c>
      <c r="G6" s="22" t="s">
        <v>4484</v>
      </c>
      <c r="H6" s="24">
        <v>2.4230769230769229</v>
      </c>
      <c r="L6" s="25"/>
      <c r="M6" s="26"/>
    </row>
    <row r="7" spans="2:31" x14ac:dyDescent="0.2">
      <c r="B7" s="19" t="s">
        <v>4485</v>
      </c>
      <c r="C7" s="20">
        <v>6.4000000953674316</v>
      </c>
      <c r="D7" s="21">
        <v>0.57499997653067147</v>
      </c>
      <c r="E7" s="22" t="s">
        <v>4486</v>
      </c>
      <c r="F7" s="3" t="s">
        <v>4734</v>
      </c>
      <c r="G7" s="22" t="s">
        <v>4487</v>
      </c>
      <c r="H7" s="27">
        <v>0.14000000000000001</v>
      </c>
      <c r="L7" s="28"/>
      <c r="M7" s="26"/>
      <c r="N7" s="136"/>
      <c r="R7" s="8" t="s">
        <v>4488</v>
      </c>
      <c r="S7" s="11"/>
      <c r="T7" s="29"/>
    </row>
    <row r="8" spans="2:31" x14ac:dyDescent="0.2">
      <c r="B8" s="19" t="s">
        <v>4489</v>
      </c>
      <c r="C8" s="30">
        <v>0.33160000000000001</v>
      </c>
      <c r="D8" s="31"/>
      <c r="E8" s="22" t="s">
        <v>2503</v>
      </c>
      <c r="F8" s="3"/>
      <c r="G8" s="22" t="s">
        <v>4490</v>
      </c>
      <c r="H8" s="15" t="s">
        <v>4582</v>
      </c>
      <c r="R8" s="32" t="s">
        <v>4491</v>
      </c>
      <c r="T8" s="33"/>
    </row>
    <row r="9" spans="2:31" x14ac:dyDescent="0.2">
      <c r="B9" s="19" t="s">
        <v>4492</v>
      </c>
      <c r="C9" s="4">
        <v>87969</v>
      </c>
      <c r="D9" s="3"/>
      <c r="E9" s="22" t="s">
        <v>4493</v>
      </c>
      <c r="F9" s="3">
        <v>0.04</v>
      </c>
      <c r="G9" s="22" t="s">
        <v>27</v>
      </c>
      <c r="H9" s="15" t="s">
        <v>4735</v>
      </c>
      <c r="R9" s="32" t="s">
        <v>4495</v>
      </c>
      <c r="T9" s="33"/>
    </row>
    <row r="10" spans="2:31" x14ac:dyDescent="0.2">
      <c r="B10" s="19" t="s">
        <v>1283</v>
      </c>
      <c r="C10" s="34">
        <v>127675</v>
      </c>
      <c r="D10" s="4">
        <v>39706</v>
      </c>
      <c r="E10" s="22" t="s">
        <v>4496</v>
      </c>
      <c r="F10" s="31">
        <v>3.968253968253968E-3</v>
      </c>
      <c r="G10" s="22" t="s">
        <v>28</v>
      </c>
      <c r="H10" s="15" t="s">
        <v>4736</v>
      </c>
      <c r="R10" s="32" t="s">
        <v>4497</v>
      </c>
      <c r="T10" s="33"/>
    </row>
    <row r="11" spans="2:31" ht="16" customHeight="1" thickBot="1" x14ac:dyDescent="0.25">
      <c r="B11" s="19" t="s">
        <v>4498</v>
      </c>
      <c r="C11" s="20">
        <v>1.8386211266834329</v>
      </c>
      <c r="D11" s="3"/>
      <c r="E11" s="22" t="s">
        <v>4499</v>
      </c>
      <c r="F11" s="20">
        <v>1.0099999904632571</v>
      </c>
      <c r="G11" s="22" t="s">
        <v>4500</v>
      </c>
      <c r="H11" s="35" t="s">
        <v>4737</v>
      </c>
      <c r="R11" s="36" t="s">
        <v>4502</v>
      </c>
      <c r="S11" s="17"/>
      <c r="T11" s="37"/>
    </row>
    <row r="12" spans="2:31" ht="15.75" customHeight="1" thickBot="1" x14ac:dyDescent="0.25">
      <c r="B12" s="38" t="s">
        <v>4503</v>
      </c>
      <c r="C12" s="39" t="s">
        <v>4738</v>
      </c>
      <c r="D12" s="40"/>
      <c r="E12" s="17"/>
      <c r="F12" s="17"/>
      <c r="G12" s="17"/>
      <c r="H12" s="18"/>
    </row>
    <row r="13" spans="2:31" ht="16" customHeight="1" thickBot="1" x14ac:dyDescent="0.25">
      <c r="D13" s="41"/>
      <c r="L13" s="28"/>
      <c r="M13" s="26"/>
    </row>
    <row r="14" spans="2:31" ht="16" customHeight="1" thickBot="1" x14ac:dyDescent="0.25">
      <c r="G14" s="42" t="s">
        <v>4504</v>
      </c>
      <c r="H14" s="43" t="s">
        <v>4618</v>
      </c>
    </row>
    <row r="15" spans="2:31" ht="16" customHeight="1" x14ac:dyDescent="0.2">
      <c r="B15" s="8"/>
      <c r="C15" s="44">
        <v>2017</v>
      </c>
      <c r="D15" s="44">
        <v>2018</v>
      </c>
      <c r="E15" s="44">
        <v>2019</v>
      </c>
      <c r="F15" s="44" t="s">
        <v>4506</v>
      </c>
      <c r="G15" s="44" t="s">
        <v>4507</v>
      </c>
      <c r="H15" s="45" t="s">
        <v>4508</v>
      </c>
      <c r="J15" s="46"/>
      <c r="K15" s="47" t="s">
        <v>4739</v>
      </c>
      <c r="L15" s="47" t="s">
        <v>4740</v>
      </c>
      <c r="M15" s="47" t="s">
        <v>4741</v>
      </c>
      <c r="N15" s="47" t="s">
        <v>4742</v>
      </c>
      <c r="O15" s="48" t="s">
        <v>4509</v>
      </c>
      <c r="AA15" s="2" t="s">
        <v>4479</v>
      </c>
      <c r="AB15" s="2">
        <v>383.3</v>
      </c>
      <c r="AC15" s="2">
        <v>88.27</v>
      </c>
      <c r="AD15" s="2">
        <v>27.19</v>
      </c>
      <c r="AE15" s="2">
        <v>38.64</v>
      </c>
    </row>
    <row r="16" spans="2:31" x14ac:dyDescent="0.2">
      <c r="B16" s="19" t="s">
        <v>4510</v>
      </c>
      <c r="C16" s="4">
        <v>123693</v>
      </c>
      <c r="D16" s="4">
        <v>122092</v>
      </c>
      <c r="E16" s="4">
        <v>121615</v>
      </c>
      <c r="F16" s="4">
        <v>116152</v>
      </c>
      <c r="G16" s="4">
        <v>112933</v>
      </c>
      <c r="H16" s="49">
        <v>118959</v>
      </c>
      <c r="J16" s="19" t="s">
        <v>4492</v>
      </c>
      <c r="K16" s="4">
        <v>121993</v>
      </c>
      <c r="L16" s="4">
        <v>99730</v>
      </c>
      <c r="M16" s="4">
        <v>74486</v>
      </c>
      <c r="N16" s="4">
        <v>21738</v>
      </c>
      <c r="O16" s="49">
        <v>79486.75</v>
      </c>
      <c r="AA16" s="2" t="s">
        <v>4492</v>
      </c>
      <c r="AB16" s="2">
        <v>191403</v>
      </c>
      <c r="AC16" s="2">
        <v>35478</v>
      </c>
      <c r="AD16" s="2">
        <v>11620</v>
      </c>
      <c r="AE16" s="2" t="s">
        <v>4511</v>
      </c>
    </row>
    <row r="17" spans="2:31" ht="15" customHeight="1" x14ac:dyDescent="0.2">
      <c r="B17" s="19" t="s">
        <v>4512</v>
      </c>
      <c r="C17" s="4"/>
      <c r="D17" s="94">
        <v>-1.294333551615694E-2</v>
      </c>
      <c r="E17" s="94">
        <v>-3.9068898863152384E-3</v>
      </c>
      <c r="F17" s="94">
        <v>-4.4920445668708633E-2</v>
      </c>
      <c r="G17" s="94">
        <v>-2.7713685515531369E-2</v>
      </c>
      <c r="H17" s="95">
        <v>5.3359071307766549E-2</v>
      </c>
      <c r="J17" s="19" t="s">
        <v>1283</v>
      </c>
      <c r="K17" s="4">
        <v>127325</v>
      </c>
      <c r="L17" s="4">
        <v>111266</v>
      </c>
      <c r="M17" s="4">
        <v>92428</v>
      </c>
      <c r="N17" s="4">
        <v>33221</v>
      </c>
      <c r="O17" s="49">
        <v>91060</v>
      </c>
      <c r="AA17" s="2" t="s">
        <v>1283</v>
      </c>
      <c r="AB17" s="138">
        <v>192879</v>
      </c>
      <c r="AC17" s="2">
        <v>37143</v>
      </c>
      <c r="AD17" s="2">
        <v>11760</v>
      </c>
      <c r="AE17" s="2" t="s">
        <v>4513</v>
      </c>
    </row>
    <row r="18" spans="2:31" ht="15" customHeight="1" x14ac:dyDescent="0.2">
      <c r="B18" s="19" t="s">
        <v>4514</v>
      </c>
      <c r="C18" s="4">
        <v>24487</v>
      </c>
      <c r="D18" s="4">
        <v>19097</v>
      </c>
      <c r="E18" s="4">
        <v>13350</v>
      </c>
      <c r="F18" s="4">
        <v>12155</v>
      </c>
      <c r="G18" s="4">
        <v>14366</v>
      </c>
      <c r="H18" s="49">
        <v>15062</v>
      </c>
      <c r="J18" s="19" t="s">
        <v>4515</v>
      </c>
      <c r="K18" s="51">
        <v>19.487005649717521</v>
      </c>
      <c r="L18" s="51">
        <v>17.129411764705878</v>
      </c>
      <c r="M18" s="51"/>
      <c r="N18" s="51">
        <v>12.54494382022472</v>
      </c>
      <c r="O18" s="52">
        <f>AVERAGE(K18:N18)</f>
        <v>16.387120411549372</v>
      </c>
      <c r="AA18" s="2" t="s">
        <v>4516</v>
      </c>
      <c r="AB18" s="138">
        <v>16</v>
      </c>
      <c r="AD18" s="2">
        <v>0.49</v>
      </c>
      <c r="AE18" s="2">
        <v>1.54</v>
      </c>
    </row>
    <row r="19" spans="2:31" ht="15" customHeight="1" x14ac:dyDescent="0.2">
      <c r="B19" s="19" t="s">
        <v>4517</v>
      </c>
      <c r="C19" s="21">
        <v>0.19796593178272009</v>
      </c>
      <c r="D19" s="21">
        <v>0.15641483471480519</v>
      </c>
      <c r="E19" s="21">
        <v>0.1097726431772397</v>
      </c>
      <c r="F19" s="21">
        <v>0.10464735863351469</v>
      </c>
      <c r="G19" s="21">
        <v>0.12720816767463891</v>
      </c>
      <c r="H19" s="55">
        <v>0.12661505224489111</v>
      </c>
      <c r="J19" s="19" t="s">
        <v>4518</v>
      </c>
      <c r="K19" s="51">
        <v>14.53149965761242</v>
      </c>
      <c r="L19" s="51">
        <v>12.70740063956144</v>
      </c>
      <c r="M19" s="51">
        <v>9.4429914180629346</v>
      </c>
      <c r="N19" s="51">
        <v>6.633586261980831</v>
      </c>
      <c r="O19" s="52">
        <v>10.82886949430441</v>
      </c>
      <c r="AA19" s="2" t="s">
        <v>4519</v>
      </c>
      <c r="AB19" s="2">
        <v>13603</v>
      </c>
      <c r="AC19" s="138" t="s">
        <v>4520</v>
      </c>
      <c r="AD19" s="2">
        <v>425</v>
      </c>
      <c r="AE19" s="2">
        <v>576</v>
      </c>
    </row>
    <row r="20" spans="2:31" ht="15" customHeight="1" x14ac:dyDescent="0.2">
      <c r="B20" s="19" t="s">
        <v>4521</v>
      </c>
      <c r="C20" s="4">
        <v>19490</v>
      </c>
      <c r="D20" s="4">
        <v>16240</v>
      </c>
      <c r="E20" s="4">
        <v>11390</v>
      </c>
      <c r="F20" s="4">
        <v>11328</v>
      </c>
      <c r="G20" s="4">
        <v>11692</v>
      </c>
      <c r="H20" s="49">
        <v>12456</v>
      </c>
      <c r="J20" s="19" t="s">
        <v>4522</v>
      </c>
      <c r="K20" s="51">
        <v>16.589576547231271</v>
      </c>
      <c r="L20" s="51">
        <v>15.40653558571033</v>
      </c>
      <c r="M20" s="51">
        <v>14.006364600697079</v>
      </c>
      <c r="N20" s="51">
        <v>11.41222947440742</v>
      </c>
      <c r="O20" s="52">
        <v>14.353676552011519</v>
      </c>
      <c r="AA20" s="2" t="s">
        <v>4523</v>
      </c>
      <c r="AB20" s="2">
        <v>11392</v>
      </c>
      <c r="AD20" s="2">
        <v>234</v>
      </c>
      <c r="AE20" s="2">
        <v>495</v>
      </c>
    </row>
    <row r="21" spans="2:31" ht="15" customHeight="1" x14ac:dyDescent="0.2">
      <c r="B21" s="19" t="s">
        <v>4524</v>
      </c>
      <c r="C21" s="21">
        <v>0.1575675260524039</v>
      </c>
      <c r="D21" s="21">
        <v>0.13301444812108901</v>
      </c>
      <c r="E21" s="21">
        <v>9.3656210171442669E-2</v>
      </c>
      <c r="F21" s="21">
        <v>9.7527377918589439E-2</v>
      </c>
      <c r="G21" s="21">
        <v>0.103530411837107</v>
      </c>
      <c r="H21" s="55">
        <v>0.1047083448919376</v>
      </c>
      <c r="J21" s="19" t="s">
        <v>4525</v>
      </c>
      <c r="K21" s="51">
        <v>3.4375928075811979</v>
      </c>
      <c r="L21" s="51">
        <v>3.419676061099671</v>
      </c>
      <c r="M21" s="51">
        <v>1.0783051005646549</v>
      </c>
      <c r="N21" s="51">
        <v>0.51221129236177498</v>
      </c>
      <c r="O21" s="52">
        <v>2.1119463154018252</v>
      </c>
      <c r="AA21" s="2" t="s">
        <v>4526</v>
      </c>
      <c r="AB21" s="2">
        <v>53631</v>
      </c>
      <c r="AC21" s="138" t="s">
        <v>4520</v>
      </c>
      <c r="AD21" s="2">
        <v>5378</v>
      </c>
      <c r="AE21" s="2">
        <v>1642</v>
      </c>
    </row>
    <row r="22" spans="2:31" ht="15" customHeight="1" x14ac:dyDescent="0.2">
      <c r="B22" s="19" t="s">
        <v>4527</v>
      </c>
      <c r="C22" s="4">
        <v>8176</v>
      </c>
      <c r="D22" s="4">
        <v>-6222</v>
      </c>
      <c r="E22" s="4">
        <v>-21076</v>
      </c>
      <c r="F22" s="4">
        <v>3886</v>
      </c>
      <c r="G22" s="4">
        <v>4366</v>
      </c>
      <c r="H22" s="49">
        <v>5592</v>
      </c>
      <c r="J22" s="19" t="s">
        <v>2479</v>
      </c>
      <c r="K22" s="20">
        <v>6.2485507246376812</v>
      </c>
      <c r="L22" s="20">
        <v>8.2805687203791472</v>
      </c>
      <c r="M22" s="20">
        <v>0.24093178036605661</v>
      </c>
      <c r="N22" s="20">
        <v>1.321301775147929</v>
      </c>
      <c r="O22" s="52">
        <v>4.0228382501327031</v>
      </c>
      <c r="AA22" s="2" t="s">
        <v>4528</v>
      </c>
      <c r="AB22" s="138">
        <v>82.6</v>
      </c>
      <c r="AC22" s="138">
        <v>13.2</v>
      </c>
      <c r="AD22" s="2">
        <v>5.39</v>
      </c>
      <c r="AE22" s="138">
        <v>6.41</v>
      </c>
    </row>
    <row r="23" spans="2:31" ht="15" customHeight="1" x14ac:dyDescent="0.2">
      <c r="B23" s="19" t="s">
        <v>4529</v>
      </c>
      <c r="C23" s="21">
        <v>6.6099132529730861E-2</v>
      </c>
      <c r="D23" s="21">
        <v>-5.0961569963633983E-2</v>
      </c>
      <c r="E23" s="21">
        <v>-0.1733009908317231</v>
      </c>
      <c r="F23" s="21">
        <v>3.345616089262346E-2</v>
      </c>
      <c r="G23" s="21">
        <v>3.8660090496134877E-2</v>
      </c>
      <c r="H23" s="55">
        <v>4.7007792600812053E-2</v>
      </c>
      <c r="J23" s="19" t="s">
        <v>4517</v>
      </c>
      <c r="K23" s="21">
        <v>0.23656146224250121</v>
      </c>
      <c r="L23" s="21">
        <v>0.26910901435289047</v>
      </c>
      <c r="M23" s="21">
        <v>0.1141910495123431</v>
      </c>
      <c r="N23" s="21">
        <v>7.7214838570415376E-2</v>
      </c>
      <c r="O23" s="55">
        <v>0.17426909116953751</v>
      </c>
      <c r="AA23" s="2" t="s">
        <v>4530</v>
      </c>
      <c r="AB23" s="2">
        <v>0.25364061829911799</v>
      </c>
      <c r="AC23" s="2" t="e">
        <v>#VALUE!</v>
      </c>
      <c r="AD23" s="2">
        <v>7.9025660096690223E-2</v>
      </c>
      <c r="AE23" s="2">
        <v>0.3507917174177832</v>
      </c>
    </row>
    <row r="24" spans="2:31" ht="15" customHeight="1" x14ac:dyDescent="0.2">
      <c r="B24" s="19"/>
      <c r="C24" s="4"/>
      <c r="D24" s="96">
        <v>-1.7610078277886501</v>
      </c>
      <c r="E24" s="96">
        <v>2.3873352619736421</v>
      </c>
      <c r="F24" s="96">
        <v>-1.184380337825014</v>
      </c>
      <c r="G24" s="96">
        <v>0.12352032938754499</v>
      </c>
      <c r="H24" s="97">
        <v>0.28080622995877241</v>
      </c>
      <c r="J24" s="19" t="s">
        <v>4524</v>
      </c>
      <c r="K24" s="21">
        <v>0.20721401765706421</v>
      </c>
      <c r="L24" s="21">
        <v>0.22196268863140431</v>
      </c>
      <c r="M24" s="21">
        <v>7.6986793597461384E-2</v>
      </c>
      <c r="N24" s="21">
        <v>4.4882666748897591E-2</v>
      </c>
      <c r="O24" s="55">
        <v>0.13776154165870691</v>
      </c>
      <c r="AA24" s="2" t="s">
        <v>4531</v>
      </c>
      <c r="AB24" s="2">
        <v>0.2124144617851616</v>
      </c>
      <c r="AC24" s="2" t="e">
        <v>#VALUE!</v>
      </c>
      <c r="AD24" s="2">
        <v>4.3510598735589441E-2</v>
      </c>
      <c r="AE24" s="2">
        <v>0.30146163215590738</v>
      </c>
    </row>
    <row r="25" spans="2:31" ht="15" customHeight="1" x14ac:dyDescent="0.2">
      <c r="B25" s="19" t="s">
        <v>4532</v>
      </c>
      <c r="C25" s="4" t="s">
        <v>4743</v>
      </c>
      <c r="D25" s="4" t="s">
        <v>4744</v>
      </c>
      <c r="E25" s="4" t="s">
        <v>4733</v>
      </c>
      <c r="F25" s="4" t="s">
        <v>4734</v>
      </c>
      <c r="G25" s="4" t="s">
        <v>4745</v>
      </c>
      <c r="H25" s="49" t="s">
        <v>4746</v>
      </c>
      <c r="J25" s="19" t="s">
        <v>4539</v>
      </c>
      <c r="K25" s="21">
        <v>0.1708199465428332</v>
      </c>
      <c r="L25" s="21">
        <v>0.1828994682976304</v>
      </c>
      <c r="M25" s="21">
        <v>6.7630314060385457E-2</v>
      </c>
      <c r="N25" s="21"/>
      <c r="O25" s="55">
        <f>AVERAGE(K25:N25)</f>
        <v>0.14044990963361634</v>
      </c>
      <c r="AA25" s="2" t="s">
        <v>4540</v>
      </c>
      <c r="AB25" s="2">
        <v>8067</v>
      </c>
      <c r="AC25" s="138" t="s">
        <v>4520</v>
      </c>
      <c r="AD25" s="2">
        <v>222</v>
      </c>
      <c r="AE25" s="2">
        <v>390</v>
      </c>
    </row>
    <row r="26" spans="2:31" ht="15" customHeight="1" x14ac:dyDescent="0.2">
      <c r="B26" s="19" t="s">
        <v>4541</v>
      </c>
      <c r="C26" s="108">
        <v>0.89</v>
      </c>
      <c r="D26" s="108">
        <v>-0.72</v>
      </c>
      <c r="E26" s="108">
        <v>-2.4300000000000002</v>
      </c>
      <c r="F26" s="108">
        <v>0.39</v>
      </c>
      <c r="G26" s="108">
        <v>0.49</v>
      </c>
      <c r="H26" s="109">
        <v>0.51</v>
      </c>
      <c r="J26" s="19" t="s">
        <v>21</v>
      </c>
      <c r="K26" s="31">
        <v>2.0874405659283311E-2</v>
      </c>
      <c r="L26" s="31">
        <v>3.3768315018315023E-2</v>
      </c>
      <c r="M26" s="31">
        <v>0.27348066298342538</v>
      </c>
      <c r="N26" s="31">
        <v>4.1513658755038062E-2</v>
      </c>
      <c r="O26" s="50">
        <v>9.2409260604015442E-2</v>
      </c>
      <c r="AA26" s="2" t="s">
        <v>4542</v>
      </c>
      <c r="AB26" s="2">
        <v>7.62</v>
      </c>
      <c r="AC26" s="2">
        <v>2.13</v>
      </c>
      <c r="AD26" s="2" t="s">
        <v>4494</v>
      </c>
      <c r="AE26" s="2">
        <v>0.52</v>
      </c>
    </row>
    <row r="27" spans="2:31" ht="15" customHeight="1" thickBot="1" x14ac:dyDescent="0.25">
      <c r="B27" s="19" t="s">
        <v>4512</v>
      </c>
      <c r="C27" s="4"/>
      <c r="D27" s="96">
        <v>-1.808988764044944</v>
      </c>
      <c r="E27" s="96"/>
      <c r="F27" s="96"/>
      <c r="G27" s="96">
        <v>0.25641025641025628</v>
      </c>
      <c r="H27" s="97">
        <v>4.0816326530612283E-2</v>
      </c>
      <c r="J27" s="38" t="s">
        <v>4487</v>
      </c>
      <c r="K27" s="40">
        <v>0.32300000000000001</v>
      </c>
      <c r="L27" s="40">
        <v>0.51200000000000001</v>
      </c>
      <c r="M27" s="40">
        <v>0.127</v>
      </c>
      <c r="N27" s="40">
        <v>0.109</v>
      </c>
      <c r="O27" s="59">
        <v>0.26774999999999999</v>
      </c>
      <c r="AA27" s="2" t="s">
        <v>4487</v>
      </c>
      <c r="AB27" s="60">
        <v>0.21</v>
      </c>
      <c r="AC27" s="26">
        <v>0.29399999999999998</v>
      </c>
      <c r="AD27" s="26">
        <v>7.3400000000000007E-2</v>
      </c>
      <c r="AE27" s="26">
        <v>0.29499999999999998</v>
      </c>
    </row>
    <row r="28" spans="2:31" ht="15" customHeight="1" x14ac:dyDescent="0.2">
      <c r="B28" s="19" t="s">
        <v>4518</v>
      </c>
      <c r="C28" s="4">
        <v>5.2139910973169439</v>
      </c>
      <c r="D28" s="4">
        <v>6.6856050688589832</v>
      </c>
      <c r="E28" s="4">
        <v>9.5636704119850187</v>
      </c>
      <c r="F28" s="4">
        <v>10.503907856849031</v>
      </c>
      <c r="G28" s="4">
        <v>8.8873033551440894</v>
      </c>
      <c r="H28" s="49">
        <v>8.4766299296242202</v>
      </c>
    </row>
    <row r="29" spans="2:31" ht="15" customHeight="1" x14ac:dyDescent="0.2">
      <c r="B29" s="19" t="s">
        <v>4522</v>
      </c>
      <c r="C29" s="4">
        <v>6.5507952796305799</v>
      </c>
      <c r="D29" s="4">
        <v>7.8617610837438434</v>
      </c>
      <c r="E29" s="4">
        <v>11.20939420544337</v>
      </c>
      <c r="F29" s="4">
        <v>11.270745056497169</v>
      </c>
      <c r="G29" s="4">
        <v>10.91985973315087</v>
      </c>
      <c r="H29" s="49">
        <v>10.25008028259473</v>
      </c>
    </row>
    <row r="30" spans="2:31" ht="15" customHeight="1" thickBot="1" x14ac:dyDescent="0.25">
      <c r="B30" s="38" t="s">
        <v>4525</v>
      </c>
      <c r="C30" s="61">
        <v>1.032192605887156</v>
      </c>
      <c r="D30" s="61">
        <v>1.207861533484309</v>
      </c>
      <c r="E30" s="98">
        <v>1.0498293795995559</v>
      </c>
      <c r="F30" s="98">
        <v>1.099206212549074</v>
      </c>
      <c r="G30" s="98">
        <v>1.130537575376551</v>
      </c>
      <c r="H30" s="99">
        <v>1.0732689413999781</v>
      </c>
      <c r="J30" s="136" t="s">
        <v>4543</v>
      </c>
    </row>
    <row r="31" spans="2:31" ht="16" customHeight="1" thickBot="1" x14ac:dyDescent="0.25">
      <c r="J31" s="46"/>
      <c r="K31" s="63"/>
      <c r="L31" s="44" t="s">
        <v>4544</v>
      </c>
      <c r="M31" s="44" t="s">
        <v>4545</v>
      </c>
      <c r="N31" s="44" t="s">
        <v>4546</v>
      </c>
      <c r="O31" s="48" t="s">
        <v>4547</v>
      </c>
    </row>
    <row r="32" spans="2:31" x14ac:dyDescent="0.2">
      <c r="B32" s="8" t="s">
        <v>4548</v>
      </c>
      <c r="C32" s="64">
        <v>43800</v>
      </c>
      <c r="D32" s="64">
        <v>52600</v>
      </c>
      <c r="E32" s="64">
        <v>41100</v>
      </c>
      <c r="F32" s="64">
        <v>40387</v>
      </c>
      <c r="G32" s="64">
        <v>39706</v>
      </c>
      <c r="H32" s="72">
        <v>40345</v>
      </c>
      <c r="J32" s="19" t="s">
        <v>4549</v>
      </c>
      <c r="K32" s="22" t="s">
        <v>4510</v>
      </c>
      <c r="L32" s="4">
        <v>27045.8</v>
      </c>
      <c r="M32" s="4">
        <v>27286</v>
      </c>
      <c r="N32" s="4">
        <v>240.23</v>
      </c>
      <c r="O32" s="104">
        <v>8.881231096880134E-3</v>
      </c>
    </row>
    <row r="33" spans="2:15" x14ac:dyDescent="0.2">
      <c r="B33" s="19" t="s">
        <v>4514</v>
      </c>
      <c r="C33" s="4">
        <v>81</v>
      </c>
      <c r="D33" s="4">
        <v>149</v>
      </c>
      <c r="E33" s="4">
        <v>13350</v>
      </c>
      <c r="F33" s="4">
        <v>12155</v>
      </c>
      <c r="G33" s="4">
        <v>14366</v>
      </c>
      <c r="H33" s="49">
        <v>15062</v>
      </c>
      <c r="J33" s="19"/>
      <c r="K33" s="22" t="s">
        <v>4550</v>
      </c>
      <c r="L33" s="3">
        <v>0.09</v>
      </c>
      <c r="M33" s="3">
        <v>0.14000000000000001</v>
      </c>
      <c r="N33" s="3">
        <v>0.05</v>
      </c>
      <c r="O33" s="104">
        <v>0.5555555555555558</v>
      </c>
    </row>
    <row r="34" spans="2:15" x14ac:dyDescent="0.2">
      <c r="B34" s="19" t="s">
        <v>4551</v>
      </c>
      <c r="C34" s="20">
        <v>540.74074074074076</v>
      </c>
      <c r="D34" s="20">
        <v>353.02013422818789</v>
      </c>
      <c r="E34" s="20">
        <v>3.078651685393258</v>
      </c>
      <c r="F34" s="20">
        <v>3.3226655697243932</v>
      </c>
      <c r="G34" s="20">
        <v>2.7638869553111509</v>
      </c>
      <c r="H34" s="24">
        <v>2.678595140087638</v>
      </c>
      <c r="J34" s="19" t="s">
        <v>4552</v>
      </c>
      <c r="K34" s="22" t="s">
        <v>4510</v>
      </c>
      <c r="L34" s="4">
        <v>32609.4</v>
      </c>
      <c r="M34" s="4">
        <v>33278</v>
      </c>
      <c r="N34" s="4">
        <v>668.65</v>
      </c>
      <c r="O34" s="104">
        <v>2.0503290462259301E-2</v>
      </c>
    </row>
    <row r="35" spans="2:15" ht="16" customHeight="1" x14ac:dyDescent="0.2">
      <c r="B35" s="19" t="s">
        <v>4553</v>
      </c>
      <c r="C35" s="68" t="s">
        <v>4494</v>
      </c>
      <c r="D35" s="68">
        <v>1.27</v>
      </c>
      <c r="E35" s="68">
        <v>0.49</v>
      </c>
      <c r="F35" s="68">
        <v>0.5</v>
      </c>
      <c r="G35" s="68">
        <v>0.86</v>
      </c>
      <c r="H35" s="69" t="s">
        <v>4494</v>
      </c>
      <c r="J35" s="19"/>
      <c r="K35" s="22" t="s">
        <v>4550</v>
      </c>
      <c r="L35" s="3">
        <v>0.22</v>
      </c>
      <c r="M35" s="3">
        <v>0.17</v>
      </c>
      <c r="N35" s="3">
        <v>0.05</v>
      </c>
      <c r="O35" s="104">
        <v>-0.22727272727272721</v>
      </c>
    </row>
    <row r="36" spans="2:15" ht="16" customHeight="1" thickBot="1" x14ac:dyDescent="0.25">
      <c r="B36" s="38" t="s">
        <v>22</v>
      </c>
      <c r="C36" s="70">
        <v>8.67</v>
      </c>
      <c r="D36" s="70">
        <v>7.4</v>
      </c>
      <c r="E36" s="70">
        <v>3.57</v>
      </c>
      <c r="F36" s="70">
        <v>4.16</v>
      </c>
      <c r="G36" s="70">
        <v>4.47</v>
      </c>
      <c r="H36" s="71">
        <v>4.8</v>
      </c>
      <c r="J36" s="19" t="s">
        <v>4554</v>
      </c>
      <c r="K36" s="22" t="s">
        <v>4510</v>
      </c>
      <c r="L36" s="4">
        <v>29923.1</v>
      </c>
      <c r="M36" s="4">
        <v>29573</v>
      </c>
      <c r="N36" s="4">
        <v>350.05</v>
      </c>
      <c r="O36" s="104">
        <v>-1.1699990976870659E-2</v>
      </c>
    </row>
    <row r="37" spans="2:15" ht="16" customHeight="1" thickBot="1" x14ac:dyDescent="0.25">
      <c r="J37" s="19"/>
      <c r="K37" s="22" t="s">
        <v>4550</v>
      </c>
      <c r="L37" s="3">
        <v>0.2</v>
      </c>
      <c r="M37" s="3">
        <v>0.14000000000000001</v>
      </c>
      <c r="N37" s="3">
        <v>0.06</v>
      </c>
      <c r="O37" s="104">
        <v>-0.3</v>
      </c>
    </row>
    <row r="38" spans="2:15" x14ac:dyDescent="0.2">
      <c r="B38" s="8" t="s">
        <v>4555</v>
      </c>
      <c r="C38" s="72">
        <v>81720191</v>
      </c>
      <c r="F38" s="8" t="s">
        <v>4556</v>
      </c>
      <c r="G38" s="64">
        <v>10.36</v>
      </c>
      <c r="H38" s="101">
        <v>-2.702702702702697E-2</v>
      </c>
      <c r="J38" s="19" t="s">
        <v>4557</v>
      </c>
      <c r="K38" s="22" t="s">
        <v>4510</v>
      </c>
      <c r="L38" s="4">
        <v>29310.6</v>
      </c>
      <c r="M38" s="4">
        <v>30104</v>
      </c>
      <c r="N38" s="4">
        <v>793.39</v>
      </c>
      <c r="O38" s="104">
        <v>2.7068705519504941E-2</v>
      </c>
    </row>
    <row r="39" spans="2:15" ht="16" customHeight="1" thickBot="1" x14ac:dyDescent="0.25">
      <c r="B39" s="19" t="s">
        <v>4558</v>
      </c>
      <c r="C39" s="49" t="s">
        <v>4747</v>
      </c>
      <c r="F39" s="38" t="s">
        <v>4560</v>
      </c>
      <c r="G39" s="98">
        <v>9.86</v>
      </c>
      <c r="H39" s="59">
        <v>2.2312373225152199E-2</v>
      </c>
      <c r="J39" s="38"/>
      <c r="K39" s="77" t="s">
        <v>4550</v>
      </c>
      <c r="L39" s="78">
        <v>0.18</v>
      </c>
      <c r="M39" s="78">
        <v>0.19</v>
      </c>
      <c r="N39" s="78">
        <v>0.01</v>
      </c>
      <c r="O39" s="105">
        <v>5.5555555555555608E-2</v>
      </c>
    </row>
    <row r="40" spans="2:15" ht="16" customHeight="1" thickBot="1" x14ac:dyDescent="0.25">
      <c r="B40" s="38" t="s">
        <v>4561</v>
      </c>
      <c r="C40" s="99" t="s">
        <v>4748</v>
      </c>
    </row>
    <row r="41" spans="2:15" x14ac:dyDescent="0.2">
      <c r="F41" s="8" t="s">
        <v>4563</v>
      </c>
      <c r="G41" s="11"/>
      <c r="H41" s="72" t="s">
        <v>4749</v>
      </c>
    </row>
    <row r="42" spans="2:15" ht="16" customHeight="1" thickBot="1" x14ac:dyDescent="0.25">
      <c r="F42" s="38" t="s">
        <v>4565</v>
      </c>
      <c r="G42" s="17"/>
      <c r="H42" s="99">
        <v>0</v>
      </c>
    </row>
    <row r="43" spans="2:15" ht="19.5" customHeight="1" thickBot="1" x14ac:dyDescent="0.25"/>
    <row r="44" spans="2:15" ht="18" customHeight="1" x14ac:dyDescent="0.2">
      <c r="B44" s="8" t="s">
        <v>4566</v>
      </c>
      <c r="C44" s="64" t="s">
        <v>4567</v>
      </c>
      <c r="D44" s="103">
        <v>0.44500000000000001</v>
      </c>
      <c r="F44" s="8" t="s">
        <v>4568</v>
      </c>
      <c r="G44" s="64" t="s">
        <v>4750</v>
      </c>
      <c r="H44" s="101">
        <v>0.218</v>
      </c>
      <c r="J44" s="149" t="s">
        <v>4751</v>
      </c>
      <c r="K44" s="150"/>
      <c r="L44" s="150"/>
      <c r="M44" s="150"/>
      <c r="N44" s="150"/>
      <c r="O44" s="151"/>
    </row>
    <row r="45" spans="2:15" x14ac:dyDescent="0.2">
      <c r="B45" s="83"/>
      <c r="C45" s="4" t="s">
        <v>4608</v>
      </c>
      <c r="D45" s="95">
        <v>0.18</v>
      </c>
      <c r="F45" s="83"/>
      <c r="G45" s="4" t="s">
        <v>4752</v>
      </c>
      <c r="H45" s="50">
        <v>0.21299999999999999</v>
      </c>
      <c r="J45" s="152"/>
      <c r="K45" s="143"/>
      <c r="L45" s="143"/>
      <c r="M45" s="143"/>
      <c r="N45" s="143"/>
      <c r="O45" s="153"/>
    </row>
    <row r="46" spans="2:15" x14ac:dyDescent="0.2">
      <c r="B46" s="83"/>
      <c r="C46" s="4" t="s">
        <v>4609</v>
      </c>
      <c r="D46" s="106">
        <v>0.17</v>
      </c>
      <c r="F46" s="83"/>
      <c r="G46" s="4" t="s">
        <v>4753</v>
      </c>
      <c r="H46" s="50">
        <v>0.152</v>
      </c>
      <c r="J46" s="152"/>
      <c r="K46" s="143"/>
      <c r="L46" s="143"/>
      <c r="M46" s="143"/>
      <c r="N46" s="143"/>
      <c r="O46" s="153"/>
    </row>
    <row r="47" spans="2:15" ht="25.5" customHeight="1" thickBot="1" x14ac:dyDescent="0.25">
      <c r="B47" s="87"/>
      <c r="C47" s="98" t="s">
        <v>4754</v>
      </c>
      <c r="D47" s="76">
        <v>0.14799999999999999</v>
      </c>
      <c r="F47" s="87"/>
      <c r="G47" s="98" t="s">
        <v>4755</v>
      </c>
      <c r="H47" s="59">
        <v>0.11700000000000001</v>
      </c>
      <c r="J47" s="154"/>
      <c r="K47" s="144"/>
      <c r="L47" s="144"/>
      <c r="M47" s="144"/>
      <c r="N47" s="144"/>
      <c r="O47" s="155"/>
    </row>
    <row r="53" spans="2:9" ht="16" customHeight="1" thickBot="1" x14ac:dyDescent="0.25"/>
    <row r="54" spans="2:9" x14ac:dyDescent="0.2">
      <c r="B54" s="8" t="s">
        <v>4479</v>
      </c>
      <c r="C54" s="9">
        <v>192.21</v>
      </c>
      <c r="D54" s="10"/>
      <c r="E54" s="11"/>
      <c r="F54" s="11"/>
      <c r="G54" s="11"/>
      <c r="H54" s="11"/>
      <c r="I54" s="12"/>
    </row>
    <row r="55" spans="2:9" x14ac:dyDescent="0.2">
      <c r="B55" s="14"/>
      <c r="C55" s="3"/>
      <c r="D55" s="3"/>
      <c r="I55" s="15"/>
    </row>
    <row r="56" spans="2:9" x14ac:dyDescent="0.2">
      <c r="B56" s="19" t="s">
        <v>4482</v>
      </c>
      <c r="C56" s="20">
        <v>216.25999450683591</v>
      </c>
      <c r="D56" s="21">
        <v>-0.1112087076561713</v>
      </c>
      <c r="E56" s="22" t="s">
        <v>4483</v>
      </c>
      <c r="F56" s="23" t="s">
        <v>4535</v>
      </c>
      <c r="G56" s="22" t="s">
        <v>4484</v>
      </c>
      <c r="H56" s="20">
        <v>15.626829268292679</v>
      </c>
      <c r="I56" s="15"/>
    </row>
    <row r="57" spans="2:9" x14ac:dyDescent="0.2">
      <c r="B57" s="19" t="s">
        <v>4485</v>
      </c>
      <c r="C57" s="20">
        <v>153.1300048828125</v>
      </c>
      <c r="D57" s="21">
        <v>0.25520795318392819</v>
      </c>
      <c r="E57" s="22" t="s">
        <v>4486</v>
      </c>
      <c r="F57" s="3" t="s">
        <v>4536</v>
      </c>
      <c r="G57" s="22" t="s">
        <v>4487</v>
      </c>
      <c r="H57" s="30">
        <v>0.39400000000000002</v>
      </c>
      <c r="I57" s="15"/>
    </row>
    <row r="58" spans="2:9" x14ac:dyDescent="0.2">
      <c r="B58" s="19" t="s">
        <v>4489</v>
      </c>
      <c r="C58" s="30">
        <v>0.58050000000000002</v>
      </c>
      <c r="D58" s="31"/>
      <c r="E58" s="22" t="s">
        <v>2503</v>
      </c>
      <c r="F58" s="3"/>
      <c r="G58" s="22" t="s">
        <v>4490</v>
      </c>
      <c r="H58" s="2" t="s">
        <v>4574</v>
      </c>
      <c r="I58" s="15"/>
    </row>
    <row r="59" spans="2:9" x14ac:dyDescent="0.2">
      <c r="B59" s="19" t="s">
        <v>4492</v>
      </c>
      <c r="C59" s="4">
        <v>25040</v>
      </c>
      <c r="D59" s="3"/>
      <c r="E59" s="22" t="s">
        <v>4493</v>
      </c>
      <c r="F59" s="3" t="s">
        <v>4494</v>
      </c>
      <c r="G59" s="22" t="s">
        <v>27</v>
      </c>
      <c r="H59" s="2" t="s">
        <v>115</v>
      </c>
      <c r="I59" s="15"/>
    </row>
    <row r="60" spans="2:9" x14ac:dyDescent="0.2">
      <c r="B60" s="19" t="s">
        <v>1283</v>
      </c>
      <c r="C60" s="34">
        <v>23846</v>
      </c>
      <c r="D60" s="4">
        <v>-1194</v>
      </c>
      <c r="E60" s="22" t="s">
        <v>4496</v>
      </c>
      <c r="F60" s="31"/>
      <c r="G60" s="22" t="s">
        <v>28</v>
      </c>
      <c r="H60" s="2" t="s">
        <v>4575</v>
      </c>
      <c r="I60" s="15"/>
    </row>
    <row r="61" spans="2:9" ht="16" customHeight="1" thickBot="1" x14ac:dyDescent="0.25">
      <c r="B61" s="38" t="s">
        <v>4498</v>
      </c>
      <c r="C61" s="91">
        <v>1.4650000333786011</v>
      </c>
      <c r="D61" s="78"/>
      <c r="E61" s="77" t="s">
        <v>4499</v>
      </c>
      <c r="F61" s="91">
        <v>1.2599999904632571</v>
      </c>
      <c r="G61" s="77" t="s">
        <v>4500</v>
      </c>
      <c r="H61" s="92" t="s">
        <v>4501</v>
      </c>
      <c r="I61" s="18"/>
    </row>
    <row r="370" spans="8:8" x14ac:dyDescent="0.2">
      <c r="H370" s="2">
        <v>36.79</v>
      </c>
    </row>
  </sheetData>
  <mergeCells count="1">
    <mergeCell ref="J44:O47"/>
  </mergeCells>
  <conditionalFormatting sqref="O32">
    <cfRule type="cellIs" dxfId="3" priority="5" operator="lessThan">
      <formula>0</formula>
    </cfRule>
    <cfRule type="cellIs" dxfId="2" priority="6" operator="greaterThan">
      <formula>0</formula>
    </cfRule>
  </conditionalFormatting>
  <conditionalFormatting sqref="O33:O39">
    <cfRule type="cellIs" dxfId="1" priority="3" operator="lessThan">
      <formula>0</formula>
    </cfRule>
    <cfRule type="cellIs" dxfId="0" priority="4" operator="greaterThan">
      <formula>0</formula>
    </cfRule>
  </conditionalFormatting>
  <conditionalFormatting sqref="D17:H17">
    <cfRule type="colorScale" priority="2">
      <colorScale>
        <cfvo type="min"/>
        <cfvo type="percentile" val="50"/>
        <cfvo type="max"/>
        <color rgb="FFF8696B"/>
        <color rgb="FFFFEB84"/>
        <color rgb="FF63BE7B"/>
      </colorScale>
    </cfRule>
  </conditionalFormatting>
  <conditionalFormatting sqref="D27:H27">
    <cfRule type="colorScale" priority="1">
      <colorScale>
        <cfvo type="min"/>
        <cfvo type="percentile" val="50"/>
        <cfvo type="max"/>
        <color rgb="FFF8696B"/>
        <color rgb="FFFFEB84"/>
        <color rgb="FF63BE7B"/>
      </colorScale>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20</vt:i4>
      </vt:variant>
    </vt:vector>
  </HeadingPairs>
  <TitlesOfParts>
    <vt:vector size="20" baseType="lpstr">
      <vt:lpstr>Note</vt:lpstr>
      <vt:lpstr>Database S&amp;P500</vt:lpstr>
      <vt:lpstr>Database Sectors</vt:lpstr>
      <vt:lpstr>Database US Companies</vt:lpstr>
      <vt:lpstr>Data S&amp;P 500</vt:lpstr>
      <vt:lpstr>Sales Growth</vt:lpstr>
      <vt:lpstr>Earnings Growth</vt:lpstr>
      <vt:lpstr>Dividend Yield</vt:lpstr>
      <vt:lpstr>Margins</vt:lpstr>
      <vt:lpstr>Debt  Balance-Sheet</vt:lpstr>
      <vt:lpstr>Value</vt:lpstr>
      <vt:lpstr>LULU</vt:lpstr>
      <vt:lpstr>GOOS</vt:lpstr>
      <vt:lpstr>RL</vt:lpstr>
      <vt:lpstr>AMZN</vt:lpstr>
      <vt:lpstr>OMC</vt:lpstr>
      <vt:lpstr>KR</vt:lpstr>
      <vt:lpstr>WMT</vt:lpstr>
      <vt:lpstr>XOM</vt:lpstr>
      <vt:lpstr>GE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g.dupont</dc:creator>
  <cp:lastModifiedBy>Mark Mukherjee</cp:lastModifiedBy>
  <dcterms:created xsi:type="dcterms:W3CDTF">2018-07-12T06:25:51Z</dcterms:created>
  <dcterms:modified xsi:type="dcterms:W3CDTF">2022-05-29T12:54:54Z</dcterms:modified>
</cp:coreProperties>
</file>